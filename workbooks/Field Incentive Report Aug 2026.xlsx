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codeName="ThisWorkbook"/>
  <mc:AlternateContent xmlns:mc="http://schemas.openxmlformats.org/markup-compatibility/2006">
    <mc:Choice Requires="x15">
      <x15ac:absPath xmlns:x15ac="http://schemas.microsoft.com/office/spreadsheetml/2010/11/ac" url="/Users/adhikesavanr/Documents/Incentives/FY 26-27/Aug 2026/Field Sales/"/>
    </mc:Choice>
  </mc:AlternateContent>
  <xr:revisionPtr revIDLastSave="0" documentId="13_ncr:1_{AB40DA1E-2C1C-BD4B-B515-4F5D389DC7F0}" xr6:coauthVersionLast="47" xr6:coauthVersionMax="47" xr10:uidLastSave="{00000000-0000-0000-0000-000000000000}"/>
  <bookViews>
    <workbookView xWindow="0" yWindow="660" windowWidth="29400" windowHeight="18460" activeTab="6" xr2:uid="{00000000-000D-0000-FFFF-FFFF00000000}"/>
  </bookViews>
  <sheets>
    <sheet name="Checklists" sheetId="24" r:id="rId1"/>
    <sheet name="Index" sheetId="17" r:id="rId2"/>
    <sheet name="Header Index" sheetId="18" state="hidden" r:id="rId3"/>
    <sheet name="Policy" sheetId="21" r:id="rId4"/>
    <sheet name="Incentive Summary Output" sheetId="28" r:id="rId5"/>
    <sheet name="Target Achieved- Input" sheetId="4" r:id="rId6"/>
    <sheet name="Incentive Report- Output" sheetId="20" r:id="rId7"/>
    <sheet name="RM Calculation Pro Rata" sheetId="6" r:id="rId8"/>
    <sheet name="Perquisites" sheetId="36" state="hidden" r:id="rId9"/>
    <sheet name="ZM Calculation" sheetId="35" state="hidden" r:id="rId10"/>
    <sheet name="ARPU" sheetId="33" r:id="rId11"/>
    <sheet name="ZM Calculation (1)" sheetId="31" state="hidden" r:id="rId12"/>
    <sheet name="ZM Incentive Calculation" sheetId="30" state="hidden" r:id="rId13"/>
    <sheet name="Coupon Analysis" sheetId="7" r:id="rId14"/>
    <sheet name="Individual BDE's ARPU" sheetId="23" state="hidden" r:id="rId15"/>
  </sheets>
  <definedNames>
    <definedName name="_xlnm._FilterDatabase" localSheetId="13" hidden="1">'Coupon Analysis'!$AC$3:$AJ$689</definedName>
    <definedName name="_xlnm._FilterDatabase" localSheetId="6" hidden="1">'Incentive Report- Output'!$A$387:$AQ$481</definedName>
    <definedName name="_xlnm._FilterDatabase" localSheetId="4" hidden="1">'Incentive Summary Output'!$A$24:$AY$24</definedName>
    <definedName name="_xlnm._FilterDatabase" localSheetId="1" hidden="1">Index!$B$3:$F$9</definedName>
    <definedName name="_xlnm._FilterDatabase" localSheetId="14" hidden="1">'Individual BDE''s ARPU'!$B$370:$F$440</definedName>
    <definedName name="_xlnm._FilterDatabase" localSheetId="7" hidden="1">'RM Calculation Pro Rata'!$V$4:$AA$91</definedName>
    <definedName name="_xlnm._FilterDatabase" localSheetId="5" hidden="1">'Target Achieved- Input'!$A$3:$AE$352</definedName>
  </definedNames>
  <calcPr calcId="191029"/>
  <customWorkbookViews>
    <customWorkbookView name="Filter 1" guid="{6B467331-B811-499C-A6D9-12BD516429F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8" l="1"/>
  <c r="H16" i="28"/>
  <c r="M49" i="6"/>
  <c r="J126" i="6" s="1"/>
  <c r="M50" i="6"/>
  <c r="H110" i="6"/>
  <c r="H102" i="6"/>
  <c r="H94" i="6"/>
  <c r="H86" i="6"/>
  <c r="H78" i="6"/>
  <c r="H70" i="6"/>
  <c r="H62" i="6"/>
  <c r="H54" i="6"/>
  <c r="H46" i="6"/>
  <c r="H38" i="6"/>
  <c r="H29" i="6"/>
  <c r="H21" i="6"/>
  <c r="H13" i="6"/>
  <c r="H5" i="6"/>
  <c r="U49" i="21"/>
  <c r="V49" i="21" s="1"/>
  <c r="S49" i="21"/>
  <c r="T49" i="21" s="1"/>
  <c r="Q49" i="21"/>
  <c r="R49" i="21" s="1"/>
  <c r="W49" i="21"/>
  <c r="K126" i="6"/>
  <c r="K110" i="6"/>
  <c r="K102" i="6"/>
  <c r="K94" i="6"/>
  <c r="K86" i="6"/>
  <c r="K78" i="6"/>
  <c r="K70" i="6"/>
  <c r="K62" i="6"/>
  <c r="K54" i="6"/>
  <c r="K46" i="6"/>
  <c r="K38" i="6"/>
  <c r="K29" i="6"/>
  <c r="K21" i="6"/>
  <c r="K13" i="6"/>
  <c r="K5" i="6"/>
  <c r="AA102" i="28"/>
  <c r="AB102" i="28"/>
  <c r="AS102" i="28" s="1"/>
  <c r="AC102" i="28"/>
  <c r="AD102" i="28"/>
  <c r="AE102" i="28"/>
  <c r="AF102" i="28"/>
  <c r="AG102" i="28"/>
  <c r="AX102" i="28" s="1"/>
  <c r="AT102" i="28"/>
  <c r="AU102" i="28"/>
  <c r="AV102" i="28"/>
  <c r="AW102" i="28"/>
  <c r="E102" i="28"/>
  <c r="V102" i="28" s="1"/>
  <c r="F102" i="28"/>
  <c r="W102" i="28" s="1"/>
  <c r="G102" i="28"/>
  <c r="X102" i="28" s="1"/>
  <c r="H102" i="28"/>
  <c r="Y102" i="28" s="1"/>
  <c r="AP102" i="28" s="1"/>
  <c r="E449" i="20"/>
  <c r="L449" i="20" s="1"/>
  <c r="F449" i="20"/>
  <c r="G449" i="20"/>
  <c r="H449" i="20"/>
  <c r="I449" i="20"/>
  <c r="M449" i="20"/>
  <c r="N449" i="20"/>
  <c r="O449" i="20" s="1"/>
  <c r="N479" i="20"/>
  <c r="O479" i="20" s="1"/>
  <c r="M479" i="20"/>
  <c r="I479" i="20"/>
  <c r="H479" i="20"/>
  <c r="G479" i="20"/>
  <c r="F479" i="20"/>
  <c r="E479" i="20"/>
  <c r="L479" i="20" s="1"/>
  <c r="N478" i="20"/>
  <c r="O478" i="20" s="1"/>
  <c r="M478" i="20"/>
  <c r="I478" i="20"/>
  <c r="H478" i="20"/>
  <c r="G478" i="20"/>
  <c r="F478" i="20"/>
  <c r="E478" i="20"/>
  <c r="L478" i="20" s="1"/>
  <c r="N477" i="20"/>
  <c r="O477" i="20" s="1"/>
  <c r="M477" i="20"/>
  <c r="I477" i="20"/>
  <c r="H477" i="20"/>
  <c r="G477" i="20"/>
  <c r="F477" i="20"/>
  <c r="E477" i="20"/>
  <c r="L477" i="20" s="1"/>
  <c r="N476" i="20"/>
  <c r="O476" i="20" s="1"/>
  <c r="U477" i="20" s="1"/>
  <c r="M476" i="20"/>
  <c r="I476" i="20"/>
  <c r="H476" i="20"/>
  <c r="G476" i="20"/>
  <c r="F476" i="20"/>
  <c r="E476" i="20"/>
  <c r="L476" i="20" s="1"/>
  <c r="T477" i="20" s="1"/>
  <c r="T480" i="20" s="1"/>
  <c r="N475" i="20"/>
  <c r="O475" i="20" s="1"/>
  <c r="M475" i="20"/>
  <c r="I475" i="20"/>
  <c r="H475" i="20"/>
  <c r="G475" i="20"/>
  <c r="F475" i="20"/>
  <c r="E475" i="20"/>
  <c r="L475" i="20" s="1"/>
  <c r="N474" i="20"/>
  <c r="O474" i="20" s="1"/>
  <c r="M474" i="20"/>
  <c r="I474" i="20"/>
  <c r="H474" i="20"/>
  <c r="G474" i="20"/>
  <c r="F474" i="20"/>
  <c r="E474" i="20"/>
  <c r="L474" i="20" s="1"/>
  <c r="N472" i="20"/>
  <c r="O472" i="20" s="1"/>
  <c r="M472" i="20"/>
  <c r="I472" i="20"/>
  <c r="H472" i="20"/>
  <c r="G472" i="20"/>
  <c r="F472" i="20"/>
  <c r="E472" i="20"/>
  <c r="L472" i="20" s="1"/>
  <c r="N471" i="20"/>
  <c r="O471" i="20" s="1"/>
  <c r="M471" i="20"/>
  <c r="I471" i="20"/>
  <c r="H471" i="20"/>
  <c r="G471" i="20"/>
  <c r="F471" i="20"/>
  <c r="E471" i="20"/>
  <c r="L471" i="20" s="1"/>
  <c r="N470" i="20"/>
  <c r="O470" i="20" s="1"/>
  <c r="M470" i="20"/>
  <c r="I470" i="20"/>
  <c r="H470" i="20"/>
  <c r="G470" i="20"/>
  <c r="F470" i="20"/>
  <c r="E470" i="20"/>
  <c r="L470" i="20" s="1"/>
  <c r="N469" i="20"/>
  <c r="O469" i="20" s="1"/>
  <c r="M469" i="20"/>
  <c r="I469" i="20"/>
  <c r="H469" i="20"/>
  <c r="G469" i="20"/>
  <c r="F469" i="20"/>
  <c r="E469" i="20"/>
  <c r="L469" i="20" s="1"/>
  <c r="N468" i="20"/>
  <c r="O468" i="20" s="1"/>
  <c r="M468" i="20"/>
  <c r="I468" i="20"/>
  <c r="H468" i="20"/>
  <c r="G468" i="20"/>
  <c r="F468" i="20"/>
  <c r="E468" i="20"/>
  <c r="L468" i="20" s="1"/>
  <c r="N467" i="20"/>
  <c r="O467" i="20" s="1"/>
  <c r="M467" i="20"/>
  <c r="I467" i="20"/>
  <c r="H467" i="20"/>
  <c r="G467" i="20"/>
  <c r="F467" i="20"/>
  <c r="E467" i="20"/>
  <c r="L467" i="20" s="1"/>
  <c r="N465" i="20"/>
  <c r="O465" i="20" s="1"/>
  <c r="M465" i="20"/>
  <c r="I465" i="20"/>
  <c r="H465" i="20"/>
  <c r="G465" i="20"/>
  <c r="F465" i="20"/>
  <c r="E465" i="20"/>
  <c r="L465" i="20" s="1"/>
  <c r="N464" i="20"/>
  <c r="O464" i="20" s="1"/>
  <c r="M464" i="20"/>
  <c r="I464" i="20"/>
  <c r="H464" i="20"/>
  <c r="G464" i="20"/>
  <c r="F464" i="20"/>
  <c r="E464" i="20"/>
  <c r="L464" i="20" s="1"/>
  <c r="N463" i="20"/>
  <c r="O463" i="20" s="1"/>
  <c r="M463" i="20"/>
  <c r="I463" i="20"/>
  <c r="H463" i="20"/>
  <c r="G463" i="20"/>
  <c r="F463" i="20"/>
  <c r="E463" i="20"/>
  <c r="L463" i="20" s="1"/>
  <c r="N462" i="20"/>
  <c r="O462" i="20" s="1"/>
  <c r="M462" i="20"/>
  <c r="I462" i="20"/>
  <c r="H462" i="20"/>
  <c r="G462" i="20"/>
  <c r="F462" i="20"/>
  <c r="E462" i="20"/>
  <c r="L462" i="20" s="1"/>
  <c r="N460" i="20"/>
  <c r="O460" i="20" s="1"/>
  <c r="M460" i="20"/>
  <c r="I460" i="20"/>
  <c r="H460" i="20"/>
  <c r="G460" i="20"/>
  <c r="F460" i="20"/>
  <c r="E460" i="20"/>
  <c r="L460" i="20" s="1"/>
  <c r="N459" i="20"/>
  <c r="O459" i="20" s="1"/>
  <c r="M459" i="20"/>
  <c r="I459" i="20"/>
  <c r="H459" i="20"/>
  <c r="G459" i="20"/>
  <c r="F459" i="20"/>
  <c r="E459" i="20"/>
  <c r="L459" i="20" s="1"/>
  <c r="N458" i="20"/>
  <c r="O458" i="20" s="1"/>
  <c r="M458" i="20"/>
  <c r="I458" i="20"/>
  <c r="H458" i="20"/>
  <c r="G458" i="20"/>
  <c r="F458" i="20"/>
  <c r="E458" i="20"/>
  <c r="L458" i="20" s="1"/>
  <c r="N457" i="20"/>
  <c r="O457" i="20" s="1"/>
  <c r="M457" i="20"/>
  <c r="I457" i="20"/>
  <c r="H457" i="20"/>
  <c r="G457" i="20"/>
  <c r="F457" i="20"/>
  <c r="E457" i="20"/>
  <c r="L457" i="20" s="1"/>
  <c r="N456" i="20"/>
  <c r="O456" i="20" s="1"/>
  <c r="M456" i="20"/>
  <c r="I456" i="20"/>
  <c r="H456" i="20"/>
  <c r="G456" i="20"/>
  <c r="F456" i="20"/>
  <c r="E456" i="20"/>
  <c r="L456" i="20" s="1"/>
  <c r="N455" i="20"/>
  <c r="O455" i="20" s="1"/>
  <c r="M455" i="20"/>
  <c r="I455" i="20"/>
  <c r="H455" i="20"/>
  <c r="G455" i="20"/>
  <c r="F455" i="20"/>
  <c r="E455" i="20"/>
  <c r="L455" i="20" s="1"/>
  <c r="T457" i="20" s="1"/>
  <c r="T461" i="20" s="1"/>
  <c r="N454" i="20"/>
  <c r="O454" i="20" s="1"/>
  <c r="M454" i="20"/>
  <c r="I454" i="20"/>
  <c r="H454" i="20"/>
  <c r="G454" i="20"/>
  <c r="F454" i="20"/>
  <c r="E454" i="20"/>
  <c r="L454" i="20" s="1"/>
  <c r="N453" i="20"/>
  <c r="O453" i="20" s="1"/>
  <c r="M453" i="20"/>
  <c r="I453" i="20"/>
  <c r="H453" i="20"/>
  <c r="G453" i="20"/>
  <c r="F453" i="20"/>
  <c r="E453" i="20"/>
  <c r="L453" i="20" s="1"/>
  <c r="N451" i="20"/>
  <c r="O451" i="20" s="1"/>
  <c r="M451" i="20"/>
  <c r="I451" i="20"/>
  <c r="H451" i="20"/>
  <c r="G451" i="20"/>
  <c r="F451" i="20"/>
  <c r="E451" i="20"/>
  <c r="L451" i="20" s="1"/>
  <c r="N450" i="20"/>
  <c r="O450" i="20" s="1"/>
  <c r="M450" i="20"/>
  <c r="I450" i="20"/>
  <c r="H450" i="20"/>
  <c r="G450" i="20"/>
  <c r="F450" i="20"/>
  <c r="E450" i="20"/>
  <c r="L450" i="20" s="1"/>
  <c r="N448" i="20"/>
  <c r="O448" i="20" s="1"/>
  <c r="M448" i="20"/>
  <c r="I448" i="20"/>
  <c r="H448" i="20"/>
  <c r="G448" i="20"/>
  <c r="F448" i="20"/>
  <c r="E448" i="20"/>
  <c r="L448" i="20" s="1"/>
  <c r="N447" i="20"/>
  <c r="O447" i="20" s="1"/>
  <c r="M447" i="20"/>
  <c r="I447" i="20"/>
  <c r="H447" i="20"/>
  <c r="G447" i="20"/>
  <c r="F447" i="20"/>
  <c r="E447" i="20"/>
  <c r="L447" i="20" s="1"/>
  <c r="N446" i="20"/>
  <c r="O446" i="20" s="1"/>
  <c r="M446" i="20"/>
  <c r="I446" i="20"/>
  <c r="H446" i="20"/>
  <c r="G446" i="20"/>
  <c r="F446" i="20"/>
  <c r="E446" i="20"/>
  <c r="L446" i="20" s="1"/>
  <c r="N445" i="20"/>
  <c r="O445" i="20" s="1"/>
  <c r="M445" i="20"/>
  <c r="I445" i="20"/>
  <c r="H445" i="20"/>
  <c r="G445" i="20"/>
  <c r="F445" i="20"/>
  <c r="E445" i="20"/>
  <c r="L445" i="20" s="1"/>
  <c r="N444" i="20"/>
  <c r="O444" i="20" s="1"/>
  <c r="M444" i="20"/>
  <c r="I444" i="20"/>
  <c r="H444" i="20"/>
  <c r="G444" i="20"/>
  <c r="F444" i="20"/>
  <c r="E444" i="20"/>
  <c r="L444" i="20" s="1"/>
  <c r="N443" i="20"/>
  <c r="O443" i="20" s="1"/>
  <c r="M443" i="20"/>
  <c r="I443" i="20"/>
  <c r="H443" i="20"/>
  <c r="G443" i="20"/>
  <c r="F443" i="20"/>
  <c r="E443" i="20"/>
  <c r="L443" i="20" s="1"/>
  <c r="N441" i="20"/>
  <c r="O441" i="20" s="1"/>
  <c r="M441" i="20"/>
  <c r="I441" i="20"/>
  <c r="H441" i="20"/>
  <c r="G441" i="20"/>
  <c r="F441" i="20"/>
  <c r="E441" i="20"/>
  <c r="L441" i="20" s="1"/>
  <c r="N440" i="20"/>
  <c r="O440" i="20" s="1"/>
  <c r="M440" i="20"/>
  <c r="I440" i="20"/>
  <c r="H440" i="20"/>
  <c r="G440" i="20"/>
  <c r="F440" i="20"/>
  <c r="E440" i="20"/>
  <c r="L440" i="20" s="1"/>
  <c r="N439" i="20"/>
  <c r="O439" i="20" s="1"/>
  <c r="M439" i="20"/>
  <c r="I439" i="20"/>
  <c r="H439" i="20"/>
  <c r="G439" i="20"/>
  <c r="F439" i="20"/>
  <c r="E439" i="20"/>
  <c r="L439" i="20" s="1"/>
  <c r="N437" i="20"/>
  <c r="O437" i="20" s="1"/>
  <c r="M437" i="20"/>
  <c r="I437" i="20"/>
  <c r="H437" i="20"/>
  <c r="G437" i="20"/>
  <c r="F437" i="20"/>
  <c r="E437" i="20"/>
  <c r="L437" i="20" s="1"/>
  <c r="N436" i="20"/>
  <c r="O436" i="20" s="1"/>
  <c r="M436" i="20"/>
  <c r="I436" i="20"/>
  <c r="H436" i="20"/>
  <c r="G436" i="20"/>
  <c r="F436" i="20"/>
  <c r="E436" i="20"/>
  <c r="L436" i="20" s="1"/>
  <c r="N435" i="20"/>
  <c r="O435" i="20" s="1"/>
  <c r="M435" i="20"/>
  <c r="I435" i="20"/>
  <c r="H435" i="20"/>
  <c r="G435" i="20"/>
  <c r="F435" i="20"/>
  <c r="E435" i="20"/>
  <c r="L435" i="20" s="1"/>
  <c r="N434" i="20"/>
  <c r="O434" i="20" s="1"/>
  <c r="M434" i="20"/>
  <c r="I434" i="20"/>
  <c r="H434" i="20"/>
  <c r="G434" i="20"/>
  <c r="F434" i="20"/>
  <c r="E434" i="20"/>
  <c r="L434" i="20" s="1"/>
  <c r="N432" i="20"/>
  <c r="O432" i="20" s="1"/>
  <c r="M432" i="20"/>
  <c r="I432" i="20"/>
  <c r="H432" i="20"/>
  <c r="G432" i="20"/>
  <c r="F432" i="20"/>
  <c r="E432" i="20"/>
  <c r="L432" i="20" s="1"/>
  <c r="N431" i="20"/>
  <c r="O431" i="20" s="1"/>
  <c r="M431" i="20"/>
  <c r="I431" i="20"/>
  <c r="H431" i="20"/>
  <c r="G431" i="20"/>
  <c r="F431" i="20"/>
  <c r="E431" i="20"/>
  <c r="L431" i="20" s="1"/>
  <c r="N430" i="20"/>
  <c r="O430" i="20" s="1"/>
  <c r="M430" i="20"/>
  <c r="I430" i="20"/>
  <c r="H430" i="20"/>
  <c r="G430" i="20"/>
  <c r="F430" i="20"/>
  <c r="E430" i="20"/>
  <c r="L430" i="20" s="1"/>
  <c r="N429" i="20"/>
  <c r="O429" i="20" s="1"/>
  <c r="M429" i="20"/>
  <c r="I429" i="20"/>
  <c r="H429" i="20"/>
  <c r="G429" i="20"/>
  <c r="F429" i="20"/>
  <c r="E429" i="20"/>
  <c r="L429" i="20" s="1"/>
  <c r="N427" i="20"/>
  <c r="O427" i="20" s="1"/>
  <c r="M427" i="20"/>
  <c r="I427" i="20"/>
  <c r="H427" i="20"/>
  <c r="G427" i="20"/>
  <c r="F427" i="20"/>
  <c r="E427" i="20"/>
  <c r="L427" i="20" s="1"/>
  <c r="N426" i="20"/>
  <c r="O426" i="20" s="1"/>
  <c r="M426" i="20"/>
  <c r="I426" i="20"/>
  <c r="H426" i="20"/>
  <c r="G426" i="20"/>
  <c r="F426" i="20"/>
  <c r="E426" i="20"/>
  <c r="L426" i="20" s="1"/>
  <c r="N425" i="20"/>
  <c r="O425" i="20" s="1"/>
  <c r="M425" i="20"/>
  <c r="I425" i="20"/>
  <c r="H425" i="20"/>
  <c r="G425" i="20"/>
  <c r="F425" i="20"/>
  <c r="E425" i="20"/>
  <c r="L425" i="20" s="1"/>
  <c r="N424" i="20"/>
  <c r="O424" i="20" s="1"/>
  <c r="M424" i="20"/>
  <c r="I424" i="20"/>
  <c r="H424" i="20"/>
  <c r="G424" i="20"/>
  <c r="F424" i="20"/>
  <c r="E424" i="20"/>
  <c r="L424" i="20" s="1"/>
  <c r="N423" i="20"/>
  <c r="O423" i="20" s="1"/>
  <c r="M423" i="20"/>
  <c r="I423" i="20"/>
  <c r="H423" i="20"/>
  <c r="G423" i="20"/>
  <c r="F423" i="20"/>
  <c r="E423" i="20"/>
  <c r="L423" i="20" s="1"/>
  <c r="N422" i="20"/>
  <c r="O422" i="20" s="1"/>
  <c r="M422" i="20"/>
  <c r="I422" i="20"/>
  <c r="H422" i="20"/>
  <c r="G422" i="20"/>
  <c r="F422" i="20"/>
  <c r="E422" i="20"/>
  <c r="L422" i="20" s="1"/>
  <c r="N421" i="20"/>
  <c r="O421" i="20" s="1"/>
  <c r="M421" i="20"/>
  <c r="I421" i="20"/>
  <c r="H421" i="20"/>
  <c r="G421" i="20"/>
  <c r="F421" i="20"/>
  <c r="E421" i="20"/>
  <c r="L421" i="20" s="1"/>
  <c r="N419" i="20"/>
  <c r="O419" i="20" s="1"/>
  <c r="M419" i="20"/>
  <c r="I419" i="20"/>
  <c r="H419" i="20"/>
  <c r="G419" i="20"/>
  <c r="F419" i="20"/>
  <c r="E419" i="20"/>
  <c r="L419" i="20" s="1"/>
  <c r="N418" i="20"/>
  <c r="O418" i="20" s="1"/>
  <c r="M418" i="20"/>
  <c r="I418" i="20"/>
  <c r="H418" i="20"/>
  <c r="G418" i="20"/>
  <c r="F418" i="20"/>
  <c r="E418" i="20"/>
  <c r="L418" i="20" s="1"/>
  <c r="N417" i="20"/>
  <c r="O417" i="20" s="1"/>
  <c r="M417" i="20"/>
  <c r="I417" i="20"/>
  <c r="H417" i="20"/>
  <c r="G417" i="20"/>
  <c r="F417" i="20"/>
  <c r="E417" i="20"/>
  <c r="L417" i="20" s="1"/>
  <c r="N416" i="20"/>
  <c r="O416" i="20" s="1"/>
  <c r="M416" i="20"/>
  <c r="I416" i="20"/>
  <c r="H416" i="20"/>
  <c r="G416" i="20"/>
  <c r="F416" i="20"/>
  <c r="E416" i="20"/>
  <c r="L416" i="20" s="1"/>
  <c r="T418" i="20" s="1"/>
  <c r="N415" i="20"/>
  <c r="O415" i="20" s="1"/>
  <c r="M415" i="20"/>
  <c r="I415" i="20"/>
  <c r="H415" i="20"/>
  <c r="G415" i="20"/>
  <c r="F415" i="20"/>
  <c r="E415" i="20"/>
  <c r="L415" i="20" s="1"/>
  <c r="N414" i="20"/>
  <c r="O414" i="20" s="1"/>
  <c r="M414" i="20"/>
  <c r="I414" i="20"/>
  <c r="H414" i="20"/>
  <c r="G414" i="20"/>
  <c r="F414" i="20"/>
  <c r="E414" i="20"/>
  <c r="L414" i="20" s="1"/>
  <c r="N413" i="20"/>
  <c r="O413" i="20" s="1"/>
  <c r="M413" i="20"/>
  <c r="I413" i="20"/>
  <c r="H413" i="20"/>
  <c r="G413" i="20"/>
  <c r="F413" i="20"/>
  <c r="E413" i="20"/>
  <c r="L413" i="20" s="1"/>
  <c r="N412" i="20"/>
  <c r="O412" i="20" s="1"/>
  <c r="M412" i="20"/>
  <c r="I412" i="20"/>
  <c r="H412" i="20"/>
  <c r="G412" i="20"/>
  <c r="F412" i="20"/>
  <c r="E412" i="20"/>
  <c r="L412" i="20" s="1"/>
  <c r="N410" i="20"/>
  <c r="O410" i="20" s="1"/>
  <c r="M410" i="20"/>
  <c r="I410" i="20"/>
  <c r="H410" i="20"/>
  <c r="G410" i="20"/>
  <c r="F410" i="20"/>
  <c r="E410" i="20"/>
  <c r="L410" i="20" s="1"/>
  <c r="N409" i="20"/>
  <c r="O409" i="20" s="1"/>
  <c r="M409" i="20"/>
  <c r="I409" i="20"/>
  <c r="H409" i="20"/>
  <c r="G409" i="20"/>
  <c r="F409" i="20"/>
  <c r="E409" i="20"/>
  <c r="L409" i="20" s="1"/>
  <c r="N408" i="20"/>
  <c r="O408" i="20" s="1"/>
  <c r="M408" i="20"/>
  <c r="I408" i="20"/>
  <c r="H408" i="20"/>
  <c r="G408" i="20"/>
  <c r="F408" i="20"/>
  <c r="E408" i="20"/>
  <c r="L408" i="20" s="1"/>
  <c r="N406" i="20"/>
  <c r="O406" i="20" s="1"/>
  <c r="M406" i="20"/>
  <c r="I406" i="20"/>
  <c r="H406" i="20"/>
  <c r="G406" i="20"/>
  <c r="F406" i="20"/>
  <c r="E406" i="20"/>
  <c r="L406" i="20" s="1"/>
  <c r="N405" i="20"/>
  <c r="O405" i="20" s="1"/>
  <c r="M405" i="20"/>
  <c r="I405" i="20"/>
  <c r="H405" i="20"/>
  <c r="G405" i="20"/>
  <c r="F405" i="20"/>
  <c r="E405" i="20"/>
  <c r="L405" i="20" s="1"/>
  <c r="N404" i="20"/>
  <c r="O404" i="20" s="1"/>
  <c r="M404" i="20"/>
  <c r="I404" i="20"/>
  <c r="H404" i="20"/>
  <c r="G404" i="20"/>
  <c r="F404" i="20"/>
  <c r="E404" i="20"/>
  <c r="L404" i="20" s="1"/>
  <c r="N403" i="20"/>
  <c r="O403" i="20" s="1"/>
  <c r="M403" i="20"/>
  <c r="I403" i="20"/>
  <c r="H403" i="20"/>
  <c r="G403" i="20"/>
  <c r="F403" i="20"/>
  <c r="E403" i="20"/>
  <c r="L403" i="20" s="1"/>
  <c r="T402" i="20" s="1"/>
  <c r="T407" i="20" s="1"/>
  <c r="N402" i="20"/>
  <c r="O402" i="20" s="1"/>
  <c r="M402" i="20"/>
  <c r="I402" i="20"/>
  <c r="H402" i="20"/>
  <c r="G402" i="20"/>
  <c r="F402" i="20"/>
  <c r="E402" i="20"/>
  <c r="L402" i="20" s="1"/>
  <c r="N401" i="20"/>
  <c r="O401" i="20" s="1"/>
  <c r="M401" i="20"/>
  <c r="I401" i="20"/>
  <c r="H401" i="20"/>
  <c r="G401" i="20"/>
  <c r="F401" i="20"/>
  <c r="E401" i="20"/>
  <c r="L401" i="20" s="1"/>
  <c r="N400" i="20"/>
  <c r="O400" i="20" s="1"/>
  <c r="M400" i="20"/>
  <c r="I400" i="20"/>
  <c r="H400" i="20"/>
  <c r="G400" i="20"/>
  <c r="F400" i="20"/>
  <c r="E400" i="20"/>
  <c r="L400" i="20" s="1"/>
  <c r="N399" i="20"/>
  <c r="O399" i="20" s="1"/>
  <c r="M399" i="20"/>
  <c r="I399" i="20"/>
  <c r="H399" i="20"/>
  <c r="G399" i="20"/>
  <c r="F399" i="20"/>
  <c r="E399" i="20"/>
  <c r="L399" i="20" s="1"/>
  <c r="N397" i="20"/>
  <c r="O397" i="20" s="1"/>
  <c r="M397" i="20"/>
  <c r="I397" i="20"/>
  <c r="H397" i="20"/>
  <c r="G397" i="20"/>
  <c r="F397" i="20"/>
  <c r="E397" i="20"/>
  <c r="L397" i="20" s="1"/>
  <c r="N396" i="20"/>
  <c r="O396" i="20" s="1"/>
  <c r="M396" i="20"/>
  <c r="I396" i="20"/>
  <c r="H396" i="20"/>
  <c r="G396" i="20"/>
  <c r="F396" i="20"/>
  <c r="E396" i="20"/>
  <c r="L396" i="20" s="1"/>
  <c r="N395" i="20"/>
  <c r="O395" i="20" s="1"/>
  <c r="M395" i="20"/>
  <c r="I395" i="20"/>
  <c r="H395" i="20"/>
  <c r="G395" i="20"/>
  <c r="F395" i="20"/>
  <c r="E395" i="20"/>
  <c r="L395" i="20" s="1"/>
  <c r="N394" i="20"/>
  <c r="O394" i="20" s="1"/>
  <c r="M394" i="20"/>
  <c r="I394" i="20"/>
  <c r="H394" i="20"/>
  <c r="G394" i="20"/>
  <c r="F394" i="20"/>
  <c r="E394" i="20"/>
  <c r="L394" i="20" s="1"/>
  <c r="N392" i="20"/>
  <c r="O392" i="20" s="1"/>
  <c r="M392" i="20"/>
  <c r="I392" i="20"/>
  <c r="H392" i="20"/>
  <c r="G392" i="20"/>
  <c r="F392" i="20"/>
  <c r="E392" i="20"/>
  <c r="L392" i="20" s="1"/>
  <c r="N391" i="20"/>
  <c r="O391" i="20" s="1"/>
  <c r="M391" i="20"/>
  <c r="I391" i="20"/>
  <c r="H391" i="20"/>
  <c r="G391" i="20"/>
  <c r="F391" i="20"/>
  <c r="E391" i="20"/>
  <c r="L391" i="20" s="1"/>
  <c r="N390" i="20"/>
  <c r="O390" i="20" s="1"/>
  <c r="M390" i="20"/>
  <c r="I390" i="20"/>
  <c r="H390" i="20"/>
  <c r="G390" i="20"/>
  <c r="F390" i="20"/>
  <c r="E390" i="20"/>
  <c r="L390" i="20" s="1"/>
  <c r="N389" i="20"/>
  <c r="O389" i="20" s="1"/>
  <c r="M389" i="20"/>
  <c r="I389" i="20"/>
  <c r="H389" i="20"/>
  <c r="G389" i="20"/>
  <c r="F389" i="20"/>
  <c r="E389" i="20"/>
  <c r="L389" i="20" s="1"/>
  <c r="N388" i="20"/>
  <c r="O388" i="20" s="1"/>
  <c r="M388" i="20"/>
  <c r="I388" i="20"/>
  <c r="H388" i="20"/>
  <c r="G388" i="20"/>
  <c r="F388" i="20"/>
  <c r="E388" i="20"/>
  <c r="N466" i="4"/>
  <c r="AC480" i="20"/>
  <c r="AB480" i="20"/>
  <c r="AA480" i="20"/>
  <c r="Z480" i="20"/>
  <c r="Y480" i="20"/>
  <c r="X480" i="20"/>
  <c r="AC473" i="20"/>
  <c r="AB473" i="20"/>
  <c r="AA473" i="20"/>
  <c r="Z473" i="20"/>
  <c r="Y473" i="20"/>
  <c r="X473" i="20"/>
  <c r="W473" i="20"/>
  <c r="V473" i="20"/>
  <c r="U473" i="20"/>
  <c r="T473" i="20"/>
  <c r="AC466" i="20"/>
  <c r="AB466" i="20"/>
  <c r="AA466" i="20"/>
  <c r="Z466" i="20"/>
  <c r="Y466" i="20"/>
  <c r="X466" i="20"/>
  <c r="W466" i="20"/>
  <c r="V466" i="20"/>
  <c r="U466" i="20"/>
  <c r="T466" i="20"/>
  <c r="AC461" i="20"/>
  <c r="AB461" i="20"/>
  <c r="AA461" i="20"/>
  <c r="Z461" i="20"/>
  <c r="Y461" i="20"/>
  <c r="X461" i="20"/>
  <c r="AC452" i="20"/>
  <c r="AB452" i="20"/>
  <c r="AA452" i="20"/>
  <c r="W452" i="20"/>
  <c r="V452" i="20"/>
  <c r="U452" i="20"/>
  <c r="T452" i="20"/>
  <c r="AC442" i="20"/>
  <c r="AB442" i="20"/>
  <c r="AA442" i="20"/>
  <c r="W442" i="20"/>
  <c r="V442" i="20"/>
  <c r="U442" i="20"/>
  <c r="T442" i="20"/>
  <c r="AC438" i="20"/>
  <c r="AB438" i="20"/>
  <c r="AA438" i="20"/>
  <c r="Z438" i="20"/>
  <c r="Y438" i="20"/>
  <c r="X438" i="20"/>
  <c r="W438" i="20"/>
  <c r="V438" i="20"/>
  <c r="U438" i="20"/>
  <c r="T438" i="20"/>
  <c r="AC433" i="20"/>
  <c r="AB433" i="20"/>
  <c r="AA433" i="20"/>
  <c r="W433" i="20"/>
  <c r="V433" i="20"/>
  <c r="U433" i="20"/>
  <c r="T433" i="20"/>
  <c r="AC428" i="20"/>
  <c r="AB428" i="20"/>
  <c r="AA428" i="20"/>
  <c r="Z428" i="20"/>
  <c r="Y428" i="20"/>
  <c r="X428" i="20"/>
  <c r="W428" i="20"/>
  <c r="V428" i="20"/>
  <c r="U428" i="20"/>
  <c r="T428" i="20"/>
  <c r="AC420" i="20"/>
  <c r="AB420" i="20"/>
  <c r="AA420" i="20"/>
  <c r="AC411" i="20"/>
  <c r="AB411" i="20"/>
  <c r="AA411" i="20"/>
  <c r="W411" i="20"/>
  <c r="V411" i="20"/>
  <c r="U411" i="20"/>
  <c r="T411" i="20"/>
  <c r="AC407" i="20"/>
  <c r="AB407" i="20"/>
  <c r="AA407" i="20"/>
  <c r="AC398" i="20"/>
  <c r="AB398" i="20"/>
  <c r="AA398" i="20"/>
  <c r="W398" i="20"/>
  <c r="V398" i="20"/>
  <c r="U398" i="20"/>
  <c r="T398" i="20"/>
  <c r="AC393" i="20"/>
  <c r="AB393" i="20"/>
  <c r="AA393" i="20"/>
  <c r="W393" i="20"/>
  <c r="V393" i="20"/>
  <c r="U393" i="20"/>
  <c r="T393" i="20"/>
  <c r="AJ387" i="20"/>
  <c r="N379" i="20"/>
  <c r="O379" i="20" s="1"/>
  <c r="M379" i="20"/>
  <c r="I379" i="20"/>
  <c r="H379" i="20"/>
  <c r="G379" i="20"/>
  <c r="F379" i="20"/>
  <c r="E379" i="20"/>
  <c r="L379" i="20" s="1"/>
  <c r="N281" i="20"/>
  <c r="O281" i="20" s="1"/>
  <c r="M281" i="20"/>
  <c r="I281" i="20"/>
  <c r="H281" i="20"/>
  <c r="G281" i="20"/>
  <c r="F281" i="20"/>
  <c r="E281" i="20"/>
  <c r="L281" i="20" s="1"/>
  <c r="AR99" i="28"/>
  <c r="AA99" i="28"/>
  <c r="AB99" i="28"/>
  <c r="AS99" i="28" s="1"/>
  <c r="AC99" i="28"/>
  <c r="AT99" i="28" s="1"/>
  <c r="AD99" i="28"/>
  <c r="AU99" i="28" s="1"/>
  <c r="AE99" i="28"/>
  <c r="AV99" i="28" s="1"/>
  <c r="AF99" i="28"/>
  <c r="AW99" i="28" s="1"/>
  <c r="AG99" i="28"/>
  <c r="AX99" i="28" s="1"/>
  <c r="E99" i="28"/>
  <c r="F99" i="28"/>
  <c r="AS100" i="28"/>
  <c r="AA100" i="28"/>
  <c r="AR100" i="28" s="1"/>
  <c r="AB100" i="28"/>
  <c r="AC100" i="28"/>
  <c r="AT100" i="28" s="1"/>
  <c r="AD100" i="28"/>
  <c r="AU100" i="28" s="1"/>
  <c r="AE100" i="28"/>
  <c r="AV100" i="28" s="1"/>
  <c r="AF100" i="28"/>
  <c r="AW100" i="28" s="1"/>
  <c r="AG100" i="28"/>
  <c r="AX100" i="28" s="1"/>
  <c r="AA101" i="28"/>
  <c r="AR101" i="28" s="1"/>
  <c r="AB101" i="28"/>
  <c r="AS101" i="28" s="1"/>
  <c r="AC101" i="28"/>
  <c r="AT101" i="28" s="1"/>
  <c r="AD101" i="28"/>
  <c r="AU101" i="28" s="1"/>
  <c r="AE101" i="28"/>
  <c r="AV101" i="28" s="1"/>
  <c r="AF101" i="28"/>
  <c r="AW101" i="28" s="1"/>
  <c r="AG101" i="28"/>
  <c r="AX101" i="28" s="1"/>
  <c r="E100" i="28"/>
  <c r="F100" i="28"/>
  <c r="W100" i="28" s="1"/>
  <c r="G100" i="28"/>
  <c r="E101" i="28"/>
  <c r="F101" i="28"/>
  <c r="W101" i="28" s="1"/>
  <c r="AN101" i="28" s="1"/>
  <c r="G101" i="28"/>
  <c r="H380" i="20"/>
  <c r="H378" i="20"/>
  <c r="H377" i="20"/>
  <c r="H376" i="20"/>
  <c r="H375" i="20"/>
  <c r="H373" i="20"/>
  <c r="H372" i="20"/>
  <c r="H371" i="20"/>
  <c r="H370" i="20"/>
  <c r="H369" i="20"/>
  <c r="H368" i="20"/>
  <c r="H366" i="20"/>
  <c r="H365" i="20"/>
  <c r="H364" i="20"/>
  <c r="H363" i="20"/>
  <c r="H361" i="20"/>
  <c r="H360" i="20"/>
  <c r="H359" i="20"/>
  <c r="H358" i="20"/>
  <c r="H357" i="20"/>
  <c r="H356" i="20"/>
  <c r="H355" i="20"/>
  <c r="H354" i="20"/>
  <c r="H352" i="20"/>
  <c r="H351" i="20"/>
  <c r="H350" i="20"/>
  <c r="H349" i="20"/>
  <c r="H348" i="20"/>
  <c r="H347" i="20"/>
  <c r="H346" i="20"/>
  <c r="H345" i="20"/>
  <c r="H343" i="20"/>
  <c r="H342" i="20"/>
  <c r="H341" i="20"/>
  <c r="H339" i="20"/>
  <c r="H338" i="20"/>
  <c r="H337" i="20"/>
  <c r="H336" i="20"/>
  <c r="H334" i="20"/>
  <c r="H333" i="20"/>
  <c r="H332" i="20"/>
  <c r="H331" i="20"/>
  <c r="H329" i="20"/>
  <c r="H328" i="20"/>
  <c r="H327" i="20"/>
  <c r="H326" i="20"/>
  <c r="H325" i="20"/>
  <c r="H324" i="20"/>
  <c r="H323" i="20"/>
  <c r="H321" i="20"/>
  <c r="H320" i="20"/>
  <c r="H319" i="20"/>
  <c r="H318" i="20"/>
  <c r="H317" i="20"/>
  <c r="H316" i="20"/>
  <c r="H315" i="20"/>
  <c r="H314" i="20"/>
  <c r="H312" i="20"/>
  <c r="H311" i="20"/>
  <c r="H310" i="20"/>
  <c r="H308" i="20"/>
  <c r="H307" i="20"/>
  <c r="H306" i="20"/>
  <c r="H305" i="20"/>
  <c r="H304" i="20"/>
  <c r="H303" i="20"/>
  <c r="H302" i="20"/>
  <c r="H301" i="20"/>
  <c r="H299" i="20"/>
  <c r="H298" i="20"/>
  <c r="H297" i="20"/>
  <c r="H296" i="20"/>
  <c r="H294" i="20"/>
  <c r="H293" i="20"/>
  <c r="H292" i="20"/>
  <c r="H291" i="20"/>
  <c r="H290" i="20"/>
  <c r="N380" i="20"/>
  <c r="O380" i="20" s="1"/>
  <c r="M380" i="20"/>
  <c r="I380" i="20"/>
  <c r="G380" i="20"/>
  <c r="F380" i="20"/>
  <c r="E380" i="20"/>
  <c r="L380" i="20" s="1"/>
  <c r="N378" i="20"/>
  <c r="O378" i="20" s="1"/>
  <c r="M378" i="20"/>
  <c r="I378" i="20"/>
  <c r="G378" i="20"/>
  <c r="F378" i="20"/>
  <c r="E378" i="20"/>
  <c r="L378" i="20" s="1"/>
  <c r="N377" i="20"/>
  <c r="O377" i="20" s="1"/>
  <c r="U378" i="20" s="1"/>
  <c r="M377" i="20"/>
  <c r="I377" i="20"/>
  <c r="G377" i="20"/>
  <c r="F377" i="20"/>
  <c r="E377" i="20"/>
  <c r="L377" i="20" s="1"/>
  <c r="N376" i="20"/>
  <c r="O376" i="20" s="1"/>
  <c r="M376" i="20"/>
  <c r="I376" i="20"/>
  <c r="G376" i="20"/>
  <c r="F376" i="20"/>
  <c r="E376" i="20"/>
  <c r="L376" i="20" s="1"/>
  <c r="N375" i="20"/>
  <c r="O375" i="20" s="1"/>
  <c r="M375" i="20"/>
  <c r="I375" i="20"/>
  <c r="G375" i="20"/>
  <c r="F375" i="20"/>
  <c r="E375" i="20"/>
  <c r="L375" i="20" s="1"/>
  <c r="N373" i="20"/>
  <c r="O373" i="20" s="1"/>
  <c r="M373" i="20"/>
  <c r="I373" i="20"/>
  <c r="G373" i="20"/>
  <c r="F373" i="20"/>
  <c r="E373" i="20"/>
  <c r="L373" i="20" s="1"/>
  <c r="N372" i="20"/>
  <c r="O372" i="20" s="1"/>
  <c r="M372" i="20"/>
  <c r="I372" i="20"/>
  <c r="G372" i="20"/>
  <c r="F372" i="20"/>
  <c r="E372" i="20"/>
  <c r="L372" i="20" s="1"/>
  <c r="N371" i="20"/>
  <c r="O371" i="20" s="1"/>
  <c r="M371" i="20"/>
  <c r="I371" i="20"/>
  <c r="G371" i="20"/>
  <c r="F371" i="20"/>
  <c r="E371" i="20"/>
  <c r="L371" i="20" s="1"/>
  <c r="N370" i="20"/>
  <c r="O370" i="20" s="1"/>
  <c r="M370" i="20"/>
  <c r="I370" i="20"/>
  <c r="G370" i="20"/>
  <c r="F370" i="20"/>
  <c r="E370" i="20"/>
  <c r="L370" i="20" s="1"/>
  <c r="N369" i="20"/>
  <c r="O369" i="20" s="1"/>
  <c r="M369" i="20"/>
  <c r="I369" i="20"/>
  <c r="G369" i="20"/>
  <c r="F369" i="20"/>
  <c r="E369" i="20"/>
  <c r="L369" i="20" s="1"/>
  <c r="N368" i="20"/>
  <c r="O368" i="20" s="1"/>
  <c r="M368" i="20"/>
  <c r="I368" i="20"/>
  <c r="G368" i="20"/>
  <c r="F368" i="20"/>
  <c r="E368" i="20"/>
  <c r="L368" i="20" s="1"/>
  <c r="N366" i="20"/>
  <c r="O366" i="20" s="1"/>
  <c r="M366" i="20"/>
  <c r="I366" i="20"/>
  <c r="G366" i="20"/>
  <c r="F366" i="20"/>
  <c r="E366" i="20"/>
  <c r="L366" i="20" s="1"/>
  <c r="N365" i="20"/>
  <c r="O365" i="20" s="1"/>
  <c r="M365" i="20"/>
  <c r="I365" i="20"/>
  <c r="G365" i="20"/>
  <c r="F365" i="20"/>
  <c r="E365" i="20"/>
  <c r="L365" i="20" s="1"/>
  <c r="T367" i="20" s="1"/>
  <c r="N364" i="20"/>
  <c r="O364" i="20" s="1"/>
  <c r="M364" i="20"/>
  <c r="I364" i="20"/>
  <c r="G364" i="20"/>
  <c r="F364" i="20"/>
  <c r="E364" i="20"/>
  <c r="L364" i="20" s="1"/>
  <c r="N363" i="20"/>
  <c r="O363" i="20" s="1"/>
  <c r="M363" i="20"/>
  <c r="I363" i="20"/>
  <c r="G363" i="20"/>
  <c r="F363" i="20"/>
  <c r="E363" i="20"/>
  <c r="L363" i="20" s="1"/>
  <c r="N361" i="20"/>
  <c r="O361" i="20" s="1"/>
  <c r="M361" i="20"/>
  <c r="I361" i="20"/>
  <c r="G361" i="20"/>
  <c r="F361" i="20"/>
  <c r="E361" i="20"/>
  <c r="L361" i="20" s="1"/>
  <c r="N360" i="20"/>
  <c r="O360" i="20" s="1"/>
  <c r="M360" i="20"/>
  <c r="I360" i="20"/>
  <c r="G360" i="20"/>
  <c r="F360" i="20"/>
  <c r="E360" i="20"/>
  <c r="L360" i="20" s="1"/>
  <c r="N359" i="20"/>
  <c r="O359" i="20" s="1"/>
  <c r="M359" i="20"/>
  <c r="I359" i="20"/>
  <c r="G359" i="20"/>
  <c r="F359" i="20"/>
  <c r="E359" i="20"/>
  <c r="L359" i="20" s="1"/>
  <c r="N358" i="20"/>
  <c r="O358" i="20" s="1"/>
  <c r="M358" i="20"/>
  <c r="I358" i="20"/>
  <c r="G358" i="20"/>
  <c r="F358" i="20"/>
  <c r="E358" i="20"/>
  <c r="L358" i="20" s="1"/>
  <c r="N357" i="20"/>
  <c r="O357" i="20" s="1"/>
  <c r="M357" i="20"/>
  <c r="I357" i="20"/>
  <c r="G357" i="20"/>
  <c r="F357" i="20"/>
  <c r="E357" i="20"/>
  <c r="L357" i="20" s="1"/>
  <c r="N356" i="20"/>
  <c r="O356" i="20" s="1"/>
  <c r="M356" i="20"/>
  <c r="I356" i="20"/>
  <c r="G356" i="20"/>
  <c r="F356" i="20"/>
  <c r="E356" i="20"/>
  <c r="L356" i="20" s="1"/>
  <c r="T358" i="20" s="1"/>
  <c r="T362" i="20" s="1"/>
  <c r="N355" i="20"/>
  <c r="O355" i="20" s="1"/>
  <c r="M355" i="20"/>
  <c r="I355" i="20"/>
  <c r="G355" i="20"/>
  <c r="F355" i="20"/>
  <c r="E355" i="20"/>
  <c r="L355" i="20" s="1"/>
  <c r="N354" i="20"/>
  <c r="O354" i="20" s="1"/>
  <c r="M354" i="20"/>
  <c r="I354" i="20"/>
  <c r="G354" i="20"/>
  <c r="F354" i="20"/>
  <c r="E354" i="20"/>
  <c r="L354" i="20" s="1"/>
  <c r="N352" i="20"/>
  <c r="O352" i="20" s="1"/>
  <c r="M352" i="20"/>
  <c r="I352" i="20"/>
  <c r="G352" i="20"/>
  <c r="F352" i="20"/>
  <c r="E352" i="20"/>
  <c r="L352" i="20" s="1"/>
  <c r="N351" i="20"/>
  <c r="O351" i="20" s="1"/>
  <c r="M351" i="20"/>
  <c r="I351" i="20"/>
  <c r="G351" i="20"/>
  <c r="F351" i="20"/>
  <c r="E351" i="20"/>
  <c r="L351" i="20" s="1"/>
  <c r="N350" i="20"/>
  <c r="O350" i="20" s="1"/>
  <c r="M350" i="20"/>
  <c r="I350" i="20"/>
  <c r="G350" i="20"/>
  <c r="F350" i="20"/>
  <c r="E350" i="20"/>
  <c r="L350" i="20" s="1"/>
  <c r="N349" i="20"/>
  <c r="O349" i="20" s="1"/>
  <c r="M349" i="20"/>
  <c r="I349" i="20"/>
  <c r="G349" i="20"/>
  <c r="F349" i="20"/>
  <c r="E349" i="20"/>
  <c r="L349" i="20" s="1"/>
  <c r="N348" i="20"/>
  <c r="O348" i="20" s="1"/>
  <c r="M348" i="20"/>
  <c r="I348" i="20"/>
  <c r="G348" i="20"/>
  <c r="F348" i="20"/>
  <c r="E348" i="20"/>
  <c r="L348" i="20" s="1"/>
  <c r="N347" i="20"/>
  <c r="O347" i="20" s="1"/>
  <c r="M347" i="20"/>
  <c r="I347" i="20"/>
  <c r="G347" i="20"/>
  <c r="F347" i="20"/>
  <c r="E347" i="20"/>
  <c r="L347" i="20" s="1"/>
  <c r="N346" i="20"/>
  <c r="O346" i="20" s="1"/>
  <c r="M346" i="20"/>
  <c r="I346" i="20"/>
  <c r="G346" i="20"/>
  <c r="F346" i="20"/>
  <c r="E346" i="20"/>
  <c r="L346" i="20" s="1"/>
  <c r="N345" i="20"/>
  <c r="O345" i="20" s="1"/>
  <c r="M345" i="20"/>
  <c r="I345" i="20"/>
  <c r="G345" i="20"/>
  <c r="F345" i="20"/>
  <c r="E345" i="20"/>
  <c r="L345" i="20" s="1"/>
  <c r="N343" i="20"/>
  <c r="O343" i="20" s="1"/>
  <c r="M343" i="20"/>
  <c r="I343" i="20"/>
  <c r="G343" i="20"/>
  <c r="F343" i="20"/>
  <c r="E343" i="20"/>
  <c r="L343" i="20" s="1"/>
  <c r="N342" i="20"/>
  <c r="O342" i="20" s="1"/>
  <c r="M342" i="20"/>
  <c r="I342" i="20"/>
  <c r="G342" i="20"/>
  <c r="F342" i="20"/>
  <c r="E342" i="20"/>
  <c r="L342" i="20" s="1"/>
  <c r="N341" i="20"/>
  <c r="O341" i="20" s="1"/>
  <c r="M341" i="20"/>
  <c r="I341" i="20"/>
  <c r="G341" i="20"/>
  <c r="F341" i="20"/>
  <c r="E341" i="20"/>
  <c r="L341" i="20" s="1"/>
  <c r="N339" i="20"/>
  <c r="O339" i="20" s="1"/>
  <c r="M339" i="20"/>
  <c r="I339" i="20"/>
  <c r="G339" i="20"/>
  <c r="F339" i="20"/>
  <c r="E339" i="20"/>
  <c r="L339" i="20" s="1"/>
  <c r="N338" i="20"/>
  <c r="O338" i="20" s="1"/>
  <c r="M338" i="20"/>
  <c r="I338" i="20"/>
  <c r="G338" i="20"/>
  <c r="F338" i="20"/>
  <c r="E338" i="20"/>
  <c r="L338" i="20" s="1"/>
  <c r="N337" i="20"/>
  <c r="O337" i="20" s="1"/>
  <c r="M337" i="20"/>
  <c r="I337" i="20"/>
  <c r="G337" i="20"/>
  <c r="F337" i="20"/>
  <c r="E337" i="20"/>
  <c r="L337" i="20" s="1"/>
  <c r="N336" i="20"/>
  <c r="O336" i="20" s="1"/>
  <c r="M336" i="20"/>
  <c r="I336" i="20"/>
  <c r="G336" i="20"/>
  <c r="F336" i="20"/>
  <c r="E336" i="20"/>
  <c r="L336" i="20" s="1"/>
  <c r="N334" i="20"/>
  <c r="O334" i="20" s="1"/>
  <c r="M334" i="20"/>
  <c r="I334" i="20"/>
  <c r="G334" i="20"/>
  <c r="F334" i="20"/>
  <c r="E334" i="20"/>
  <c r="L334" i="20" s="1"/>
  <c r="N333" i="20"/>
  <c r="O333" i="20" s="1"/>
  <c r="M333" i="20"/>
  <c r="I333" i="20"/>
  <c r="G333" i="20"/>
  <c r="F333" i="20"/>
  <c r="E333" i="20"/>
  <c r="L333" i="20" s="1"/>
  <c r="N332" i="20"/>
  <c r="O332" i="20" s="1"/>
  <c r="M332" i="20"/>
  <c r="I332" i="20"/>
  <c r="G332" i="20"/>
  <c r="F332" i="20"/>
  <c r="E332" i="20"/>
  <c r="L332" i="20" s="1"/>
  <c r="N331" i="20"/>
  <c r="O331" i="20" s="1"/>
  <c r="M331" i="20"/>
  <c r="I331" i="20"/>
  <c r="G331" i="20"/>
  <c r="F331" i="20"/>
  <c r="E331" i="20"/>
  <c r="L331" i="20" s="1"/>
  <c r="N329" i="20"/>
  <c r="O329" i="20" s="1"/>
  <c r="M329" i="20"/>
  <c r="I329" i="20"/>
  <c r="G329" i="20"/>
  <c r="F329" i="20"/>
  <c r="E329" i="20"/>
  <c r="L329" i="20" s="1"/>
  <c r="N328" i="20"/>
  <c r="O328" i="20" s="1"/>
  <c r="M328" i="20"/>
  <c r="I328" i="20"/>
  <c r="G328" i="20"/>
  <c r="F328" i="20"/>
  <c r="E328" i="20"/>
  <c r="L328" i="20" s="1"/>
  <c r="N327" i="20"/>
  <c r="O327" i="20" s="1"/>
  <c r="M327" i="20"/>
  <c r="I327" i="20"/>
  <c r="G327" i="20"/>
  <c r="F327" i="20"/>
  <c r="E327" i="20"/>
  <c r="L327" i="20" s="1"/>
  <c r="N326" i="20"/>
  <c r="O326" i="20" s="1"/>
  <c r="M326" i="20"/>
  <c r="I326" i="20"/>
  <c r="G326" i="20"/>
  <c r="F326" i="20"/>
  <c r="E326" i="20"/>
  <c r="L326" i="20" s="1"/>
  <c r="N325" i="20"/>
  <c r="O325" i="20" s="1"/>
  <c r="M325" i="20"/>
  <c r="I325" i="20"/>
  <c r="G325" i="20"/>
  <c r="F325" i="20"/>
  <c r="E325" i="20"/>
  <c r="L325" i="20" s="1"/>
  <c r="N324" i="20"/>
  <c r="O324" i="20" s="1"/>
  <c r="M324" i="20"/>
  <c r="I324" i="20"/>
  <c r="G324" i="20"/>
  <c r="F324" i="20"/>
  <c r="E324" i="20"/>
  <c r="L324" i="20" s="1"/>
  <c r="N323" i="20"/>
  <c r="O323" i="20" s="1"/>
  <c r="M323" i="20"/>
  <c r="I323" i="20"/>
  <c r="G323" i="20"/>
  <c r="F323" i="20"/>
  <c r="E323" i="20"/>
  <c r="L323" i="20" s="1"/>
  <c r="N321" i="20"/>
  <c r="O321" i="20" s="1"/>
  <c r="M321" i="20"/>
  <c r="I321" i="20"/>
  <c r="G321" i="20"/>
  <c r="F321" i="20"/>
  <c r="E321" i="20"/>
  <c r="L321" i="20" s="1"/>
  <c r="N320" i="20"/>
  <c r="O320" i="20" s="1"/>
  <c r="M320" i="20"/>
  <c r="I320" i="20"/>
  <c r="G320" i="20"/>
  <c r="F320" i="20"/>
  <c r="E320" i="20"/>
  <c r="L320" i="20" s="1"/>
  <c r="N319" i="20"/>
  <c r="O319" i="20" s="1"/>
  <c r="M319" i="20"/>
  <c r="I319" i="20"/>
  <c r="G319" i="20"/>
  <c r="F319" i="20"/>
  <c r="E319" i="20"/>
  <c r="L319" i="20" s="1"/>
  <c r="N318" i="20"/>
  <c r="O318" i="20" s="1"/>
  <c r="U320" i="20" s="1"/>
  <c r="M318" i="20"/>
  <c r="I318" i="20"/>
  <c r="G318" i="20"/>
  <c r="F318" i="20"/>
  <c r="E318" i="20"/>
  <c r="L318" i="20" s="1"/>
  <c r="N317" i="20"/>
  <c r="O317" i="20" s="1"/>
  <c r="M317" i="20"/>
  <c r="I317" i="20"/>
  <c r="G317" i="20"/>
  <c r="F317" i="20"/>
  <c r="E317" i="20"/>
  <c r="L317" i="20" s="1"/>
  <c r="N316" i="20"/>
  <c r="O316" i="20" s="1"/>
  <c r="M316" i="20"/>
  <c r="I316" i="20"/>
  <c r="G316" i="20"/>
  <c r="F316" i="20"/>
  <c r="E316" i="20"/>
  <c r="L316" i="20" s="1"/>
  <c r="N315" i="20"/>
  <c r="O315" i="20" s="1"/>
  <c r="M315" i="20"/>
  <c r="I315" i="20"/>
  <c r="G315" i="20"/>
  <c r="F315" i="20"/>
  <c r="E315" i="20"/>
  <c r="L315" i="20" s="1"/>
  <c r="N314" i="20"/>
  <c r="O314" i="20" s="1"/>
  <c r="M314" i="20"/>
  <c r="I314" i="20"/>
  <c r="G314" i="20"/>
  <c r="F314" i="20"/>
  <c r="E314" i="20"/>
  <c r="L314" i="20" s="1"/>
  <c r="N312" i="20"/>
  <c r="O312" i="20" s="1"/>
  <c r="M312" i="20"/>
  <c r="I312" i="20"/>
  <c r="G312" i="20"/>
  <c r="F312" i="20"/>
  <c r="E312" i="20"/>
  <c r="L312" i="20" s="1"/>
  <c r="N311" i="20"/>
  <c r="O311" i="20" s="1"/>
  <c r="M311" i="20"/>
  <c r="I311" i="20"/>
  <c r="G311" i="20"/>
  <c r="F311" i="20"/>
  <c r="E311" i="20"/>
  <c r="L311" i="20" s="1"/>
  <c r="N310" i="20"/>
  <c r="O310" i="20" s="1"/>
  <c r="M310" i="20"/>
  <c r="I310" i="20"/>
  <c r="G310" i="20"/>
  <c r="F310" i="20"/>
  <c r="E310" i="20"/>
  <c r="L310" i="20" s="1"/>
  <c r="N308" i="20"/>
  <c r="O308" i="20" s="1"/>
  <c r="M308" i="20"/>
  <c r="I308" i="20"/>
  <c r="G308" i="20"/>
  <c r="F308" i="20"/>
  <c r="E308" i="20"/>
  <c r="L308" i="20" s="1"/>
  <c r="N307" i="20"/>
  <c r="O307" i="20" s="1"/>
  <c r="M307" i="20"/>
  <c r="I307" i="20"/>
  <c r="G307" i="20"/>
  <c r="F307" i="20"/>
  <c r="E307" i="20"/>
  <c r="L307" i="20" s="1"/>
  <c r="N306" i="20"/>
  <c r="O306" i="20" s="1"/>
  <c r="M306" i="20"/>
  <c r="I306" i="20"/>
  <c r="G306" i="20"/>
  <c r="F306" i="20"/>
  <c r="E306" i="20"/>
  <c r="L306" i="20" s="1"/>
  <c r="N305" i="20"/>
  <c r="O305" i="20" s="1"/>
  <c r="M305" i="20"/>
  <c r="I305" i="20"/>
  <c r="G305" i="20"/>
  <c r="F305" i="20"/>
  <c r="E305" i="20"/>
  <c r="L305" i="20" s="1"/>
  <c r="T304" i="20" s="1"/>
  <c r="T309" i="20" s="1"/>
  <c r="N304" i="20"/>
  <c r="O304" i="20" s="1"/>
  <c r="M304" i="20"/>
  <c r="I304" i="20"/>
  <c r="G304" i="20"/>
  <c r="F304" i="20"/>
  <c r="E304" i="20"/>
  <c r="L304" i="20" s="1"/>
  <c r="N303" i="20"/>
  <c r="O303" i="20" s="1"/>
  <c r="M303" i="20"/>
  <c r="I303" i="20"/>
  <c r="G303" i="20"/>
  <c r="F303" i="20"/>
  <c r="E303" i="20"/>
  <c r="L303" i="20" s="1"/>
  <c r="N302" i="20"/>
  <c r="O302" i="20" s="1"/>
  <c r="M302" i="20"/>
  <c r="I302" i="20"/>
  <c r="G302" i="20"/>
  <c r="F302" i="20"/>
  <c r="E302" i="20"/>
  <c r="L302" i="20" s="1"/>
  <c r="N301" i="20"/>
  <c r="O301" i="20" s="1"/>
  <c r="M301" i="20"/>
  <c r="I301" i="20"/>
  <c r="G301" i="20"/>
  <c r="F301" i="20"/>
  <c r="E301" i="20"/>
  <c r="L301" i="20" s="1"/>
  <c r="N299" i="20"/>
  <c r="O299" i="20" s="1"/>
  <c r="M299" i="20"/>
  <c r="I299" i="20"/>
  <c r="G299" i="20"/>
  <c r="F299" i="20"/>
  <c r="E299" i="20"/>
  <c r="L299" i="20" s="1"/>
  <c r="N298" i="20"/>
  <c r="O298" i="20" s="1"/>
  <c r="M298" i="20"/>
  <c r="I298" i="20"/>
  <c r="G298" i="20"/>
  <c r="F298" i="20"/>
  <c r="E298" i="20"/>
  <c r="L298" i="20" s="1"/>
  <c r="N297" i="20"/>
  <c r="O297" i="20" s="1"/>
  <c r="M297" i="20"/>
  <c r="I297" i="20"/>
  <c r="G297" i="20"/>
  <c r="F297" i="20"/>
  <c r="E297" i="20"/>
  <c r="L297" i="20" s="1"/>
  <c r="N296" i="20"/>
  <c r="O296" i="20" s="1"/>
  <c r="M296" i="20"/>
  <c r="I296" i="20"/>
  <c r="G296" i="20"/>
  <c r="F296" i="20"/>
  <c r="E296" i="20"/>
  <c r="L296" i="20" s="1"/>
  <c r="N294" i="20"/>
  <c r="O294" i="20" s="1"/>
  <c r="M294" i="20"/>
  <c r="I294" i="20"/>
  <c r="G294" i="20"/>
  <c r="F294" i="20"/>
  <c r="E294" i="20"/>
  <c r="L294" i="20" s="1"/>
  <c r="N293" i="20"/>
  <c r="O293" i="20" s="1"/>
  <c r="M293" i="20"/>
  <c r="I293" i="20"/>
  <c r="G293" i="20"/>
  <c r="F293" i="20"/>
  <c r="E293" i="20"/>
  <c r="L293" i="20" s="1"/>
  <c r="N292" i="20"/>
  <c r="O292" i="20" s="1"/>
  <c r="M292" i="20"/>
  <c r="I292" i="20"/>
  <c r="G292" i="20"/>
  <c r="F292" i="20"/>
  <c r="E292" i="20"/>
  <c r="L292" i="20" s="1"/>
  <c r="N291" i="20"/>
  <c r="O291" i="20" s="1"/>
  <c r="M291" i="20"/>
  <c r="I291" i="20"/>
  <c r="G291" i="20"/>
  <c r="F291" i="20"/>
  <c r="E291" i="20"/>
  <c r="L291" i="20" s="1"/>
  <c r="N290" i="20"/>
  <c r="O290" i="20" s="1"/>
  <c r="M290" i="20"/>
  <c r="I290" i="20"/>
  <c r="G290" i="20"/>
  <c r="F290" i="20"/>
  <c r="E290" i="20"/>
  <c r="AC381" i="20"/>
  <c r="AB381" i="20"/>
  <c r="AA381" i="20"/>
  <c r="Z381" i="20"/>
  <c r="Y381" i="20"/>
  <c r="X381" i="20"/>
  <c r="AC374" i="20"/>
  <c r="AB374" i="20"/>
  <c r="AA374" i="20"/>
  <c r="Z374" i="20"/>
  <c r="Y374" i="20"/>
  <c r="X374" i="20"/>
  <c r="W374" i="20"/>
  <c r="V374" i="20"/>
  <c r="U374" i="20"/>
  <c r="T374" i="20"/>
  <c r="AC367" i="20"/>
  <c r="AB367" i="20"/>
  <c r="AA367" i="20"/>
  <c r="Z367" i="20"/>
  <c r="Y367" i="20"/>
  <c r="X367" i="20"/>
  <c r="AC362" i="20"/>
  <c r="AB362" i="20"/>
  <c r="AA362" i="20"/>
  <c r="Z362" i="20"/>
  <c r="Y362" i="20"/>
  <c r="X362" i="20"/>
  <c r="AC353" i="20"/>
  <c r="AB353" i="20"/>
  <c r="AA353" i="20"/>
  <c r="W353" i="20"/>
  <c r="V353" i="20"/>
  <c r="U353" i="20"/>
  <c r="T353" i="20"/>
  <c r="AC344" i="20"/>
  <c r="AB344" i="20"/>
  <c r="AA344" i="20"/>
  <c r="W344" i="20"/>
  <c r="V344" i="20"/>
  <c r="U344" i="20"/>
  <c r="T344" i="20"/>
  <c r="AC340" i="20"/>
  <c r="AB340" i="20"/>
  <c r="AA340" i="20"/>
  <c r="Z340" i="20"/>
  <c r="Y340" i="20"/>
  <c r="X340" i="20"/>
  <c r="W340" i="20"/>
  <c r="V340" i="20"/>
  <c r="U340" i="20"/>
  <c r="T340" i="20"/>
  <c r="AC335" i="20"/>
  <c r="AB335" i="20"/>
  <c r="AA335" i="20"/>
  <c r="W335" i="20"/>
  <c r="V335" i="20"/>
  <c r="U335" i="20"/>
  <c r="T335" i="20"/>
  <c r="AC330" i="20"/>
  <c r="AB330" i="20"/>
  <c r="AA330" i="20"/>
  <c r="Z330" i="20"/>
  <c r="Y330" i="20"/>
  <c r="X330" i="20"/>
  <c r="W330" i="20"/>
  <c r="V330" i="20"/>
  <c r="U330" i="20"/>
  <c r="T330" i="20"/>
  <c r="AC322" i="20"/>
  <c r="AB322" i="20"/>
  <c r="AA322" i="20"/>
  <c r="AC313" i="20"/>
  <c r="AB313" i="20"/>
  <c r="AA313" i="20"/>
  <c r="W313" i="20"/>
  <c r="V313" i="20"/>
  <c r="U313" i="20"/>
  <c r="T313" i="20"/>
  <c r="AC309" i="20"/>
  <c r="AB309" i="20"/>
  <c r="AA309" i="20"/>
  <c r="AC300" i="20"/>
  <c r="AB300" i="20"/>
  <c r="AA300" i="20"/>
  <c r="W300" i="20"/>
  <c r="V300" i="20"/>
  <c r="U300" i="20"/>
  <c r="T300" i="20"/>
  <c r="AC295" i="20"/>
  <c r="AB295" i="20"/>
  <c r="AA295" i="20"/>
  <c r="W295" i="20"/>
  <c r="V295" i="20"/>
  <c r="U295" i="20"/>
  <c r="T295" i="20"/>
  <c r="AJ289" i="20"/>
  <c r="A110" i="6"/>
  <c r="D110" i="6" s="1"/>
  <c r="A102" i="6"/>
  <c r="D102" i="6" s="1"/>
  <c r="A94" i="6"/>
  <c r="D94" i="6" s="1"/>
  <c r="A86" i="6"/>
  <c r="A78" i="6"/>
  <c r="A70" i="6"/>
  <c r="A62" i="6"/>
  <c r="A54" i="6"/>
  <c r="A46" i="6"/>
  <c r="A38" i="6"/>
  <c r="A29" i="6"/>
  <c r="A21" i="6"/>
  <c r="A13" i="6"/>
  <c r="AL284" i="20"/>
  <c r="A5" i="6"/>
  <c r="N282" i="20"/>
  <c r="O282" i="20" s="1"/>
  <c r="M282" i="20"/>
  <c r="I282" i="20"/>
  <c r="H282" i="20"/>
  <c r="G282" i="20"/>
  <c r="F282" i="20"/>
  <c r="E282" i="20"/>
  <c r="L282" i="20" s="1"/>
  <c r="N280" i="20"/>
  <c r="O280" i="20" s="1"/>
  <c r="M280" i="20"/>
  <c r="I280" i="20"/>
  <c r="H280" i="20"/>
  <c r="G280" i="20"/>
  <c r="F280" i="20"/>
  <c r="E280" i="20"/>
  <c r="L280" i="20" s="1"/>
  <c r="N279" i="20"/>
  <c r="O279" i="20" s="1"/>
  <c r="M279" i="20"/>
  <c r="I279" i="20"/>
  <c r="H279" i="20"/>
  <c r="G279" i="20"/>
  <c r="F279" i="20"/>
  <c r="E279" i="20"/>
  <c r="L279" i="20" s="1"/>
  <c r="N278" i="20"/>
  <c r="O278" i="20" s="1"/>
  <c r="M278" i="20"/>
  <c r="I278" i="20"/>
  <c r="H278" i="20"/>
  <c r="G278" i="20"/>
  <c r="F278" i="20"/>
  <c r="E278" i="20"/>
  <c r="L278" i="20" s="1"/>
  <c r="N277" i="20"/>
  <c r="O277" i="20" s="1"/>
  <c r="M277" i="20"/>
  <c r="I277" i="20"/>
  <c r="H277" i="20"/>
  <c r="G277" i="20"/>
  <c r="F277" i="20"/>
  <c r="E277" i="20"/>
  <c r="L277" i="20" s="1"/>
  <c r="N275" i="20"/>
  <c r="O275" i="20" s="1"/>
  <c r="M275" i="20"/>
  <c r="I275" i="20"/>
  <c r="H275" i="20"/>
  <c r="G275" i="20"/>
  <c r="F275" i="20"/>
  <c r="E275" i="20"/>
  <c r="L275" i="20" s="1"/>
  <c r="N274" i="20"/>
  <c r="O274" i="20" s="1"/>
  <c r="M274" i="20"/>
  <c r="I274" i="20"/>
  <c r="H274" i="20"/>
  <c r="G274" i="20"/>
  <c r="F274" i="20"/>
  <c r="E274" i="20"/>
  <c r="L274" i="20" s="1"/>
  <c r="N273" i="20"/>
  <c r="O273" i="20" s="1"/>
  <c r="M273" i="20"/>
  <c r="I273" i="20"/>
  <c r="H273" i="20"/>
  <c r="G273" i="20"/>
  <c r="F273" i="20"/>
  <c r="E273" i="20"/>
  <c r="L273" i="20" s="1"/>
  <c r="N272" i="20"/>
  <c r="O272" i="20" s="1"/>
  <c r="M272" i="20"/>
  <c r="I272" i="20"/>
  <c r="H272" i="20"/>
  <c r="G272" i="20"/>
  <c r="F272" i="20"/>
  <c r="E272" i="20"/>
  <c r="L272" i="20" s="1"/>
  <c r="N271" i="20"/>
  <c r="O271" i="20" s="1"/>
  <c r="M271" i="20"/>
  <c r="I271" i="20"/>
  <c r="H271" i="20"/>
  <c r="G271" i="20"/>
  <c r="F271" i="20"/>
  <c r="E271" i="20"/>
  <c r="L271" i="20" s="1"/>
  <c r="N270" i="20"/>
  <c r="O270" i="20" s="1"/>
  <c r="M270" i="20"/>
  <c r="I270" i="20"/>
  <c r="H270" i="20"/>
  <c r="G270" i="20"/>
  <c r="F270" i="20"/>
  <c r="E270" i="20"/>
  <c r="L270" i="20" s="1"/>
  <c r="N268" i="20"/>
  <c r="O268" i="20" s="1"/>
  <c r="M268" i="20"/>
  <c r="I268" i="20"/>
  <c r="H268" i="20"/>
  <c r="G268" i="20"/>
  <c r="F268" i="20"/>
  <c r="E268" i="20"/>
  <c r="L268" i="20" s="1"/>
  <c r="N267" i="20"/>
  <c r="O267" i="20" s="1"/>
  <c r="M267" i="20"/>
  <c r="I267" i="20"/>
  <c r="H267" i="20"/>
  <c r="G267" i="20"/>
  <c r="F267" i="20"/>
  <c r="E267" i="20"/>
  <c r="L267" i="20" s="1"/>
  <c r="T269" i="20" s="1"/>
  <c r="N266" i="20"/>
  <c r="O266" i="20" s="1"/>
  <c r="M266" i="20"/>
  <c r="I266" i="20"/>
  <c r="H266" i="20"/>
  <c r="G266" i="20"/>
  <c r="F266" i="20"/>
  <c r="E266" i="20"/>
  <c r="L266" i="20" s="1"/>
  <c r="N265" i="20"/>
  <c r="O265" i="20" s="1"/>
  <c r="M265" i="20"/>
  <c r="I265" i="20"/>
  <c r="H265" i="20"/>
  <c r="G265" i="20"/>
  <c r="F265" i="20"/>
  <c r="E265" i="20"/>
  <c r="L265" i="20" s="1"/>
  <c r="N263" i="20"/>
  <c r="O263" i="20" s="1"/>
  <c r="M263" i="20"/>
  <c r="I263" i="20"/>
  <c r="H263" i="20"/>
  <c r="G263" i="20"/>
  <c r="F263" i="20"/>
  <c r="E263" i="20"/>
  <c r="L263" i="20" s="1"/>
  <c r="N262" i="20"/>
  <c r="O262" i="20" s="1"/>
  <c r="M262" i="20"/>
  <c r="I262" i="20"/>
  <c r="H262" i="20"/>
  <c r="G262" i="20"/>
  <c r="F262" i="20"/>
  <c r="E262" i="20"/>
  <c r="L262" i="20" s="1"/>
  <c r="N261" i="20"/>
  <c r="O261" i="20" s="1"/>
  <c r="M261" i="20"/>
  <c r="I261" i="20"/>
  <c r="H261" i="20"/>
  <c r="G261" i="20"/>
  <c r="F261" i="20"/>
  <c r="E261" i="20"/>
  <c r="L261" i="20" s="1"/>
  <c r="N260" i="20"/>
  <c r="O260" i="20" s="1"/>
  <c r="M260" i="20"/>
  <c r="I260" i="20"/>
  <c r="H260" i="20"/>
  <c r="G260" i="20"/>
  <c r="F260" i="20"/>
  <c r="E260" i="20"/>
  <c r="L260" i="20" s="1"/>
  <c r="N259" i="20"/>
  <c r="O259" i="20" s="1"/>
  <c r="M259" i="20"/>
  <c r="I259" i="20"/>
  <c r="H259" i="20"/>
  <c r="G259" i="20"/>
  <c r="F259" i="20"/>
  <c r="E259" i="20"/>
  <c r="L259" i="20" s="1"/>
  <c r="T261" i="20" s="1"/>
  <c r="T264" i="20" s="1"/>
  <c r="N258" i="20"/>
  <c r="O258" i="20" s="1"/>
  <c r="M258" i="20"/>
  <c r="I258" i="20"/>
  <c r="H258" i="20"/>
  <c r="G258" i="20"/>
  <c r="F258" i="20"/>
  <c r="E258" i="20"/>
  <c r="L258" i="20" s="1"/>
  <c r="N257" i="20"/>
  <c r="O257" i="20" s="1"/>
  <c r="M257" i="20"/>
  <c r="I257" i="20"/>
  <c r="H257" i="20"/>
  <c r="G257" i="20"/>
  <c r="F257" i="20"/>
  <c r="E257" i="20"/>
  <c r="L257" i="20" s="1"/>
  <c r="N255" i="20"/>
  <c r="O255" i="20" s="1"/>
  <c r="M255" i="20"/>
  <c r="I255" i="20"/>
  <c r="H255" i="20"/>
  <c r="G255" i="20"/>
  <c r="F255" i="20"/>
  <c r="E255" i="20"/>
  <c r="L255" i="20" s="1"/>
  <c r="N254" i="20"/>
  <c r="O254" i="20" s="1"/>
  <c r="M254" i="20"/>
  <c r="I254" i="20"/>
  <c r="H254" i="20"/>
  <c r="G254" i="20"/>
  <c r="F254" i="20"/>
  <c r="E254" i="20"/>
  <c r="L254" i="20" s="1"/>
  <c r="N253" i="20"/>
  <c r="O253" i="20" s="1"/>
  <c r="M253" i="20"/>
  <c r="I253" i="20"/>
  <c r="H253" i="20"/>
  <c r="G253" i="20"/>
  <c r="F253" i="20"/>
  <c r="E253" i="20"/>
  <c r="L253" i="20" s="1"/>
  <c r="N252" i="20"/>
  <c r="O252" i="20" s="1"/>
  <c r="M252" i="20"/>
  <c r="I252" i="20"/>
  <c r="H252" i="20"/>
  <c r="G252" i="20"/>
  <c r="F252" i="20"/>
  <c r="E252" i="20"/>
  <c r="L252" i="20" s="1"/>
  <c r="N251" i="20"/>
  <c r="O251" i="20" s="1"/>
  <c r="M251" i="20"/>
  <c r="I251" i="20"/>
  <c r="H251" i="20"/>
  <c r="G251" i="20"/>
  <c r="F251" i="20"/>
  <c r="E251" i="20"/>
  <c r="L251" i="20" s="1"/>
  <c r="N250" i="20"/>
  <c r="O250" i="20" s="1"/>
  <c r="M250" i="20"/>
  <c r="I250" i="20"/>
  <c r="H250" i="20"/>
  <c r="G250" i="20"/>
  <c r="F250" i="20"/>
  <c r="E250" i="20"/>
  <c r="L250" i="20" s="1"/>
  <c r="N249" i="20"/>
  <c r="O249" i="20" s="1"/>
  <c r="M249" i="20"/>
  <c r="I249" i="20"/>
  <c r="H249" i="20"/>
  <c r="G249" i="20"/>
  <c r="F249" i="20"/>
  <c r="E249" i="20"/>
  <c r="L249" i="20" s="1"/>
  <c r="N247" i="20"/>
  <c r="O247" i="20" s="1"/>
  <c r="M247" i="20"/>
  <c r="I247" i="20"/>
  <c r="H247" i="20"/>
  <c r="G247" i="20"/>
  <c r="E247" i="20"/>
  <c r="L247" i="20" s="1"/>
  <c r="N246" i="20"/>
  <c r="O246" i="20" s="1"/>
  <c r="M246" i="20"/>
  <c r="I246" i="20"/>
  <c r="H246" i="20"/>
  <c r="G246" i="20"/>
  <c r="E246" i="20"/>
  <c r="L246" i="20" s="1"/>
  <c r="N245" i="20"/>
  <c r="O245" i="20" s="1"/>
  <c r="M245" i="20"/>
  <c r="I245" i="20"/>
  <c r="H245" i="20"/>
  <c r="G245" i="20"/>
  <c r="E245" i="20"/>
  <c r="L245" i="20" s="1"/>
  <c r="N243" i="20"/>
  <c r="O243" i="20" s="1"/>
  <c r="M243" i="20"/>
  <c r="I243" i="20"/>
  <c r="H243" i="20"/>
  <c r="G243" i="20"/>
  <c r="E243" i="20"/>
  <c r="L243" i="20" s="1"/>
  <c r="N242" i="20"/>
  <c r="O242" i="20" s="1"/>
  <c r="M242" i="20"/>
  <c r="I242" i="20"/>
  <c r="H242" i="20"/>
  <c r="G242" i="20"/>
  <c r="E242" i="20"/>
  <c r="L242" i="20" s="1"/>
  <c r="N241" i="20"/>
  <c r="O241" i="20" s="1"/>
  <c r="M241" i="20"/>
  <c r="I241" i="20"/>
  <c r="H241" i="20"/>
  <c r="G241" i="20"/>
  <c r="E241" i="20"/>
  <c r="L241" i="20" s="1"/>
  <c r="N240" i="20"/>
  <c r="O240" i="20" s="1"/>
  <c r="M240" i="20"/>
  <c r="I240" i="20"/>
  <c r="H240" i="20"/>
  <c r="G240" i="20"/>
  <c r="E240" i="20"/>
  <c r="L240" i="20" s="1"/>
  <c r="N238" i="20"/>
  <c r="O238" i="20" s="1"/>
  <c r="M238" i="20"/>
  <c r="I238" i="20"/>
  <c r="H238" i="20"/>
  <c r="G238" i="20"/>
  <c r="E238" i="20"/>
  <c r="L238" i="20" s="1"/>
  <c r="N237" i="20"/>
  <c r="O237" i="20" s="1"/>
  <c r="M237" i="20"/>
  <c r="I237" i="20"/>
  <c r="H237" i="20"/>
  <c r="G237" i="20"/>
  <c r="E237" i="20"/>
  <c r="L237" i="20" s="1"/>
  <c r="N236" i="20"/>
  <c r="O236" i="20" s="1"/>
  <c r="M236" i="20"/>
  <c r="I236" i="20"/>
  <c r="H236" i="20"/>
  <c r="G236" i="20"/>
  <c r="E236" i="20"/>
  <c r="L236" i="20" s="1"/>
  <c r="N235" i="20"/>
  <c r="O235" i="20" s="1"/>
  <c r="M235" i="20"/>
  <c r="I235" i="20"/>
  <c r="H235" i="20"/>
  <c r="G235" i="20"/>
  <c r="E235" i="20"/>
  <c r="L235" i="20" s="1"/>
  <c r="N233" i="20"/>
  <c r="O233" i="20" s="1"/>
  <c r="M233" i="20"/>
  <c r="I233" i="20"/>
  <c r="H233" i="20"/>
  <c r="G233" i="20"/>
  <c r="E233" i="20"/>
  <c r="L233" i="20" s="1"/>
  <c r="N232" i="20"/>
  <c r="O232" i="20" s="1"/>
  <c r="M232" i="20"/>
  <c r="I232" i="20"/>
  <c r="H232" i="20"/>
  <c r="G232" i="20"/>
  <c r="E232" i="20"/>
  <c r="L232" i="20" s="1"/>
  <c r="N231" i="20"/>
  <c r="O231" i="20" s="1"/>
  <c r="M231" i="20"/>
  <c r="I231" i="20"/>
  <c r="H231" i="20"/>
  <c r="G231" i="20"/>
  <c r="E231" i="20"/>
  <c r="L231" i="20" s="1"/>
  <c r="N230" i="20"/>
  <c r="O230" i="20" s="1"/>
  <c r="M230" i="20"/>
  <c r="I230" i="20"/>
  <c r="H230" i="20"/>
  <c r="G230" i="20"/>
  <c r="E230" i="20"/>
  <c r="L230" i="20" s="1"/>
  <c r="N229" i="20"/>
  <c r="O229" i="20" s="1"/>
  <c r="M229" i="20"/>
  <c r="I229" i="20"/>
  <c r="H229" i="20"/>
  <c r="G229" i="20"/>
  <c r="E229" i="20"/>
  <c r="L229" i="20" s="1"/>
  <c r="N228" i="20"/>
  <c r="O228" i="20" s="1"/>
  <c r="M228" i="20"/>
  <c r="I228" i="20"/>
  <c r="H228" i="20"/>
  <c r="G228" i="20"/>
  <c r="E228" i="20"/>
  <c r="L228" i="20" s="1"/>
  <c r="N227" i="20"/>
  <c r="O227" i="20" s="1"/>
  <c r="M227" i="20"/>
  <c r="I227" i="20"/>
  <c r="H227" i="20"/>
  <c r="G227" i="20"/>
  <c r="E227" i="20"/>
  <c r="L227" i="20" s="1"/>
  <c r="N225" i="20"/>
  <c r="O225" i="20" s="1"/>
  <c r="M225" i="20"/>
  <c r="I225" i="20"/>
  <c r="H225" i="20"/>
  <c r="G225" i="20"/>
  <c r="E225" i="20"/>
  <c r="L225" i="20" s="1"/>
  <c r="N224" i="20"/>
  <c r="O224" i="20" s="1"/>
  <c r="M224" i="20"/>
  <c r="I224" i="20"/>
  <c r="H224" i="20"/>
  <c r="G224" i="20"/>
  <c r="E224" i="20"/>
  <c r="L224" i="20" s="1"/>
  <c r="N223" i="20"/>
  <c r="O223" i="20" s="1"/>
  <c r="M223" i="20"/>
  <c r="I223" i="20"/>
  <c r="H223" i="20"/>
  <c r="G223" i="20"/>
  <c r="E223" i="20"/>
  <c r="L223" i="20" s="1"/>
  <c r="N222" i="20"/>
  <c r="O222" i="20" s="1"/>
  <c r="M222" i="20"/>
  <c r="I222" i="20"/>
  <c r="H222" i="20"/>
  <c r="G222" i="20"/>
  <c r="E222" i="20"/>
  <c r="L222" i="20" s="1"/>
  <c r="T224" i="20" s="1"/>
  <c r="N221" i="20"/>
  <c r="O221" i="20" s="1"/>
  <c r="M221" i="20"/>
  <c r="I221" i="20"/>
  <c r="H221" i="20"/>
  <c r="G221" i="20"/>
  <c r="E221" i="20"/>
  <c r="L221" i="20" s="1"/>
  <c r="N220" i="20"/>
  <c r="O220" i="20" s="1"/>
  <c r="M220" i="20"/>
  <c r="I220" i="20"/>
  <c r="H220" i="20"/>
  <c r="G220" i="20"/>
  <c r="E220" i="20"/>
  <c r="L220" i="20" s="1"/>
  <c r="N219" i="20"/>
  <c r="O219" i="20" s="1"/>
  <c r="M219" i="20"/>
  <c r="I219" i="20"/>
  <c r="H219" i="20"/>
  <c r="G219" i="20"/>
  <c r="E219" i="20"/>
  <c r="L219" i="20" s="1"/>
  <c r="N218" i="20"/>
  <c r="O218" i="20" s="1"/>
  <c r="M218" i="20"/>
  <c r="I218" i="20"/>
  <c r="H218" i="20"/>
  <c r="G218" i="20"/>
  <c r="E218" i="20"/>
  <c r="L218" i="20" s="1"/>
  <c r="N216" i="20"/>
  <c r="O216" i="20" s="1"/>
  <c r="M216" i="20"/>
  <c r="I216" i="20"/>
  <c r="H216" i="20"/>
  <c r="G216" i="20"/>
  <c r="F216" i="20"/>
  <c r="E216" i="20"/>
  <c r="L216" i="20" s="1"/>
  <c r="N215" i="20"/>
  <c r="O215" i="20" s="1"/>
  <c r="M215" i="20"/>
  <c r="I215" i="20"/>
  <c r="H215" i="20"/>
  <c r="G215" i="20"/>
  <c r="F215" i="20"/>
  <c r="E215" i="20"/>
  <c r="L215" i="20" s="1"/>
  <c r="N214" i="20"/>
  <c r="O214" i="20" s="1"/>
  <c r="M214" i="20"/>
  <c r="I214" i="20"/>
  <c r="H214" i="20"/>
  <c r="G214" i="20"/>
  <c r="F214" i="20"/>
  <c r="E214" i="20"/>
  <c r="L214" i="20" s="1"/>
  <c r="N212" i="20"/>
  <c r="O212" i="20" s="1"/>
  <c r="M212" i="20"/>
  <c r="I212" i="20"/>
  <c r="H212" i="20"/>
  <c r="G212" i="20"/>
  <c r="F212" i="20"/>
  <c r="E212" i="20"/>
  <c r="L212" i="20" s="1"/>
  <c r="N211" i="20"/>
  <c r="O211" i="20" s="1"/>
  <c r="M211" i="20"/>
  <c r="I211" i="20"/>
  <c r="H211" i="20"/>
  <c r="G211" i="20"/>
  <c r="F211" i="20"/>
  <c r="E211" i="20"/>
  <c r="L211" i="20" s="1"/>
  <c r="N210" i="20"/>
  <c r="O210" i="20" s="1"/>
  <c r="M210" i="20"/>
  <c r="I210" i="20"/>
  <c r="H210" i="20"/>
  <c r="G210" i="20"/>
  <c r="F210" i="20"/>
  <c r="E210" i="20"/>
  <c r="L210" i="20" s="1"/>
  <c r="N209" i="20"/>
  <c r="O209" i="20" s="1"/>
  <c r="M209" i="20"/>
  <c r="I209" i="20"/>
  <c r="H209" i="20"/>
  <c r="G209" i="20"/>
  <c r="F209" i="20"/>
  <c r="E209" i="20"/>
  <c r="L209" i="20" s="1"/>
  <c r="T208" i="20" s="1"/>
  <c r="T213" i="20" s="1"/>
  <c r="N208" i="20"/>
  <c r="O208" i="20" s="1"/>
  <c r="M208" i="20"/>
  <c r="I208" i="20"/>
  <c r="H208" i="20"/>
  <c r="G208" i="20"/>
  <c r="F208" i="20"/>
  <c r="E208" i="20"/>
  <c r="L208" i="20" s="1"/>
  <c r="N207" i="20"/>
  <c r="O207" i="20" s="1"/>
  <c r="M207" i="20"/>
  <c r="I207" i="20"/>
  <c r="H207" i="20"/>
  <c r="G207" i="20"/>
  <c r="F207" i="20"/>
  <c r="E207" i="20"/>
  <c r="L207" i="20" s="1"/>
  <c r="N206" i="20"/>
  <c r="O206" i="20" s="1"/>
  <c r="M206" i="20"/>
  <c r="I206" i="20"/>
  <c r="H206" i="20"/>
  <c r="G206" i="20"/>
  <c r="F206" i="20"/>
  <c r="E206" i="20"/>
  <c r="L206" i="20" s="1"/>
  <c r="N205" i="20"/>
  <c r="O205" i="20" s="1"/>
  <c r="M205" i="20"/>
  <c r="I205" i="20"/>
  <c r="H205" i="20"/>
  <c r="G205" i="20"/>
  <c r="F205" i="20"/>
  <c r="E205" i="20"/>
  <c r="L205" i="20" s="1"/>
  <c r="N203" i="20"/>
  <c r="O203" i="20" s="1"/>
  <c r="M203" i="20"/>
  <c r="I203" i="20"/>
  <c r="H203" i="20"/>
  <c r="G203" i="20"/>
  <c r="E203" i="20"/>
  <c r="L203" i="20" s="1"/>
  <c r="N202" i="20"/>
  <c r="O202" i="20" s="1"/>
  <c r="M202" i="20"/>
  <c r="I202" i="20"/>
  <c r="H202" i="20"/>
  <c r="G202" i="20"/>
  <c r="E202" i="20"/>
  <c r="L202" i="20" s="1"/>
  <c r="N201" i="20"/>
  <c r="O201" i="20" s="1"/>
  <c r="M201" i="20"/>
  <c r="I201" i="20"/>
  <c r="H201" i="20"/>
  <c r="G201" i="20"/>
  <c r="E201" i="20"/>
  <c r="L201" i="20" s="1"/>
  <c r="N200" i="20"/>
  <c r="O200" i="20" s="1"/>
  <c r="M200" i="20"/>
  <c r="I200" i="20"/>
  <c r="H200" i="20"/>
  <c r="G200" i="20"/>
  <c r="E200" i="20"/>
  <c r="L200" i="20" s="1"/>
  <c r="N198" i="20"/>
  <c r="O198" i="20" s="1"/>
  <c r="M198" i="20"/>
  <c r="I198" i="20"/>
  <c r="H198" i="20"/>
  <c r="G198" i="20"/>
  <c r="F198" i="20"/>
  <c r="E198" i="20"/>
  <c r="L198" i="20" s="1"/>
  <c r="N197" i="20"/>
  <c r="O197" i="20" s="1"/>
  <c r="M197" i="20"/>
  <c r="I197" i="20"/>
  <c r="H197" i="20"/>
  <c r="G197" i="20"/>
  <c r="F197" i="20"/>
  <c r="E197" i="20"/>
  <c r="L197" i="20" s="1"/>
  <c r="N196" i="20"/>
  <c r="O196" i="20" s="1"/>
  <c r="M196" i="20"/>
  <c r="I196" i="20"/>
  <c r="H196" i="20"/>
  <c r="G196" i="20"/>
  <c r="F196" i="20"/>
  <c r="E196" i="20"/>
  <c r="L196" i="20" s="1"/>
  <c r="N195" i="20"/>
  <c r="O195" i="20" s="1"/>
  <c r="M195" i="20"/>
  <c r="I195" i="20"/>
  <c r="H195" i="20"/>
  <c r="G195" i="20"/>
  <c r="F195" i="20"/>
  <c r="E195" i="20"/>
  <c r="L195" i="20" s="1"/>
  <c r="N194" i="20"/>
  <c r="O194" i="20" s="1"/>
  <c r="M194" i="20"/>
  <c r="I194" i="20"/>
  <c r="H194" i="20"/>
  <c r="G194" i="20"/>
  <c r="F194" i="20"/>
  <c r="E194" i="20"/>
  <c r="AC283" i="20"/>
  <c r="AB283" i="20"/>
  <c r="AA283" i="20"/>
  <c r="Z283" i="20"/>
  <c r="Y283" i="20"/>
  <c r="X283" i="20"/>
  <c r="AC276" i="20"/>
  <c r="AB276" i="20"/>
  <c r="AA276" i="20"/>
  <c r="Z276" i="20"/>
  <c r="Y276" i="20"/>
  <c r="X276" i="20"/>
  <c r="W276" i="20"/>
  <c r="V276" i="20"/>
  <c r="U276" i="20"/>
  <c r="T276" i="20"/>
  <c r="AC269" i="20"/>
  <c r="AB269" i="20"/>
  <c r="AA269" i="20"/>
  <c r="Z269" i="20"/>
  <c r="Y269" i="20"/>
  <c r="X269" i="20"/>
  <c r="AC264" i="20"/>
  <c r="AB264" i="20"/>
  <c r="AA264" i="20"/>
  <c r="Z264" i="20"/>
  <c r="Y264" i="20"/>
  <c r="X264" i="20"/>
  <c r="AC256" i="20"/>
  <c r="AB256" i="20"/>
  <c r="AA256" i="20"/>
  <c r="W256" i="20"/>
  <c r="V256" i="20"/>
  <c r="U256" i="20"/>
  <c r="T256" i="20"/>
  <c r="AC248" i="20"/>
  <c r="AB248" i="20"/>
  <c r="AA248" i="20"/>
  <c r="W248" i="20"/>
  <c r="V248" i="20"/>
  <c r="U248" i="20"/>
  <c r="T248" i="20"/>
  <c r="AC244" i="20"/>
  <c r="AB244" i="20"/>
  <c r="AA244" i="20"/>
  <c r="Z244" i="20"/>
  <c r="Y244" i="20"/>
  <c r="X244" i="20"/>
  <c r="W244" i="20"/>
  <c r="V244" i="20"/>
  <c r="U244" i="20"/>
  <c r="T244" i="20"/>
  <c r="AC239" i="20"/>
  <c r="AB239" i="20"/>
  <c r="AA239" i="20"/>
  <c r="W239" i="20"/>
  <c r="V239" i="20"/>
  <c r="U239" i="20"/>
  <c r="T239" i="20"/>
  <c r="AC234" i="20"/>
  <c r="AB234" i="20"/>
  <c r="AA234" i="20"/>
  <c r="Z234" i="20"/>
  <c r="Y234" i="20"/>
  <c r="X234" i="20"/>
  <c r="W234" i="20"/>
  <c r="V234" i="20"/>
  <c r="U234" i="20"/>
  <c r="T234" i="20"/>
  <c r="AC226" i="20"/>
  <c r="AB226" i="20"/>
  <c r="AA226" i="20"/>
  <c r="AC217" i="20"/>
  <c r="AB217" i="20"/>
  <c r="AA217" i="20"/>
  <c r="W217" i="20"/>
  <c r="V217" i="20"/>
  <c r="U217" i="20"/>
  <c r="T217" i="20"/>
  <c r="AC213" i="20"/>
  <c r="AB213" i="20"/>
  <c r="AA213" i="20"/>
  <c r="AC204" i="20"/>
  <c r="AB204" i="20"/>
  <c r="AA204" i="20"/>
  <c r="W204" i="20"/>
  <c r="V204" i="20"/>
  <c r="U204" i="20"/>
  <c r="T204" i="20"/>
  <c r="AC199" i="20"/>
  <c r="AB199" i="20"/>
  <c r="AA199" i="20"/>
  <c r="W199" i="20"/>
  <c r="V199" i="20"/>
  <c r="U199" i="20"/>
  <c r="T199" i="20"/>
  <c r="AJ193" i="20"/>
  <c r="H232" i="4"/>
  <c r="H231" i="4"/>
  <c r="H230" i="4"/>
  <c r="H229" i="4"/>
  <c r="F241" i="20" s="1"/>
  <c r="H228" i="4"/>
  <c r="H227" i="4"/>
  <c r="H226" i="4"/>
  <c r="F242" i="20" s="1"/>
  <c r="H225" i="4"/>
  <c r="F235" i="20" s="1"/>
  <c r="H224" i="4"/>
  <c r="H223" i="4"/>
  <c r="H222" i="4"/>
  <c r="H221" i="4"/>
  <c r="F233" i="20" s="1"/>
  <c r="H220" i="4"/>
  <c r="F232" i="20" s="1"/>
  <c r="H219" i="4"/>
  <c r="F231" i="20" s="1"/>
  <c r="H218" i="4"/>
  <c r="H217" i="4"/>
  <c r="F229" i="20" s="1"/>
  <c r="H216" i="4"/>
  <c r="F228" i="20" s="1"/>
  <c r="H215" i="4"/>
  <c r="H214" i="4"/>
  <c r="H213" i="4"/>
  <c r="H212" i="4"/>
  <c r="F223" i="20" s="1"/>
  <c r="H211" i="4"/>
  <c r="F225" i="20" s="1"/>
  <c r="H210" i="4"/>
  <c r="F222" i="20" s="1"/>
  <c r="H209" i="4"/>
  <c r="H208" i="4"/>
  <c r="H207" i="4"/>
  <c r="H195" i="4"/>
  <c r="F203" i="20" s="1"/>
  <c r="H194" i="4"/>
  <c r="H193" i="4"/>
  <c r="F201" i="20" s="1"/>
  <c r="H192" i="4"/>
  <c r="AA98" i="28"/>
  <c r="AR98" i="28" s="1"/>
  <c r="AB98" i="28"/>
  <c r="AS98" i="28" s="1"/>
  <c r="AC98" i="28"/>
  <c r="AT98" i="28" s="1"/>
  <c r="AD98" i="28"/>
  <c r="AU98" i="28" s="1"/>
  <c r="AE98" i="28"/>
  <c r="AV98" i="28" s="1"/>
  <c r="AF98" i="28"/>
  <c r="AW98" i="28" s="1"/>
  <c r="AG98" i="28"/>
  <c r="AX98" i="28" s="1"/>
  <c r="AO102" i="28" l="1"/>
  <c r="AN102" i="28"/>
  <c r="AM102" i="28"/>
  <c r="AR102" i="28"/>
  <c r="P475" i="20"/>
  <c r="J394" i="20"/>
  <c r="K394" i="20" s="1"/>
  <c r="J479" i="20"/>
  <c r="K479" i="20" s="1"/>
  <c r="J396" i="20"/>
  <c r="J405" i="20"/>
  <c r="K405" i="20" s="1"/>
  <c r="J402" i="20"/>
  <c r="K402" i="20" s="1"/>
  <c r="J430" i="20"/>
  <c r="K430" i="20" s="1"/>
  <c r="J440" i="20"/>
  <c r="K440" i="20" s="1"/>
  <c r="J423" i="20"/>
  <c r="K423" i="20" s="1"/>
  <c r="J432" i="20"/>
  <c r="K432" i="20" s="1"/>
  <c r="J448" i="20"/>
  <c r="K448" i="20" s="1"/>
  <c r="J459" i="20"/>
  <c r="K459" i="20" s="1"/>
  <c r="P404" i="20"/>
  <c r="J397" i="20"/>
  <c r="K397" i="20" s="1"/>
  <c r="J416" i="20"/>
  <c r="K416" i="20" s="1"/>
  <c r="J425" i="20"/>
  <c r="K425" i="20" s="1"/>
  <c r="J410" i="20"/>
  <c r="K410" i="20" s="1"/>
  <c r="P468" i="20"/>
  <c r="J400" i="20"/>
  <c r="K400" i="20" s="1"/>
  <c r="J413" i="20"/>
  <c r="K413" i="20" s="1"/>
  <c r="J441" i="20"/>
  <c r="K441" i="20" s="1"/>
  <c r="J451" i="20"/>
  <c r="K451" i="20" s="1"/>
  <c r="J472" i="20"/>
  <c r="K472" i="20" s="1"/>
  <c r="J427" i="20"/>
  <c r="K427" i="20" s="1"/>
  <c r="J437" i="20"/>
  <c r="K437" i="20" s="1"/>
  <c r="J408" i="20"/>
  <c r="K408" i="20" s="1"/>
  <c r="J391" i="20"/>
  <c r="K391" i="20" s="1"/>
  <c r="P467" i="20"/>
  <c r="J457" i="20"/>
  <c r="K457" i="20" s="1"/>
  <c r="J470" i="20"/>
  <c r="K470" i="20" s="1"/>
  <c r="J399" i="20"/>
  <c r="K399" i="20" s="1"/>
  <c r="J424" i="20"/>
  <c r="K424" i="20" s="1"/>
  <c r="J434" i="20"/>
  <c r="K434" i="20" s="1"/>
  <c r="J445" i="20"/>
  <c r="K445" i="20" s="1"/>
  <c r="J455" i="20"/>
  <c r="K455" i="20" s="1"/>
  <c r="J469" i="20"/>
  <c r="K469" i="20" s="1"/>
  <c r="J395" i="20"/>
  <c r="K395" i="20" s="1"/>
  <c r="J409" i="20"/>
  <c r="K409" i="20" s="1"/>
  <c r="J421" i="20"/>
  <c r="K421" i="20" s="1"/>
  <c r="J422" i="20"/>
  <c r="K422" i="20" s="1"/>
  <c r="J431" i="20"/>
  <c r="K431" i="20" s="1"/>
  <c r="J443" i="20"/>
  <c r="K443" i="20" s="1"/>
  <c r="J453" i="20"/>
  <c r="K453" i="20" s="1"/>
  <c r="J449" i="20"/>
  <c r="K449" i="20" s="1"/>
  <c r="P425" i="20"/>
  <c r="P435" i="20"/>
  <c r="P456" i="20"/>
  <c r="J429" i="20"/>
  <c r="K429" i="20" s="1"/>
  <c r="J439" i="20"/>
  <c r="K439" i="20" s="1"/>
  <c r="J450" i="20"/>
  <c r="K450" i="20" s="1"/>
  <c r="J475" i="20"/>
  <c r="K475" i="20" s="1"/>
  <c r="P447" i="20"/>
  <c r="J465" i="20"/>
  <c r="K465" i="20" s="1"/>
  <c r="P449" i="20"/>
  <c r="J468" i="20"/>
  <c r="K468" i="20" s="1"/>
  <c r="J389" i="20"/>
  <c r="K389" i="20" s="1"/>
  <c r="J390" i="20"/>
  <c r="K390" i="20" s="1"/>
  <c r="J392" i="20"/>
  <c r="K392" i="20" s="1"/>
  <c r="P403" i="20"/>
  <c r="P405" i="20"/>
  <c r="J412" i="20"/>
  <c r="K412" i="20" s="1"/>
  <c r="J418" i="20"/>
  <c r="K418" i="20" s="1"/>
  <c r="J436" i="20"/>
  <c r="K436" i="20" s="1"/>
  <c r="J454" i="20"/>
  <c r="K454" i="20" s="1"/>
  <c r="M442" i="20"/>
  <c r="P455" i="20"/>
  <c r="J478" i="20"/>
  <c r="K478" i="20" s="1"/>
  <c r="J476" i="20"/>
  <c r="K476" i="20" s="1"/>
  <c r="J401" i="20"/>
  <c r="K401" i="20" s="1"/>
  <c r="J403" i="20"/>
  <c r="K403" i="20" s="1"/>
  <c r="P414" i="20"/>
  <c r="J426" i="20"/>
  <c r="K426" i="20" s="1"/>
  <c r="J444" i="20"/>
  <c r="K444" i="20" s="1"/>
  <c r="P416" i="20"/>
  <c r="U418" i="20"/>
  <c r="V418" i="20" s="1"/>
  <c r="W418" i="20" s="1"/>
  <c r="K396" i="20"/>
  <c r="P446" i="20"/>
  <c r="P397" i="20"/>
  <c r="P399" i="20"/>
  <c r="J417" i="20"/>
  <c r="K417" i="20" s="1"/>
  <c r="J419" i="20"/>
  <c r="K419" i="20" s="1"/>
  <c r="P426" i="20"/>
  <c r="P453" i="20"/>
  <c r="J471" i="20"/>
  <c r="K471" i="20" s="1"/>
  <c r="J474" i="20"/>
  <c r="K474" i="20" s="1"/>
  <c r="J477" i="20"/>
  <c r="K477" i="20" s="1"/>
  <c r="P389" i="20"/>
  <c r="P395" i="20"/>
  <c r="P396" i="20"/>
  <c r="P410" i="20"/>
  <c r="P412" i="20"/>
  <c r="P430" i="20"/>
  <c r="P437" i="20"/>
  <c r="P439" i="20"/>
  <c r="P440" i="20"/>
  <c r="P444" i="20"/>
  <c r="P448" i="20"/>
  <c r="P457" i="20"/>
  <c r="P400" i="20"/>
  <c r="P408" i="20"/>
  <c r="P409" i="20"/>
  <c r="P436" i="20"/>
  <c r="J447" i="20"/>
  <c r="K447" i="20" s="1"/>
  <c r="J456" i="20"/>
  <c r="K456" i="20" s="1"/>
  <c r="P459" i="20"/>
  <c r="P413" i="20"/>
  <c r="P463" i="20"/>
  <c r="J446" i="20"/>
  <c r="K446" i="20" s="1"/>
  <c r="J458" i="20"/>
  <c r="K458" i="20" s="1"/>
  <c r="P474" i="20"/>
  <c r="J460" i="20"/>
  <c r="K460" i="20" s="1"/>
  <c r="J462" i="20"/>
  <c r="K462" i="20" s="1"/>
  <c r="J463" i="20"/>
  <c r="K463" i="20" s="1"/>
  <c r="P470" i="20"/>
  <c r="P476" i="20"/>
  <c r="J404" i="20"/>
  <c r="K404" i="20" s="1"/>
  <c r="J406" i="20"/>
  <c r="K406" i="20" s="1"/>
  <c r="J414" i="20"/>
  <c r="K414" i="20" s="1"/>
  <c r="J415" i="20"/>
  <c r="K415" i="20" s="1"/>
  <c r="P421" i="20"/>
  <c r="J435" i="20"/>
  <c r="K435" i="20" s="1"/>
  <c r="J464" i="20"/>
  <c r="K464" i="20" s="1"/>
  <c r="J467" i="20"/>
  <c r="K467" i="20" s="1"/>
  <c r="P479" i="20"/>
  <c r="P477" i="20"/>
  <c r="P478" i="20"/>
  <c r="P469" i="20"/>
  <c r="P471" i="20"/>
  <c r="P472" i="20"/>
  <c r="P462" i="20"/>
  <c r="P464" i="20"/>
  <c r="P465" i="20"/>
  <c r="P454" i="20"/>
  <c r="P458" i="20"/>
  <c r="P460" i="20"/>
  <c r="P443" i="20"/>
  <c r="P445" i="20"/>
  <c r="P450" i="20"/>
  <c r="P451" i="20"/>
  <c r="P441" i="20"/>
  <c r="P434" i="20"/>
  <c r="P429" i="20"/>
  <c r="P431" i="20"/>
  <c r="P432" i="20"/>
  <c r="P424" i="20"/>
  <c r="P422" i="20"/>
  <c r="P423" i="20"/>
  <c r="P427" i="20"/>
  <c r="P417" i="20"/>
  <c r="P418" i="20"/>
  <c r="P415" i="20"/>
  <c r="P419" i="20"/>
  <c r="P401" i="20"/>
  <c r="P402" i="20"/>
  <c r="P406" i="20"/>
  <c r="P394" i="20"/>
  <c r="P390" i="20"/>
  <c r="P391" i="20"/>
  <c r="P392" i="20"/>
  <c r="J379" i="20"/>
  <c r="K379" i="20" s="1"/>
  <c r="J388" i="20"/>
  <c r="K388" i="20" s="1"/>
  <c r="M411" i="20"/>
  <c r="N411" i="20"/>
  <c r="F428" i="20"/>
  <c r="H442" i="20"/>
  <c r="H466" i="20"/>
  <c r="M393" i="20"/>
  <c r="E411" i="20"/>
  <c r="X408" i="20" s="1"/>
  <c r="X411" i="20" s="1"/>
  <c r="F433" i="20"/>
  <c r="G411" i="20"/>
  <c r="I411" i="20"/>
  <c r="O398" i="20"/>
  <c r="K16" i="6" s="1"/>
  <c r="T413" i="20"/>
  <c r="T420" i="20" s="1"/>
  <c r="T481" i="20" s="1"/>
  <c r="N433" i="20"/>
  <c r="F411" i="20"/>
  <c r="I438" i="20"/>
  <c r="I407" i="20"/>
  <c r="N393" i="20"/>
  <c r="O466" i="4"/>
  <c r="M480" i="20"/>
  <c r="G407" i="20"/>
  <c r="I433" i="20"/>
  <c r="N461" i="20"/>
  <c r="M466" i="4"/>
  <c r="U413" i="20"/>
  <c r="AA481" i="20"/>
  <c r="F407" i="20"/>
  <c r="M407" i="20"/>
  <c r="G420" i="20"/>
  <c r="E420" i="20"/>
  <c r="X412" i="20" s="1"/>
  <c r="X420" i="20" s="1"/>
  <c r="I428" i="20"/>
  <c r="F438" i="20"/>
  <c r="M461" i="20"/>
  <c r="H420" i="20"/>
  <c r="E438" i="20"/>
  <c r="I442" i="20"/>
  <c r="E442" i="20"/>
  <c r="X439" i="20" s="1"/>
  <c r="X442" i="20" s="1"/>
  <c r="I466" i="20"/>
  <c r="O411" i="20"/>
  <c r="K32" i="6" s="1"/>
  <c r="N438" i="20"/>
  <c r="G442" i="20"/>
  <c r="M466" i="20"/>
  <c r="E393" i="20"/>
  <c r="X388" i="20" s="1"/>
  <c r="X393" i="20" s="1"/>
  <c r="H428" i="20"/>
  <c r="L433" i="20"/>
  <c r="L442" i="20"/>
  <c r="F461" i="20"/>
  <c r="N466" i="20"/>
  <c r="F393" i="20"/>
  <c r="G398" i="20"/>
  <c r="E398" i="20"/>
  <c r="X394" i="20" s="1"/>
  <c r="X398" i="20" s="1"/>
  <c r="M398" i="20"/>
  <c r="N420" i="20"/>
  <c r="N442" i="20"/>
  <c r="H452" i="20"/>
  <c r="H473" i="20"/>
  <c r="F480" i="20"/>
  <c r="J324" i="20"/>
  <c r="K324" i="20" s="1"/>
  <c r="H398" i="20"/>
  <c r="F398" i="20"/>
  <c r="N407" i="20"/>
  <c r="O442" i="20"/>
  <c r="K73" i="6" s="1"/>
  <c r="I452" i="20"/>
  <c r="I461" i="20"/>
  <c r="L466" i="20"/>
  <c r="I473" i="20"/>
  <c r="H393" i="20"/>
  <c r="I393" i="20"/>
  <c r="I398" i="20"/>
  <c r="E407" i="20"/>
  <c r="X399" i="20" s="1"/>
  <c r="X407" i="20" s="1"/>
  <c r="H411" i="20"/>
  <c r="M420" i="20"/>
  <c r="M438" i="20"/>
  <c r="F442" i="20"/>
  <c r="F466" i="20"/>
  <c r="H480" i="20"/>
  <c r="I480" i="20"/>
  <c r="L398" i="20"/>
  <c r="L407" i="20"/>
  <c r="U402" i="20"/>
  <c r="L388" i="20"/>
  <c r="L393" i="20" s="1"/>
  <c r="H407" i="20"/>
  <c r="F420" i="20"/>
  <c r="G433" i="20"/>
  <c r="H438" i="20"/>
  <c r="M428" i="20"/>
  <c r="E428" i="20"/>
  <c r="L428" i="20"/>
  <c r="M433" i="20"/>
  <c r="U480" i="20"/>
  <c r="V477" i="20"/>
  <c r="I420" i="20"/>
  <c r="N398" i="20"/>
  <c r="G428" i="20"/>
  <c r="G393" i="20"/>
  <c r="N428" i="20"/>
  <c r="L438" i="20"/>
  <c r="AB481" i="20"/>
  <c r="O428" i="20"/>
  <c r="K49" i="6" s="1"/>
  <c r="H433" i="20"/>
  <c r="L452" i="20"/>
  <c r="AC481" i="20"/>
  <c r="G438" i="20"/>
  <c r="O438" i="20"/>
  <c r="K65" i="6" s="1"/>
  <c r="O473" i="20"/>
  <c r="K105" i="6" s="1"/>
  <c r="L473" i="20"/>
  <c r="G461" i="20"/>
  <c r="U457" i="20"/>
  <c r="E433" i="20"/>
  <c r="X429" i="20" s="1"/>
  <c r="X433" i="20" s="1"/>
  <c r="G452" i="20"/>
  <c r="H461" i="20"/>
  <c r="E466" i="20"/>
  <c r="E452" i="20"/>
  <c r="X443" i="20" s="1"/>
  <c r="X452" i="20" s="1"/>
  <c r="M452" i="20"/>
  <c r="N480" i="20"/>
  <c r="G480" i="20"/>
  <c r="F452" i="20"/>
  <c r="N452" i="20"/>
  <c r="E473" i="20"/>
  <c r="M473" i="20"/>
  <c r="L461" i="20"/>
  <c r="E461" i="20"/>
  <c r="G466" i="20"/>
  <c r="F473" i="20"/>
  <c r="N473" i="20"/>
  <c r="G473" i="20"/>
  <c r="L480" i="20"/>
  <c r="E480" i="20"/>
  <c r="J281" i="20"/>
  <c r="K281" i="20" s="1"/>
  <c r="P379" i="20"/>
  <c r="P281" i="20"/>
  <c r="P303" i="20"/>
  <c r="J310" i="20"/>
  <c r="K310" i="20" s="1"/>
  <c r="H335" i="20"/>
  <c r="J359" i="20"/>
  <c r="K359" i="20" s="1"/>
  <c r="J356" i="20"/>
  <c r="K356" i="20" s="1"/>
  <c r="P292" i="20"/>
  <c r="P350" i="20"/>
  <c r="P359" i="20"/>
  <c r="W99" i="28"/>
  <c r="AN99" i="28" s="1"/>
  <c r="P345" i="20"/>
  <c r="P349" i="20"/>
  <c r="P372" i="20"/>
  <c r="V99" i="28"/>
  <c r="AM99" i="28" s="1"/>
  <c r="P370" i="20"/>
  <c r="V100" i="28"/>
  <c r="AM100" i="28" s="1"/>
  <c r="P307" i="20"/>
  <c r="P348" i="20"/>
  <c r="P371" i="20"/>
  <c r="AN100" i="28"/>
  <c r="X101" i="28"/>
  <c r="AO101" i="28" s="1"/>
  <c r="V101" i="28"/>
  <c r="X100" i="28"/>
  <c r="J378" i="20"/>
  <c r="K378" i="20" s="1"/>
  <c r="J380" i="20"/>
  <c r="K380" i="20" s="1"/>
  <c r="J365" i="20"/>
  <c r="K365" i="20" s="1"/>
  <c r="J364" i="20"/>
  <c r="K364" i="20" s="1"/>
  <c r="J319" i="20"/>
  <c r="K319" i="20" s="1"/>
  <c r="P351" i="20"/>
  <c r="P360" i="20"/>
  <c r="P297" i="20"/>
  <c r="J315" i="20"/>
  <c r="K315" i="20" s="1"/>
  <c r="J328" i="20"/>
  <c r="K328" i="20" s="1"/>
  <c r="P369" i="20"/>
  <c r="P306" i="20"/>
  <c r="J327" i="20"/>
  <c r="K327" i="20" s="1"/>
  <c r="P347" i="20"/>
  <c r="J375" i="20"/>
  <c r="K375" i="20" s="1"/>
  <c r="P305" i="20"/>
  <c r="Q305" i="20" s="1"/>
  <c r="P316" i="20"/>
  <c r="P329" i="20"/>
  <c r="P331" i="20"/>
  <c r="P332" i="20"/>
  <c r="P346" i="20"/>
  <c r="P312" i="20"/>
  <c r="P338" i="20"/>
  <c r="J345" i="20"/>
  <c r="K345" i="20" s="1"/>
  <c r="J346" i="20"/>
  <c r="K346" i="20" s="1"/>
  <c r="J347" i="20"/>
  <c r="K347" i="20" s="1"/>
  <c r="P355" i="20"/>
  <c r="J360" i="20"/>
  <c r="K360" i="20" s="1"/>
  <c r="P375" i="20"/>
  <c r="P310" i="20"/>
  <c r="P311" i="20"/>
  <c r="P314" i="20"/>
  <c r="Q314" i="20" s="1"/>
  <c r="P333" i="20"/>
  <c r="P354" i="20"/>
  <c r="J293" i="20"/>
  <c r="K293" i="20" s="1"/>
  <c r="P304" i="20"/>
  <c r="J323" i="20"/>
  <c r="K323" i="20" s="1"/>
  <c r="P328" i="20"/>
  <c r="J377" i="20"/>
  <c r="K377" i="20" s="1"/>
  <c r="J292" i="20"/>
  <c r="K292" i="20" s="1"/>
  <c r="P327" i="20"/>
  <c r="J341" i="20"/>
  <c r="K341" i="20" s="1"/>
  <c r="J342" i="20"/>
  <c r="K342" i="20" s="1"/>
  <c r="J373" i="20"/>
  <c r="K373" i="20" s="1"/>
  <c r="J376" i="20"/>
  <c r="K376" i="20" s="1"/>
  <c r="P293" i="20"/>
  <c r="J337" i="20"/>
  <c r="K337" i="20" s="1"/>
  <c r="P343" i="20"/>
  <c r="J355" i="20"/>
  <c r="K355" i="20" s="1"/>
  <c r="P358" i="20"/>
  <c r="J366" i="20"/>
  <c r="K366" i="20" s="1"/>
  <c r="J368" i="20"/>
  <c r="K368" i="20" s="1"/>
  <c r="J369" i="20"/>
  <c r="K369" i="20" s="1"/>
  <c r="P342" i="20"/>
  <c r="P357" i="20"/>
  <c r="P315" i="20"/>
  <c r="P317" i="20"/>
  <c r="Q317" i="20" s="1"/>
  <c r="P320" i="20"/>
  <c r="P341" i="20"/>
  <c r="P376" i="20"/>
  <c r="P380" i="20"/>
  <c r="P378" i="20"/>
  <c r="P377" i="20"/>
  <c r="J357" i="20"/>
  <c r="K357" i="20" s="1"/>
  <c r="J370" i="20"/>
  <c r="K370" i="20" s="1"/>
  <c r="J371" i="20"/>
  <c r="K371" i="20" s="1"/>
  <c r="J372" i="20"/>
  <c r="K372" i="20" s="1"/>
  <c r="P368" i="20"/>
  <c r="P373" i="20"/>
  <c r="J325" i="20"/>
  <c r="K325" i="20" s="1"/>
  <c r="J354" i="20"/>
  <c r="K354" i="20" s="1"/>
  <c r="J363" i="20"/>
  <c r="K363" i="20" s="1"/>
  <c r="P363" i="20"/>
  <c r="P364" i="20"/>
  <c r="P365" i="20"/>
  <c r="P366" i="20"/>
  <c r="J348" i="20"/>
  <c r="K348" i="20" s="1"/>
  <c r="J349" i="20"/>
  <c r="K349" i="20" s="1"/>
  <c r="J350" i="20"/>
  <c r="K350" i="20" s="1"/>
  <c r="J351" i="20"/>
  <c r="K351" i="20" s="1"/>
  <c r="J361" i="20"/>
  <c r="K361" i="20" s="1"/>
  <c r="J358" i="20"/>
  <c r="K358" i="20" s="1"/>
  <c r="P356" i="20"/>
  <c r="P361" i="20"/>
  <c r="J329" i="20"/>
  <c r="K329" i="20" s="1"/>
  <c r="J352" i="20"/>
  <c r="K352" i="20" s="1"/>
  <c r="P352" i="20"/>
  <c r="J304" i="20"/>
  <c r="K304" i="20" s="1"/>
  <c r="J338" i="20"/>
  <c r="K338" i="20" s="1"/>
  <c r="J343" i="20"/>
  <c r="K343" i="20" s="1"/>
  <c r="J333" i="20"/>
  <c r="K333" i="20" s="1"/>
  <c r="J334" i="20"/>
  <c r="K334" i="20" s="1"/>
  <c r="J336" i="20"/>
  <c r="K336" i="20" s="1"/>
  <c r="J339" i="20"/>
  <c r="K339" i="20" s="1"/>
  <c r="P337" i="20"/>
  <c r="P336" i="20"/>
  <c r="P339" i="20"/>
  <c r="J331" i="20"/>
  <c r="K331" i="20" s="1"/>
  <c r="J332" i="20"/>
  <c r="K332" i="20" s="1"/>
  <c r="P334" i="20"/>
  <c r="J326" i="20"/>
  <c r="K326" i="20" s="1"/>
  <c r="J298" i="20"/>
  <c r="K298" i="20" s="1"/>
  <c r="P323" i="20"/>
  <c r="Q323" i="20" s="1"/>
  <c r="P325" i="20"/>
  <c r="P326" i="20"/>
  <c r="P324" i="20"/>
  <c r="J314" i="20"/>
  <c r="K314" i="20" s="1"/>
  <c r="J316" i="20"/>
  <c r="K316" i="20" s="1"/>
  <c r="J318" i="20"/>
  <c r="K318" i="20" s="1"/>
  <c r="J320" i="20"/>
  <c r="K320" i="20" s="1"/>
  <c r="J311" i="20"/>
  <c r="K311" i="20" s="1"/>
  <c r="J312" i="20"/>
  <c r="K312" i="20" s="1"/>
  <c r="J317" i="20"/>
  <c r="K317" i="20" s="1"/>
  <c r="J321" i="20"/>
  <c r="K321" i="20" s="1"/>
  <c r="P318" i="20"/>
  <c r="T320" i="20"/>
  <c r="V320" i="20" s="1"/>
  <c r="W320" i="20" s="1"/>
  <c r="P319" i="20"/>
  <c r="Q319" i="20" s="1"/>
  <c r="P321" i="20"/>
  <c r="Q321" i="20" s="1"/>
  <c r="J296" i="20"/>
  <c r="K296" i="20" s="1"/>
  <c r="J297" i="20"/>
  <c r="K297" i="20" s="1"/>
  <c r="J299" i="20"/>
  <c r="K299" i="20" s="1"/>
  <c r="J301" i="20"/>
  <c r="K301" i="20" s="1"/>
  <c r="J302" i="20"/>
  <c r="K302" i="20" s="1"/>
  <c r="J303" i="20"/>
  <c r="K303" i="20" s="1"/>
  <c r="J308" i="20"/>
  <c r="K308" i="20" s="1"/>
  <c r="J305" i="20"/>
  <c r="K305" i="20" s="1"/>
  <c r="J306" i="20"/>
  <c r="K306" i="20" s="1"/>
  <c r="J307" i="20"/>
  <c r="K307" i="20" s="1"/>
  <c r="P301" i="20"/>
  <c r="P302" i="20"/>
  <c r="P308" i="20"/>
  <c r="P296" i="20"/>
  <c r="P298" i="20"/>
  <c r="P299" i="20"/>
  <c r="J291" i="20"/>
  <c r="K291" i="20" s="1"/>
  <c r="J294" i="20"/>
  <c r="K294" i="20" s="1"/>
  <c r="P291" i="20"/>
  <c r="P294" i="20"/>
  <c r="H381" i="20"/>
  <c r="F374" i="20"/>
  <c r="AA382" i="20"/>
  <c r="M313" i="20"/>
  <c r="G374" i="20"/>
  <c r="F200" i="20"/>
  <c r="I344" i="20"/>
  <c r="E295" i="20"/>
  <c r="X290" i="20" s="1"/>
  <c r="X295" i="20" s="1"/>
  <c r="F220" i="20"/>
  <c r="F230" i="20"/>
  <c r="F313" i="20"/>
  <c r="H344" i="20"/>
  <c r="F238" i="20"/>
  <c r="F309" i="20"/>
  <c r="I313" i="20"/>
  <c r="M344" i="20"/>
  <c r="F221" i="20"/>
  <c r="F237" i="20"/>
  <c r="E367" i="20"/>
  <c r="N374" i="20"/>
  <c r="M295" i="20"/>
  <c r="I300" i="20"/>
  <c r="F335" i="20"/>
  <c r="H362" i="20"/>
  <c r="F367" i="20"/>
  <c r="F202" i="20"/>
  <c r="F219" i="20"/>
  <c r="F247" i="20"/>
  <c r="U315" i="20"/>
  <c r="U322" i="20" s="1"/>
  <c r="I340" i="20"/>
  <c r="E362" i="20"/>
  <c r="N367" i="20"/>
  <c r="M340" i="20"/>
  <c r="E344" i="20"/>
  <c r="X341" i="20" s="1"/>
  <c r="X344" i="20" s="1"/>
  <c r="M353" i="20"/>
  <c r="F295" i="20"/>
  <c r="G344" i="20"/>
  <c r="N309" i="20"/>
  <c r="I295" i="20"/>
  <c r="H300" i="20"/>
  <c r="L344" i="20"/>
  <c r="H367" i="20"/>
  <c r="I367" i="20"/>
  <c r="G381" i="20"/>
  <c r="O340" i="20"/>
  <c r="K64" i="6" s="1"/>
  <c r="F344" i="20"/>
  <c r="U367" i="20"/>
  <c r="F218" i="20"/>
  <c r="F227" i="20"/>
  <c r="F236" i="20"/>
  <c r="F245" i="20"/>
  <c r="N295" i="20"/>
  <c r="O322" i="20"/>
  <c r="K40" i="6" s="1"/>
  <c r="T315" i="20"/>
  <c r="G335" i="20"/>
  <c r="F240" i="20"/>
  <c r="M309" i="20"/>
  <c r="I330" i="20"/>
  <c r="H353" i="20"/>
  <c r="L374" i="20"/>
  <c r="F246" i="20"/>
  <c r="E300" i="20"/>
  <c r="X296" i="20" s="1"/>
  <c r="X300" i="20" s="1"/>
  <c r="N381" i="20"/>
  <c r="F224" i="20"/>
  <c r="F243" i="20"/>
  <c r="E330" i="20"/>
  <c r="O353" i="20"/>
  <c r="K80" i="6" s="1"/>
  <c r="H374" i="20"/>
  <c r="E381" i="20"/>
  <c r="M300" i="20"/>
  <c r="N340" i="20"/>
  <c r="I353" i="20"/>
  <c r="M381" i="20"/>
  <c r="J290" i="20"/>
  <c r="K290" i="20" s="1"/>
  <c r="I309" i="20"/>
  <c r="I322" i="20"/>
  <c r="I335" i="20"/>
  <c r="I362" i="20"/>
  <c r="L367" i="20"/>
  <c r="I374" i="20"/>
  <c r="F381" i="20"/>
  <c r="M367" i="20"/>
  <c r="I381" i="20"/>
  <c r="H313" i="20"/>
  <c r="H322" i="20"/>
  <c r="F362" i="20"/>
  <c r="H295" i="20"/>
  <c r="L313" i="20"/>
  <c r="N313" i="20"/>
  <c r="F353" i="20"/>
  <c r="M362" i="20"/>
  <c r="M374" i="20"/>
  <c r="L300" i="20"/>
  <c r="O335" i="20"/>
  <c r="K56" i="6" s="1"/>
  <c r="O300" i="20"/>
  <c r="K15" i="6" s="1"/>
  <c r="U304" i="20"/>
  <c r="L309" i="20"/>
  <c r="L290" i="20"/>
  <c r="L295" i="20" s="1"/>
  <c r="E313" i="20"/>
  <c r="X310" i="20" s="1"/>
  <c r="X313" i="20" s="1"/>
  <c r="N330" i="20"/>
  <c r="G330" i="20"/>
  <c r="L335" i="20"/>
  <c r="E335" i="20"/>
  <c r="X331" i="20" s="1"/>
  <c r="X335" i="20" s="1"/>
  <c r="U358" i="20"/>
  <c r="N300" i="20"/>
  <c r="G309" i="20"/>
  <c r="O330" i="20"/>
  <c r="K48" i="6" s="1"/>
  <c r="H330" i="20"/>
  <c r="G340" i="20"/>
  <c r="E309" i="20"/>
  <c r="X301" i="20" s="1"/>
  <c r="X309" i="20" s="1"/>
  <c r="N335" i="20"/>
  <c r="G313" i="20"/>
  <c r="L322" i="20"/>
  <c r="G295" i="20"/>
  <c r="H309" i="20"/>
  <c r="E322" i="20"/>
  <c r="X314" i="20" s="1"/>
  <c r="X322" i="20" s="1"/>
  <c r="M322" i="20"/>
  <c r="G322" i="20"/>
  <c r="M335" i="20"/>
  <c r="L353" i="20"/>
  <c r="AB382" i="20"/>
  <c r="N322" i="20"/>
  <c r="AC382" i="20"/>
  <c r="G300" i="20"/>
  <c r="M330" i="20"/>
  <c r="H340" i="20"/>
  <c r="N344" i="20"/>
  <c r="L340" i="20"/>
  <c r="E340" i="20"/>
  <c r="G362" i="20"/>
  <c r="U381" i="20"/>
  <c r="T378" i="20"/>
  <c r="T381" i="20" s="1"/>
  <c r="N353" i="20"/>
  <c r="E353" i="20"/>
  <c r="X345" i="20" s="1"/>
  <c r="X353" i="20" s="1"/>
  <c r="N362" i="20"/>
  <c r="G353" i="20"/>
  <c r="O362" i="20"/>
  <c r="K88" i="6" s="1"/>
  <c r="E374" i="20"/>
  <c r="L381" i="20"/>
  <c r="G367" i="20"/>
  <c r="P265" i="20"/>
  <c r="J196" i="20"/>
  <c r="K196" i="20" s="1"/>
  <c r="J240" i="20"/>
  <c r="K240" i="20" s="1"/>
  <c r="J265" i="20"/>
  <c r="K265" i="20" s="1"/>
  <c r="J195" i="20"/>
  <c r="K195" i="20" s="1"/>
  <c r="J205" i="20"/>
  <c r="K205" i="20" s="1"/>
  <c r="J271" i="20"/>
  <c r="K271" i="20" s="1"/>
  <c r="P229" i="20"/>
  <c r="J262" i="20"/>
  <c r="K262" i="20" s="1"/>
  <c r="J210" i="20"/>
  <c r="K210" i="20" s="1"/>
  <c r="J212" i="20"/>
  <c r="K212" i="20" s="1"/>
  <c r="J222" i="20"/>
  <c r="K222" i="20" s="1"/>
  <c r="P236" i="20"/>
  <c r="J209" i="20"/>
  <c r="K209" i="20" s="1"/>
  <c r="P253" i="20"/>
  <c r="J198" i="20"/>
  <c r="K198" i="20" s="1"/>
  <c r="J208" i="20"/>
  <c r="K208" i="20" s="1"/>
  <c r="J236" i="20"/>
  <c r="K236" i="20" s="1"/>
  <c r="J246" i="20"/>
  <c r="K246" i="20" s="1"/>
  <c r="J216" i="20"/>
  <c r="K216" i="20" s="1"/>
  <c r="P221" i="20"/>
  <c r="J235" i="20"/>
  <c r="K235" i="20" s="1"/>
  <c r="P203" i="20"/>
  <c r="Q203" i="20" s="1"/>
  <c r="P235" i="20"/>
  <c r="J252" i="20"/>
  <c r="K252" i="20" s="1"/>
  <c r="J197" i="20"/>
  <c r="K197" i="20" s="1"/>
  <c r="P202" i="20"/>
  <c r="J207" i="20"/>
  <c r="K207" i="20" s="1"/>
  <c r="J227" i="20"/>
  <c r="K227" i="20" s="1"/>
  <c r="P255" i="20"/>
  <c r="Q255" i="20" s="1"/>
  <c r="P266" i="20"/>
  <c r="J274" i="20"/>
  <c r="K274" i="20" s="1"/>
  <c r="J282" i="20"/>
  <c r="K282" i="20" s="1"/>
  <c r="J237" i="20"/>
  <c r="K237" i="20" s="1"/>
  <c r="J214" i="20"/>
  <c r="K214" i="20" s="1"/>
  <c r="J215" i="20"/>
  <c r="K215" i="20" s="1"/>
  <c r="P228" i="20"/>
  <c r="P240" i="20"/>
  <c r="P251" i="20"/>
  <c r="J267" i="20"/>
  <c r="K267" i="20" s="1"/>
  <c r="J279" i="20"/>
  <c r="K279" i="20" s="1"/>
  <c r="P238" i="20"/>
  <c r="P260" i="20"/>
  <c r="J278" i="20"/>
  <c r="K278" i="20" s="1"/>
  <c r="N239" i="20"/>
  <c r="J201" i="20"/>
  <c r="K201" i="20" s="1"/>
  <c r="J232" i="20"/>
  <c r="K232" i="20" s="1"/>
  <c r="P195" i="20"/>
  <c r="P196" i="20"/>
  <c r="J202" i="20"/>
  <c r="K202" i="20" s="1"/>
  <c r="J203" i="20"/>
  <c r="K203" i="20" s="1"/>
  <c r="P208" i="20"/>
  <c r="J230" i="20"/>
  <c r="K230" i="20" s="1"/>
  <c r="J231" i="20"/>
  <c r="K231" i="20" s="1"/>
  <c r="J233" i="20"/>
  <c r="K233" i="20" s="1"/>
  <c r="P243" i="20"/>
  <c r="J249" i="20"/>
  <c r="K249" i="20" s="1"/>
  <c r="J261" i="20"/>
  <c r="K261" i="20" s="1"/>
  <c r="J263" i="20"/>
  <c r="K263" i="20" s="1"/>
  <c r="J272" i="20"/>
  <c r="K272" i="20" s="1"/>
  <c r="J273" i="20"/>
  <c r="K273" i="20" s="1"/>
  <c r="P280" i="20"/>
  <c r="P242" i="20"/>
  <c r="J260" i="20"/>
  <c r="K260" i="20" s="1"/>
  <c r="P220" i="20"/>
  <c r="Q220" i="20" s="1"/>
  <c r="P278" i="20"/>
  <c r="J223" i="20"/>
  <c r="K223" i="20" s="1"/>
  <c r="J224" i="20"/>
  <c r="K224" i="20" s="1"/>
  <c r="J225" i="20"/>
  <c r="K225" i="20" s="1"/>
  <c r="J245" i="20"/>
  <c r="K245" i="20" s="1"/>
  <c r="J258" i="20"/>
  <c r="K258" i="20" s="1"/>
  <c r="J259" i="20"/>
  <c r="K259" i="20" s="1"/>
  <c r="J268" i="20"/>
  <c r="K268" i="20" s="1"/>
  <c r="P252" i="20"/>
  <c r="P231" i="20"/>
  <c r="P272" i="20"/>
  <c r="P273" i="20"/>
  <c r="J280" i="20"/>
  <c r="K280" i="20" s="1"/>
  <c r="Q280" i="20" s="1"/>
  <c r="S280" i="20" s="1"/>
  <c r="P219" i="20"/>
  <c r="Q219" i="20" s="1"/>
  <c r="J211" i="20"/>
  <c r="K211" i="20" s="1"/>
  <c r="J206" i="20"/>
  <c r="K206" i="20" s="1"/>
  <c r="J218" i="20"/>
  <c r="K218" i="20" s="1"/>
  <c r="J242" i="20"/>
  <c r="K242" i="20" s="1"/>
  <c r="J277" i="20"/>
  <c r="K277" i="20" s="1"/>
  <c r="P258" i="20"/>
  <c r="P268" i="20"/>
  <c r="P282" i="20"/>
  <c r="P222" i="20"/>
  <c r="U224" i="20"/>
  <c r="V224" i="20" s="1"/>
  <c r="W224" i="20" s="1"/>
  <c r="P205" i="20"/>
  <c r="Q205" i="20" s="1"/>
  <c r="P215" i="20"/>
  <c r="P223" i="20"/>
  <c r="Q223" i="20" s="1"/>
  <c r="P214" i="20"/>
  <c r="J219" i="20"/>
  <c r="K219" i="20" s="1"/>
  <c r="J220" i="20"/>
  <c r="K220" i="20" s="1"/>
  <c r="J221" i="20"/>
  <c r="K221" i="20" s="1"/>
  <c r="P227" i="20"/>
  <c r="P237" i="20"/>
  <c r="P241" i="20"/>
  <c r="J247" i="20"/>
  <c r="K247" i="20" s="1"/>
  <c r="J250" i="20"/>
  <c r="K250" i="20" s="1"/>
  <c r="J251" i="20"/>
  <c r="K251" i="20" s="1"/>
  <c r="J255" i="20"/>
  <c r="K255" i="20" s="1"/>
  <c r="J257" i="20"/>
  <c r="K257" i="20" s="1"/>
  <c r="J266" i="20"/>
  <c r="K266" i="20" s="1"/>
  <c r="J275" i="20"/>
  <c r="K275" i="20" s="1"/>
  <c r="P197" i="20"/>
  <c r="Q197" i="20" s="1"/>
  <c r="P200" i="20"/>
  <c r="Q200" i="20" s="1"/>
  <c r="P207" i="20"/>
  <c r="P211" i="20"/>
  <c r="Q211" i="20" s="1"/>
  <c r="J243" i="20"/>
  <c r="K243" i="20" s="1"/>
  <c r="J253" i="20"/>
  <c r="K253" i="20" s="1"/>
  <c r="J254" i="20"/>
  <c r="K254" i="20" s="1"/>
  <c r="P261" i="20"/>
  <c r="P206" i="20"/>
  <c r="J200" i="20"/>
  <c r="K200" i="20" s="1"/>
  <c r="P210" i="20"/>
  <c r="J228" i="20"/>
  <c r="K228" i="20" s="1"/>
  <c r="J229" i="20"/>
  <c r="K229" i="20" s="1"/>
  <c r="J238" i="20"/>
  <c r="K238" i="20" s="1"/>
  <c r="P270" i="20"/>
  <c r="J241" i="20"/>
  <c r="K241" i="20" s="1"/>
  <c r="P257" i="20"/>
  <c r="P271" i="20"/>
  <c r="P249" i="20"/>
  <c r="P250" i="20"/>
  <c r="P254" i="20"/>
  <c r="P209" i="20"/>
  <c r="Q209" i="20" s="1"/>
  <c r="P218" i="20"/>
  <c r="Q218" i="20" s="1"/>
  <c r="P216" i="20"/>
  <c r="P245" i="20"/>
  <c r="J270" i="20"/>
  <c r="K270" i="20" s="1"/>
  <c r="P274" i="20"/>
  <c r="P201" i="20"/>
  <c r="P230" i="20"/>
  <c r="P277" i="20"/>
  <c r="P279" i="20"/>
  <c r="U280" i="20"/>
  <c r="U283" i="20" s="1"/>
  <c r="P275" i="20"/>
  <c r="U269" i="20"/>
  <c r="P267" i="20"/>
  <c r="P259" i="20"/>
  <c r="U261" i="20"/>
  <c r="U264" i="20" s="1"/>
  <c r="P262" i="20"/>
  <c r="P263" i="20"/>
  <c r="P246" i="20"/>
  <c r="P247" i="20"/>
  <c r="P232" i="20"/>
  <c r="P233" i="20"/>
  <c r="P224" i="20"/>
  <c r="P225" i="20"/>
  <c r="P212" i="20"/>
  <c r="P198" i="20"/>
  <c r="Q198" i="20" s="1"/>
  <c r="G217" i="20"/>
  <c r="M199" i="20"/>
  <c r="G239" i="20"/>
  <c r="G283" i="20"/>
  <c r="H283" i="20"/>
  <c r="I269" i="20"/>
  <c r="M269" i="20"/>
  <c r="I248" i="20"/>
  <c r="I217" i="20"/>
  <c r="I244" i="20"/>
  <c r="G199" i="20"/>
  <c r="E204" i="20"/>
  <c r="X200" i="20" s="1"/>
  <c r="X204" i="20" s="1"/>
  <c r="H217" i="20"/>
  <c r="I283" i="20"/>
  <c r="H204" i="20"/>
  <c r="M239" i="20"/>
  <c r="H256" i="20"/>
  <c r="N199" i="20"/>
  <c r="H234" i="20"/>
  <c r="G244" i="20"/>
  <c r="F217" i="20"/>
  <c r="H244" i="20"/>
  <c r="H248" i="20"/>
  <c r="M276" i="20"/>
  <c r="E283" i="20"/>
  <c r="U208" i="20"/>
  <c r="V208" i="20" s="1"/>
  <c r="V213" i="20" s="1"/>
  <c r="E199" i="20"/>
  <c r="X194" i="20" s="1"/>
  <c r="X199" i="20" s="1"/>
  <c r="F213" i="20"/>
  <c r="N213" i="20"/>
  <c r="N234" i="20"/>
  <c r="E269" i="20"/>
  <c r="N283" i="20"/>
  <c r="L234" i="20"/>
  <c r="L264" i="20"/>
  <c r="L276" i="20"/>
  <c r="H226" i="20"/>
  <c r="I226" i="20"/>
  <c r="O239" i="20"/>
  <c r="I256" i="20"/>
  <c r="F264" i="20"/>
  <c r="L239" i="20"/>
  <c r="E239" i="20"/>
  <c r="X235" i="20" s="1"/>
  <c r="X239" i="20" s="1"/>
  <c r="F283" i="20"/>
  <c r="N256" i="20"/>
  <c r="N276" i="20"/>
  <c r="F199" i="20"/>
  <c r="I204" i="20"/>
  <c r="E217" i="20"/>
  <c r="X214" i="20" s="1"/>
  <c r="X217" i="20" s="1"/>
  <c r="L226" i="20"/>
  <c r="H199" i="20"/>
  <c r="M204" i="20"/>
  <c r="M217" i="20"/>
  <c r="M226" i="20"/>
  <c r="I234" i="20"/>
  <c r="E276" i="20"/>
  <c r="L217" i="20"/>
  <c r="I199" i="20"/>
  <c r="J194" i="20"/>
  <c r="K194" i="20" s="1"/>
  <c r="AB284" i="20"/>
  <c r="N204" i="20"/>
  <c r="I213" i="20"/>
  <c r="T219" i="20"/>
  <c r="T226" i="20" s="1"/>
  <c r="M234" i="20"/>
  <c r="H239" i="20"/>
  <c r="M264" i="20"/>
  <c r="H276" i="20"/>
  <c r="F276" i="20"/>
  <c r="L213" i="20"/>
  <c r="G213" i="20"/>
  <c r="L194" i="20"/>
  <c r="L199" i="20" s="1"/>
  <c r="AC284" i="20"/>
  <c r="M213" i="20"/>
  <c r="I239" i="20"/>
  <c r="E244" i="20"/>
  <c r="F256" i="20"/>
  <c r="N264" i="20"/>
  <c r="L269" i="20"/>
  <c r="I276" i="20"/>
  <c r="M283" i="20"/>
  <c r="O204" i="20"/>
  <c r="G204" i="20"/>
  <c r="E213" i="20"/>
  <c r="X205" i="20" s="1"/>
  <c r="X213" i="20" s="1"/>
  <c r="U219" i="20"/>
  <c r="E226" i="20"/>
  <c r="X218" i="20" s="1"/>
  <c r="X226" i="20" s="1"/>
  <c r="N226" i="20"/>
  <c r="E234" i="20"/>
  <c r="O244" i="20"/>
  <c r="H213" i="20"/>
  <c r="N217" i="20"/>
  <c r="G226" i="20"/>
  <c r="G234" i="20"/>
  <c r="O217" i="20"/>
  <c r="L204" i="20"/>
  <c r="AA284" i="20"/>
  <c r="O248" i="20"/>
  <c r="E248" i="20"/>
  <c r="X245" i="20" s="1"/>
  <c r="X248" i="20" s="1"/>
  <c r="M256" i="20"/>
  <c r="L244" i="20"/>
  <c r="G248" i="20"/>
  <c r="E264" i="20"/>
  <c r="M244" i="20"/>
  <c r="L256" i="20"/>
  <c r="G276" i="20"/>
  <c r="T280" i="20"/>
  <c r="T283" i="20" s="1"/>
  <c r="N244" i="20"/>
  <c r="G256" i="20"/>
  <c r="G264" i="20"/>
  <c r="F269" i="20"/>
  <c r="O269" i="20"/>
  <c r="L248" i="20"/>
  <c r="H264" i="20"/>
  <c r="G269" i="20"/>
  <c r="M248" i="20"/>
  <c r="I264" i="20"/>
  <c r="H269" i="20"/>
  <c r="N248" i="20"/>
  <c r="E256" i="20"/>
  <c r="X249" i="20" s="1"/>
  <c r="X256" i="20" s="1"/>
  <c r="L283" i="20"/>
  <c r="N269" i="20"/>
  <c r="O275" i="4"/>
  <c r="M275" i="4"/>
  <c r="E98" i="28"/>
  <c r="F167" i="20"/>
  <c r="E167" i="20"/>
  <c r="L167" i="20" s="1"/>
  <c r="G167" i="20"/>
  <c r="H167" i="20"/>
  <c r="I167" i="20"/>
  <c r="M167" i="20"/>
  <c r="N167" i="20"/>
  <c r="O167" i="20" s="1"/>
  <c r="N186" i="20"/>
  <c r="O186" i="20" s="1"/>
  <c r="M186" i="20"/>
  <c r="I186" i="20"/>
  <c r="H186" i="20"/>
  <c r="G186" i="20"/>
  <c r="F186" i="20"/>
  <c r="E186" i="20"/>
  <c r="L186" i="20" s="1"/>
  <c r="N185" i="20"/>
  <c r="O185" i="20" s="1"/>
  <c r="M185" i="20"/>
  <c r="I185" i="20"/>
  <c r="H185" i="20"/>
  <c r="G185" i="20"/>
  <c r="F185" i="20"/>
  <c r="E185" i="20"/>
  <c r="L185" i="20" s="1"/>
  <c r="N184" i="20"/>
  <c r="O184" i="20" s="1"/>
  <c r="M184" i="20"/>
  <c r="I184" i="20"/>
  <c r="H184" i="20"/>
  <c r="G184" i="20"/>
  <c r="F184" i="20"/>
  <c r="E184" i="20"/>
  <c r="L184" i="20" s="1"/>
  <c r="N183" i="20"/>
  <c r="O183" i="20" s="1"/>
  <c r="M183" i="20"/>
  <c r="I183" i="20"/>
  <c r="H183" i="20"/>
  <c r="G183" i="20"/>
  <c r="F183" i="20"/>
  <c r="E183" i="20"/>
  <c r="L183" i="20" s="1"/>
  <c r="N182" i="20"/>
  <c r="O182" i="20" s="1"/>
  <c r="M182" i="20"/>
  <c r="I182" i="20"/>
  <c r="H182" i="20"/>
  <c r="G182" i="20"/>
  <c r="F182" i="20"/>
  <c r="E182" i="20"/>
  <c r="L182" i="20" s="1"/>
  <c r="N180" i="20"/>
  <c r="O180" i="20" s="1"/>
  <c r="M180" i="20"/>
  <c r="I180" i="20"/>
  <c r="H180" i="20"/>
  <c r="G180" i="20"/>
  <c r="F180" i="20"/>
  <c r="E180" i="20"/>
  <c r="L180" i="20" s="1"/>
  <c r="N179" i="20"/>
  <c r="O179" i="20" s="1"/>
  <c r="M179" i="20"/>
  <c r="I179" i="20"/>
  <c r="H179" i="20"/>
  <c r="G179" i="20"/>
  <c r="F179" i="20"/>
  <c r="E179" i="20"/>
  <c r="L179" i="20" s="1"/>
  <c r="N178" i="20"/>
  <c r="O178" i="20" s="1"/>
  <c r="M178" i="20"/>
  <c r="I178" i="20"/>
  <c r="H178" i="20"/>
  <c r="G178" i="20"/>
  <c r="F178" i="20"/>
  <c r="E178" i="20"/>
  <c r="L178" i="20" s="1"/>
  <c r="N177" i="20"/>
  <c r="O177" i="20" s="1"/>
  <c r="M177" i="20"/>
  <c r="I177" i="20"/>
  <c r="H177" i="20"/>
  <c r="G177" i="20"/>
  <c r="F177" i="20"/>
  <c r="E177" i="20"/>
  <c r="L177" i="20" s="1"/>
  <c r="N176" i="20"/>
  <c r="O176" i="20" s="1"/>
  <c r="M176" i="20"/>
  <c r="I176" i="20"/>
  <c r="H176" i="20"/>
  <c r="G176" i="20"/>
  <c r="F176" i="20"/>
  <c r="E176" i="20"/>
  <c r="L176" i="20" s="1"/>
  <c r="N175" i="20"/>
  <c r="O175" i="20" s="1"/>
  <c r="M175" i="20"/>
  <c r="I175" i="20"/>
  <c r="H175" i="20"/>
  <c r="G175" i="20"/>
  <c r="F175" i="20"/>
  <c r="E175" i="20"/>
  <c r="L175" i="20" s="1"/>
  <c r="N173" i="20"/>
  <c r="O173" i="20" s="1"/>
  <c r="M173" i="20"/>
  <c r="I173" i="20"/>
  <c r="H173" i="20"/>
  <c r="G173" i="20"/>
  <c r="F173" i="20"/>
  <c r="E173" i="20"/>
  <c r="L173" i="20" s="1"/>
  <c r="N172" i="20"/>
  <c r="O172" i="20" s="1"/>
  <c r="M172" i="20"/>
  <c r="I172" i="20"/>
  <c r="H172" i="20"/>
  <c r="G172" i="20"/>
  <c r="F172" i="20"/>
  <c r="E172" i="20"/>
  <c r="L172" i="20" s="1"/>
  <c r="T174" i="20" s="1"/>
  <c r="N171" i="20"/>
  <c r="O171" i="20" s="1"/>
  <c r="M171" i="20"/>
  <c r="I171" i="20"/>
  <c r="H171" i="20"/>
  <c r="G171" i="20"/>
  <c r="F171" i="20"/>
  <c r="E171" i="20"/>
  <c r="L171" i="20" s="1"/>
  <c r="N170" i="20"/>
  <c r="O170" i="20" s="1"/>
  <c r="M170" i="20"/>
  <c r="I170" i="20"/>
  <c r="H170" i="20"/>
  <c r="G170" i="20"/>
  <c r="F170" i="20"/>
  <c r="E170" i="20"/>
  <c r="L170" i="20" s="1"/>
  <c r="N168" i="20"/>
  <c r="O168" i="20" s="1"/>
  <c r="M168" i="20"/>
  <c r="I168" i="20"/>
  <c r="H168" i="20"/>
  <c r="G168" i="20"/>
  <c r="F168" i="20"/>
  <c r="E168" i="20"/>
  <c r="L168" i="20" s="1"/>
  <c r="N166" i="20"/>
  <c r="O166" i="20" s="1"/>
  <c r="M166" i="20"/>
  <c r="I166" i="20"/>
  <c r="H166" i="20"/>
  <c r="G166" i="20"/>
  <c r="F166" i="20"/>
  <c r="E166" i="20"/>
  <c r="L166" i="20" s="1"/>
  <c r="N165" i="20"/>
  <c r="O165" i="20" s="1"/>
  <c r="M165" i="20"/>
  <c r="I165" i="20"/>
  <c r="H165" i="20"/>
  <c r="G165" i="20"/>
  <c r="F165" i="20"/>
  <c r="E165" i="20"/>
  <c r="L165" i="20" s="1"/>
  <c r="N164" i="20"/>
  <c r="O164" i="20" s="1"/>
  <c r="M164" i="20"/>
  <c r="I164" i="20"/>
  <c r="H164" i="20"/>
  <c r="G164" i="20"/>
  <c r="F164" i="20"/>
  <c r="E164" i="20"/>
  <c r="L164" i="20" s="1"/>
  <c r="T166" i="20" s="1"/>
  <c r="T169" i="20" s="1"/>
  <c r="N163" i="20"/>
  <c r="O163" i="20" s="1"/>
  <c r="M163" i="20"/>
  <c r="I163" i="20"/>
  <c r="H163" i="20"/>
  <c r="G163" i="20"/>
  <c r="F163" i="20"/>
  <c r="E163" i="20"/>
  <c r="L163" i="20" s="1"/>
  <c r="N162" i="20"/>
  <c r="O162" i="20" s="1"/>
  <c r="M162" i="20"/>
  <c r="I162" i="20"/>
  <c r="H162" i="20"/>
  <c r="G162" i="20"/>
  <c r="F162" i="20"/>
  <c r="E162" i="20"/>
  <c r="L162" i="20" s="1"/>
  <c r="N160" i="20"/>
  <c r="O160" i="20" s="1"/>
  <c r="M160" i="20"/>
  <c r="I160" i="20"/>
  <c r="H160" i="20"/>
  <c r="G160" i="20"/>
  <c r="F160" i="20"/>
  <c r="E160" i="20"/>
  <c r="L160" i="20" s="1"/>
  <c r="N159" i="20"/>
  <c r="O159" i="20" s="1"/>
  <c r="M159" i="20"/>
  <c r="I159" i="20"/>
  <c r="H159" i="20"/>
  <c r="G159" i="20"/>
  <c r="F159" i="20"/>
  <c r="E159" i="20"/>
  <c r="L159" i="20" s="1"/>
  <c r="N158" i="20"/>
  <c r="O158" i="20" s="1"/>
  <c r="M158" i="20"/>
  <c r="I158" i="20"/>
  <c r="H158" i="20"/>
  <c r="G158" i="20"/>
  <c r="F158" i="20"/>
  <c r="E158" i="20"/>
  <c r="L158" i="20" s="1"/>
  <c r="N157" i="20"/>
  <c r="O157" i="20" s="1"/>
  <c r="M157" i="20"/>
  <c r="I157" i="20"/>
  <c r="H157" i="20"/>
  <c r="G157" i="20"/>
  <c r="F157" i="20"/>
  <c r="E157" i="20"/>
  <c r="L157" i="20" s="1"/>
  <c r="N156" i="20"/>
  <c r="O156" i="20" s="1"/>
  <c r="M156" i="20"/>
  <c r="I156" i="20"/>
  <c r="H156" i="20"/>
  <c r="G156" i="20"/>
  <c r="F156" i="20"/>
  <c r="E156" i="20"/>
  <c r="L156" i="20" s="1"/>
  <c r="N155" i="20"/>
  <c r="O155" i="20" s="1"/>
  <c r="M155" i="20"/>
  <c r="I155" i="20"/>
  <c r="H155" i="20"/>
  <c r="G155" i="20"/>
  <c r="F155" i="20"/>
  <c r="E155" i="20"/>
  <c r="L155" i="20" s="1"/>
  <c r="N154" i="20"/>
  <c r="O154" i="20" s="1"/>
  <c r="M154" i="20"/>
  <c r="I154" i="20"/>
  <c r="H154" i="20"/>
  <c r="G154" i="20"/>
  <c r="F154" i="20"/>
  <c r="E154" i="20"/>
  <c r="L154" i="20" s="1"/>
  <c r="N152" i="20"/>
  <c r="O152" i="20" s="1"/>
  <c r="M152" i="20"/>
  <c r="I152" i="20"/>
  <c r="H152" i="20"/>
  <c r="G152" i="20"/>
  <c r="F152" i="20"/>
  <c r="E152" i="20"/>
  <c r="L152" i="20" s="1"/>
  <c r="N151" i="20"/>
  <c r="O151" i="20" s="1"/>
  <c r="M151" i="20"/>
  <c r="I151" i="20"/>
  <c r="H151" i="20"/>
  <c r="G151" i="20"/>
  <c r="F151" i="20"/>
  <c r="E151" i="20"/>
  <c r="L151" i="20" s="1"/>
  <c r="N150" i="20"/>
  <c r="O150" i="20" s="1"/>
  <c r="M150" i="20"/>
  <c r="I150" i="20"/>
  <c r="H150" i="20"/>
  <c r="G150" i="20"/>
  <c r="F150" i="20"/>
  <c r="E150" i="20"/>
  <c r="L150" i="20" s="1"/>
  <c r="N148" i="20"/>
  <c r="O148" i="20" s="1"/>
  <c r="M148" i="20"/>
  <c r="I148" i="20"/>
  <c r="H148" i="20"/>
  <c r="G148" i="20"/>
  <c r="F148" i="20"/>
  <c r="E148" i="20"/>
  <c r="L148" i="20" s="1"/>
  <c r="N147" i="20"/>
  <c r="O147" i="20" s="1"/>
  <c r="M147" i="20"/>
  <c r="I147" i="20"/>
  <c r="H147" i="20"/>
  <c r="G147" i="20"/>
  <c r="F147" i="20"/>
  <c r="E147" i="20"/>
  <c r="L147" i="20" s="1"/>
  <c r="N146" i="20"/>
  <c r="O146" i="20" s="1"/>
  <c r="M146" i="20"/>
  <c r="I146" i="20"/>
  <c r="H146" i="20"/>
  <c r="G146" i="20"/>
  <c r="F146" i="20"/>
  <c r="E146" i="20"/>
  <c r="L146" i="20" s="1"/>
  <c r="N145" i="20"/>
  <c r="O145" i="20" s="1"/>
  <c r="M145" i="20"/>
  <c r="I145" i="20"/>
  <c r="H145" i="20"/>
  <c r="G145" i="20"/>
  <c r="F145" i="20"/>
  <c r="E145" i="20"/>
  <c r="L145" i="20" s="1"/>
  <c r="N143" i="20"/>
  <c r="O143" i="20" s="1"/>
  <c r="M143" i="20"/>
  <c r="I143" i="20"/>
  <c r="H143" i="20"/>
  <c r="G143" i="20"/>
  <c r="F143" i="20"/>
  <c r="E143" i="20"/>
  <c r="L143" i="20" s="1"/>
  <c r="N142" i="20"/>
  <c r="O142" i="20" s="1"/>
  <c r="M142" i="20"/>
  <c r="I142" i="20"/>
  <c r="H142" i="20"/>
  <c r="G142" i="20"/>
  <c r="F142" i="20"/>
  <c r="E142" i="20"/>
  <c r="L142" i="20" s="1"/>
  <c r="N141" i="20"/>
  <c r="O141" i="20" s="1"/>
  <c r="M141" i="20"/>
  <c r="I141" i="20"/>
  <c r="H141" i="20"/>
  <c r="G141" i="20"/>
  <c r="F141" i="20"/>
  <c r="E141" i="20"/>
  <c r="L141" i="20" s="1"/>
  <c r="N140" i="20"/>
  <c r="O140" i="20" s="1"/>
  <c r="M140" i="20"/>
  <c r="I140" i="20"/>
  <c r="H140" i="20"/>
  <c r="G140" i="20"/>
  <c r="F140" i="20"/>
  <c r="E140" i="20"/>
  <c r="L140" i="20" s="1"/>
  <c r="N138" i="20"/>
  <c r="O138" i="20" s="1"/>
  <c r="M138" i="20"/>
  <c r="I138" i="20"/>
  <c r="H138" i="20"/>
  <c r="G138" i="20"/>
  <c r="F138" i="20"/>
  <c r="E138" i="20"/>
  <c r="L138" i="20" s="1"/>
  <c r="N137" i="20"/>
  <c r="O137" i="20" s="1"/>
  <c r="M137" i="20"/>
  <c r="I137" i="20"/>
  <c r="H137" i="20"/>
  <c r="G137" i="20"/>
  <c r="F137" i="20"/>
  <c r="E137" i="20"/>
  <c r="L137" i="20" s="1"/>
  <c r="N136" i="20"/>
  <c r="O136" i="20" s="1"/>
  <c r="M136" i="20"/>
  <c r="I136" i="20"/>
  <c r="H136" i="20"/>
  <c r="G136" i="20"/>
  <c r="F136" i="20"/>
  <c r="E136" i="20"/>
  <c r="L136" i="20" s="1"/>
  <c r="N135" i="20"/>
  <c r="O135" i="20" s="1"/>
  <c r="M135" i="20"/>
  <c r="I135" i="20"/>
  <c r="H135" i="20"/>
  <c r="G135" i="20"/>
  <c r="F135" i="20"/>
  <c r="E135" i="20"/>
  <c r="L135" i="20" s="1"/>
  <c r="N134" i="20"/>
  <c r="O134" i="20" s="1"/>
  <c r="M134" i="20"/>
  <c r="I134" i="20"/>
  <c r="H134" i="20"/>
  <c r="G134" i="20"/>
  <c r="F134" i="20"/>
  <c r="E134" i="20"/>
  <c r="L134" i="20" s="1"/>
  <c r="N133" i="20"/>
  <c r="O133" i="20" s="1"/>
  <c r="M133" i="20"/>
  <c r="I133" i="20"/>
  <c r="H133" i="20"/>
  <c r="G133" i="20"/>
  <c r="F133" i="20"/>
  <c r="E133" i="20"/>
  <c r="L133" i="20" s="1"/>
  <c r="N132" i="20"/>
  <c r="O132" i="20" s="1"/>
  <c r="M132" i="20"/>
  <c r="I132" i="20"/>
  <c r="H132" i="20"/>
  <c r="G132" i="20"/>
  <c r="F132" i="20"/>
  <c r="E132" i="20"/>
  <c r="L132" i="20" s="1"/>
  <c r="N130" i="20"/>
  <c r="O130" i="20" s="1"/>
  <c r="M130" i="20"/>
  <c r="I130" i="20"/>
  <c r="H130" i="20"/>
  <c r="G130" i="20"/>
  <c r="F130" i="20"/>
  <c r="E130" i="20"/>
  <c r="L130" i="20" s="1"/>
  <c r="N129" i="20"/>
  <c r="O129" i="20" s="1"/>
  <c r="M129" i="20"/>
  <c r="I129" i="20"/>
  <c r="H129" i="20"/>
  <c r="G129" i="20"/>
  <c r="F129" i="20"/>
  <c r="E129" i="20"/>
  <c r="L129" i="20" s="1"/>
  <c r="N128" i="20"/>
  <c r="O128" i="20" s="1"/>
  <c r="M128" i="20"/>
  <c r="I128" i="20"/>
  <c r="H128" i="20"/>
  <c r="G128" i="20"/>
  <c r="F128" i="20"/>
  <c r="E128" i="20"/>
  <c r="L128" i="20" s="1"/>
  <c r="N127" i="20"/>
  <c r="O127" i="20" s="1"/>
  <c r="M127" i="20"/>
  <c r="I127" i="20"/>
  <c r="H127" i="20"/>
  <c r="G127" i="20"/>
  <c r="F127" i="20"/>
  <c r="E127" i="20"/>
  <c r="L127" i="20" s="1"/>
  <c r="T129" i="20" s="1"/>
  <c r="N126" i="20"/>
  <c r="O126" i="20" s="1"/>
  <c r="M126" i="20"/>
  <c r="I126" i="20"/>
  <c r="H126" i="20"/>
  <c r="G126" i="20"/>
  <c r="F126" i="20"/>
  <c r="E126" i="20"/>
  <c r="L126" i="20" s="1"/>
  <c r="N125" i="20"/>
  <c r="O125" i="20" s="1"/>
  <c r="M125" i="20"/>
  <c r="I125" i="20"/>
  <c r="H125" i="20"/>
  <c r="G125" i="20"/>
  <c r="F125" i="20"/>
  <c r="E125" i="20"/>
  <c r="L125" i="20" s="1"/>
  <c r="N124" i="20"/>
  <c r="O124" i="20" s="1"/>
  <c r="M124" i="20"/>
  <c r="I124" i="20"/>
  <c r="H124" i="20"/>
  <c r="G124" i="20"/>
  <c r="F124" i="20"/>
  <c r="E124" i="20"/>
  <c r="L124" i="20" s="1"/>
  <c r="N123" i="20"/>
  <c r="O123" i="20" s="1"/>
  <c r="M123" i="20"/>
  <c r="I123" i="20"/>
  <c r="H123" i="20"/>
  <c r="G123" i="20"/>
  <c r="F123" i="20"/>
  <c r="E123" i="20"/>
  <c r="L123" i="20" s="1"/>
  <c r="N121" i="20"/>
  <c r="O121" i="20" s="1"/>
  <c r="M121" i="20"/>
  <c r="I121" i="20"/>
  <c r="H121" i="20"/>
  <c r="G121" i="20"/>
  <c r="F121" i="20"/>
  <c r="E121" i="20"/>
  <c r="L121" i="20" s="1"/>
  <c r="N120" i="20"/>
  <c r="O120" i="20" s="1"/>
  <c r="M120" i="20"/>
  <c r="I120" i="20"/>
  <c r="H120" i="20"/>
  <c r="G120" i="20"/>
  <c r="F120" i="20"/>
  <c r="E120" i="20"/>
  <c r="L120" i="20" s="1"/>
  <c r="N119" i="20"/>
  <c r="O119" i="20" s="1"/>
  <c r="M119" i="20"/>
  <c r="I119" i="20"/>
  <c r="H119" i="20"/>
  <c r="G119" i="20"/>
  <c r="F119" i="20"/>
  <c r="E119" i="20"/>
  <c r="L119" i="20" s="1"/>
  <c r="N117" i="20"/>
  <c r="O117" i="20" s="1"/>
  <c r="M117" i="20"/>
  <c r="I117" i="20"/>
  <c r="H117" i="20"/>
  <c r="G117" i="20"/>
  <c r="F117" i="20"/>
  <c r="E117" i="20"/>
  <c r="L117" i="20" s="1"/>
  <c r="N116" i="20"/>
  <c r="O116" i="20" s="1"/>
  <c r="M116" i="20"/>
  <c r="I116" i="20"/>
  <c r="H116" i="20"/>
  <c r="G116" i="20"/>
  <c r="F116" i="20"/>
  <c r="E116" i="20"/>
  <c r="L116" i="20" s="1"/>
  <c r="N115" i="20"/>
  <c r="O115" i="20" s="1"/>
  <c r="M115" i="20"/>
  <c r="I115" i="20"/>
  <c r="H115" i="20"/>
  <c r="G115" i="20"/>
  <c r="F115" i="20"/>
  <c r="E115" i="20"/>
  <c r="L115" i="20" s="1"/>
  <c r="N114" i="20"/>
  <c r="O114" i="20" s="1"/>
  <c r="M114" i="20"/>
  <c r="I114" i="20"/>
  <c r="H114" i="20"/>
  <c r="G114" i="20"/>
  <c r="F114" i="20"/>
  <c r="E114" i="20"/>
  <c r="L114" i="20" s="1"/>
  <c r="T113" i="20" s="1"/>
  <c r="T118" i="20" s="1"/>
  <c r="N113" i="20"/>
  <c r="O113" i="20" s="1"/>
  <c r="M113" i="20"/>
  <c r="I113" i="20"/>
  <c r="H113" i="20"/>
  <c r="G113" i="20"/>
  <c r="F113" i="20"/>
  <c r="E113" i="20"/>
  <c r="L113" i="20" s="1"/>
  <c r="N112" i="20"/>
  <c r="O112" i="20" s="1"/>
  <c r="M112" i="20"/>
  <c r="I112" i="20"/>
  <c r="H112" i="20"/>
  <c r="G112" i="20"/>
  <c r="F112" i="20"/>
  <c r="E112" i="20"/>
  <c r="L112" i="20" s="1"/>
  <c r="N111" i="20"/>
  <c r="O111" i="20" s="1"/>
  <c r="M111" i="20"/>
  <c r="I111" i="20"/>
  <c r="H111" i="20"/>
  <c r="G111" i="20"/>
  <c r="F111" i="20"/>
  <c r="E111" i="20"/>
  <c r="L111" i="20" s="1"/>
  <c r="N110" i="20"/>
  <c r="O110" i="20" s="1"/>
  <c r="M110" i="20"/>
  <c r="I110" i="20"/>
  <c r="H110" i="20"/>
  <c r="G110" i="20"/>
  <c r="F110" i="20"/>
  <c r="E110" i="20"/>
  <c r="L110" i="20" s="1"/>
  <c r="N108" i="20"/>
  <c r="O108" i="20" s="1"/>
  <c r="M108" i="20"/>
  <c r="I108" i="20"/>
  <c r="H108" i="20"/>
  <c r="G108" i="20"/>
  <c r="F108" i="20"/>
  <c r="E108" i="20"/>
  <c r="L108" i="20" s="1"/>
  <c r="N107" i="20"/>
  <c r="O107" i="20" s="1"/>
  <c r="M107" i="20"/>
  <c r="I107" i="20"/>
  <c r="H107" i="20"/>
  <c r="G107" i="20"/>
  <c r="F107" i="20"/>
  <c r="E107" i="20"/>
  <c r="L107" i="20" s="1"/>
  <c r="N106" i="20"/>
  <c r="O106" i="20" s="1"/>
  <c r="M106" i="20"/>
  <c r="I106" i="20"/>
  <c r="H106" i="20"/>
  <c r="G106" i="20"/>
  <c r="F106" i="20"/>
  <c r="E106" i="20"/>
  <c r="L106" i="20" s="1"/>
  <c r="N105" i="20"/>
  <c r="O105" i="20" s="1"/>
  <c r="M105" i="20"/>
  <c r="I105" i="20"/>
  <c r="H105" i="20"/>
  <c r="G105" i="20"/>
  <c r="F105" i="20"/>
  <c r="E105" i="20"/>
  <c r="L105" i="20" s="1"/>
  <c r="N103" i="20"/>
  <c r="O103" i="20" s="1"/>
  <c r="M103" i="20"/>
  <c r="I103" i="20"/>
  <c r="H103" i="20"/>
  <c r="G103" i="20"/>
  <c r="F103" i="20"/>
  <c r="E103" i="20"/>
  <c r="L103" i="20" s="1"/>
  <c r="N102" i="20"/>
  <c r="O102" i="20" s="1"/>
  <c r="M102" i="20"/>
  <c r="I102" i="20"/>
  <c r="H102" i="20"/>
  <c r="G102" i="20"/>
  <c r="F102" i="20"/>
  <c r="E102" i="20"/>
  <c r="L102" i="20" s="1"/>
  <c r="N101" i="20"/>
  <c r="O101" i="20" s="1"/>
  <c r="M101" i="20"/>
  <c r="I101" i="20"/>
  <c r="H101" i="20"/>
  <c r="G101" i="20"/>
  <c r="F101" i="20"/>
  <c r="E101" i="20"/>
  <c r="L101" i="20" s="1"/>
  <c r="N100" i="20"/>
  <c r="O100" i="20" s="1"/>
  <c r="M100" i="20"/>
  <c r="I100" i="20"/>
  <c r="H100" i="20"/>
  <c r="G100" i="20"/>
  <c r="F100" i="20"/>
  <c r="E100" i="20"/>
  <c r="L100" i="20" s="1"/>
  <c r="N5" i="20"/>
  <c r="O5" i="20" s="1"/>
  <c r="M5" i="20"/>
  <c r="I5" i="20"/>
  <c r="H5" i="20"/>
  <c r="G5" i="20"/>
  <c r="F5" i="20"/>
  <c r="E5" i="20"/>
  <c r="L5" i="20" s="1"/>
  <c r="N99" i="20"/>
  <c r="O99" i="20" s="1"/>
  <c r="M99" i="20"/>
  <c r="I99" i="20"/>
  <c r="H99" i="20"/>
  <c r="G99" i="20"/>
  <c r="F99" i="20"/>
  <c r="E99" i="20"/>
  <c r="L99" i="20" s="1"/>
  <c r="E6" i="20"/>
  <c r="L6" i="20" s="1"/>
  <c r="F6" i="20"/>
  <c r="G6" i="20"/>
  <c r="H6" i="20"/>
  <c r="I6" i="20"/>
  <c r="M6" i="20"/>
  <c r="N6" i="20"/>
  <c r="O6" i="20" s="1"/>
  <c r="E7" i="20"/>
  <c r="L7" i="20" s="1"/>
  <c r="F7" i="20"/>
  <c r="G7" i="20"/>
  <c r="H7" i="20"/>
  <c r="I7" i="20"/>
  <c r="M7" i="20"/>
  <c r="N7" i="20"/>
  <c r="O7" i="20" s="1"/>
  <c r="E8" i="20"/>
  <c r="L8" i="20" s="1"/>
  <c r="F8" i="20"/>
  <c r="G8" i="20"/>
  <c r="H8" i="20"/>
  <c r="I8" i="20"/>
  <c r="M8" i="20"/>
  <c r="N8" i="20"/>
  <c r="O8" i="20" s="1"/>
  <c r="E9" i="20"/>
  <c r="L9" i="20" s="1"/>
  <c r="F9" i="20"/>
  <c r="G9" i="20"/>
  <c r="H9" i="20"/>
  <c r="I9" i="20"/>
  <c r="M9" i="20"/>
  <c r="N9" i="20"/>
  <c r="O9" i="20" s="1"/>
  <c r="E11" i="20"/>
  <c r="L11" i="20" s="1"/>
  <c r="F11" i="20"/>
  <c r="G11" i="20"/>
  <c r="H11" i="20"/>
  <c r="I11" i="20"/>
  <c r="M11" i="20"/>
  <c r="N11" i="20"/>
  <c r="O11" i="20" s="1"/>
  <c r="E12" i="20"/>
  <c r="L12" i="20" s="1"/>
  <c r="F12" i="20"/>
  <c r="G12" i="20"/>
  <c r="H12" i="20"/>
  <c r="I12" i="20"/>
  <c r="M12" i="20"/>
  <c r="N12" i="20"/>
  <c r="O12" i="20" s="1"/>
  <c r="E13" i="20"/>
  <c r="L13" i="20" s="1"/>
  <c r="F13" i="20"/>
  <c r="G13" i="20"/>
  <c r="H13" i="20"/>
  <c r="I13" i="20"/>
  <c r="M13" i="20"/>
  <c r="N13" i="20"/>
  <c r="O13" i="20" s="1"/>
  <c r="E14" i="20"/>
  <c r="L14" i="20" s="1"/>
  <c r="F14" i="20"/>
  <c r="G14" i="20"/>
  <c r="H14" i="20"/>
  <c r="I14" i="20"/>
  <c r="M14" i="20"/>
  <c r="N14" i="20"/>
  <c r="O14" i="20" s="1"/>
  <c r="E16" i="20"/>
  <c r="L16" i="20" s="1"/>
  <c r="F16" i="20"/>
  <c r="G16" i="20"/>
  <c r="H16" i="20"/>
  <c r="I16" i="20"/>
  <c r="M16" i="20"/>
  <c r="N16" i="20"/>
  <c r="O16" i="20" s="1"/>
  <c r="E17" i="20"/>
  <c r="F17" i="20"/>
  <c r="G17" i="20"/>
  <c r="H17" i="20"/>
  <c r="I17" i="20"/>
  <c r="M17" i="20"/>
  <c r="N17" i="20"/>
  <c r="O17" i="20" s="1"/>
  <c r="E18" i="20"/>
  <c r="L18" i="20" s="1"/>
  <c r="F18" i="20"/>
  <c r="G18" i="20"/>
  <c r="H18" i="20"/>
  <c r="I18" i="20"/>
  <c r="M18" i="20"/>
  <c r="N18" i="20"/>
  <c r="O18" i="20" s="1"/>
  <c r="E19" i="20"/>
  <c r="L19" i="20" s="1"/>
  <c r="F19" i="20"/>
  <c r="G19" i="20"/>
  <c r="H19" i="20"/>
  <c r="I19" i="20"/>
  <c r="M19" i="20"/>
  <c r="N19" i="20"/>
  <c r="O19" i="20" s="1"/>
  <c r="E20" i="20"/>
  <c r="L20" i="20" s="1"/>
  <c r="F20" i="20"/>
  <c r="G20" i="20"/>
  <c r="H20" i="20"/>
  <c r="I20" i="20"/>
  <c r="M20" i="20"/>
  <c r="N20" i="20"/>
  <c r="O20" i="20" s="1"/>
  <c r="E21" i="20"/>
  <c r="L21" i="20" s="1"/>
  <c r="F21" i="20"/>
  <c r="G21" i="20"/>
  <c r="H21" i="20"/>
  <c r="I21" i="20"/>
  <c r="M21" i="20"/>
  <c r="N21" i="20"/>
  <c r="O21" i="20" s="1"/>
  <c r="E22" i="20"/>
  <c r="L22" i="20" s="1"/>
  <c r="F22" i="20"/>
  <c r="G22" i="20"/>
  <c r="H22" i="20"/>
  <c r="I22" i="20"/>
  <c r="M22" i="20"/>
  <c r="N22" i="20"/>
  <c r="O22" i="20" s="1"/>
  <c r="E23" i="20"/>
  <c r="L23" i="20" s="1"/>
  <c r="F23" i="20"/>
  <c r="G23" i="20"/>
  <c r="H23" i="20"/>
  <c r="I23" i="20"/>
  <c r="M23" i="20"/>
  <c r="N23" i="20"/>
  <c r="O23" i="20" s="1"/>
  <c r="E25" i="20"/>
  <c r="L25" i="20" s="1"/>
  <c r="F25" i="20"/>
  <c r="G25" i="20"/>
  <c r="H25" i="20"/>
  <c r="I25" i="20"/>
  <c r="M25" i="20"/>
  <c r="N25" i="20"/>
  <c r="O25" i="20" s="1"/>
  <c r="E26" i="20"/>
  <c r="L26" i="20" s="1"/>
  <c r="F26" i="20"/>
  <c r="G26" i="20"/>
  <c r="H26" i="20"/>
  <c r="I26" i="20"/>
  <c r="M26" i="20"/>
  <c r="N26" i="20"/>
  <c r="O26" i="20" s="1"/>
  <c r="E27" i="20"/>
  <c r="L27" i="20" s="1"/>
  <c r="F27" i="20"/>
  <c r="G27" i="20"/>
  <c r="H27" i="20"/>
  <c r="I27" i="20"/>
  <c r="M27" i="20"/>
  <c r="N27" i="20"/>
  <c r="O27" i="20" s="1"/>
  <c r="E29" i="20"/>
  <c r="L29" i="20" s="1"/>
  <c r="F29" i="20"/>
  <c r="G29" i="20"/>
  <c r="H29" i="20"/>
  <c r="I29" i="20"/>
  <c r="M29" i="20"/>
  <c r="N29" i="20"/>
  <c r="O29" i="20" s="1"/>
  <c r="E30" i="20"/>
  <c r="L30" i="20" s="1"/>
  <c r="F30" i="20"/>
  <c r="G30" i="20"/>
  <c r="H30" i="20"/>
  <c r="I30" i="20"/>
  <c r="M30" i="20"/>
  <c r="N30" i="20"/>
  <c r="O30" i="20" s="1"/>
  <c r="E31" i="20"/>
  <c r="L31" i="20" s="1"/>
  <c r="F31" i="20"/>
  <c r="G31" i="20"/>
  <c r="H31" i="20"/>
  <c r="I31" i="20"/>
  <c r="M31" i="20"/>
  <c r="N31" i="20"/>
  <c r="O31" i="20" s="1"/>
  <c r="E32" i="20"/>
  <c r="L32" i="20" s="1"/>
  <c r="F32" i="20"/>
  <c r="G32" i="20"/>
  <c r="H32" i="20"/>
  <c r="I32" i="20"/>
  <c r="M32" i="20"/>
  <c r="N32" i="20"/>
  <c r="O32" i="20" s="1"/>
  <c r="E33" i="20"/>
  <c r="L33" i="20" s="1"/>
  <c r="F33" i="20"/>
  <c r="G33" i="20"/>
  <c r="H33" i="20"/>
  <c r="I33" i="20"/>
  <c r="M33" i="20"/>
  <c r="N33" i="20"/>
  <c r="O33" i="20" s="1"/>
  <c r="E34" i="20"/>
  <c r="F34" i="20"/>
  <c r="G34" i="20"/>
  <c r="H34" i="20"/>
  <c r="I34" i="20"/>
  <c r="M34" i="20"/>
  <c r="N34" i="20"/>
  <c r="O34" i="20" s="1"/>
  <c r="E35" i="20"/>
  <c r="L35" i="20" s="1"/>
  <c r="F35" i="20"/>
  <c r="G35" i="20"/>
  <c r="H35" i="20"/>
  <c r="I35" i="20"/>
  <c r="M35" i="20"/>
  <c r="N35" i="20"/>
  <c r="O35" i="20" s="1"/>
  <c r="E36" i="20"/>
  <c r="L36" i="20" s="1"/>
  <c r="F36" i="20"/>
  <c r="G36" i="20"/>
  <c r="H36" i="20"/>
  <c r="I36" i="20"/>
  <c r="M36" i="20"/>
  <c r="N36" i="20"/>
  <c r="O36" i="20" s="1"/>
  <c r="E38" i="20"/>
  <c r="L38" i="20" s="1"/>
  <c r="F38" i="20"/>
  <c r="G38" i="20"/>
  <c r="H38" i="20"/>
  <c r="I38" i="20"/>
  <c r="M38" i="20"/>
  <c r="N38" i="20"/>
  <c r="O38" i="20" s="1"/>
  <c r="E39" i="20"/>
  <c r="L39" i="20" s="1"/>
  <c r="F39" i="20"/>
  <c r="G39" i="20"/>
  <c r="H39" i="20"/>
  <c r="I39" i="20"/>
  <c r="M39" i="20"/>
  <c r="N39" i="20"/>
  <c r="O39" i="20" s="1"/>
  <c r="E40" i="20"/>
  <c r="L40" i="20" s="1"/>
  <c r="F40" i="20"/>
  <c r="G40" i="20"/>
  <c r="H40" i="20"/>
  <c r="I40" i="20"/>
  <c r="M40" i="20"/>
  <c r="N40" i="20"/>
  <c r="O40" i="20" s="1"/>
  <c r="E41" i="20"/>
  <c r="L41" i="20" s="1"/>
  <c r="F41" i="20"/>
  <c r="G41" i="20"/>
  <c r="H41" i="20"/>
  <c r="I41" i="20"/>
  <c r="M41" i="20"/>
  <c r="N41" i="20"/>
  <c r="O41" i="20" s="1"/>
  <c r="E42" i="20"/>
  <c r="L42" i="20" s="1"/>
  <c r="F42" i="20"/>
  <c r="G42" i="20"/>
  <c r="H42" i="20"/>
  <c r="I42" i="20"/>
  <c r="M42" i="20"/>
  <c r="N42" i="20"/>
  <c r="O42" i="20" s="1"/>
  <c r="E43" i="20"/>
  <c r="F43" i="20"/>
  <c r="G43" i="20"/>
  <c r="H43" i="20"/>
  <c r="I43" i="20"/>
  <c r="M43" i="20"/>
  <c r="N43" i="20"/>
  <c r="O43" i="20" s="1"/>
  <c r="E44" i="20"/>
  <c r="L44" i="20" s="1"/>
  <c r="F44" i="20"/>
  <c r="G44" i="20"/>
  <c r="H44" i="20"/>
  <c r="I44" i="20"/>
  <c r="M44" i="20"/>
  <c r="N44" i="20"/>
  <c r="O44" i="20" s="1"/>
  <c r="E46" i="20"/>
  <c r="L46" i="20" s="1"/>
  <c r="F46" i="20"/>
  <c r="G46" i="20"/>
  <c r="H46" i="20"/>
  <c r="I46" i="20"/>
  <c r="M46" i="20"/>
  <c r="N46" i="20"/>
  <c r="O46" i="20" s="1"/>
  <c r="E47" i="20"/>
  <c r="L47" i="20" s="1"/>
  <c r="F47" i="20"/>
  <c r="G47" i="20"/>
  <c r="H47" i="20"/>
  <c r="I47" i="20"/>
  <c r="M47" i="20"/>
  <c r="N47" i="20"/>
  <c r="O47" i="20" s="1"/>
  <c r="E48" i="20"/>
  <c r="L48" i="20" s="1"/>
  <c r="F48" i="20"/>
  <c r="G48" i="20"/>
  <c r="H48" i="20"/>
  <c r="I48" i="20"/>
  <c r="M48" i="20"/>
  <c r="N48" i="20"/>
  <c r="O48" i="20" s="1"/>
  <c r="E49" i="20"/>
  <c r="L49" i="20" s="1"/>
  <c r="F49" i="20"/>
  <c r="G49" i="20"/>
  <c r="H49" i="20"/>
  <c r="I49" i="20"/>
  <c r="M49" i="20"/>
  <c r="N49" i="20"/>
  <c r="O49" i="20" s="1"/>
  <c r="E51" i="20"/>
  <c r="L51" i="20" s="1"/>
  <c r="F51" i="20"/>
  <c r="G51" i="20"/>
  <c r="H51" i="20"/>
  <c r="I51" i="20"/>
  <c r="M51" i="20"/>
  <c r="N51" i="20"/>
  <c r="O51" i="20" s="1"/>
  <c r="E52" i="20"/>
  <c r="L52" i="20" s="1"/>
  <c r="F52" i="20"/>
  <c r="G52" i="20"/>
  <c r="H52" i="20"/>
  <c r="I52" i="20"/>
  <c r="M52" i="20"/>
  <c r="N52" i="20"/>
  <c r="O52" i="20" s="1"/>
  <c r="E53" i="20"/>
  <c r="L53" i="20" s="1"/>
  <c r="F53" i="20"/>
  <c r="G53" i="20"/>
  <c r="H53" i="20"/>
  <c r="I53" i="20"/>
  <c r="M53" i="20"/>
  <c r="N53" i="20"/>
  <c r="O53" i="20" s="1"/>
  <c r="E54" i="20"/>
  <c r="L54" i="20" s="1"/>
  <c r="F54" i="20"/>
  <c r="G54" i="20"/>
  <c r="H54" i="20"/>
  <c r="I54" i="20"/>
  <c r="M54" i="20"/>
  <c r="N54" i="20"/>
  <c r="O54" i="20" s="1"/>
  <c r="E56" i="20"/>
  <c r="L56" i="20" s="1"/>
  <c r="F56" i="20"/>
  <c r="G56" i="20"/>
  <c r="H56" i="20"/>
  <c r="I56" i="20"/>
  <c r="M56" i="20"/>
  <c r="N56" i="20"/>
  <c r="O56" i="20" s="1"/>
  <c r="E57" i="20"/>
  <c r="L57" i="20" s="1"/>
  <c r="F57" i="20"/>
  <c r="G57" i="20"/>
  <c r="H57" i="20"/>
  <c r="I57" i="20"/>
  <c r="M57" i="20"/>
  <c r="N57" i="20"/>
  <c r="O57" i="20" s="1"/>
  <c r="E58" i="20"/>
  <c r="L58" i="20" s="1"/>
  <c r="F58" i="20"/>
  <c r="G58" i="20"/>
  <c r="H58" i="20"/>
  <c r="I58" i="20"/>
  <c r="M58" i="20"/>
  <c r="N58" i="20"/>
  <c r="O58" i="20" s="1"/>
  <c r="E60" i="20"/>
  <c r="L60" i="20" s="1"/>
  <c r="F60" i="20"/>
  <c r="G60" i="20"/>
  <c r="H60" i="20"/>
  <c r="I60" i="20"/>
  <c r="M60" i="20"/>
  <c r="N60" i="20"/>
  <c r="O60" i="20" s="1"/>
  <c r="E61" i="20"/>
  <c r="L61" i="20" s="1"/>
  <c r="F61" i="20"/>
  <c r="G61" i="20"/>
  <c r="H61" i="20"/>
  <c r="I61" i="20"/>
  <c r="M61" i="20"/>
  <c r="N61" i="20"/>
  <c r="O61" i="20" s="1"/>
  <c r="E62" i="20"/>
  <c r="L62" i="20" s="1"/>
  <c r="F62" i="20"/>
  <c r="G62" i="20"/>
  <c r="H62" i="20"/>
  <c r="I62" i="20"/>
  <c r="M62" i="20"/>
  <c r="N62" i="20"/>
  <c r="O62" i="20" s="1"/>
  <c r="E63" i="20"/>
  <c r="L63" i="20" s="1"/>
  <c r="F63" i="20"/>
  <c r="G63" i="20"/>
  <c r="H63" i="20"/>
  <c r="I63" i="20"/>
  <c r="M63" i="20"/>
  <c r="N63" i="20"/>
  <c r="O63" i="20" s="1"/>
  <c r="E64" i="20"/>
  <c r="L64" i="20" s="1"/>
  <c r="F64" i="20"/>
  <c r="G64" i="20"/>
  <c r="H64" i="20"/>
  <c r="I64" i="20"/>
  <c r="M64" i="20"/>
  <c r="N64" i="20"/>
  <c r="O64" i="20" s="1"/>
  <c r="E65" i="20"/>
  <c r="L65" i="20" s="1"/>
  <c r="F65" i="20"/>
  <c r="G65" i="20"/>
  <c r="H65" i="20"/>
  <c r="I65" i="20"/>
  <c r="M65" i="20"/>
  <c r="N65" i="20"/>
  <c r="O65" i="20" s="1"/>
  <c r="E66" i="20"/>
  <c r="L66" i="20" s="1"/>
  <c r="F66" i="20"/>
  <c r="G66" i="20"/>
  <c r="H66" i="20"/>
  <c r="I66" i="20"/>
  <c r="M66" i="20"/>
  <c r="N66" i="20"/>
  <c r="O66" i="20" s="1"/>
  <c r="AC187" i="20"/>
  <c r="AB187" i="20"/>
  <c r="AA187" i="20"/>
  <c r="Z187" i="20"/>
  <c r="Y187" i="20"/>
  <c r="X187" i="20"/>
  <c r="AC181" i="20"/>
  <c r="AB181" i="20"/>
  <c r="AA181" i="20"/>
  <c r="Z181" i="20"/>
  <c r="Y181" i="20"/>
  <c r="X181" i="20"/>
  <c r="W181" i="20"/>
  <c r="V181" i="20"/>
  <c r="U181" i="20"/>
  <c r="T181" i="20"/>
  <c r="AC174" i="20"/>
  <c r="AB174" i="20"/>
  <c r="AA174" i="20"/>
  <c r="Z174" i="20"/>
  <c r="Y174" i="20"/>
  <c r="X174" i="20"/>
  <c r="AC169" i="20"/>
  <c r="AB169" i="20"/>
  <c r="AA169" i="20"/>
  <c r="Z169" i="20"/>
  <c r="Y169" i="20"/>
  <c r="X169" i="20"/>
  <c r="AC161" i="20"/>
  <c r="AB161" i="20"/>
  <c r="AA161" i="20"/>
  <c r="W161" i="20"/>
  <c r="V161" i="20"/>
  <c r="U161" i="20"/>
  <c r="T161" i="20"/>
  <c r="AC153" i="20"/>
  <c r="AB153" i="20"/>
  <c r="AA153" i="20"/>
  <c r="W153" i="20"/>
  <c r="V153" i="20"/>
  <c r="U153" i="20"/>
  <c r="T153" i="20"/>
  <c r="AC149" i="20"/>
  <c r="AB149" i="20"/>
  <c r="AA149" i="20"/>
  <c r="Z149" i="20"/>
  <c r="Y149" i="20"/>
  <c r="X149" i="20"/>
  <c r="W149" i="20"/>
  <c r="V149" i="20"/>
  <c r="U149" i="20"/>
  <c r="T149" i="20"/>
  <c r="AC144" i="20"/>
  <c r="AB144" i="20"/>
  <c r="AA144" i="20"/>
  <c r="W144" i="20"/>
  <c r="V144" i="20"/>
  <c r="U144" i="20"/>
  <c r="T144" i="20"/>
  <c r="AC139" i="20"/>
  <c r="AB139" i="20"/>
  <c r="AA139" i="20"/>
  <c r="Z139" i="20"/>
  <c r="Y139" i="20"/>
  <c r="X139" i="20"/>
  <c r="W139" i="20"/>
  <c r="V139" i="20"/>
  <c r="U139" i="20"/>
  <c r="T139" i="20"/>
  <c r="AC131" i="20"/>
  <c r="AB131" i="20"/>
  <c r="AA131" i="20"/>
  <c r="AC122" i="20"/>
  <c r="AB122" i="20"/>
  <c r="AA122" i="20"/>
  <c r="W122" i="20"/>
  <c r="V122" i="20"/>
  <c r="U122" i="20"/>
  <c r="T122" i="20"/>
  <c r="AC118" i="20"/>
  <c r="AB118" i="20"/>
  <c r="AA118" i="20"/>
  <c r="AC109" i="20"/>
  <c r="AB109" i="20"/>
  <c r="AA109" i="20"/>
  <c r="W109" i="20"/>
  <c r="V109" i="20"/>
  <c r="U109" i="20"/>
  <c r="T109" i="20"/>
  <c r="AC104" i="20"/>
  <c r="AB104" i="20"/>
  <c r="AA104" i="20"/>
  <c r="W104" i="20"/>
  <c r="V104" i="20"/>
  <c r="U104" i="20"/>
  <c r="T104" i="20"/>
  <c r="AJ98" i="20"/>
  <c r="D74" i="6" l="1"/>
  <c r="D66" i="6"/>
  <c r="K67" i="6"/>
  <c r="L62" i="6" s="1"/>
  <c r="M62" i="6" s="1" a="1"/>
  <c r="M62" i="6" s="1"/>
  <c r="M67" i="6" s="1"/>
  <c r="D58" i="6"/>
  <c r="D17" i="6"/>
  <c r="K18" i="6"/>
  <c r="L15" i="6" s="1"/>
  <c r="D98" i="6"/>
  <c r="D33" i="6"/>
  <c r="Q475" i="20"/>
  <c r="S475" i="20" s="1"/>
  <c r="AF475" i="20" s="1"/>
  <c r="I95" i="28" s="1"/>
  <c r="Z95" i="28" s="1"/>
  <c r="Q468" i="20"/>
  <c r="S468" i="20" s="1"/>
  <c r="AF468" i="20" s="1"/>
  <c r="I89" i="28" s="1"/>
  <c r="Z89" i="28" s="1"/>
  <c r="Q399" i="20"/>
  <c r="S399" i="20" s="1"/>
  <c r="Q425" i="20"/>
  <c r="S425" i="20" s="1"/>
  <c r="AF425" i="20" s="1"/>
  <c r="I57" i="28" s="1"/>
  <c r="Z57" i="28" s="1"/>
  <c r="Q429" i="20"/>
  <c r="S429" i="20" s="1"/>
  <c r="Q434" i="20"/>
  <c r="S434" i="20" s="1"/>
  <c r="AF434" i="20" s="1"/>
  <c r="Q467" i="20"/>
  <c r="S467" i="20" s="1"/>
  <c r="AF467" i="20" s="1"/>
  <c r="I88" i="28" s="1"/>
  <c r="Z88" i="28" s="1"/>
  <c r="Q404" i="20"/>
  <c r="S404" i="20" s="1"/>
  <c r="AF404" i="20" s="1"/>
  <c r="Q463" i="20"/>
  <c r="S463" i="20" s="1"/>
  <c r="AF463" i="20" s="1"/>
  <c r="Q447" i="20"/>
  <c r="S447" i="20" s="1"/>
  <c r="AF447" i="20" s="1"/>
  <c r="Q389" i="20"/>
  <c r="S389" i="20" s="1"/>
  <c r="AF389" i="20" s="1"/>
  <c r="I26" i="28" s="1"/>
  <c r="Z26" i="28" s="1"/>
  <c r="Q449" i="20"/>
  <c r="S449" i="20" s="1"/>
  <c r="AF449" i="20" s="1"/>
  <c r="Q469" i="20"/>
  <c r="S469" i="20" s="1"/>
  <c r="AF469" i="20" s="1"/>
  <c r="Q435" i="20"/>
  <c r="S435" i="20" s="1"/>
  <c r="AF435" i="20" s="1"/>
  <c r="Q423" i="20"/>
  <c r="S423" i="20" s="1"/>
  <c r="AF423" i="20" s="1"/>
  <c r="Q476" i="20"/>
  <c r="S476" i="20" s="1"/>
  <c r="AF476" i="20" s="1"/>
  <c r="Q474" i="20"/>
  <c r="S474" i="20" s="1"/>
  <c r="Q416" i="20"/>
  <c r="S416" i="20" s="1"/>
  <c r="AF416" i="20" s="1"/>
  <c r="Q430" i="20"/>
  <c r="S430" i="20" s="1"/>
  <c r="AF430" i="20" s="1"/>
  <c r="I61" i="28" s="1"/>
  <c r="Z61" i="28" s="1"/>
  <c r="Q470" i="20"/>
  <c r="S470" i="20" s="1"/>
  <c r="AF470" i="20" s="1"/>
  <c r="Q424" i="20"/>
  <c r="S424" i="20" s="1"/>
  <c r="AF424" i="20" s="1"/>
  <c r="Q472" i="20"/>
  <c r="S472" i="20" s="1"/>
  <c r="AF472" i="20" s="1"/>
  <c r="Q426" i="20"/>
  <c r="S426" i="20" s="1"/>
  <c r="AF426" i="20" s="1"/>
  <c r="Q471" i="20"/>
  <c r="S471" i="20" s="1"/>
  <c r="AF471" i="20" s="1"/>
  <c r="I92" i="28" s="1"/>
  <c r="Q448" i="20"/>
  <c r="S448" i="20" s="1"/>
  <c r="AF448" i="20" s="1"/>
  <c r="Q458" i="20"/>
  <c r="S458" i="20" s="1"/>
  <c r="AF458" i="20" s="1"/>
  <c r="Q394" i="20"/>
  <c r="S394" i="20" s="1"/>
  <c r="AF394" i="20" s="1"/>
  <c r="I30" i="28" s="1"/>
  <c r="Z30" i="28" s="1"/>
  <c r="Q421" i="20"/>
  <c r="S421" i="20" s="1"/>
  <c r="AF421" i="20" s="1"/>
  <c r="I53" i="28" s="1"/>
  <c r="Z53" i="28" s="1"/>
  <c r="Q409" i="20"/>
  <c r="S409" i="20" s="1"/>
  <c r="AF409" i="20" s="1"/>
  <c r="Q392" i="20"/>
  <c r="S392" i="20" s="1"/>
  <c r="AF392" i="20" s="1"/>
  <c r="U420" i="20"/>
  <c r="Q451" i="20"/>
  <c r="S451" i="20" s="1"/>
  <c r="AF451" i="20" s="1"/>
  <c r="Q477" i="20"/>
  <c r="S477" i="20" s="1"/>
  <c r="Q414" i="20"/>
  <c r="S414" i="20" s="1"/>
  <c r="AF414" i="20" s="1"/>
  <c r="Q400" i="20"/>
  <c r="S400" i="20" s="1"/>
  <c r="AF400" i="20" s="1"/>
  <c r="I35" i="28" s="1"/>
  <c r="Z35" i="28" s="1"/>
  <c r="Q455" i="20"/>
  <c r="S455" i="20" s="1"/>
  <c r="AF455" i="20" s="1"/>
  <c r="Q419" i="20"/>
  <c r="S419" i="20" s="1"/>
  <c r="AF419" i="20" s="1"/>
  <c r="Q422" i="20"/>
  <c r="S422" i="20" s="1"/>
  <c r="AF422" i="20" s="1"/>
  <c r="Q450" i="20"/>
  <c r="S450" i="20" s="1"/>
  <c r="AF450" i="20" s="1"/>
  <c r="Q459" i="20"/>
  <c r="S459" i="20" s="1"/>
  <c r="AF459" i="20" s="1"/>
  <c r="Q457" i="20"/>
  <c r="S457" i="20" s="1"/>
  <c r="J407" i="20"/>
  <c r="Y399" i="20" s="1"/>
  <c r="Y407" i="20" s="1"/>
  <c r="Q456" i="20"/>
  <c r="S456" i="20" s="1"/>
  <c r="AF456" i="20" s="1"/>
  <c r="I81" i="28" s="1"/>
  <c r="Z81" i="28" s="1"/>
  <c r="Q396" i="20"/>
  <c r="S396" i="20" s="1"/>
  <c r="AF396" i="20" s="1"/>
  <c r="Q405" i="20"/>
  <c r="S405" i="20" s="1"/>
  <c r="AF405" i="20" s="1"/>
  <c r="Q401" i="20"/>
  <c r="S401" i="20" s="1"/>
  <c r="AF401" i="20" s="1"/>
  <c r="I36" i="28" s="1"/>
  <c r="Z36" i="28" s="1"/>
  <c r="Q465" i="20"/>
  <c r="S465" i="20" s="1"/>
  <c r="AF465" i="20" s="1"/>
  <c r="Q464" i="20"/>
  <c r="S464" i="20" s="1"/>
  <c r="AF464" i="20" s="1"/>
  <c r="Q391" i="20"/>
  <c r="S391" i="20" s="1"/>
  <c r="AF391" i="20" s="1"/>
  <c r="Q431" i="20"/>
  <c r="S431" i="20" s="1"/>
  <c r="AF431" i="20" s="1"/>
  <c r="Q443" i="20"/>
  <c r="S443" i="20" s="1"/>
  <c r="Q413" i="20"/>
  <c r="S413" i="20" s="1"/>
  <c r="Q444" i="20"/>
  <c r="S444" i="20" s="1"/>
  <c r="AF444" i="20" s="1"/>
  <c r="Q415" i="20"/>
  <c r="S415" i="20" s="1"/>
  <c r="AF415" i="20" s="1"/>
  <c r="Q395" i="20"/>
  <c r="S395" i="20" s="1"/>
  <c r="AF395" i="20" s="1"/>
  <c r="Q418" i="20"/>
  <c r="S418" i="20" s="1"/>
  <c r="AF418" i="20" s="1"/>
  <c r="Q462" i="20"/>
  <c r="S462" i="20" s="1"/>
  <c r="Q436" i="20"/>
  <c r="S436" i="20" s="1"/>
  <c r="AF436" i="20" s="1"/>
  <c r="I66" i="28" s="1"/>
  <c r="Z66" i="28" s="1"/>
  <c r="Q440" i="20"/>
  <c r="S440" i="20" s="1"/>
  <c r="AF440" i="20" s="1"/>
  <c r="Q397" i="20"/>
  <c r="S397" i="20" s="1"/>
  <c r="AF397" i="20" s="1"/>
  <c r="Q403" i="20"/>
  <c r="S403" i="20" s="1"/>
  <c r="AF403" i="20" s="1"/>
  <c r="Q460" i="20"/>
  <c r="S460" i="20" s="1"/>
  <c r="AF460" i="20" s="1"/>
  <c r="Q402" i="20"/>
  <c r="S402" i="20" s="1"/>
  <c r="Q427" i="20"/>
  <c r="S427" i="20" s="1"/>
  <c r="AF427" i="20" s="1"/>
  <c r="I59" i="28" s="1"/>
  <c r="Z59" i="28" s="1"/>
  <c r="Q478" i="20"/>
  <c r="S478" i="20" s="1"/>
  <c r="AF478" i="20" s="1"/>
  <c r="J438" i="20"/>
  <c r="Q441" i="20"/>
  <c r="S441" i="20" s="1"/>
  <c r="AF441" i="20" s="1"/>
  <c r="Q410" i="20"/>
  <c r="S410" i="20" s="1"/>
  <c r="AF410" i="20" s="1"/>
  <c r="Q446" i="20"/>
  <c r="S446" i="20" s="1"/>
  <c r="AF446" i="20" s="1"/>
  <c r="Q439" i="20"/>
  <c r="S439" i="20" s="1"/>
  <c r="Q390" i="20"/>
  <c r="S390" i="20" s="1"/>
  <c r="AF390" i="20" s="1"/>
  <c r="I27" i="28" s="1"/>
  <c r="Z27" i="28" s="1"/>
  <c r="Q432" i="20"/>
  <c r="S432" i="20" s="1"/>
  <c r="AF432" i="20" s="1"/>
  <c r="Q437" i="20"/>
  <c r="S437" i="20" s="1"/>
  <c r="AF437" i="20" s="1"/>
  <c r="Q408" i="20"/>
  <c r="Q406" i="20"/>
  <c r="S406" i="20" s="1"/>
  <c r="AF406" i="20" s="1"/>
  <c r="I41" i="28" s="1"/>
  <c r="Z41" i="28" s="1"/>
  <c r="Q417" i="20"/>
  <c r="S417" i="20" s="1"/>
  <c r="AF417" i="20" s="1"/>
  <c r="Q445" i="20"/>
  <c r="S445" i="20" s="1"/>
  <c r="AF445" i="20" s="1"/>
  <c r="Q479" i="20"/>
  <c r="S479" i="20" s="1"/>
  <c r="AF479" i="20" s="1"/>
  <c r="Q412" i="20"/>
  <c r="S412" i="20" s="1"/>
  <c r="AF412" i="20" s="1"/>
  <c r="Q453" i="20"/>
  <c r="S453" i="20" s="1"/>
  <c r="Q454" i="20"/>
  <c r="S454" i="20" s="1"/>
  <c r="AF454" i="20" s="1"/>
  <c r="V413" i="20"/>
  <c r="V420" i="20" s="1"/>
  <c r="J398" i="20"/>
  <c r="Y394" i="20" s="1"/>
  <c r="Z394" i="20" s="1"/>
  <c r="Z398" i="20" s="1"/>
  <c r="J480" i="20"/>
  <c r="L420" i="20"/>
  <c r="AB466" i="4"/>
  <c r="V466" i="4"/>
  <c r="AA466" i="4"/>
  <c r="T466" i="4"/>
  <c r="AC466" i="4"/>
  <c r="M481" i="20"/>
  <c r="O420" i="20"/>
  <c r="K41" i="6" s="1"/>
  <c r="J442" i="20"/>
  <c r="Y439" i="20" s="1"/>
  <c r="Z439" i="20" s="1"/>
  <c r="Z442" i="20" s="1"/>
  <c r="U466" i="4"/>
  <c r="O407" i="20"/>
  <c r="K24" i="6" s="1"/>
  <c r="I481" i="20"/>
  <c r="E481" i="20"/>
  <c r="F481" i="20"/>
  <c r="J393" i="20"/>
  <c r="Y388" i="20" s="1"/>
  <c r="N481" i="20"/>
  <c r="Q371" i="20"/>
  <c r="S371" i="20" s="1"/>
  <c r="AF371" i="20" s="1"/>
  <c r="H91" i="28" s="1"/>
  <c r="Y91" i="28" s="1"/>
  <c r="H481" i="20"/>
  <c r="Q281" i="20"/>
  <c r="S281" i="20" s="1"/>
  <c r="AF281" i="20" s="1"/>
  <c r="AM281" i="20" s="1"/>
  <c r="AN281" i="20" s="1"/>
  <c r="Q379" i="20"/>
  <c r="S379" i="20" s="1"/>
  <c r="AF379" i="20" s="1"/>
  <c r="AM379" i="20" s="1"/>
  <c r="AN379" i="20" s="1"/>
  <c r="J428" i="20"/>
  <c r="AM468" i="20"/>
  <c r="AN468" i="20" s="1"/>
  <c r="O480" i="20"/>
  <c r="K113" i="6" s="1"/>
  <c r="J420" i="20"/>
  <c r="Y412" i="20" s="1"/>
  <c r="G481" i="20"/>
  <c r="J411" i="20"/>
  <c r="Y408" i="20" s="1"/>
  <c r="V457" i="20"/>
  <c r="U461" i="20"/>
  <c r="L411" i="20"/>
  <c r="P388" i="20"/>
  <c r="Q388" i="20" s="1"/>
  <c r="S388" i="20" s="1"/>
  <c r="O393" i="20"/>
  <c r="K8" i="6" s="1"/>
  <c r="V480" i="20"/>
  <c r="W477" i="20"/>
  <c r="O452" i="20"/>
  <c r="K81" i="6" s="1"/>
  <c r="J466" i="20"/>
  <c r="J461" i="20"/>
  <c r="J452" i="20"/>
  <c r="Y443" i="20" s="1"/>
  <c r="J433" i="20"/>
  <c r="Y429" i="20" s="1"/>
  <c r="O461" i="20"/>
  <c r="K89" i="6" s="1"/>
  <c r="X481" i="20"/>
  <c r="J473" i="20"/>
  <c r="O466" i="20"/>
  <c r="K97" i="6" s="1"/>
  <c r="O433" i="20"/>
  <c r="K57" i="6" s="1"/>
  <c r="K59" i="6" s="1"/>
  <c r="L58" i="6" s="1"/>
  <c r="M58" i="6" s="1"/>
  <c r="K127" i="6" s="1"/>
  <c r="V402" i="20"/>
  <c r="U407" i="20"/>
  <c r="Q354" i="20"/>
  <c r="S354" i="20" s="1"/>
  <c r="Q303" i="20"/>
  <c r="S303" i="20" s="1"/>
  <c r="AF303" i="20" s="1"/>
  <c r="H36" i="28" s="1"/>
  <c r="Y36" i="28" s="1"/>
  <c r="Q348" i="20"/>
  <c r="S348" i="20" s="1"/>
  <c r="AF348" i="20" s="1"/>
  <c r="F234" i="20"/>
  <c r="Q345" i="20"/>
  <c r="S345" i="20" s="1"/>
  <c r="AF345" i="20" s="1"/>
  <c r="H71" i="28" s="1"/>
  <c r="Y71" i="28" s="1"/>
  <c r="Q349" i="20"/>
  <c r="S349" i="20" s="1"/>
  <c r="AF349" i="20" s="1"/>
  <c r="Q316" i="20"/>
  <c r="S316" i="20" s="1"/>
  <c r="AF316" i="20" s="1"/>
  <c r="H47" i="28" s="1"/>
  <c r="Y47" i="28" s="1"/>
  <c r="Q292" i="20"/>
  <c r="S292" i="20" s="1"/>
  <c r="AF292" i="20" s="1"/>
  <c r="Q346" i="20"/>
  <c r="S346" i="20" s="1"/>
  <c r="AF346" i="20" s="1"/>
  <c r="S314" i="20"/>
  <c r="AF314" i="20" s="1"/>
  <c r="H45" i="28" s="1"/>
  <c r="Y45" i="28" s="1"/>
  <c r="Q380" i="20"/>
  <c r="S380" i="20" s="1"/>
  <c r="AF380" i="20" s="1"/>
  <c r="Q307" i="20"/>
  <c r="S307" i="20" s="1"/>
  <c r="AF307" i="20" s="1"/>
  <c r="AD307" i="20" s="1"/>
  <c r="AE307" i="20" s="1"/>
  <c r="S305" i="20"/>
  <c r="AF305" i="20" s="1"/>
  <c r="H38" i="28" s="1"/>
  <c r="Y38" i="28" s="1"/>
  <c r="Q315" i="20"/>
  <c r="S315" i="20" s="1"/>
  <c r="Q318" i="20"/>
  <c r="S318" i="20" s="1"/>
  <c r="AF318" i="20" s="1"/>
  <c r="Q372" i="20"/>
  <c r="S372" i="20" s="1"/>
  <c r="AF372" i="20" s="1"/>
  <c r="AM372" i="20" s="1"/>
  <c r="AN372" i="20" s="1"/>
  <c r="Q351" i="20"/>
  <c r="S351" i="20" s="1"/>
  <c r="AF351" i="20" s="1"/>
  <c r="H101" i="28" s="1"/>
  <c r="Y101" i="28" s="1"/>
  <c r="AP101" i="28" s="1"/>
  <c r="Q370" i="20"/>
  <c r="S370" i="20" s="1"/>
  <c r="AF370" i="20" s="1"/>
  <c r="Q359" i="20"/>
  <c r="S359" i="20" s="1"/>
  <c r="AF359" i="20" s="1"/>
  <c r="H98" i="28" s="1"/>
  <c r="Y98" i="28" s="1"/>
  <c r="AP98" i="28" s="1"/>
  <c r="Q310" i="20"/>
  <c r="S310" i="20" s="1"/>
  <c r="Q304" i="20"/>
  <c r="S304" i="20" s="1"/>
  <c r="Q342" i="20"/>
  <c r="S342" i="20" s="1"/>
  <c r="AF342" i="20" s="1"/>
  <c r="H69" i="28" s="1"/>
  <c r="Y69" i="28" s="1"/>
  <c r="Q293" i="20"/>
  <c r="S293" i="20" s="1"/>
  <c r="AF293" i="20" s="1"/>
  <c r="AM293" i="20" s="1"/>
  <c r="AN293" i="20" s="1"/>
  <c r="Q297" i="20"/>
  <c r="S297" i="20" s="1"/>
  <c r="AF297" i="20" s="1"/>
  <c r="H31" i="28" s="1"/>
  <c r="Y31" i="28" s="1"/>
  <c r="Q328" i="20"/>
  <c r="S328" i="20" s="1"/>
  <c r="AF328" i="20" s="1"/>
  <c r="H58" i="28" s="1"/>
  <c r="Y58" i="28" s="1"/>
  <c r="Q338" i="20"/>
  <c r="S338" i="20" s="1"/>
  <c r="AF338" i="20" s="1"/>
  <c r="Q375" i="20"/>
  <c r="S375" i="20" s="1"/>
  <c r="Q350" i="20"/>
  <c r="S350" i="20" s="1"/>
  <c r="AF350" i="20" s="1"/>
  <c r="Q360" i="20"/>
  <c r="S360" i="20" s="1"/>
  <c r="AF360" i="20" s="1"/>
  <c r="H100" i="28" s="1"/>
  <c r="Y100" i="28" s="1"/>
  <c r="AP100" i="28" s="1"/>
  <c r="Q361" i="20"/>
  <c r="S361" i="20" s="1"/>
  <c r="AF361" i="20" s="1"/>
  <c r="H83" i="28" s="1"/>
  <c r="Y83" i="28" s="1"/>
  <c r="Q341" i="20"/>
  <c r="S341" i="20" s="1"/>
  <c r="Q332" i="20"/>
  <c r="S332" i="20" s="1"/>
  <c r="AF332" i="20" s="1"/>
  <c r="H61" i="28" s="1"/>
  <c r="Y61" i="28" s="1"/>
  <c r="Q356" i="20"/>
  <c r="S356" i="20" s="1"/>
  <c r="AF356" i="20" s="1"/>
  <c r="F204" i="20"/>
  <c r="Q306" i="20"/>
  <c r="S306" i="20" s="1"/>
  <c r="AF306" i="20" s="1"/>
  <c r="Q324" i="20"/>
  <c r="S324" i="20" s="1"/>
  <c r="AF324" i="20" s="1"/>
  <c r="H54" i="28" s="1"/>
  <c r="Y54" i="28" s="1"/>
  <c r="Q331" i="20"/>
  <c r="S331" i="20" s="1"/>
  <c r="Q378" i="20"/>
  <c r="S378" i="20" s="1"/>
  <c r="S317" i="20"/>
  <c r="AF317" i="20" s="1"/>
  <c r="Q369" i="20"/>
  <c r="S369" i="20" s="1"/>
  <c r="AF369" i="20" s="1"/>
  <c r="Q327" i="20"/>
  <c r="S327" i="20" s="1"/>
  <c r="AF327" i="20" s="1"/>
  <c r="AO100" i="28"/>
  <c r="AM101" i="28"/>
  <c r="Q347" i="20"/>
  <c r="S347" i="20" s="1"/>
  <c r="AF347" i="20" s="1"/>
  <c r="Q312" i="20"/>
  <c r="S312" i="20" s="1"/>
  <c r="AF312" i="20" s="1"/>
  <c r="S319" i="20"/>
  <c r="AF319" i="20" s="1"/>
  <c r="H50" i="28" s="1"/>
  <c r="Y50" i="28" s="1"/>
  <c r="Q357" i="20"/>
  <c r="S357" i="20" s="1"/>
  <c r="AF357" i="20" s="1"/>
  <c r="Q329" i="20"/>
  <c r="S329" i="20" s="1"/>
  <c r="AF329" i="20" s="1"/>
  <c r="H59" i="28" s="1"/>
  <c r="Y59" i="28" s="1"/>
  <c r="Q366" i="20"/>
  <c r="S366" i="20" s="1"/>
  <c r="AF366" i="20" s="1"/>
  <c r="Q373" i="20"/>
  <c r="S373" i="20" s="1"/>
  <c r="AF373" i="20" s="1"/>
  <c r="Q377" i="20"/>
  <c r="S377" i="20" s="1"/>
  <c r="AF377" i="20" s="1"/>
  <c r="T322" i="20"/>
  <c r="T382" i="20" s="1"/>
  <c r="Q302" i="20"/>
  <c r="S302" i="20" s="1"/>
  <c r="AF302" i="20" s="1"/>
  <c r="Q311" i="20"/>
  <c r="S311" i="20" s="1"/>
  <c r="AF311" i="20" s="1"/>
  <c r="S323" i="20"/>
  <c r="Q355" i="20"/>
  <c r="S355" i="20" s="1"/>
  <c r="AF355" i="20" s="1"/>
  <c r="H79" i="28" s="1"/>
  <c r="Y79" i="28" s="1"/>
  <c r="Q333" i="20"/>
  <c r="S333" i="20" s="1"/>
  <c r="AF333" i="20" s="1"/>
  <c r="Q358" i="20"/>
  <c r="S358" i="20" s="1"/>
  <c r="Q376" i="20"/>
  <c r="S376" i="20" s="1"/>
  <c r="AF376" i="20" s="1"/>
  <c r="Q343" i="20"/>
  <c r="S343" i="20" s="1"/>
  <c r="AF343" i="20" s="1"/>
  <c r="H70" i="28" s="1"/>
  <c r="Y70" i="28" s="1"/>
  <c r="Q320" i="20"/>
  <c r="S320" i="20" s="1"/>
  <c r="AF320" i="20" s="1"/>
  <c r="Q337" i="20"/>
  <c r="S337" i="20" s="1"/>
  <c r="AF337" i="20" s="1"/>
  <c r="Q364" i="20"/>
  <c r="S364" i="20" s="1"/>
  <c r="Q368" i="20"/>
  <c r="S368" i="20" s="1"/>
  <c r="Q325" i="20"/>
  <c r="S325" i="20" s="1"/>
  <c r="AF325" i="20" s="1"/>
  <c r="J367" i="20"/>
  <c r="Q363" i="20"/>
  <c r="S363" i="20" s="1"/>
  <c r="AF363" i="20" s="1"/>
  <c r="H84" i="28" s="1"/>
  <c r="Y84" i="28" s="1"/>
  <c r="V367" i="20"/>
  <c r="Q365" i="20"/>
  <c r="S365" i="20" s="1"/>
  <c r="AF365" i="20" s="1"/>
  <c r="Q352" i="20"/>
  <c r="S352" i="20" s="1"/>
  <c r="AF352" i="20" s="1"/>
  <c r="Q334" i="20"/>
  <c r="S334" i="20" s="1"/>
  <c r="AF334" i="20" s="1"/>
  <c r="Q326" i="20"/>
  <c r="S326" i="20" s="1"/>
  <c r="AF326" i="20" s="1"/>
  <c r="S321" i="20"/>
  <c r="Q301" i="20"/>
  <c r="S301" i="20" s="1"/>
  <c r="Q339" i="20"/>
  <c r="S339" i="20" s="1"/>
  <c r="AF339" i="20" s="1"/>
  <c r="Q336" i="20"/>
  <c r="S336" i="20" s="1"/>
  <c r="Q308" i="20"/>
  <c r="S308" i="20" s="1"/>
  <c r="AF308" i="20" s="1"/>
  <c r="Q298" i="20"/>
  <c r="S298" i="20" s="1"/>
  <c r="AF298" i="20" s="1"/>
  <c r="H32" i="28" s="1"/>
  <c r="Y32" i="28" s="1"/>
  <c r="Q299" i="20"/>
  <c r="S299" i="20" s="1"/>
  <c r="AF299" i="20" s="1"/>
  <c r="Q296" i="20"/>
  <c r="S296" i="20" s="1"/>
  <c r="AF296" i="20" s="1"/>
  <c r="H30" i="28" s="1"/>
  <c r="Y30" i="28" s="1"/>
  <c r="Q294" i="20"/>
  <c r="S294" i="20" s="1"/>
  <c r="AF294" i="20" s="1"/>
  <c r="Q291" i="20"/>
  <c r="S291" i="20" s="1"/>
  <c r="AF291" i="20" s="1"/>
  <c r="AC370" i="4"/>
  <c r="V370" i="4"/>
  <c r="U370" i="4"/>
  <c r="T370" i="4"/>
  <c r="AA370" i="4"/>
  <c r="AB370" i="4"/>
  <c r="AF321" i="20"/>
  <c r="O374" i="20"/>
  <c r="K104" i="6" s="1"/>
  <c r="V315" i="20"/>
  <c r="V322" i="20" s="1"/>
  <c r="F322" i="20"/>
  <c r="J309" i="20"/>
  <c r="Y301" i="20" s="1"/>
  <c r="Y309" i="20" s="1"/>
  <c r="M370" i="4"/>
  <c r="L362" i="20"/>
  <c r="P290" i="20"/>
  <c r="F248" i="20"/>
  <c r="O370" i="4"/>
  <c r="I382" i="20"/>
  <c r="J295" i="20"/>
  <c r="Y290" i="20" s="1"/>
  <c r="F239" i="20"/>
  <c r="N370" i="4"/>
  <c r="H382" i="20"/>
  <c r="F330" i="20"/>
  <c r="F226" i="20"/>
  <c r="O295" i="20"/>
  <c r="K7" i="6" s="1"/>
  <c r="F300" i="20"/>
  <c r="F244" i="20"/>
  <c r="V378" i="20"/>
  <c r="V381" i="20" s="1"/>
  <c r="F340" i="20"/>
  <c r="N382" i="20"/>
  <c r="J344" i="20"/>
  <c r="Y341" i="20" s="1"/>
  <c r="J322" i="20"/>
  <c r="Y314" i="20" s="1"/>
  <c r="M382" i="20"/>
  <c r="L330" i="20"/>
  <c r="G382" i="20"/>
  <c r="J300" i="20"/>
  <c r="Y296" i="20" s="1"/>
  <c r="Z296" i="20" s="1"/>
  <c r="Z300" i="20" s="1"/>
  <c r="O367" i="20"/>
  <c r="K96" i="6" s="1"/>
  <c r="J340" i="20"/>
  <c r="J362" i="20"/>
  <c r="J381" i="20"/>
  <c r="J374" i="20"/>
  <c r="U362" i="20"/>
  <c r="V358" i="20"/>
  <c r="O309" i="20"/>
  <c r="K23" i="6" s="1"/>
  <c r="O344" i="20"/>
  <c r="K72" i="6" s="1"/>
  <c r="K75" i="6" s="1"/>
  <c r="J330" i="20"/>
  <c r="J353" i="20"/>
  <c r="Y345" i="20" s="1"/>
  <c r="J335" i="20"/>
  <c r="Y331" i="20" s="1"/>
  <c r="U309" i="20"/>
  <c r="V304" i="20"/>
  <c r="O313" i="20"/>
  <c r="K31" i="6" s="1"/>
  <c r="K34" i="6" s="1"/>
  <c r="L33" i="6" s="1"/>
  <c r="X382" i="20"/>
  <c r="O381" i="20"/>
  <c r="K112" i="6" s="1"/>
  <c r="J313" i="20"/>
  <c r="Y310" i="20" s="1"/>
  <c r="E382" i="20"/>
  <c r="Q202" i="20"/>
  <c r="S202" i="20" s="1"/>
  <c r="AF202" i="20" s="1"/>
  <c r="G32" i="28" s="1"/>
  <c r="X32" i="28" s="1"/>
  <c r="Q265" i="20"/>
  <c r="S265" i="20" s="1"/>
  <c r="AF265" i="20" s="1"/>
  <c r="G84" i="28" s="1"/>
  <c r="X84" i="28" s="1"/>
  <c r="Q233" i="20"/>
  <c r="S233" i="20" s="1"/>
  <c r="AF233" i="20" s="1"/>
  <c r="G59" i="28" s="1"/>
  <c r="X59" i="28" s="1"/>
  <c r="Q243" i="20"/>
  <c r="S243" i="20" s="1"/>
  <c r="AF243" i="20" s="1"/>
  <c r="G67" i="28" s="1"/>
  <c r="X67" i="28" s="1"/>
  <c r="Q195" i="20"/>
  <c r="S195" i="20" s="1"/>
  <c r="AF195" i="20" s="1"/>
  <c r="G26" i="28" s="1"/>
  <c r="X26" i="28" s="1"/>
  <c r="Q229" i="20"/>
  <c r="S229" i="20" s="1"/>
  <c r="AF229" i="20" s="1"/>
  <c r="G55" i="28" s="1"/>
  <c r="X55" i="28" s="1"/>
  <c r="Q271" i="20"/>
  <c r="S271" i="20" s="1"/>
  <c r="AF271" i="20" s="1"/>
  <c r="S203" i="20"/>
  <c r="AF203" i="20" s="1"/>
  <c r="Q235" i="20"/>
  <c r="V261" i="20"/>
  <c r="W261" i="20" s="1"/>
  <c r="Q274" i="20"/>
  <c r="S274" i="20" s="1"/>
  <c r="AF274" i="20" s="1"/>
  <c r="G92" i="28" s="1"/>
  <c r="X92" i="28" s="1"/>
  <c r="Q258" i="20"/>
  <c r="S258" i="20" s="1"/>
  <c r="AF258" i="20" s="1"/>
  <c r="G79" i="28" s="1"/>
  <c r="X79" i="28" s="1"/>
  <c r="Q236" i="20"/>
  <c r="S236" i="20" s="1"/>
  <c r="AF236" i="20" s="1"/>
  <c r="G61" i="28" s="1"/>
  <c r="X61" i="28" s="1"/>
  <c r="Q230" i="20"/>
  <c r="S230" i="20" s="1"/>
  <c r="AF230" i="20" s="1"/>
  <c r="Q273" i="20"/>
  <c r="S273" i="20" s="1"/>
  <c r="Q232" i="20"/>
  <c r="S232" i="20" s="1"/>
  <c r="Q282" i="20"/>
  <c r="S282" i="20" s="1"/>
  <c r="AF282" i="20" s="1"/>
  <c r="G103" i="28" s="1"/>
  <c r="X103" i="28" s="1"/>
  <c r="Q240" i="20"/>
  <c r="S240" i="20" s="1"/>
  <c r="AF240" i="20" s="1"/>
  <c r="G64" i="28" s="1"/>
  <c r="X64" i="28" s="1"/>
  <c r="J217" i="20"/>
  <c r="Y214" i="20" s="1"/>
  <c r="Y217" i="20" s="1"/>
  <c r="Q222" i="20"/>
  <c r="S222" i="20" s="1"/>
  <c r="AF222" i="20" s="1"/>
  <c r="Q253" i="20"/>
  <c r="S253" i="20" s="1"/>
  <c r="AF253" i="20" s="1"/>
  <c r="G75" i="28" s="1"/>
  <c r="X75" i="28" s="1"/>
  <c r="Q216" i="20"/>
  <c r="S216" i="20" s="1"/>
  <c r="AF216" i="20" s="1"/>
  <c r="S219" i="20"/>
  <c r="Q252" i="20"/>
  <c r="S252" i="20" s="1"/>
  <c r="AF252" i="20" s="1"/>
  <c r="G74" i="28" s="1"/>
  <c r="X74" i="28" s="1"/>
  <c r="U213" i="20"/>
  <c r="Q227" i="20"/>
  <c r="S227" i="20" s="1"/>
  <c r="Q251" i="20"/>
  <c r="S251" i="20" s="1"/>
  <c r="AF251" i="20" s="1"/>
  <c r="G73" i="28" s="1"/>
  <c r="X73" i="28" s="1"/>
  <c r="Q210" i="20"/>
  <c r="S210" i="20" s="1"/>
  <c r="AF210" i="20" s="1"/>
  <c r="G39" i="28" s="1"/>
  <c r="X39" i="28" s="1"/>
  <c r="Q221" i="20"/>
  <c r="S221" i="20" s="1"/>
  <c r="AF221" i="20" s="1"/>
  <c r="AD221" i="20" s="1"/>
  <c r="AE221" i="20" s="1"/>
  <c r="Q268" i="20"/>
  <c r="S268" i="20" s="1"/>
  <c r="AF268" i="20" s="1"/>
  <c r="G87" i="28" s="1"/>
  <c r="X87" i="28" s="1"/>
  <c r="Q260" i="20"/>
  <c r="S260" i="20" s="1"/>
  <c r="AF260" i="20" s="1"/>
  <c r="G81" i="28" s="1"/>
  <c r="X81" i="28" s="1"/>
  <c r="Q262" i="20"/>
  <c r="S262" i="20" s="1"/>
  <c r="AF262" i="20" s="1"/>
  <c r="Q277" i="20"/>
  <c r="Q272" i="20"/>
  <c r="S272" i="20" s="1"/>
  <c r="AF272" i="20" s="1"/>
  <c r="G90" i="28" s="1"/>
  <c r="X90" i="28" s="1"/>
  <c r="Q196" i="20"/>
  <c r="S196" i="20" s="1"/>
  <c r="AF196" i="20" s="1"/>
  <c r="G27" i="28" s="1"/>
  <c r="X27" i="28" s="1"/>
  <c r="Q224" i="20"/>
  <c r="S224" i="20" s="1"/>
  <c r="AF224" i="20" s="1"/>
  <c r="Q266" i="20"/>
  <c r="S266" i="20" s="1"/>
  <c r="Q231" i="20"/>
  <c r="S231" i="20" s="1"/>
  <c r="AF231" i="20" s="1"/>
  <c r="AD231" i="20" s="1"/>
  <c r="AE231" i="20" s="1"/>
  <c r="Q263" i="20"/>
  <c r="S263" i="20" s="1"/>
  <c r="AF263" i="20" s="1"/>
  <c r="G83" i="28" s="1"/>
  <c r="X83" i="28" s="1"/>
  <c r="S197" i="20"/>
  <c r="S255" i="20"/>
  <c r="Q245" i="20"/>
  <c r="S198" i="20"/>
  <c r="Q259" i="20"/>
  <c r="S259" i="20" s="1"/>
  <c r="AF259" i="20" s="1"/>
  <c r="V269" i="20"/>
  <c r="W208" i="20"/>
  <c r="W213" i="20" s="1"/>
  <c r="Q267" i="20"/>
  <c r="S267" i="20" s="1"/>
  <c r="AF267" i="20" s="1"/>
  <c r="Q238" i="20"/>
  <c r="S238" i="20" s="1"/>
  <c r="AF238" i="20" s="1"/>
  <c r="AM238" i="20" s="1"/>
  <c r="AN238" i="20" s="1"/>
  <c r="Q212" i="20"/>
  <c r="S212" i="20" s="1"/>
  <c r="AF212" i="20" s="1"/>
  <c r="G41" i="28" s="1"/>
  <c r="X41" i="28" s="1"/>
  <c r="S209" i="20"/>
  <c r="Q249" i="20"/>
  <c r="Q242" i="20"/>
  <c r="S242" i="20" s="1"/>
  <c r="AF242" i="20" s="1"/>
  <c r="Q228" i="20"/>
  <c r="S228" i="20" s="1"/>
  <c r="AF228" i="20" s="1"/>
  <c r="G54" i="28" s="1"/>
  <c r="X54" i="28" s="1"/>
  <c r="Q208" i="20"/>
  <c r="S208" i="20" s="1"/>
  <c r="Q279" i="20"/>
  <c r="S279" i="20" s="1"/>
  <c r="AF279" i="20" s="1"/>
  <c r="Q261" i="20"/>
  <c r="S261" i="20" s="1"/>
  <c r="Q278" i="20"/>
  <c r="S278" i="20" s="1"/>
  <c r="AF278" i="20" s="1"/>
  <c r="G95" i="28" s="1"/>
  <c r="X95" i="28" s="1"/>
  <c r="S211" i="20"/>
  <c r="Q225" i="20"/>
  <c r="S225" i="20" s="1"/>
  <c r="AF225" i="20" s="1"/>
  <c r="G52" i="28" s="1"/>
  <c r="X52" i="28" s="1"/>
  <c r="Q246" i="20"/>
  <c r="S246" i="20" s="1"/>
  <c r="AF246" i="20" s="1"/>
  <c r="G69" i="28" s="1"/>
  <c r="X69" i="28" s="1"/>
  <c r="Q201" i="20"/>
  <c r="S201" i="20" s="1"/>
  <c r="AF201" i="20" s="1"/>
  <c r="G31" i="28" s="1"/>
  <c r="X31" i="28" s="1"/>
  <c r="Q254" i="20"/>
  <c r="S254" i="20" s="1"/>
  <c r="AF254" i="20" s="1"/>
  <c r="G76" i="28" s="1"/>
  <c r="X76" i="28" s="1"/>
  <c r="Q241" i="20"/>
  <c r="S241" i="20" s="1"/>
  <c r="AF241" i="20" s="1"/>
  <c r="G65" i="28" s="1"/>
  <c r="X65" i="28" s="1"/>
  <c r="S223" i="20"/>
  <c r="Q250" i="20"/>
  <c r="S250" i="20" s="1"/>
  <c r="AF250" i="20" s="1"/>
  <c r="G72" i="28" s="1"/>
  <c r="X72" i="28" s="1"/>
  <c r="Q270" i="20"/>
  <c r="S270" i="20" s="1"/>
  <c r="Q206" i="20"/>
  <c r="S206" i="20" s="1"/>
  <c r="AF206" i="20" s="1"/>
  <c r="Q237" i="20"/>
  <c r="S237" i="20" s="1"/>
  <c r="AF237" i="20" s="1"/>
  <c r="G62" i="28" s="1"/>
  <c r="X62" i="28" s="1"/>
  <c r="Q215" i="20"/>
  <c r="S215" i="20" s="1"/>
  <c r="AF215" i="20" s="1"/>
  <c r="Q207" i="20"/>
  <c r="S207" i="20" s="1"/>
  <c r="AF207" i="20" s="1"/>
  <c r="AM207" i="20" s="1"/>
  <c r="AN207" i="20" s="1"/>
  <c r="Q257" i="20"/>
  <c r="S200" i="20"/>
  <c r="Q247" i="20"/>
  <c r="S247" i="20" s="1"/>
  <c r="AF247" i="20" s="1"/>
  <c r="Q275" i="20"/>
  <c r="S275" i="20" s="1"/>
  <c r="AF275" i="20" s="1"/>
  <c r="Q214" i="20"/>
  <c r="S214" i="20" s="1"/>
  <c r="AF214" i="20" s="1"/>
  <c r="G42" i="28" s="1"/>
  <c r="X42" i="28" s="1"/>
  <c r="J199" i="20"/>
  <c r="Y194" i="20" s="1"/>
  <c r="J276" i="20"/>
  <c r="S220" i="20"/>
  <c r="J204" i="20"/>
  <c r="Y200" i="20" s="1"/>
  <c r="Y204" i="20" s="1"/>
  <c r="I284" i="20"/>
  <c r="T284" i="20"/>
  <c r="N284" i="20"/>
  <c r="V280" i="20"/>
  <c r="V283" i="20" s="1"/>
  <c r="J269" i="20"/>
  <c r="H284" i="20"/>
  <c r="O276" i="20"/>
  <c r="M284" i="20"/>
  <c r="J244" i="20"/>
  <c r="E284" i="20"/>
  <c r="G284" i="20"/>
  <c r="J283" i="20"/>
  <c r="O199" i="20"/>
  <c r="P194" i="20"/>
  <c r="J264" i="20"/>
  <c r="O264" i="20"/>
  <c r="O213" i="20"/>
  <c r="X284" i="20"/>
  <c r="O256" i="20"/>
  <c r="O234" i="20"/>
  <c r="O283" i="20"/>
  <c r="J226" i="20"/>
  <c r="Y218" i="20" s="1"/>
  <c r="U226" i="20"/>
  <c r="V219" i="20"/>
  <c r="J239" i="20"/>
  <c r="Y235" i="20" s="1"/>
  <c r="J248" i="20"/>
  <c r="Y245" i="20" s="1"/>
  <c r="O226" i="20"/>
  <c r="S218" i="20"/>
  <c r="L284" i="20"/>
  <c r="J234" i="20"/>
  <c r="J256" i="20"/>
  <c r="Y249" i="20" s="1"/>
  <c r="J213" i="20"/>
  <c r="Y205" i="20" s="1"/>
  <c r="U275" i="4"/>
  <c r="AB275" i="4"/>
  <c r="AA275" i="4"/>
  <c r="AC275" i="4"/>
  <c r="T275" i="4"/>
  <c r="V275" i="4"/>
  <c r="N275" i="4"/>
  <c r="P167" i="20"/>
  <c r="V98" i="28"/>
  <c r="J65" i="20"/>
  <c r="K65" i="20" s="1"/>
  <c r="J62" i="20"/>
  <c r="K62" i="20" s="1"/>
  <c r="J43" i="20"/>
  <c r="K43" i="20" s="1"/>
  <c r="J147" i="20"/>
  <c r="K147" i="20" s="1"/>
  <c r="J39" i="20"/>
  <c r="K39" i="20" s="1"/>
  <c r="J20" i="20"/>
  <c r="K20" i="20" s="1"/>
  <c r="P40" i="20"/>
  <c r="Q40" i="20" s="1"/>
  <c r="S40" i="20" s="1"/>
  <c r="P39" i="20"/>
  <c r="P30" i="20"/>
  <c r="J159" i="20"/>
  <c r="K159" i="20" s="1"/>
  <c r="P16" i="20"/>
  <c r="J17" i="20"/>
  <c r="K17" i="20" s="1"/>
  <c r="P14" i="20"/>
  <c r="J52" i="20"/>
  <c r="K52" i="20" s="1"/>
  <c r="P26" i="20"/>
  <c r="Q26" i="20" s="1"/>
  <c r="S26" i="20" s="1"/>
  <c r="J57" i="20"/>
  <c r="K57" i="20" s="1"/>
  <c r="P110" i="20"/>
  <c r="J34" i="20"/>
  <c r="K34" i="20" s="1"/>
  <c r="J9" i="20"/>
  <c r="K9" i="20" s="1"/>
  <c r="J8" i="20"/>
  <c r="K8" i="20" s="1"/>
  <c r="J61" i="20"/>
  <c r="K61" i="20" s="1"/>
  <c r="J26" i="20"/>
  <c r="K26" i="20" s="1"/>
  <c r="J47" i="20"/>
  <c r="K47" i="20" s="1"/>
  <c r="P23" i="20"/>
  <c r="J13" i="20"/>
  <c r="K13" i="20" s="1"/>
  <c r="J171" i="20"/>
  <c r="K171" i="20" s="1"/>
  <c r="J12" i="20"/>
  <c r="K12" i="20" s="1"/>
  <c r="P57" i="20"/>
  <c r="J51" i="20"/>
  <c r="K51" i="20" s="1"/>
  <c r="J49" i="20"/>
  <c r="K49" i="20" s="1"/>
  <c r="J14" i="20"/>
  <c r="K14" i="20" s="1"/>
  <c r="P66" i="20"/>
  <c r="J42" i="20"/>
  <c r="K42" i="20" s="1"/>
  <c r="P49" i="20"/>
  <c r="P8" i="20"/>
  <c r="Q8" i="20" s="1"/>
  <c r="S8" i="20" s="1"/>
  <c r="P52" i="20"/>
  <c r="J46" i="20"/>
  <c r="K46" i="20" s="1"/>
  <c r="P38" i="20"/>
  <c r="J25" i="20"/>
  <c r="K25" i="20" s="1"/>
  <c r="J23" i="20"/>
  <c r="K23" i="20" s="1"/>
  <c r="J22" i="20"/>
  <c r="K22" i="20" s="1"/>
  <c r="J21" i="20"/>
  <c r="K21" i="20" s="1"/>
  <c r="P12" i="20"/>
  <c r="Q12" i="20" s="1"/>
  <c r="S12" i="20" s="1"/>
  <c r="J63" i="20"/>
  <c r="K63" i="20" s="1"/>
  <c r="P64" i="20"/>
  <c r="J38" i="20"/>
  <c r="K38" i="20" s="1"/>
  <c r="J33" i="20"/>
  <c r="K33" i="20" s="1"/>
  <c r="J32" i="20"/>
  <c r="K32" i="20" s="1"/>
  <c r="J31" i="20"/>
  <c r="K31" i="20" s="1"/>
  <c r="J30" i="20"/>
  <c r="K30" i="20" s="1"/>
  <c r="P21" i="20"/>
  <c r="P18" i="20"/>
  <c r="J7" i="20"/>
  <c r="K7" i="20" s="1"/>
  <c r="J56" i="20"/>
  <c r="K56" i="20" s="1"/>
  <c r="P25" i="20"/>
  <c r="J60" i="20"/>
  <c r="K60" i="20" s="1"/>
  <c r="J16" i="20"/>
  <c r="K16" i="20" s="1"/>
  <c r="J11" i="20"/>
  <c r="K11" i="20" s="1"/>
  <c r="J102" i="20"/>
  <c r="K102" i="20" s="1"/>
  <c r="J172" i="20"/>
  <c r="K172" i="20" s="1"/>
  <c r="J120" i="20"/>
  <c r="K120" i="20" s="1"/>
  <c r="P113" i="20"/>
  <c r="J135" i="20"/>
  <c r="K135" i="20" s="1"/>
  <c r="J166" i="20"/>
  <c r="K166" i="20" s="1"/>
  <c r="J177" i="20"/>
  <c r="K177" i="20" s="1"/>
  <c r="J133" i="20"/>
  <c r="K133" i="20" s="1"/>
  <c r="P105" i="20"/>
  <c r="P142" i="20"/>
  <c r="P164" i="20"/>
  <c r="J107" i="20"/>
  <c r="K107" i="20" s="1"/>
  <c r="J116" i="20"/>
  <c r="K116" i="20" s="1"/>
  <c r="J115" i="20"/>
  <c r="K115" i="20" s="1"/>
  <c r="J134" i="20"/>
  <c r="K134" i="20" s="1"/>
  <c r="J155" i="20"/>
  <c r="K155" i="20" s="1"/>
  <c r="J156" i="20"/>
  <c r="K156" i="20" s="1"/>
  <c r="J112" i="20"/>
  <c r="K112" i="20" s="1"/>
  <c r="P146" i="20"/>
  <c r="J151" i="20"/>
  <c r="K151" i="20" s="1"/>
  <c r="J183" i="20"/>
  <c r="K183" i="20" s="1"/>
  <c r="P145" i="20"/>
  <c r="J138" i="20"/>
  <c r="K138" i="20" s="1"/>
  <c r="P143" i="20"/>
  <c r="Q143" i="20" s="1"/>
  <c r="P165" i="20"/>
  <c r="J180" i="20"/>
  <c r="K180" i="20" s="1"/>
  <c r="J146" i="20"/>
  <c r="K146" i="20" s="1"/>
  <c r="J125" i="20"/>
  <c r="K125" i="20" s="1"/>
  <c r="P148" i="20"/>
  <c r="J165" i="20"/>
  <c r="K165" i="20" s="1"/>
  <c r="J142" i="20"/>
  <c r="K142" i="20" s="1"/>
  <c r="P170" i="20"/>
  <c r="J175" i="20"/>
  <c r="K175" i="20" s="1"/>
  <c r="P123" i="20"/>
  <c r="Q123" i="20" s="1"/>
  <c r="J101" i="20"/>
  <c r="K101" i="20" s="1"/>
  <c r="P119" i="20"/>
  <c r="J129" i="20"/>
  <c r="K129" i="20" s="1"/>
  <c r="P135" i="20"/>
  <c r="J140" i="20"/>
  <c r="K140" i="20" s="1"/>
  <c r="J141" i="20"/>
  <c r="K141" i="20" s="1"/>
  <c r="J152" i="20"/>
  <c r="K152" i="20" s="1"/>
  <c r="J178" i="20"/>
  <c r="K178" i="20" s="1"/>
  <c r="J179" i="20"/>
  <c r="K179" i="20" s="1"/>
  <c r="P134" i="20"/>
  <c r="J126" i="20"/>
  <c r="K126" i="20" s="1"/>
  <c r="J127" i="20"/>
  <c r="K127" i="20" s="1"/>
  <c r="P132" i="20"/>
  <c r="Q132" i="20" s="1"/>
  <c r="J137" i="20"/>
  <c r="K137" i="20" s="1"/>
  <c r="P157" i="20"/>
  <c r="J162" i="20"/>
  <c r="K162" i="20" s="1"/>
  <c r="P171" i="20"/>
  <c r="J176" i="20"/>
  <c r="K176" i="20" s="1"/>
  <c r="J186" i="20"/>
  <c r="K186" i="20" s="1"/>
  <c r="J167" i="20"/>
  <c r="K167" i="20" s="1"/>
  <c r="J148" i="20"/>
  <c r="K148" i="20" s="1"/>
  <c r="J160" i="20"/>
  <c r="K160" i="20" s="1"/>
  <c r="J185" i="20"/>
  <c r="K185" i="20" s="1"/>
  <c r="P100" i="20"/>
  <c r="J110" i="20"/>
  <c r="K110" i="20" s="1"/>
  <c r="J114" i="20"/>
  <c r="K114" i="20" s="1"/>
  <c r="J119" i="20"/>
  <c r="K119" i="20" s="1"/>
  <c r="P154" i="20"/>
  <c r="P124" i="20"/>
  <c r="Q124" i="20" s="1"/>
  <c r="P127" i="20"/>
  <c r="J145" i="20"/>
  <c r="K145" i="20" s="1"/>
  <c r="J157" i="20"/>
  <c r="K157" i="20" s="1"/>
  <c r="J182" i="20"/>
  <c r="K182" i="20" s="1"/>
  <c r="P19" i="20"/>
  <c r="P65" i="20"/>
  <c r="J64" i="20"/>
  <c r="K64" i="20" s="1"/>
  <c r="J48" i="20"/>
  <c r="K48" i="20" s="1"/>
  <c r="P42" i="20"/>
  <c r="P41" i="20"/>
  <c r="P36" i="20"/>
  <c r="Q36" i="20" s="1"/>
  <c r="S36" i="20" s="1"/>
  <c r="J29" i="20"/>
  <c r="K29" i="20" s="1"/>
  <c r="J27" i="20"/>
  <c r="K27" i="20" s="1"/>
  <c r="J105" i="20"/>
  <c r="K105" i="20" s="1"/>
  <c r="J106" i="20"/>
  <c r="K106" i="20" s="1"/>
  <c r="J108" i="20"/>
  <c r="K108" i="20" s="1"/>
  <c r="J113" i="20"/>
  <c r="K113" i="20" s="1"/>
  <c r="J123" i="20"/>
  <c r="K123" i="20" s="1"/>
  <c r="J124" i="20"/>
  <c r="K124" i="20" s="1"/>
  <c r="P152" i="20"/>
  <c r="P176" i="20"/>
  <c r="P180" i="20"/>
  <c r="P182" i="20"/>
  <c r="J99" i="20"/>
  <c r="K99" i="20" s="1"/>
  <c r="J5" i="20"/>
  <c r="K5" i="20" s="1"/>
  <c r="J100" i="20"/>
  <c r="K100" i="20" s="1"/>
  <c r="J103" i="20"/>
  <c r="K103" i="20" s="1"/>
  <c r="J121" i="20"/>
  <c r="K121" i="20" s="1"/>
  <c r="P175" i="20"/>
  <c r="P179" i="20"/>
  <c r="Q179" i="20" s="1"/>
  <c r="J117" i="20"/>
  <c r="K117" i="20" s="1"/>
  <c r="P147" i="20"/>
  <c r="P155" i="20"/>
  <c r="P156" i="20"/>
  <c r="P159" i="20"/>
  <c r="P162" i="20"/>
  <c r="P163" i="20"/>
  <c r="P172" i="20"/>
  <c r="P133" i="20"/>
  <c r="P137" i="20"/>
  <c r="P141" i="20"/>
  <c r="J184" i="20"/>
  <c r="K184" i="20" s="1"/>
  <c r="P61" i="20"/>
  <c r="J44" i="20"/>
  <c r="K44" i="20" s="1"/>
  <c r="P47" i="20"/>
  <c r="P31" i="20"/>
  <c r="Q31" i="20" s="1"/>
  <c r="S31" i="20" s="1"/>
  <c r="P11" i="20"/>
  <c r="J6" i="20"/>
  <c r="K6" i="20" s="1"/>
  <c r="P111" i="20"/>
  <c r="P125" i="20"/>
  <c r="P126" i="20"/>
  <c r="P129" i="20"/>
  <c r="J154" i="20"/>
  <c r="K154" i="20" s="1"/>
  <c r="P166" i="20"/>
  <c r="J54" i="20"/>
  <c r="K54" i="20" s="1"/>
  <c r="P62" i="20"/>
  <c r="P32" i="20"/>
  <c r="P13" i="20"/>
  <c r="Q13" i="20" s="1"/>
  <c r="S13" i="20" s="1"/>
  <c r="J66" i="20"/>
  <c r="K66" i="20" s="1"/>
  <c r="P58" i="20"/>
  <c r="P53" i="20"/>
  <c r="P48" i="20"/>
  <c r="Q48" i="20" s="1"/>
  <c r="S48" i="20" s="1"/>
  <c r="P29" i="20"/>
  <c r="Q29" i="20" s="1"/>
  <c r="S29" i="20" s="1"/>
  <c r="P22" i="20"/>
  <c r="P107" i="20"/>
  <c r="Q107" i="20" s="1"/>
  <c r="P112" i="20"/>
  <c r="P115" i="20"/>
  <c r="Q115" i="20" s="1"/>
  <c r="H153" i="20"/>
  <c r="J158" i="20"/>
  <c r="K158" i="20" s="1"/>
  <c r="J163" i="20"/>
  <c r="K163" i="20" s="1"/>
  <c r="J164" i="20"/>
  <c r="K164" i="20" s="1"/>
  <c r="F174" i="20"/>
  <c r="J173" i="20"/>
  <c r="K173" i="20" s="1"/>
  <c r="J58" i="20"/>
  <c r="K58" i="20" s="1"/>
  <c r="J53" i="20"/>
  <c r="K53" i="20" s="1"/>
  <c r="P33" i="20"/>
  <c r="P56" i="20"/>
  <c r="P51" i="20"/>
  <c r="P46" i="20"/>
  <c r="J41" i="20"/>
  <c r="K41" i="20" s="1"/>
  <c r="J40" i="20"/>
  <c r="K40" i="20" s="1"/>
  <c r="J36" i="20"/>
  <c r="K36" i="20" s="1"/>
  <c r="J35" i="20"/>
  <c r="K35" i="20" s="1"/>
  <c r="P7" i="20"/>
  <c r="Q7" i="20" s="1"/>
  <c r="S7" i="20" s="1"/>
  <c r="P6" i="20"/>
  <c r="Q6" i="20" s="1"/>
  <c r="S6" i="20" s="1"/>
  <c r="P99" i="20"/>
  <c r="P102" i="20"/>
  <c r="Q102" i="20" s="1"/>
  <c r="P120" i="20"/>
  <c r="J136" i="20"/>
  <c r="K136" i="20" s="1"/>
  <c r="J143" i="20"/>
  <c r="K143" i="20" s="1"/>
  <c r="J170" i="20"/>
  <c r="K170" i="20" s="1"/>
  <c r="P27" i="20"/>
  <c r="Q27" i="20" s="1"/>
  <c r="S27" i="20" s="1"/>
  <c r="P60" i="20"/>
  <c r="P54" i="20"/>
  <c r="P20" i="20"/>
  <c r="Q20" i="20" s="1"/>
  <c r="S20" i="20" s="1"/>
  <c r="J19" i="20"/>
  <c r="K19" i="20" s="1"/>
  <c r="J18" i="20"/>
  <c r="K18" i="20" s="1"/>
  <c r="J111" i="20"/>
  <c r="K111" i="20" s="1"/>
  <c r="P116" i="20"/>
  <c r="J128" i="20"/>
  <c r="K128" i="20" s="1"/>
  <c r="J130" i="20"/>
  <c r="K130" i="20" s="1"/>
  <c r="J132" i="20"/>
  <c r="K132" i="20" s="1"/>
  <c r="J168" i="20"/>
  <c r="K168" i="20" s="1"/>
  <c r="P183" i="20"/>
  <c r="P185" i="20"/>
  <c r="P186" i="20"/>
  <c r="P184" i="20"/>
  <c r="U185" i="20"/>
  <c r="U187" i="20" s="1"/>
  <c r="P178" i="20"/>
  <c r="Q178" i="20" s="1"/>
  <c r="P177" i="20"/>
  <c r="P173" i="20"/>
  <c r="P168" i="20"/>
  <c r="Q168" i="20" s="1"/>
  <c r="P158" i="20"/>
  <c r="P160" i="20"/>
  <c r="Q160" i="20" s="1"/>
  <c r="P151" i="20"/>
  <c r="O153" i="20"/>
  <c r="D73" i="6" s="1"/>
  <c r="P150" i="20"/>
  <c r="J150" i="20"/>
  <c r="K150" i="20" s="1"/>
  <c r="N149" i="20"/>
  <c r="P140" i="20"/>
  <c r="P136" i="20"/>
  <c r="P138" i="20"/>
  <c r="P128" i="20"/>
  <c r="Q128" i="20" s="1"/>
  <c r="P130" i="20"/>
  <c r="P121" i="20"/>
  <c r="P114" i="20"/>
  <c r="P117" i="20"/>
  <c r="P106" i="20"/>
  <c r="Q106" i="20" s="1"/>
  <c r="P108" i="20"/>
  <c r="Q108" i="20" s="1"/>
  <c r="P101" i="20"/>
  <c r="P103" i="20"/>
  <c r="Q103" i="20" s="1"/>
  <c r="P5" i="20"/>
  <c r="Q5" i="20" s="1"/>
  <c r="S5" i="20" s="1"/>
  <c r="P9" i="20"/>
  <c r="Q9" i="20" s="1"/>
  <c r="S9" i="20" s="1"/>
  <c r="L17" i="20"/>
  <c r="P17" i="20" s="1"/>
  <c r="P35" i="20"/>
  <c r="L34" i="20"/>
  <c r="P34" i="20" s="1"/>
  <c r="Q34" i="20" s="1"/>
  <c r="S34" i="20" s="1"/>
  <c r="P44" i="20"/>
  <c r="L43" i="20"/>
  <c r="P43" i="20" s="1"/>
  <c r="P63" i="20"/>
  <c r="I104" i="20"/>
  <c r="M144" i="20"/>
  <c r="F149" i="20"/>
  <c r="E169" i="20"/>
  <c r="M122" i="20"/>
  <c r="H109" i="20"/>
  <c r="I149" i="20"/>
  <c r="E161" i="20"/>
  <c r="X154" i="20" s="1"/>
  <c r="X161" i="20" s="1"/>
  <c r="U174" i="20"/>
  <c r="F169" i="20"/>
  <c r="N161" i="20"/>
  <c r="F109" i="20"/>
  <c r="G109" i="20"/>
  <c r="E187" i="20"/>
  <c r="M139" i="20"/>
  <c r="N144" i="20"/>
  <c r="G161" i="20"/>
  <c r="E153" i="20"/>
  <c r="X150" i="20" s="1"/>
  <c r="X153" i="20" s="1"/>
  <c r="G187" i="20"/>
  <c r="I144" i="20"/>
  <c r="M104" i="20"/>
  <c r="E104" i="20"/>
  <c r="X99" i="20" s="1"/>
  <c r="X104" i="20" s="1"/>
  <c r="T124" i="20"/>
  <c r="T131" i="20" s="1"/>
  <c r="F153" i="20"/>
  <c r="H187" i="20"/>
  <c r="U124" i="20"/>
  <c r="N109" i="20"/>
  <c r="I118" i="20"/>
  <c r="H131" i="20"/>
  <c r="N131" i="20"/>
  <c r="E144" i="20"/>
  <c r="X140" i="20" s="1"/>
  <c r="X144" i="20" s="1"/>
  <c r="N104" i="20"/>
  <c r="AC188" i="20"/>
  <c r="O109" i="20"/>
  <c r="D16" i="6" s="1"/>
  <c r="I122" i="20"/>
  <c r="I131" i="20"/>
  <c r="U129" i="20"/>
  <c r="M161" i="20"/>
  <c r="M174" i="20"/>
  <c r="F181" i="20"/>
  <c r="F187" i="20"/>
  <c r="N169" i="20"/>
  <c r="I181" i="20"/>
  <c r="F131" i="20"/>
  <c r="M149" i="20"/>
  <c r="L174" i="20"/>
  <c r="F104" i="20"/>
  <c r="I187" i="20"/>
  <c r="G104" i="20"/>
  <c r="F118" i="20"/>
  <c r="I153" i="20"/>
  <c r="F161" i="20"/>
  <c r="G174" i="20"/>
  <c r="M187" i="20"/>
  <c r="N122" i="20"/>
  <c r="I109" i="20"/>
  <c r="N174" i="20"/>
  <c r="N181" i="20"/>
  <c r="N187" i="20"/>
  <c r="E109" i="20"/>
  <c r="X105" i="20" s="1"/>
  <c r="X109" i="20" s="1"/>
  <c r="N118" i="20"/>
  <c r="E118" i="20"/>
  <c r="X110" i="20" s="1"/>
  <c r="X118" i="20" s="1"/>
  <c r="E139" i="20"/>
  <c r="H104" i="20"/>
  <c r="L104" i="20"/>
  <c r="M109" i="20"/>
  <c r="H118" i="20"/>
  <c r="F122" i="20"/>
  <c r="G131" i="20"/>
  <c r="M131" i="20"/>
  <c r="H149" i="20"/>
  <c r="M153" i="20"/>
  <c r="M169" i="20"/>
  <c r="I174" i="20"/>
  <c r="E174" i="20"/>
  <c r="U113" i="20"/>
  <c r="AB188" i="20"/>
  <c r="M118" i="20"/>
  <c r="L131" i="20"/>
  <c r="O144" i="20"/>
  <c r="D57" i="6" s="1"/>
  <c r="U166" i="20"/>
  <c r="E122" i="20"/>
  <c r="X119" i="20" s="1"/>
  <c r="X122" i="20" s="1"/>
  <c r="L122" i="20"/>
  <c r="G118" i="20"/>
  <c r="L139" i="20"/>
  <c r="F144" i="20"/>
  <c r="E131" i="20"/>
  <c r="X123" i="20" s="1"/>
  <c r="X131" i="20" s="1"/>
  <c r="H122" i="20"/>
  <c r="F139" i="20"/>
  <c r="L109" i="20"/>
  <c r="G122" i="20"/>
  <c r="N139" i="20"/>
  <c r="AA188" i="20"/>
  <c r="H139" i="20"/>
  <c r="L144" i="20"/>
  <c r="I139" i="20"/>
  <c r="G149" i="20"/>
  <c r="L161" i="20"/>
  <c r="L181" i="20"/>
  <c r="L153" i="20"/>
  <c r="G169" i="20"/>
  <c r="L169" i="20"/>
  <c r="H174" i="20"/>
  <c r="M181" i="20"/>
  <c r="G181" i="20"/>
  <c r="T185" i="20"/>
  <c r="T187" i="20" s="1"/>
  <c r="O161" i="20"/>
  <c r="D81" i="6" s="1"/>
  <c r="G144" i="20"/>
  <c r="G153" i="20"/>
  <c r="G139" i="20"/>
  <c r="H144" i="20"/>
  <c r="E149" i="20"/>
  <c r="H161" i="20"/>
  <c r="H169" i="20"/>
  <c r="H181" i="20"/>
  <c r="L149" i="20"/>
  <c r="I161" i="20"/>
  <c r="I169" i="20"/>
  <c r="O181" i="20"/>
  <c r="D105" i="6" s="1"/>
  <c r="O187" i="20"/>
  <c r="D113" i="6" s="1"/>
  <c r="N153" i="20"/>
  <c r="E181" i="20"/>
  <c r="L187" i="20"/>
  <c r="V182" i="4"/>
  <c r="O182" i="4"/>
  <c r="N182" i="4"/>
  <c r="M182" i="4"/>
  <c r="AA25" i="28"/>
  <c r="AB25" i="28"/>
  <c r="AC25" i="28"/>
  <c r="AD25" i="28"/>
  <c r="AE25" i="28"/>
  <c r="AF25" i="28"/>
  <c r="AG25" i="28"/>
  <c r="AA26" i="28"/>
  <c r="AB26" i="28"/>
  <c r="AC26" i="28"/>
  <c r="AD26" i="28"/>
  <c r="AE26" i="28"/>
  <c r="AF26" i="28"/>
  <c r="AG26" i="28"/>
  <c r="AA27" i="28"/>
  <c r="AB27" i="28"/>
  <c r="AC27" i="28"/>
  <c r="AD27" i="28"/>
  <c r="AE27" i="28"/>
  <c r="AF27" i="28"/>
  <c r="AG27" i="28"/>
  <c r="AA28" i="28"/>
  <c r="AB28" i="28"/>
  <c r="AC28" i="28"/>
  <c r="AD28" i="28"/>
  <c r="AE28" i="28"/>
  <c r="AF28" i="28"/>
  <c r="AG28" i="28"/>
  <c r="AA29" i="28"/>
  <c r="AB29" i="28"/>
  <c r="AC29" i="28"/>
  <c r="AD29" i="28"/>
  <c r="AE29" i="28"/>
  <c r="AF29" i="28"/>
  <c r="AG29" i="28"/>
  <c r="AA30" i="28"/>
  <c r="AB30" i="28"/>
  <c r="AC30" i="28"/>
  <c r="AD30" i="28"/>
  <c r="AE30" i="28"/>
  <c r="AF30" i="28"/>
  <c r="AG30" i="28"/>
  <c r="AA31" i="28"/>
  <c r="AB31" i="28"/>
  <c r="AC31" i="28"/>
  <c r="AD31" i="28"/>
  <c r="AE31" i="28"/>
  <c r="AF31" i="28"/>
  <c r="AG31" i="28"/>
  <c r="AA32" i="28"/>
  <c r="AB32" i="28"/>
  <c r="AC32" i="28"/>
  <c r="AD32" i="28"/>
  <c r="AE32" i="28"/>
  <c r="AF32" i="28"/>
  <c r="AG32" i="28"/>
  <c r="AA33" i="28"/>
  <c r="AB33" i="28"/>
  <c r="AC33" i="28"/>
  <c r="AD33" i="28"/>
  <c r="AE33" i="28"/>
  <c r="AF33" i="28"/>
  <c r="AG33" i="28"/>
  <c r="AA34" i="28"/>
  <c r="AB34" i="28"/>
  <c r="AC34" i="28"/>
  <c r="AD34" i="28"/>
  <c r="AE34" i="28"/>
  <c r="AF34" i="28"/>
  <c r="AG34" i="28"/>
  <c r="AA35" i="28"/>
  <c r="AB35" i="28"/>
  <c r="AC35" i="28"/>
  <c r="AD35" i="28"/>
  <c r="AE35" i="28"/>
  <c r="AF35" i="28"/>
  <c r="AG35" i="28"/>
  <c r="AA36" i="28"/>
  <c r="AB36" i="28"/>
  <c r="AC36" i="28"/>
  <c r="AD36" i="28"/>
  <c r="AE36" i="28"/>
  <c r="AF36" i="28"/>
  <c r="AG36" i="28"/>
  <c r="AA37" i="28"/>
  <c r="AB37" i="28"/>
  <c r="AC37" i="28"/>
  <c r="AD37" i="28"/>
  <c r="AE37" i="28"/>
  <c r="AF37" i="28"/>
  <c r="AG37" i="28"/>
  <c r="AA38" i="28"/>
  <c r="AB38" i="28"/>
  <c r="AC38" i="28"/>
  <c r="AD38" i="28"/>
  <c r="AE38" i="28"/>
  <c r="AF38" i="28"/>
  <c r="AG38" i="28"/>
  <c r="AA39" i="28"/>
  <c r="AB39" i="28"/>
  <c r="AC39" i="28"/>
  <c r="AD39" i="28"/>
  <c r="AE39" i="28"/>
  <c r="AF39" i="28"/>
  <c r="AG39" i="28"/>
  <c r="AA40" i="28"/>
  <c r="AB40" i="28"/>
  <c r="AC40" i="28"/>
  <c r="AD40" i="28"/>
  <c r="AE40" i="28"/>
  <c r="AF40" i="28"/>
  <c r="AG40" i="28"/>
  <c r="AA41" i="28"/>
  <c r="AB41" i="28"/>
  <c r="AC41" i="28"/>
  <c r="AD41" i="28"/>
  <c r="AE41" i="28"/>
  <c r="AF41" i="28"/>
  <c r="AG41" i="28"/>
  <c r="AA42" i="28"/>
  <c r="AB42" i="28"/>
  <c r="AC42" i="28"/>
  <c r="AD42" i="28"/>
  <c r="AE42" i="28"/>
  <c r="AF42" i="28"/>
  <c r="AG42" i="28"/>
  <c r="AA43" i="28"/>
  <c r="AB43" i="28"/>
  <c r="AC43" i="28"/>
  <c r="AD43" i="28"/>
  <c r="AE43" i="28"/>
  <c r="AF43" i="28"/>
  <c r="AG43" i="28"/>
  <c r="AA44" i="28"/>
  <c r="AB44" i="28"/>
  <c r="AC44" i="28"/>
  <c r="AD44" i="28"/>
  <c r="AE44" i="28"/>
  <c r="AF44" i="28"/>
  <c r="AG44" i="28"/>
  <c r="AA45" i="28"/>
  <c r="AB45" i="28"/>
  <c r="AC45" i="28"/>
  <c r="AD45" i="28"/>
  <c r="AE45" i="28"/>
  <c r="AF45" i="28"/>
  <c r="AG45" i="28"/>
  <c r="AA46" i="28"/>
  <c r="AB46" i="28"/>
  <c r="AC46" i="28"/>
  <c r="AD46" i="28"/>
  <c r="AE46" i="28"/>
  <c r="AF46" i="28"/>
  <c r="AG46" i="28"/>
  <c r="AA47" i="28"/>
  <c r="AB47" i="28"/>
  <c r="AC47" i="28"/>
  <c r="AD47" i="28"/>
  <c r="AE47" i="28"/>
  <c r="AF47" i="28"/>
  <c r="AG47" i="28"/>
  <c r="AA48" i="28"/>
  <c r="AB48" i="28"/>
  <c r="AC48" i="28"/>
  <c r="AD48" i="28"/>
  <c r="AE48" i="28"/>
  <c r="AF48" i="28"/>
  <c r="AG48" i="28"/>
  <c r="AA49" i="28"/>
  <c r="AB49" i="28"/>
  <c r="AC49" i="28"/>
  <c r="AD49" i="28"/>
  <c r="AE49" i="28"/>
  <c r="AF49" i="28"/>
  <c r="AG49" i="28"/>
  <c r="AA50" i="28"/>
  <c r="AB50" i="28"/>
  <c r="AC50" i="28"/>
  <c r="AD50" i="28"/>
  <c r="AE50" i="28"/>
  <c r="AF50" i="28"/>
  <c r="AG50" i="28"/>
  <c r="AA51" i="28"/>
  <c r="AB51" i="28"/>
  <c r="AC51" i="28"/>
  <c r="AD51" i="28"/>
  <c r="AE51" i="28"/>
  <c r="AF51" i="28"/>
  <c r="AG51" i="28"/>
  <c r="AA52" i="28"/>
  <c r="AB52" i="28"/>
  <c r="AC52" i="28"/>
  <c r="AD52" i="28"/>
  <c r="AE52" i="28"/>
  <c r="AF52" i="28"/>
  <c r="AG52" i="28"/>
  <c r="AA53" i="28"/>
  <c r="AB53" i="28"/>
  <c r="AC53" i="28"/>
  <c r="AD53" i="28"/>
  <c r="AE53" i="28"/>
  <c r="AF53" i="28"/>
  <c r="AG53" i="28"/>
  <c r="AA54" i="28"/>
  <c r="AB54" i="28"/>
  <c r="AC54" i="28"/>
  <c r="AD54" i="28"/>
  <c r="AE54" i="28"/>
  <c r="AF54" i="28"/>
  <c r="AG54" i="28"/>
  <c r="AA55" i="28"/>
  <c r="AB55" i="28"/>
  <c r="AC55" i="28"/>
  <c r="AD55" i="28"/>
  <c r="AE55" i="28"/>
  <c r="AF55" i="28"/>
  <c r="AG55" i="28"/>
  <c r="AA56" i="28"/>
  <c r="AB56" i="28"/>
  <c r="AC56" i="28"/>
  <c r="AD56" i="28"/>
  <c r="AE56" i="28"/>
  <c r="AF56" i="28"/>
  <c r="AG56" i="28"/>
  <c r="AA57" i="28"/>
  <c r="AB57" i="28"/>
  <c r="AC57" i="28"/>
  <c r="AD57" i="28"/>
  <c r="AE57" i="28"/>
  <c r="AF57" i="28"/>
  <c r="AG57" i="28"/>
  <c r="AA58" i="28"/>
  <c r="AB58" i="28"/>
  <c r="AC58" i="28"/>
  <c r="AD58" i="28"/>
  <c r="AE58" i="28"/>
  <c r="AF58" i="28"/>
  <c r="AG58" i="28"/>
  <c r="AA59" i="28"/>
  <c r="AB59" i="28"/>
  <c r="AC59" i="28"/>
  <c r="AD59" i="28"/>
  <c r="AE59" i="28"/>
  <c r="AF59" i="28"/>
  <c r="AG59" i="28"/>
  <c r="AA60" i="28"/>
  <c r="AB60" i="28"/>
  <c r="AC60" i="28"/>
  <c r="AD60" i="28"/>
  <c r="AE60" i="28"/>
  <c r="AF60" i="28"/>
  <c r="AG60" i="28"/>
  <c r="AA61" i="28"/>
  <c r="AB61" i="28"/>
  <c r="AC61" i="28"/>
  <c r="AD61" i="28"/>
  <c r="AE61" i="28"/>
  <c r="AF61" i="28"/>
  <c r="AG61" i="28"/>
  <c r="AA62" i="28"/>
  <c r="AB62" i="28"/>
  <c r="AC62" i="28"/>
  <c r="AD62" i="28"/>
  <c r="AE62" i="28"/>
  <c r="AF62" i="28"/>
  <c r="AG62" i="28"/>
  <c r="AA63" i="28"/>
  <c r="AB63" i="28"/>
  <c r="AC63" i="28"/>
  <c r="AD63" i="28"/>
  <c r="AE63" i="28"/>
  <c r="AF63" i="28"/>
  <c r="AG63" i="28"/>
  <c r="AA64" i="28"/>
  <c r="AB64" i="28"/>
  <c r="AC64" i="28"/>
  <c r="AD64" i="28"/>
  <c r="AE64" i="28"/>
  <c r="AF64" i="28"/>
  <c r="AG64" i="28"/>
  <c r="AA65" i="28"/>
  <c r="AB65" i="28"/>
  <c r="AC65" i="28"/>
  <c r="AD65" i="28"/>
  <c r="AE65" i="28"/>
  <c r="AF65" i="28"/>
  <c r="AG65" i="28"/>
  <c r="AA66" i="28"/>
  <c r="AB66" i="28"/>
  <c r="AC66" i="28"/>
  <c r="AD66" i="28"/>
  <c r="AE66" i="28"/>
  <c r="AF66" i="28"/>
  <c r="AG66" i="28"/>
  <c r="AA67" i="28"/>
  <c r="AB67" i="28"/>
  <c r="AC67" i="28"/>
  <c r="AD67" i="28"/>
  <c r="AE67" i="28"/>
  <c r="AF67" i="28"/>
  <c r="AG67" i="28"/>
  <c r="AA68" i="28"/>
  <c r="AB68" i="28"/>
  <c r="AC68" i="28"/>
  <c r="AD68" i="28"/>
  <c r="AE68" i="28"/>
  <c r="AF68" i="28"/>
  <c r="AG68" i="28"/>
  <c r="AA69" i="28"/>
  <c r="AB69" i="28"/>
  <c r="AC69" i="28"/>
  <c r="AD69" i="28"/>
  <c r="AE69" i="28"/>
  <c r="AF69" i="28"/>
  <c r="AG69" i="28"/>
  <c r="AA70" i="28"/>
  <c r="AB70" i="28"/>
  <c r="AC70" i="28"/>
  <c r="AD70" i="28"/>
  <c r="AE70" i="28"/>
  <c r="AF70" i="28"/>
  <c r="AG70" i="28"/>
  <c r="AA71" i="28"/>
  <c r="AB71" i="28"/>
  <c r="AC71" i="28"/>
  <c r="AD71" i="28"/>
  <c r="AE71" i="28"/>
  <c r="AF71" i="28"/>
  <c r="AG71" i="28"/>
  <c r="AA72" i="28"/>
  <c r="AB72" i="28"/>
  <c r="AC72" i="28"/>
  <c r="AD72" i="28"/>
  <c r="AE72" i="28"/>
  <c r="AF72" i="28"/>
  <c r="AG72" i="28"/>
  <c r="AA73" i="28"/>
  <c r="AB73" i="28"/>
  <c r="AC73" i="28"/>
  <c r="AD73" i="28"/>
  <c r="AE73" i="28"/>
  <c r="AF73" i="28"/>
  <c r="AG73" i="28"/>
  <c r="AA74" i="28"/>
  <c r="AB74" i="28"/>
  <c r="AC74" i="28"/>
  <c r="AD74" i="28"/>
  <c r="AE74" i="28"/>
  <c r="AF74" i="28"/>
  <c r="AG74" i="28"/>
  <c r="AA75" i="28"/>
  <c r="AB75" i="28"/>
  <c r="AC75" i="28"/>
  <c r="AD75" i="28"/>
  <c r="AE75" i="28"/>
  <c r="AF75" i="28"/>
  <c r="AG75" i="28"/>
  <c r="AA76" i="28"/>
  <c r="AB76" i="28"/>
  <c r="AC76" i="28"/>
  <c r="AD76" i="28"/>
  <c r="AE76" i="28"/>
  <c r="AF76" i="28"/>
  <c r="AG76" i="28"/>
  <c r="AA77" i="28"/>
  <c r="AB77" i="28"/>
  <c r="AC77" i="28"/>
  <c r="AD77" i="28"/>
  <c r="AE77" i="28"/>
  <c r="AF77" i="28"/>
  <c r="AG77" i="28"/>
  <c r="AA78" i="28"/>
  <c r="AB78" i="28"/>
  <c r="AC78" i="28"/>
  <c r="AD78" i="28"/>
  <c r="AE78" i="28"/>
  <c r="AF78" i="28"/>
  <c r="AG78" i="28"/>
  <c r="AA79" i="28"/>
  <c r="AB79" i="28"/>
  <c r="AC79" i="28"/>
  <c r="AD79" i="28"/>
  <c r="AE79" i="28"/>
  <c r="AF79" i="28"/>
  <c r="AG79" i="28"/>
  <c r="AA80" i="28"/>
  <c r="AB80" i="28"/>
  <c r="AC80" i="28"/>
  <c r="AD80" i="28"/>
  <c r="AE80" i="28"/>
  <c r="AF80" i="28"/>
  <c r="AG80" i="28"/>
  <c r="AA81" i="28"/>
  <c r="AB81" i="28"/>
  <c r="AC81" i="28"/>
  <c r="AD81" i="28"/>
  <c r="AE81" i="28"/>
  <c r="AF81" i="28"/>
  <c r="AG81" i="28"/>
  <c r="AA82" i="28"/>
  <c r="AB82" i="28"/>
  <c r="AC82" i="28"/>
  <c r="AD82" i="28"/>
  <c r="AE82" i="28"/>
  <c r="AF82" i="28"/>
  <c r="AG82" i="28"/>
  <c r="AA83" i="28"/>
  <c r="AB83" i="28"/>
  <c r="AC83" i="28"/>
  <c r="AD83" i="28"/>
  <c r="AE83" i="28"/>
  <c r="AF83" i="28"/>
  <c r="AG83" i="28"/>
  <c r="AA84" i="28"/>
  <c r="AB84" i="28"/>
  <c r="AC84" i="28"/>
  <c r="AD84" i="28"/>
  <c r="AE84" i="28"/>
  <c r="AF84" i="28"/>
  <c r="AG84" i="28"/>
  <c r="AA85" i="28"/>
  <c r="AB85" i="28"/>
  <c r="AC85" i="28"/>
  <c r="AD85" i="28"/>
  <c r="AE85" i="28"/>
  <c r="AF85" i="28"/>
  <c r="AG85" i="28"/>
  <c r="AA86" i="28"/>
  <c r="AB86" i="28"/>
  <c r="AC86" i="28"/>
  <c r="AD86" i="28"/>
  <c r="AE86" i="28"/>
  <c r="AF86" i="28"/>
  <c r="AG86" i="28"/>
  <c r="AA87" i="28"/>
  <c r="AB87" i="28"/>
  <c r="AC87" i="28"/>
  <c r="AD87" i="28"/>
  <c r="AE87" i="28"/>
  <c r="AF87" i="28"/>
  <c r="AG87" i="28"/>
  <c r="AA88" i="28"/>
  <c r="AB88" i="28"/>
  <c r="AC88" i="28"/>
  <c r="AD88" i="28"/>
  <c r="AE88" i="28"/>
  <c r="AF88" i="28"/>
  <c r="AG88" i="28"/>
  <c r="AA89" i="28"/>
  <c r="AB89" i="28"/>
  <c r="AC89" i="28"/>
  <c r="AD89" i="28"/>
  <c r="AE89" i="28"/>
  <c r="AF89" i="28"/>
  <c r="AG89" i="28"/>
  <c r="AA90" i="28"/>
  <c r="AB90" i="28"/>
  <c r="AC90" i="28"/>
  <c r="AD90" i="28"/>
  <c r="AE90" i="28"/>
  <c r="AF90" i="28"/>
  <c r="AG90" i="28"/>
  <c r="AA91" i="28"/>
  <c r="AB91" i="28"/>
  <c r="AC91" i="28"/>
  <c r="AD91" i="28"/>
  <c r="AE91" i="28"/>
  <c r="AF91" i="28"/>
  <c r="AG91" i="28"/>
  <c r="Z92" i="28"/>
  <c r="AA92" i="28"/>
  <c r="AB92" i="28"/>
  <c r="AC92" i="28"/>
  <c r="AD92" i="28"/>
  <c r="AE92" i="28"/>
  <c r="AF92" i="28"/>
  <c r="AG92" i="28"/>
  <c r="AA93" i="28"/>
  <c r="AB93" i="28"/>
  <c r="AC93" i="28"/>
  <c r="AD93" i="28"/>
  <c r="AE93" i="28"/>
  <c r="AF93" i="28"/>
  <c r="AG93" i="28"/>
  <c r="AA94" i="28"/>
  <c r="AB94" i="28"/>
  <c r="AC94" i="28"/>
  <c r="AD94" i="28"/>
  <c r="AE94" i="28"/>
  <c r="AF94" i="28"/>
  <c r="AG94" i="28"/>
  <c r="AA95" i="28"/>
  <c r="AB95" i="28"/>
  <c r="AC95" i="28"/>
  <c r="AD95" i="28"/>
  <c r="AE95" i="28"/>
  <c r="AF95" i="28"/>
  <c r="AG95" i="28"/>
  <c r="AA96" i="28"/>
  <c r="AB96" i="28"/>
  <c r="AC96" i="28"/>
  <c r="AD96" i="28"/>
  <c r="AE96" i="28"/>
  <c r="AF96" i="28"/>
  <c r="AG96" i="28"/>
  <c r="AA97" i="28"/>
  <c r="AB97" i="28"/>
  <c r="AC97" i="28"/>
  <c r="AD97" i="28"/>
  <c r="AE97" i="28"/>
  <c r="AF97" i="28"/>
  <c r="AG97" i="28"/>
  <c r="AA103" i="28"/>
  <c r="AB103" i="28"/>
  <c r="AC103" i="28"/>
  <c r="AD103" i="28"/>
  <c r="AE103" i="28"/>
  <c r="AF103" i="28"/>
  <c r="AG103" i="28"/>
  <c r="AD468" i="20" l="1"/>
  <c r="AE468" i="20" s="1"/>
  <c r="AD475" i="20"/>
  <c r="AE475" i="20" s="1"/>
  <c r="AM475" i="20"/>
  <c r="AN475" i="20" s="1"/>
  <c r="L73" i="6"/>
  <c r="L74" i="6"/>
  <c r="L70" i="6"/>
  <c r="M70" i="6" s="1" a="1"/>
  <c r="M70" i="6" s="1"/>
  <c r="M75" i="6" s="1"/>
  <c r="L72" i="6"/>
  <c r="L64" i="6"/>
  <c r="M64" i="6" s="1"/>
  <c r="I128" i="6" s="1"/>
  <c r="L65" i="6"/>
  <c r="M65" i="6" s="1"/>
  <c r="J128" i="6" s="1"/>
  <c r="L17" i="6"/>
  <c r="L13" i="6"/>
  <c r="M13" i="6" s="1" a="1"/>
  <c r="M13" i="6" s="1"/>
  <c r="M18" i="6" s="1"/>
  <c r="M15" i="6" s="1"/>
  <c r="I122" i="6" s="1"/>
  <c r="L29" i="6"/>
  <c r="M29" i="6" s="1" a="1"/>
  <c r="M29" i="6" s="1"/>
  <c r="M34" i="6" s="1"/>
  <c r="M33" i="6" s="1"/>
  <c r="K124" i="6" s="1"/>
  <c r="D25" i="6"/>
  <c r="K26" i="6"/>
  <c r="L25" i="6" s="1"/>
  <c r="L54" i="6"/>
  <c r="M54" i="6" s="1" a="1"/>
  <c r="M54" i="6" s="1"/>
  <c r="D90" i="6"/>
  <c r="L56" i="6"/>
  <c r="M56" i="6" s="1"/>
  <c r="I127" i="6" s="1"/>
  <c r="D106" i="6"/>
  <c r="K107" i="6"/>
  <c r="D114" i="6"/>
  <c r="L31" i="6"/>
  <c r="L32" i="6"/>
  <c r="L57" i="6"/>
  <c r="M57" i="6" s="1"/>
  <c r="J127" i="6" s="1"/>
  <c r="D9" i="6"/>
  <c r="K10" i="6"/>
  <c r="D50" i="6"/>
  <c r="D42" i="6"/>
  <c r="D82" i="6"/>
  <c r="K83" i="6"/>
  <c r="L16" i="6"/>
  <c r="L66" i="6"/>
  <c r="M66" i="6" s="1"/>
  <c r="K128" i="6" s="1"/>
  <c r="K99" i="6"/>
  <c r="L98" i="6" s="1"/>
  <c r="K115" i="6"/>
  <c r="L114" i="6" s="1"/>
  <c r="H92" i="28"/>
  <c r="Y92" i="28" s="1"/>
  <c r="AM371" i="20"/>
  <c r="AN371" i="20" s="1"/>
  <c r="AM425" i="20"/>
  <c r="AN425" i="20" s="1"/>
  <c r="AD372" i="20"/>
  <c r="AE372" i="20" s="1"/>
  <c r="AD371" i="20"/>
  <c r="AE371" i="20" s="1"/>
  <c r="AM297" i="20"/>
  <c r="AN297" i="20" s="1"/>
  <c r="AM471" i="20"/>
  <c r="AN471" i="20" s="1"/>
  <c r="AD471" i="20"/>
  <c r="AE471" i="20" s="1"/>
  <c r="AD293" i="20"/>
  <c r="AE293" i="20" s="1"/>
  <c r="AD303" i="20"/>
  <c r="AE303" i="20" s="1"/>
  <c r="AD449" i="20"/>
  <c r="AE449" i="20" s="1"/>
  <c r="I102" i="28"/>
  <c r="AM449" i="20"/>
  <c r="AN449" i="20" s="1"/>
  <c r="AM303" i="20"/>
  <c r="AN303" i="20" s="1"/>
  <c r="AD425" i="20"/>
  <c r="AE425" i="20" s="1"/>
  <c r="AM432" i="20"/>
  <c r="AN432" i="20" s="1"/>
  <c r="I63" i="28"/>
  <c r="Z63" i="28" s="1"/>
  <c r="AD478" i="20"/>
  <c r="AE478" i="20" s="1"/>
  <c r="I99" i="28"/>
  <c r="Z99" i="28" s="1"/>
  <c r="AQ99" i="28" s="1"/>
  <c r="AM391" i="20"/>
  <c r="AN391" i="20" s="1"/>
  <c r="I28" i="28"/>
  <c r="Z28" i="28" s="1"/>
  <c r="AD448" i="20"/>
  <c r="AE448" i="20" s="1"/>
  <c r="I76" i="28"/>
  <c r="Z76" i="28" s="1"/>
  <c r="AD463" i="20"/>
  <c r="AE463" i="20" s="1"/>
  <c r="I85" i="28"/>
  <c r="Z85" i="28" s="1"/>
  <c r="AM440" i="20"/>
  <c r="AN440" i="20" s="1"/>
  <c r="I69" i="28"/>
  <c r="Z69" i="28" s="1"/>
  <c r="AD412" i="20"/>
  <c r="AE412" i="20" s="1"/>
  <c r="I45" i="28"/>
  <c r="Z45" i="28" s="1"/>
  <c r="AD418" i="20"/>
  <c r="AE418" i="20" s="1"/>
  <c r="I51" i="28"/>
  <c r="Z51" i="28" s="1"/>
  <c r="AM464" i="20"/>
  <c r="AN464" i="20" s="1"/>
  <c r="I86" i="28"/>
  <c r="Z86" i="28" s="1"/>
  <c r="AM459" i="20"/>
  <c r="AN459" i="20" s="1"/>
  <c r="I100" i="28"/>
  <c r="Z100" i="28" s="1"/>
  <c r="AQ100" i="28" s="1"/>
  <c r="AY100" i="28" s="1"/>
  <c r="AM451" i="20"/>
  <c r="AN451" i="20" s="1"/>
  <c r="I77" i="28"/>
  <c r="Z77" i="28" s="1"/>
  <c r="AD476" i="20"/>
  <c r="AE476" i="20" s="1"/>
  <c r="I96" i="28"/>
  <c r="Z96" i="28" s="1"/>
  <c r="AD404" i="20"/>
  <c r="AE404" i="20" s="1"/>
  <c r="I39" i="28"/>
  <c r="Z39" i="28" s="1"/>
  <c r="AD479" i="20"/>
  <c r="AE479" i="20" s="1"/>
  <c r="I103" i="28"/>
  <c r="Z103" i="28" s="1"/>
  <c r="AD395" i="20"/>
  <c r="AE395" i="20" s="1"/>
  <c r="I31" i="28"/>
  <c r="Z31" i="28" s="1"/>
  <c r="AM465" i="20"/>
  <c r="AN465" i="20" s="1"/>
  <c r="I87" i="28"/>
  <c r="Z87" i="28" s="1"/>
  <c r="AM450" i="20"/>
  <c r="AN450" i="20" s="1"/>
  <c r="I101" i="28"/>
  <c r="AM426" i="20"/>
  <c r="AN426" i="20" s="1"/>
  <c r="I58" i="28"/>
  <c r="Z58" i="28" s="1"/>
  <c r="AD423" i="20"/>
  <c r="AE423" i="20" s="1"/>
  <c r="I55" i="28"/>
  <c r="Z55" i="28" s="1"/>
  <c r="AD445" i="20"/>
  <c r="AE445" i="20" s="1"/>
  <c r="I73" i="28"/>
  <c r="Z73" i="28" s="1"/>
  <c r="AD446" i="20"/>
  <c r="AE446" i="20" s="1"/>
  <c r="I74" i="28"/>
  <c r="Z74" i="28" s="1"/>
  <c r="AD460" i="20"/>
  <c r="AE460" i="20" s="1"/>
  <c r="I83" i="28"/>
  <c r="Z83" i="28" s="1"/>
  <c r="AD415" i="20"/>
  <c r="AE415" i="20" s="1"/>
  <c r="I48" i="28"/>
  <c r="Z48" i="28" s="1"/>
  <c r="AM422" i="20"/>
  <c r="AN422" i="20" s="1"/>
  <c r="I54" i="28"/>
  <c r="Z54" i="28" s="1"/>
  <c r="AM392" i="20"/>
  <c r="AN392" i="20" s="1"/>
  <c r="I29" i="28"/>
  <c r="Z29" i="28" s="1"/>
  <c r="AM472" i="20"/>
  <c r="AN472" i="20" s="1"/>
  <c r="I93" i="28"/>
  <c r="Z93" i="28" s="1"/>
  <c r="AM435" i="20"/>
  <c r="AN435" i="20" s="1"/>
  <c r="I65" i="28"/>
  <c r="Z65" i="28" s="1"/>
  <c r="AD434" i="20"/>
  <c r="AE434" i="20" s="1"/>
  <c r="I64" i="28"/>
  <c r="Z64" i="28" s="1"/>
  <c r="AM417" i="20"/>
  <c r="AN417" i="20" s="1"/>
  <c r="I50" i="28"/>
  <c r="Z50" i="28" s="1"/>
  <c r="AD410" i="20"/>
  <c r="AE410" i="20" s="1"/>
  <c r="I44" i="28"/>
  <c r="Z44" i="28" s="1"/>
  <c r="AM403" i="20"/>
  <c r="AN403" i="20" s="1"/>
  <c r="I38" i="28"/>
  <c r="Z38" i="28" s="1"/>
  <c r="AD444" i="20"/>
  <c r="AE444" i="20" s="1"/>
  <c r="I72" i="28"/>
  <c r="Z72" i="28" s="1"/>
  <c r="AM405" i="20"/>
  <c r="AN405" i="20" s="1"/>
  <c r="I40" i="28"/>
  <c r="Z40" i="28" s="1"/>
  <c r="AD419" i="20"/>
  <c r="AE419" i="20" s="1"/>
  <c r="I52" i="28"/>
  <c r="Z52" i="28" s="1"/>
  <c r="AD409" i="20"/>
  <c r="I43" i="28"/>
  <c r="Z43" i="28" s="1"/>
  <c r="AM424" i="20"/>
  <c r="AN424" i="20" s="1"/>
  <c r="I56" i="28"/>
  <c r="Z56" i="28" s="1"/>
  <c r="AM469" i="20"/>
  <c r="AN469" i="20" s="1"/>
  <c r="I90" i="28"/>
  <c r="Z90" i="28" s="1"/>
  <c r="AD441" i="20"/>
  <c r="AE441" i="20" s="1"/>
  <c r="I70" i="28"/>
  <c r="Z70" i="28" s="1"/>
  <c r="AD397" i="20"/>
  <c r="AE397" i="20" s="1"/>
  <c r="I33" i="28"/>
  <c r="Z33" i="28" s="1"/>
  <c r="AM396" i="20"/>
  <c r="AN396" i="20" s="1"/>
  <c r="I32" i="28"/>
  <c r="Z32" i="28" s="1"/>
  <c r="AD455" i="20"/>
  <c r="AE455" i="20" s="1"/>
  <c r="I80" i="28"/>
  <c r="Z80" i="28" s="1"/>
  <c r="AD470" i="20"/>
  <c r="AE470" i="20" s="1"/>
  <c r="I91" i="28"/>
  <c r="Z91" i="28" s="1"/>
  <c r="AM454" i="20"/>
  <c r="AN454" i="20" s="1"/>
  <c r="I79" i="28"/>
  <c r="Z79" i="28" s="1"/>
  <c r="AM437" i="20"/>
  <c r="AN437" i="20" s="1"/>
  <c r="I67" i="28"/>
  <c r="Z67" i="28" s="1"/>
  <c r="AD431" i="20"/>
  <c r="AE431" i="20" s="1"/>
  <c r="I62" i="28"/>
  <c r="Z62" i="28" s="1"/>
  <c r="AM414" i="20"/>
  <c r="AN414" i="20" s="1"/>
  <c r="I47" i="28"/>
  <c r="Z47" i="28" s="1"/>
  <c r="AD458" i="20"/>
  <c r="AE458" i="20" s="1"/>
  <c r="I98" i="28"/>
  <c r="Z98" i="28" s="1"/>
  <c r="AQ98" i="28" s="1"/>
  <c r="AD416" i="20"/>
  <c r="AE416" i="20" s="1"/>
  <c r="I49" i="28"/>
  <c r="Z49" i="28" s="1"/>
  <c r="AD447" i="20"/>
  <c r="AE447" i="20" s="1"/>
  <c r="I75" i="28"/>
  <c r="Z75" i="28" s="1"/>
  <c r="AM434" i="20"/>
  <c r="AM404" i="20"/>
  <c r="AN404" i="20" s="1"/>
  <c r="AM476" i="20"/>
  <c r="AN476" i="20" s="1"/>
  <c r="AM479" i="20"/>
  <c r="AN479" i="20" s="1"/>
  <c r="AM447" i="20"/>
  <c r="AN447" i="20" s="1"/>
  <c r="AM458" i="20"/>
  <c r="AN458" i="20" s="1"/>
  <c r="AM415" i="20"/>
  <c r="AN415" i="20" s="1"/>
  <c r="AM463" i="20"/>
  <c r="AN463" i="20" s="1"/>
  <c r="Z399" i="20"/>
  <c r="Z407" i="20" s="1"/>
  <c r="AM470" i="20"/>
  <c r="AN470" i="20" s="1"/>
  <c r="AM431" i="20"/>
  <c r="AN431" i="20" s="1"/>
  <c r="AM478" i="20"/>
  <c r="AN478" i="20" s="1"/>
  <c r="AD403" i="20"/>
  <c r="AE403" i="20" s="1"/>
  <c r="AM455" i="20"/>
  <c r="AN455" i="20" s="1"/>
  <c r="AD396" i="20"/>
  <c r="AE396" i="20" s="1"/>
  <c r="AD472" i="20"/>
  <c r="AE472" i="20" s="1"/>
  <c r="AD392" i="20"/>
  <c r="AE392" i="20" s="1"/>
  <c r="AM419" i="20"/>
  <c r="AN419" i="20" s="1"/>
  <c r="AE409" i="20"/>
  <c r="AD440" i="20"/>
  <c r="AE440" i="20" s="1"/>
  <c r="AM412" i="20"/>
  <c r="AN412" i="20" s="1"/>
  <c r="AD405" i="20"/>
  <c r="AE405" i="20" s="1"/>
  <c r="AM397" i="20"/>
  <c r="AN397" i="20" s="1"/>
  <c r="AD401" i="20"/>
  <c r="AE401" i="20" s="1"/>
  <c r="AM401" i="20"/>
  <c r="AN401" i="20" s="1"/>
  <c r="AD451" i="20"/>
  <c r="AE451" i="20" s="1"/>
  <c r="AM441" i="20"/>
  <c r="AN441" i="20" s="1"/>
  <c r="AD450" i="20"/>
  <c r="AE450" i="20" s="1"/>
  <c r="AD464" i="20"/>
  <c r="AE464" i="20" s="1"/>
  <c r="AD422" i="20"/>
  <c r="AE422" i="20" s="1"/>
  <c r="AD465" i="20"/>
  <c r="AE465" i="20" s="1"/>
  <c r="AD417" i="20"/>
  <c r="AE417" i="20" s="1"/>
  <c r="AD459" i="20"/>
  <c r="AE459" i="20" s="1"/>
  <c r="AM410" i="20"/>
  <c r="AN410" i="20" s="1"/>
  <c r="AM395" i="20"/>
  <c r="AN395" i="20" s="1"/>
  <c r="AM409" i="20"/>
  <c r="AN409" i="20" s="1"/>
  <c r="AD437" i="20"/>
  <c r="AE437" i="20" s="1"/>
  <c r="W413" i="20"/>
  <c r="W420" i="20" s="1"/>
  <c r="S398" i="20"/>
  <c r="AM446" i="20"/>
  <c r="AN446" i="20" s="1"/>
  <c r="AD391" i="20"/>
  <c r="AE391" i="20" s="1"/>
  <c r="AM423" i="20"/>
  <c r="AN423" i="20" s="1"/>
  <c r="AD432" i="20"/>
  <c r="AE432" i="20" s="1"/>
  <c r="S438" i="20"/>
  <c r="AM448" i="20"/>
  <c r="AN448" i="20" s="1"/>
  <c r="Y442" i="20"/>
  <c r="Y398" i="20"/>
  <c r="AD414" i="20"/>
  <c r="AE414" i="20" s="1"/>
  <c r="AD379" i="20"/>
  <c r="AE379" i="20" s="1"/>
  <c r="AD454" i="20"/>
  <c r="AE454" i="20" s="1"/>
  <c r="AD469" i="20"/>
  <c r="AE469" i="20" s="1"/>
  <c r="AM444" i="20"/>
  <c r="AN444" i="20" s="1"/>
  <c r="AM416" i="20"/>
  <c r="AN416" i="20" s="1"/>
  <c r="L481" i="20"/>
  <c r="S407" i="20"/>
  <c r="AM445" i="20"/>
  <c r="AN445" i="20" s="1"/>
  <c r="AM418" i="20"/>
  <c r="AN418" i="20" s="1"/>
  <c r="AF399" i="20"/>
  <c r="AD424" i="20"/>
  <c r="AE424" i="20" s="1"/>
  <c r="U481" i="20"/>
  <c r="AD426" i="20"/>
  <c r="AE426" i="20" s="1"/>
  <c r="AF438" i="20"/>
  <c r="AM400" i="20"/>
  <c r="AN400" i="20" s="1"/>
  <c r="AD400" i="20"/>
  <c r="AE400" i="20" s="1"/>
  <c r="AD435" i="20"/>
  <c r="AE435" i="20" s="1"/>
  <c r="AD389" i="20"/>
  <c r="AE389" i="20" s="1"/>
  <c r="AM389" i="20"/>
  <c r="AN389" i="20" s="1"/>
  <c r="AD390" i="20"/>
  <c r="AE390" i="20" s="1"/>
  <c r="AM390" i="20"/>
  <c r="AN390" i="20" s="1"/>
  <c r="AM460" i="20"/>
  <c r="AN460" i="20" s="1"/>
  <c r="AM316" i="20"/>
  <c r="AN316" i="20" s="1"/>
  <c r="AD281" i="20"/>
  <c r="AE281" i="20" s="1"/>
  <c r="S442" i="20"/>
  <c r="AF439" i="20"/>
  <c r="AD316" i="20"/>
  <c r="AE316" i="20" s="1"/>
  <c r="AM427" i="20"/>
  <c r="AN427" i="20" s="1"/>
  <c r="AD427" i="20"/>
  <c r="AE427" i="20" s="1"/>
  <c r="AD436" i="20"/>
  <c r="AE436" i="20" s="1"/>
  <c r="AM436" i="20"/>
  <c r="AN436" i="20" s="1"/>
  <c r="AM406" i="20"/>
  <c r="AN406" i="20" s="1"/>
  <c r="AD406" i="20"/>
  <c r="AE406" i="20" s="1"/>
  <c r="AD233" i="20"/>
  <c r="AE233" i="20" s="1"/>
  <c r="S420" i="20"/>
  <c r="S428" i="20"/>
  <c r="S408" i="20"/>
  <c r="AF408" i="20" s="1"/>
  <c r="I42" i="28" s="1"/>
  <c r="Z42" i="28" s="1"/>
  <c r="AD456" i="20"/>
  <c r="AE456" i="20" s="1"/>
  <c r="AM456" i="20"/>
  <c r="AN456" i="20" s="1"/>
  <c r="S473" i="20"/>
  <c r="AF462" i="20"/>
  <c r="I84" i="28" s="1"/>
  <c r="Z84" i="28" s="1"/>
  <c r="S466" i="20"/>
  <c r="S461" i="20"/>
  <c r="AF453" i="20"/>
  <c r="I78" i="28" s="1"/>
  <c r="Z78" i="28" s="1"/>
  <c r="Z408" i="20"/>
  <c r="Z411" i="20" s="1"/>
  <c r="Y411" i="20"/>
  <c r="Z412" i="20"/>
  <c r="Z420" i="20" s="1"/>
  <c r="Y420" i="20"/>
  <c r="Y393" i="20"/>
  <c r="Z388" i="20"/>
  <c r="Z393" i="20" s="1"/>
  <c r="AD394" i="20"/>
  <c r="AF398" i="20"/>
  <c r="AM394" i="20"/>
  <c r="J481" i="20"/>
  <c r="AF428" i="20"/>
  <c r="AM421" i="20"/>
  <c r="AD421" i="20"/>
  <c r="AN434" i="20"/>
  <c r="AF473" i="20"/>
  <c r="AM467" i="20"/>
  <c r="AD467" i="20"/>
  <c r="V407" i="20"/>
  <c r="W402" i="20"/>
  <c r="Y433" i="20"/>
  <c r="Z429" i="20"/>
  <c r="Z433" i="20" s="1"/>
  <c r="W480" i="20"/>
  <c r="AF477" i="20"/>
  <c r="I97" i="28" s="1"/>
  <c r="Z97" i="28" s="1"/>
  <c r="AD430" i="20"/>
  <c r="AE430" i="20" s="1"/>
  <c r="AM430" i="20"/>
  <c r="AN430" i="20" s="1"/>
  <c r="Y452" i="20"/>
  <c r="Z443" i="20"/>
  <c r="Z452" i="20" s="1"/>
  <c r="O481" i="20"/>
  <c r="I18" i="28" s="1"/>
  <c r="W457" i="20"/>
  <c r="V461" i="20"/>
  <c r="AF429" i="20"/>
  <c r="I60" i="28" s="1"/>
  <c r="Z60" i="28" s="1"/>
  <c r="S433" i="20"/>
  <c r="AF443" i="20"/>
  <c r="I71" i="28" s="1"/>
  <c r="Z71" i="28" s="1"/>
  <c r="S452" i="20"/>
  <c r="AF388" i="20"/>
  <c r="I25" i="28" s="1"/>
  <c r="S393" i="20"/>
  <c r="S480" i="20"/>
  <c r="AF474" i="20"/>
  <c r="I94" i="28" s="1"/>
  <c r="Z94" i="28" s="1"/>
  <c r="AM351" i="20"/>
  <c r="AN351" i="20" s="1"/>
  <c r="V264" i="20"/>
  <c r="Q146" i="20"/>
  <c r="S146" i="20" s="1"/>
  <c r="H28" i="28"/>
  <c r="Y28" i="28" s="1"/>
  <c r="H40" i="28"/>
  <c r="Y40" i="28" s="1"/>
  <c r="AM305" i="20"/>
  <c r="AN305" i="20" s="1"/>
  <c r="AM307" i="20"/>
  <c r="AN307" i="20" s="1"/>
  <c r="AM359" i="20"/>
  <c r="AN359" i="20" s="1"/>
  <c r="AD305" i="20"/>
  <c r="AE305" i="20" s="1"/>
  <c r="AD359" i="20"/>
  <c r="AE359" i="20" s="1"/>
  <c r="AD360" i="20"/>
  <c r="AE360" i="20" s="1"/>
  <c r="AM360" i="20"/>
  <c r="AN360" i="20" s="1"/>
  <c r="AD351" i="20"/>
  <c r="AE351" i="20" s="1"/>
  <c r="AD297" i="20"/>
  <c r="AE297" i="20" s="1"/>
  <c r="AM328" i="20"/>
  <c r="AN328" i="20" s="1"/>
  <c r="AD332" i="20"/>
  <c r="AE332" i="20" s="1"/>
  <c r="AM332" i="20"/>
  <c r="AN332" i="20" s="1"/>
  <c r="H99" i="28"/>
  <c r="Y99" i="28" s="1"/>
  <c r="AP99" i="28" s="1"/>
  <c r="AM233" i="20"/>
  <c r="AN233" i="20" s="1"/>
  <c r="AD328" i="20"/>
  <c r="AE328" i="20" s="1"/>
  <c r="F284" i="20"/>
  <c r="Q101" i="28"/>
  <c r="AM202" i="20"/>
  <c r="AN202" i="20" s="1"/>
  <c r="AD319" i="20"/>
  <c r="AE319" i="20" s="1"/>
  <c r="AM319" i="20"/>
  <c r="AN319" i="20" s="1"/>
  <c r="AM324" i="20"/>
  <c r="AN324" i="20" s="1"/>
  <c r="AD202" i="20"/>
  <c r="AE202" i="20" s="1"/>
  <c r="AD324" i="20"/>
  <c r="AE324" i="20" s="1"/>
  <c r="AD347" i="20"/>
  <c r="AE347" i="20" s="1"/>
  <c r="H73" i="28"/>
  <c r="Y73" i="28" s="1"/>
  <c r="AM369" i="20"/>
  <c r="AN369" i="20" s="1"/>
  <c r="H89" i="28"/>
  <c r="Y89" i="28" s="1"/>
  <c r="AD352" i="20"/>
  <c r="AE352" i="20" s="1"/>
  <c r="H77" i="28"/>
  <c r="Y77" i="28" s="1"/>
  <c r="AD337" i="20"/>
  <c r="AE337" i="20" s="1"/>
  <c r="H65" i="28"/>
  <c r="Y65" i="28" s="1"/>
  <c r="G99" i="28"/>
  <c r="AD356" i="20"/>
  <c r="AE356" i="20" s="1"/>
  <c r="H80" i="28"/>
  <c r="Y80" i="28" s="1"/>
  <c r="AD306" i="20"/>
  <c r="AE306" i="20" s="1"/>
  <c r="H39" i="28"/>
  <c r="Y39" i="28" s="1"/>
  <c r="AD308" i="20"/>
  <c r="AE308" i="20" s="1"/>
  <c r="H41" i="28"/>
  <c r="Y41" i="28" s="1"/>
  <c r="AD365" i="20"/>
  <c r="AE365" i="20" s="1"/>
  <c r="H86" i="28"/>
  <c r="Y86" i="28" s="1"/>
  <c r="AM320" i="20"/>
  <c r="AN320" i="20" s="1"/>
  <c r="H51" i="28"/>
  <c r="Y51" i="28" s="1"/>
  <c r="AM302" i="20"/>
  <c r="AN302" i="20" s="1"/>
  <c r="H35" i="28"/>
  <c r="Y35" i="28" s="1"/>
  <c r="AD312" i="20"/>
  <c r="AE312" i="20" s="1"/>
  <c r="H44" i="28"/>
  <c r="Y44" i="28" s="1"/>
  <c r="AM327" i="20"/>
  <c r="AN327" i="20" s="1"/>
  <c r="H57" i="28"/>
  <c r="Y57" i="28" s="1"/>
  <c r="AM350" i="20"/>
  <c r="AN350" i="20" s="1"/>
  <c r="H76" i="28"/>
  <c r="Y76" i="28" s="1"/>
  <c r="AD318" i="20"/>
  <c r="AE318" i="20" s="1"/>
  <c r="H49" i="28"/>
  <c r="Y49" i="28" s="1"/>
  <c r="AM338" i="20"/>
  <c r="AN338" i="20" s="1"/>
  <c r="H66" i="28"/>
  <c r="Y66" i="28" s="1"/>
  <c r="AD377" i="20"/>
  <c r="AE377" i="20" s="1"/>
  <c r="H96" i="28"/>
  <c r="Y96" i="28" s="1"/>
  <c r="AD311" i="20"/>
  <c r="AE311" i="20" s="1"/>
  <c r="H43" i="28"/>
  <c r="Y43" i="28" s="1"/>
  <c r="AM339" i="20"/>
  <c r="AN339" i="20" s="1"/>
  <c r="H67" i="28"/>
  <c r="Y67" i="28" s="1"/>
  <c r="AM376" i="20"/>
  <c r="AN376" i="20" s="1"/>
  <c r="H95" i="28"/>
  <c r="Y95" i="28" s="1"/>
  <c r="AD325" i="20"/>
  <c r="AE325" i="20" s="1"/>
  <c r="H55" i="28"/>
  <c r="Y55" i="28" s="1"/>
  <c r="AM380" i="20"/>
  <c r="AN380" i="20" s="1"/>
  <c r="H103" i="28"/>
  <c r="Y103" i="28" s="1"/>
  <c r="AD370" i="20"/>
  <c r="AE370" i="20" s="1"/>
  <c r="H90" i="28"/>
  <c r="Y90" i="28" s="1"/>
  <c r="AM291" i="20"/>
  <c r="AN291" i="20" s="1"/>
  <c r="H26" i="28"/>
  <c r="Y26" i="28" s="1"/>
  <c r="AD373" i="20"/>
  <c r="AE373" i="20" s="1"/>
  <c r="H93" i="28"/>
  <c r="Y93" i="28" s="1"/>
  <c r="AM317" i="20"/>
  <c r="AN317" i="20" s="1"/>
  <c r="H48" i="28"/>
  <c r="Y48" i="28" s="1"/>
  <c r="AM349" i="20"/>
  <c r="AN349" i="20" s="1"/>
  <c r="H75" i="28"/>
  <c r="Y75" i="28" s="1"/>
  <c r="AM321" i="20"/>
  <c r="AN321" i="20" s="1"/>
  <c r="H52" i="28"/>
  <c r="Y52" i="28" s="1"/>
  <c r="AM294" i="20"/>
  <c r="AN294" i="20" s="1"/>
  <c r="H29" i="28"/>
  <c r="Y29" i="28" s="1"/>
  <c r="AD333" i="20"/>
  <c r="AE333" i="20" s="1"/>
  <c r="H62" i="28"/>
  <c r="Y62" i="28" s="1"/>
  <c r="AM366" i="20"/>
  <c r="AN366" i="20" s="1"/>
  <c r="H87" i="28"/>
  <c r="Y87" i="28" s="1"/>
  <c r="AD357" i="20"/>
  <c r="AE357" i="20" s="1"/>
  <c r="H81" i="28"/>
  <c r="Y81" i="28" s="1"/>
  <c r="AM348" i="20"/>
  <c r="AN348" i="20" s="1"/>
  <c r="H74" i="28"/>
  <c r="Y74" i="28" s="1"/>
  <c r="AM326" i="20"/>
  <c r="AN326" i="20" s="1"/>
  <c r="H56" i="28"/>
  <c r="Y56" i="28" s="1"/>
  <c r="AM346" i="20"/>
  <c r="AN346" i="20" s="1"/>
  <c r="H72" i="28"/>
  <c r="Y72" i="28" s="1"/>
  <c r="AM292" i="20"/>
  <c r="AN292" i="20" s="1"/>
  <c r="H27" i="28"/>
  <c r="Y27" i="28" s="1"/>
  <c r="AM299" i="20"/>
  <c r="AN299" i="20" s="1"/>
  <c r="H33" i="28"/>
  <c r="Y33" i="28" s="1"/>
  <c r="AD334" i="20"/>
  <c r="AE334" i="20" s="1"/>
  <c r="H63" i="28"/>
  <c r="Y63" i="28" s="1"/>
  <c r="AM373" i="20"/>
  <c r="AN373" i="20" s="1"/>
  <c r="AD366" i="20"/>
  <c r="AE366" i="20" s="1"/>
  <c r="AD302" i="20"/>
  <c r="AE302" i="20" s="1"/>
  <c r="AD327" i="20"/>
  <c r="AE327" i="20" s="1"/>
  <c r="W378" i="20"/>
  <c r="W381" i="20" s="1"/>
  <c r="W367" i="20"/>
  <c r="AM337" i="20"/>
  <c r="AN337" i="20" s="1"/>
  <c r="AD376" i="20"/>
  <c r="AE376" i="20" s="1"/>
  <c r="AM370" i="20"/>
  <c r="AN370" i="20" s="1"/>
  <c r="Q290" i="20"/>
  <c r="S290" i="20" s="1"/>
  <c r="AM352" i="20"/>
  <c r="AN352" i="20" s="1"/>
  <c r="AM334" i="20"/>
  <c r="AN334" i="20" s="1"/>
  <c r="AD349" i="20"/>
  <c r="AE349" i="20" s="1"/>
  <c r="AM347" i="20"/>
  <c r="AN347" i="20" s="1"/>
  <c r="AD294" i="20"/>
  <c r="AE294" i="20" s="1"/>
  <c r="AD299" i="20"/>
  <c r="AE299" i="20" s="1"/>
  <c r="AD321" i="20"/>
  <c r="AE321" i="20" s="1"/>
  <c r="AD317" i="20"/>
  <c r="AE317" i="20" s="1"/>
  <c r="W315" i="20"/>
  <c r="W322" i="20" s="1"/>
  <c r="AM308" i="20"/>
  <c r="AN308" i="20" s="1"/>
  <c r="AM311" i="20"/>
  <c r="AN311" i="20" s="1"/>
  <c r="AD291" i="20"/>
  <c r="AE291" i="20" s="1"/>
  <c r="AD292" i="20"/>
  <c r="AE292" i="20" s="1"/>
  <c r="AM377" i="20"/>
  <c r="AN377" i="20" s="1"/>
  <c r="AD339" i="20"/>
  <c r="AE339" i="20" s="1"/>
  <c r="AD380" i="20"/>
  <c r="AE380" i="20" s="1"/>
  <c r="AD326" i="20"/>
  <c r="AE326" i="20" s="1"/>
  <c r="Z301" i="20"/>
  <c r="Z309" i="20" s="1"/>
  <c r="AD348" i="20"/>
  <c r="AE348" i="20" s="1"/>
  <c r="L382" i="20"/>
  <c r="AD369" i="20"/>
  <c r="AE369" i="20" s="1"/>
  <c r="AM333" i="20"/>
  <c r="AN333" i="20" s="1"/>
  <c r="AM306" i="20"/>
  <c r="AN306" i="20" s="1"/>
  <c r="AM357" i="20"/>
  <c r="AN357" i="20" s="1"/>
  <c r="AM343" i="20"/>
  <c r="AN343" i="20" s="1"/>
  <c r="AD343" i="20"/>
  <c r="AE343" i="20" s="1"/>
  <c r="AM356" i="20"/>
  <c r="AN356" i="20" s="1"/>
  <c r="S340" i="20"/>
  <c r="S322" i="20"/>
  <c r="Y300" i="20"/>
  <c r="AD338" i="20"/>
  <c r="AE338" i="20" s="1"/>
  <c r="AF336" i="20"/>
  <c r="AM325" i="20"/>
  <c r="AN325" i="20" s="1"/>
  <c r="S300" i="20"/>
  <c r="S367" i="20"/>
  <c r="AD346" i="20"/>
  <c r="AE346" i="20" s="1"/>
  <c r="F382" i="20"/>
  <c r="AM318" i="20"/>
  <c r="AN318" i="20" s="1"/>
  <c r="AD320" i="20"/>
  <c r="AE320" i="20" s="1"/>
  <c r="AM365" i="20"/>
  <c r="AN365" i="20" s="1"/>
  <c r="AM312" i="20"/>
  <c r="AN312" i="20" s="1"/>
  <c r="AM298" i="20"/>
  <c r="AN298" i="20" s="1"/>
  <c r="AD298" i="20"/>
  <c r="AE298" i="20" s="1"/>
  <c r="O382" i="20"/>
  <c r="H18" i="28" s="1"/>
  <c r="AD355" i="20"/>
  <c r="AE355" i="20" s="1"/>
  <c r="AM355" i="20"/>
  <c r="AN355" i="20" s="1"/>
  <c r="AD361" i="20"/>
  <c r="AE361" i="20" s="1"/>
  <c r="AM361" i="20"/>
  <c r="AN361" i="20" s="1"/>
  <c r="AD350" i="20"/>
  <c r="AE350" i="20" s="1"/>
  <c r="Z314" i="20"/>
  <c r="Z322" i="20" s="1"/>
  <c r="Y322" i="20"/>
  <c r="Y344" i="20"/>
  <c r="Z341" i="20"/>
  <c r="Z344" i="20" s="1"/>
  <c r="J382" i="20"/>
  <c r="S353" i="20"/>
  <c r="AF368" i="20"/>
  <c r="H88" i="28" s="1"/>
  <c r="Y88" i="28" s="1"/>
  <c r="S374" i="20"/>
  <c r="AF331" i="20"/>
  <c r="H60" i="28" s="1"/>
  <c r="Y60" i="28" s="1"/>
  <c r="S335" i="20"/>
  <c r="S313" i="20"/>
  <c r="AF310" i="20"/>
  <c r="H42" i="28" s="1"/>
  <c r="Y42" i="28" s="1"/>
  <c r="AM345" i="20"/>
  <c r="AF353" i="20"/>
  <c r="AD345" i="20"/>
  <c r="AM329" i="20"/>
  <c r="AN329" i="20" s="1"/>
  <c r="AD329" i="20"/>
  <c r="AE329" i="20" s="1"/>
  <c r="V362" i="20"/>
  <c r="W358" i="20"/>
  <c r="AD342" i="20"/>
  <c r="AE342" i="20" s="1"/>
  <c r="AM342" i="20"/>
  <c r="AN342" i="20" s="1"/>
  <c r="S309" i="20"/>
  <c r="AF301" i="20"/>
  <c r="H34" i="28" s="1"/>
  <c r="Y34" i="28" s="1"/>
  <c r="S330" i="20"/>
  <c r="AF323" i="20"/>
  <c r="H53" i="28" s="1"/>
  <c r="Y53" i="28" s="1"/>
  <c r="AD363" i="20"/>
  <c r="AM363" i="20"/>
  <c r="Y353" i="20"/>
  <c r="Z345" i="20"/>
  <c r="Z353" i="20" s="1"/>
  <c r="AD314" i="20"/>
  <c r="AM314" i="20"/>
  <c r="AF354" i="20"/>
  <c r="H78" i="28" s="1"/>
  <c r="Y78" i="28" s="1"/>
  <c r="S362" i="20"/>
  <c r="Z310" i="20"/>
  <c r="Z313" i="20" s="1"/>
  <c r="Y313" i="20"/>
  <c r="V309" i="20"/>
  <c r="W304" i="20"/>
  <c r="AF300" i="20"/>
  <c r="AD296" i="20"/>
  <c r="AM296" i="20"/>
  <c r="U382" i="20"/>
  <c r="Z290" i="20"/>
  <c r="Z295" i="20" s="1"/>
  <c r="Y295" i="20"/>
  <c r="S344" i="20"/>
  <c r="AF341" i="20"/>
  <c r="H68" i="28" s="1"/>
  <c r="Y68" i="28" s="1"/>
  <c r="Y335" i="20"/>
  <c r="Z331" i="20"/>
  <c r="Z335" i="20" s="1"/>
  <c r="AM274" i="20"/>
  <c r="AN274" i="20" s="1"/>
  <c r="AD274" i="20"/>
  <c r="AE274" i="20" s="1"/>
  <c r="AD237" i="20"/>
  <c r="AE237" i="20" s="1"/>
  <c r="AM237" i="20"/>
  <c r="AN237" i="20" s="1"/>
  <c r="W174" i="20"/>
  <c r="AM210" i="20"/>
  <c r="AN210" i="20" s="1"/>
  <c r="AD210" i="20"/>
  <c r="AE210" i="20" s="1"/>
  <c r="Z214" i="20"/>
  <c r="Z217" i="20" s="1"/>
  <c r="U284" i="20"/>
  <c r="AF208" i="20"/>
  <c r="G37" i="28" s="1"/>
  <c r="X37" i="28" s="1"/>
  <c r="AD260" i="20"/>
  <c r="AE260" i="20" s="1"/>
  <c r="AM263" i="20"/>
  <c r="AN263" i="20" s="1"/>
  <c r="AM203" i="20"/>
  <c r="AN203" i="20" s="1"/>
  <c r="AD203" i="20"/>
  <c r="AE203" i="20" s="1"/>
  <c r="G33" i="28"/>
  <c r="X33" i="28" s="1"/>
  <c r="G63" i="28"/>
  <c r="X63" i="28" s="1"/>
  <c r="AD252" i="20"/>
  <c r="AE252" i="20" s="1"/>
  <c r="AM260" i="20"/>
  <c r="AN260" i="20" s="1"/>
  <c r="AD282" i="20"/>
  <c r="AE282" i="20" s="1"/>
  <c r="AM252" i="20"/>
  <c r="AN252" i="20" s="1"/>
  <c r="AM282" i="20"/>
  <c r="AN282" i="20" s="1"/>
  <c r="G86" i="28"/>
  <c r="X86" i="28" s="1"/>
  <c r="AD267" i="20"/>
  <c r="AE267" i="20" s="1"/>
  <c r="AM267" i="20"/>
  <c r="AN267" i="20" s="1"/>
  <c r="AF232" i="20"/>
  <c r="AF273" i="20"/>
  <c r="AF220" i="20"/>
  <c r="AD220" i="20" s="1"/>
  <c r="AE220" i="20" s="1"/>
  <c r="AF223" i="20"/>
  <c r="G50" i="28" s="1"/>
  <c r="X50" i="28" s="1"/>
  <c r="AF255" i="20"/>
  <c r="G77" i="28" s="1"/>
  <c r="X77" i="28" s="1"/>
  <c r="Q194" i="20"/>
  <c r="S194" i="20" s="1"/>
  <c r="AF197" i="20"/>
  <c r="AF200" i="20"/>
  <c r="G30" i="28" s="1"/>
  <c r="X30" i="28" s="1"/>
  <c r="AF198" i="20"/>
  <c r="AD198" i="20" s="1"/>
  <c r="AE198" i="20" s="1"/>
  <c r="AF211" i="20"/>
  <c r="AM211" i="20" s="1"/>
  <c r="AN211" i="20" s="1"/>
  <c r="AF209" i="20"/>
  <c r="G38" i="28" s="1"/>
  <c r="X38" i="28" s="1"/>
  <c r="G51" i="28"/>
  <c r="X51" i="28" s="1"/>
  <c r="AD224" i="20"/>
  <c r="AE224" i="20" s="1"/>
  <c r="AM224" i="20"/>
  <c r="AN224" i="20" s="1"/>
  <c r="AD238" i="20"/>
  <c r="AE238" i="20" s="1"/>
  <c r="AD258" i="20"/>
  <c r="AE258" i="20" s="1"/>
  <c r="AM258" i="20"/>
  <c r="AN258" i="20" s="1"/>
  <c r="AM201" i="20"/>
  <c r="AN201" i="20" s="1"/>
  <c r="AM228" i="20"/>
  <c r="AN228" i="20" s="1"/>
  <c r="AD228" i="20"/>
  <c r="AE228" i="20" s="1"/>
  <c r="AD250" i="20"/>
  <c r="AE250" i="20" s="1"/>
  <c r="AM250" i="20"/>
  <c r="AN250" i="20" s="1"/>
  <c r="W269" i="20"/>
  <c r="AM236" i="20"/>
  <c r="AN236" i="20" s="1"/>
  <c r="AD263" i="20"/>
  <c r="AE263" i="20" s="1"/>
  <c r="AD236" i="20"/>
  <c r="AE236" i="20" s="1"/>
  <c r="AD201" i="20"/>
  <c r="AE201" i="20" s="1"/>
  <c r="AM271" i="20"/>
  <c r="AN271" i="20" s="1"/>
  <c r="G89" i="28"/>
  <c r="X89" i="28" s="1"/>
  <c r="AD206" i="20"/>
  <c r="AE206" i="20" s="1"/>
  <c r="G35" i="28"/>
  <c r="X35" i="28" s="1"/>
  <c r="AM231" i="20"/>
  <c r="AN231" i="20" s="1"/>
  <c r="G57" i="28"/>
  <c r="X57" i="28" s="1"/>
  <c r="AM216" i="20"/>
  <c r="AN216" i="20" s="1"/>
  <c r="G44" i="28"/>
  <c r="X44" i="28" s="1"/>
  <c r="AM259" i="20"/>
  <c r="AN259" i="20" s="1"/>
  <c r="G80" i="28"/>
  <c r="X80" i="28" s="1"/>
  <c r="Q16" i="20"/>
  <c r="S16" i="20" s="1"/>
  <c r="AM275" i="20"/>
  <c r="AN275" i="20" s="1"/>
  <c r="G93" i="28"/>
  <c r="X93" i="28" s="1"/>
  <c r="AM221" i="20"/>
  <c r="AN221" i="20" s="1"/>
  <c r="G48" i="28"/>
  <c r="X48" i="28" s="1"/>
  <c r="AD259" i="20"/>
  <c r="AE259" i="20" s="1"/>
  <c r="AD215" i="20"/>
  <c r="AE215" i="20" s="1"/>
  <c r="G43" i="28"/>
  <c r="X43" i="28" s="1"/>
  <c r="AD230" i="20"/>
  <c r="AE230" i="20" s="1"/>
  <c r="G56" i="28"/>
  <c r="X56" i="28" s="1"/>
  <c r="AD247" i="20"/>
  <c r="AE247" i="20" s="1"/>
  <c r="G70" i="28"/>
  <c r="X70" i="28" s="1"/>
  <c r="AD242" i="20"/>
  <c r="AE242" i="20" s="1"/>
  <c r="G66" i="28"/>
  <c r="X66" i="28" s="1"/>
  <c r="AM242" i="20"/>
  <c r="AN242" i="20" s="1"/>
  <c r="AM279" i="20"/>
  <c r="AN279" i="20" s="1"/>
  <c r="G96" i="28"/>
  <c r="X96" i="28" s="1"/>
  <c r="AM222" i="20"/>
  <c r="AN222" i="20" s="1"/>
  <c r="G49" i="28"/>
  <c r="X49" i="28" s="1"/>
  <c r="AM262" i="20"/>
  <c r="AN262" i="20" s="1"/>
  <c r="G98" i="28"/>
  <c r="X98" i="28" s="1"/>
  <c r="AO98" i="28" s="1"/>
  <c r="AD207" i="20"/>
  <c r="AE207" i="20" s="1"/>
  <c r="G36" i="28"/>
  <c r="X36" i="28" s="1"/>
  <c r="Q167" i="20"/>
  <c r="S167" i="20" s="1"/>
  <c r="AF167" i="20" s="1"/>
  <c r="F98" i="28" s="1"/>
  <c r="W280" i="20"/>
  <c r="W283" i="20" s="1"/>
  <c r="AM230" i="20"/>
  <c r="AN230" i="20" s="1"/>
  <c r="Z200" i="20"/>
  <c r="Z204" i="20" s="1"/>
  <c r="AD222" i="20"/>
  <c r="AE222" i="20" s="1"/>
  <c r="AD216" i="20"/>
  <c r="AE216" i="20" s="1"/>
  <c r="S269" i="20"/>
  <c r="AM206" i="20"/>
  <c r="AN206" i="20" s="1"/>
  <c r="AD262" i="20"/>
  <c r="AE262" i="20" s="1"/>
  <c r="AD196" i="20"/>
  <c r="AE196" i="20" s="1"/>
  <c r="AM196" i="20"/>
  <c r="AN196" i="20" s="1"/>
  <c r="AD279" i="20"/>
  <c r="AE279" i="20" s="1"/>
  <c r="S235" i="20"/>
  <c r="S239" i="20" s="1"/>
  <c r="AM247" i="20"/>
  <c r="AN247" i="20" s="1"/>
  <c r="S244" i="20"/>
  <c r="AM215" i="20"/>
  <c r="AN215" i="20" s="1"/>
  <c r="AD275" i="20"/>
  <c r="AE275" i="20" s="1"/>
  <c r="AD271" i="20"/>
  <c r="AE271" i="20" s="1"/>
  <c r="AM272" i="20"/>
  <c r="AN272" i="20" s="1"/>
  <c r="AD272" i="20"/>
  <c r="AE272" i="20" s="1"/>
  <c r="AM268" i="20"/>
  <c r="AN268" i="20" s="1"/>
  <c r="AD268" i="20"/>
  <c r="AE268" i="20" s="1"/>
  <c r="AD243" i="20"/>
  <c r="AE243" i="20" s="1"/>
  <c r="AM243" i="20"/>
  <c r="AN243" i="20" s="1"/>
  <c r="AM251" i="20"/>
  <c r="AN251" i="20" s="1"/>
  <c r="AD251" i="20"/>
  <c r="AE251" i="20" s="1"/>
  <c r="AM278" i="20"/>
  <c r="AN278" i="20" s="1"/>
  <c r="AD278" i="20"/>
  <c r="AE278" i="20" s="1"/>
  <c r="AD246" i="20"/>
  <c r="AE246" i="20" s="1"/>
  <c r="AM246" i="20"/>
  <c r="AN246" i="20" s="1"/>
  <c r="AM229" i="20"/>
  <c r="AN229" i="20" s="1"/>
  <c r="AD229" i="20"/>
  <c r="AE229" i="20" s="1"/>
  <c r="AD254" i="20"/>
  <c r="AE254" i="20" s="1"/>
  <c r="AM254" i="20"/>
  <c r="AN254" i="20" s="1"/>
  <c r="AD241" i="20"/>
  <c r="AE241" i="20" s="1"/>
  <c r="AM241" i="20"/>
  <c r="AN241" i="20" s="1"/>
  <c r="AD253" i="20"/>
  <c r="AE253" i="20" s="1"/>
  <c r="AM253" i="20"/>
  <c r="AN253" i="20" s="1"/>
  <c r="AD212" i="20"/>
  <c r="AE212" i="20" s="1"/>
  <c r="AM212" i="20"/>
  <c r="AN212" i="20" s="1"/>
  <c r="Q142" i="20"/>
  <c r="S142" i="20" s="1"/>
  <c r="AF142" i="20" s="1"/>
  <c r="F62" i="28" s="1"/>
  <c r="W62" i="28" s="1"/>
  <c r="AD195" i="20"/>
  <c r="AE195" i="20" s="1"/>
  <c r="AM195" i="20"/>
  <c r="AN195" i="20" s="1"/>
  <c r="S204" i="20"/>
  <c r="S217" i="20"/>
  <c r="S245" i="20"/>
  <c r="AF245" i="20" s="1"/>
  <c r="G68" i="28" s="1"/>
  <c r="X68" i="28" s="1"/>
  <c r="S277" i="20"/>
  <c r="AF277" i="20" s="1"/>
  <c r="G94" i="28" s="1"/>
  <c r="X94" i="28" s="1"/>
  <c r="Q44" i="20"/>
  <c r="S44" i="20" s="1"/>
  <c r="Q32" i="20"/>
  <c r="S32" i="20" s="1"/>
  <c r="Q22" i="20"/>
  <c r="S22" i="20" s="1"/>
  <c r="Q130" i="20"/>
  <c r="S130" i="20" s="1"/>
  <c r="AF130" i="20" s="1"/>
  <c r="AD130" i="20" s="1"/>
  <c r="AE130" i="20" s="1"/>
  <c r="J284" i="20"/>
  <c r="AD214" i="20"/>
  <c r="AF217" i="20"/>
  <c r="AM214" i="20"/>
  <c r="V226" i="20"/>
  <c r="W219" i="20"/>
  <c r="AF270" i="20"/>
  <c r="G88" i="28" s="1"/>
  <c r="X88" i="28" s="1"/>
  <c r="S276" i="20"/>
  <c r="W264" i="20"/>
  <c r="AF261" i="20"/>
  <c r="G82" i="28" s="1"/>
  <c r="X82" i="28" s="1"/>
  <c r="Y256" i="20"/>
  <c r="Z249" i="20"/>
  <c r="Z256" i="20" s="1"/>
  <c r="S249" i="20"/>
  <c r="AF244" i="20"/>
  <c r="AM240" i="20"/>
  <c r="AD240" i="20"/>
  <c r="O284" i="20"/>
  <c r="G18" i="28" s="1"/>
  <c r="Y226" i="20"/>
  <c r="Z218" i="20"/>
  <c r="Z226" i="20" s="1"/>
  <c r="S205" i="20"/>
  <c r="Z235" i="20"/>
  <c r="Z239" i="20" s="1"/>
  <c r="Y239" i="20"/>
  <c r="S234" i="20"/>
  <c r="AF227" i="20"/>
  <c r="G53" i="28" s="1"/>
  <c r="X53" i="28" s="1"/>
  <c r="Y213" i="20"/>
  <c r="Z205" i="20"/>
  <c r="Z213" i="20" s="1"/>
  <c r="AF218" i="20"/>
  <c r="G45" i="28" s="1"/>
  <c r="X45" i="28" s="1"/>
  <c r="S226" i="20"/>
  <c r="AM225" i="20"/>
  <c r="AN225" i="20" s="1"/>
  <c r="AD225" i="20"/>
  <c r="AE225" i="20" s="1"/>
  <c r="Z194" i="20"/>
  <c r="Z199" i="20" s="1"/>
  <c r="Y199" i="20"/>
  <c r="Y248" i="20"/>
  <c r="Z245" i="20"/>
  <c r="Z248" i="20" s="1"/>
  <c r="AM265" i="20"/>
  <c r="AD265" i="20"/>
  <c r="S257" i="20"/>
  <c r="Q49" i="20"/>
  <c r="S49" i="20" s="1"/>
  <c r="AM98" i="28"/>
  <c r="Q39" i="20"/>
  <c r="S39" i="20" s="1"/>
  <c r="Q18" i="20"/>
  <c r="S18" i="20" s="1"/>
  <c r="Q61" i="20"/>
  <c r="S61" i="20" s="1"/>
  <c r="Q17" i="20"/>
  <c r="S17" i="20" s="1"/>
  <c r="Q46" i="20"/>
  <c r="S46" i="20" s="1"/>
  <c r="Q63" i="20"/>
  <c r="S63" i="20" s="1"/>
  <c r="Q57" i="20"/>
  <c r="S57" i="20" s="1"/>
  <c r="Q23" i="20"/>
  <c r="S23" i="20" s="1"/>
  <c r="Q25" i="20"/>
  <c r="S25" i="20" s="1"/>
  <c r="Q21" i="20"/>
  <c r="S21" i="20" s="1"/>
  <c r="Q41" i="20"/>
  <c r="S41" i="20" s="1"/>
  <c r="Q56" i="20"/>
  <c r="S56" i="20" s="1"/>
  <c r="Q19" i="20"/>
  <c r="S19" i="20" s="1"/>
  <c r="Q64" i="20"/>
  <c r="S64" i="20" s="1"/>
  <c r="Q30" i="20"/>
  <c r="S30" i="20" s="1"/>
  <c r="Q159" i="20"/>
  <c r="S159" i="20" s="1"/>
  <c r="AF159" i="20" s="1"/>
  <c r="F76" i="28" s="1"/>
  <c r="W76" i="28" s="1"/>
  <c r="Q51" i="20"/>
  <c r="S51" i="20" s="1"/>
  <c r="Q43" i="20"/>
  <c r="S43" i="20" s="1"/>
  <c r="Q14" i="20"/>
  <c r="S14" i="20" s="1"/>
  <c r="Q60" i="20"/>
  <c r="S60" i="20" s="1"/>
  <c r="Q105" i="20"/>
  <c r="S105" i="20" s="1"/>
  <c r="Q52" i="20"/>
  <c r="S52" i="20" s="1"/>
  <c r="Q113" i="20"/>
  <c r="S113" i="20" s="1"/>
  <c r="S143" i="20"/>
  <c r="AF143" i="20" s="1"/>
  <c r="AD143" i="20" s="1"/>
  <c r="AE143" i="20" s="1"/>
  <c r="Q164" i="20"/>
  <c r="S164" i="20" s="1"/>
  <c r="AF164" i="20" s="1"/>
  <c r="Q121" i="20"/>
  <c r="S121" i="20" s="1"/>
  <c r="AF121" i="20" s="1"/>
  <c r="AD121" i="20" s="1"/>
  <c r="AE121" i="20" s="1"/>
  <c r="Q110" i="20"/>
  <c r="S110" i="20" s="1"/>
  <c r="Q155" i="20"/>
  <c r="S155" i="20" s="1"/>
  <c r="AF155" i="20" s="1"/>
  <c r="AM155" i="20" s="1"/>
  <c r="AN155" i="20" s="1"/>
  <c r="Q170" i="20"/>
  <c r="S170" i="20" s="1"/>
  <c r="AF170" i="20" s="1"/>
  <c r="F84" i="28" s="1"/>
  <c r="W84" i="28" s="1"/>
  <c r="Q119" i="20"/>
  <c r="S119" i="20" s="1"/>
  <c r="Q135" i="20"/>
  <c r="S135" i="20" s="1"/>
  <c r="AF135" i="20" s="1"/>
  <c r="AD135" i="20" s="1"/>
  <c r="AE135" i="20" s="1"/>
  <c r="Q33" i="20"/>
  <c r="S33" i="20" s="1"/>
  <c r="Q66" i="20"/>
  <c r="S66" i="20" s="1"/>
  <c r="Q112" i="20"/>
  <c r="S112" i="20" s="1"/>
  <c r="AF112" i="20" s="1"/>
  <c r="Q129" i="20"/>
  <c r="S129" i="20" s="1"/>
  <c r="Q47" i="20"/>
  <c r="S47" i="20" s="1"/>
  <c r="Q42" i="20"/>
  <c r="S42" i="20" s="1"/>
  <c r="S128" i="20"/>
  <c r="AF128" i="20" s="1"/>
  <c r="Q62" i="20"/>
  <c r="S62" i="20" s="1"/>
  <c r="Q100" i="20"/>
  <c r="S100" i="20" s="1"/>
  <c r="AF100" i="20" s="1"/>
  <c r="Q134" i="20"/>
  <c r="S134" i="20" s="1"/>
  <c r="AF134" i="20" s="1"/>
  <c r="Q116" i="20"/>
  <c r="S116" i="20" s="1"/>
  <c r="AF116" i="20" s="1"/>
  <c r="F40" i="28" s="1"/>
  <c r="W40" i="28" s="1"/>
  <c r="Q54" i="20"/>
  <c r="S54" i="20" s="1"/>
  <c r="Q120" i="20"/>
  <c r="S120" i="20" s="1"/>
  <c r="AF120" i="20" s="1"/>
  <c r="AM120" i="20" s="1"/>
  <c r="AN120" i="20" s="1"/>
  <c r="S102" i="20"/>
  <c r="AF102" i="20" s="1"/>
  <c r="Q38" i="20"/>
  <c r="S38" i="20" s="1"/>
  <c r="Q35" i="20"/>
  <c r="S35" i="20" s="1"/>
  <c r="Q11" i="20"/>
  <c r="S11" i="20" s="1"/>
  <c r="Q183" i="20"/>
  <c r="S183" i="20" s="1"/>
  <c r="AF183" i="20" s="1"/>
  <c r="S178" i="20"/>
  <c r="AF178" i="20" s="1"/>
  <c r="Q125" i="20"/>
  <c r="S125" i="20" s="1"/>
  <c r="AF125" i="20" s="1"/>
  <c r="S123" i="20"/>
  <c r="AF123" i="20" s="1"/>
  <c r="AM123" i="20" s="1"/>
  <c r="Q165" i="20"/>
  <c r="S165" i="20" s="1"/>
  <c r="AF165" i="20" s="1"/>
  <c r="Q166" i="20"/>
  <c r="S166" i="20" s="1"/>
  <c r="Q185" i="20"/>
  <c r="S185" i="20" s="1"/>
  <c r="S179" i="20"/>
  <c r="AF179" i="20" s="1"/>
  <c r="F92" i="28" s="1"/>
  <c r="W92" i="28" s="1"/>
  <c r="S124" i="20"/>
  <c r="Q175" i="20"/>
  <c r="S175" i="20" s="1"/>
  <c r="AF175" i="20" s="1"/>
  <c r="F88" i="28" s="1"/>
  <c r="W88" i="28" s="1"/>
  <c r="Q162" i="20"/>
  <c r="S162" i="20" s="1"/>
  <c r="S115" i="20"/>
  <c r="AF115" i="20" s="1"/>
  <c r="Q148" i="20"/>
  <c r="S148" i="20" s="1"/>
  <c r="AF148" i="20" s="1"/>
  <c r="Q154" i="20"/>
  <c r="S154" i="20" s="1"/>
  <c r="Q101" i="20"/>
  <c r="S101" i="20" s="1"/>
  <c r="AF101" i="20" s="1"/>
  <c r="Q151" i="20"/>
  <c r="S151" i="20" s="1"/>
  <c r="AF151" i="20" s="1"/>
  <c r="Q137" i="20"/>
  <c r="S137" i="20" s="1"/>
  <c r="AF137" i="20" s="1"/>
  <c r="F58" i="28" s="1"/>
  <c r="W58" i="28" s="1"/>
  <c r="S108" i="20"/>
  <c r="AF108" i="20" s="1"/>
  <c r="F33" i="28" s="1"/>
  <c r="W33" i="28" s="1"/>
  <c r="Q145" i="20"/>
  <c r="S145" i="20" s="1"/>
  <c r="Q140" i="20"/>
  <c r="S140" i="20" s="1"/>
  <c r="Q157" i="20"/>
  <c r="S157" i="20" s="1"/>
  <c r="AF157" i="20" s="1"/>
  <c r="V124" i="20"/>
  <c r="W124" i="20" s="1"/>
  <c r="Q173" i="20"/>
  <c r="S173" i="20" s="1"/>
  <c r="AF173" i="20" s="1"/>
  <c r="Q111" i="20"/>
  <c r="S111" i="20" s="1"/>
  <c r="AF111" i="20" s="1"/>
  <c r="F35" i="28" s="1"/>
  <c r="W35" i="28" s="1"/>
  <c r="Q127" i="20"/>
  <c r="S127" i="20" s="1"/>
  <c r="AF127" i="20" s="1"/>
  <c r="Q171" i="20"/>
  <c r="S171" i="20" s="1"/>
  <c r="Q172" i="20"/>
  <c r="S172" i="20" s="1"/>
  <c r="AF172" i="20" s="1"/>
  <c r="Q186" i="20"/>
  <c r="S186" i="20" s="1"/>
  <c r="AF186" i="20" s="1"/>
  <c r="AD186" i="20" s="1"/>
  <c r="AE186" i="20" s="1"/>
  <c r="Q176" i="20"/>
  <c r="S176" i="20" s="1"/>
  <c r="AF176" i="20" s="1"/>
  <c r="S103" i="20"/>
  <c r="AF103" i="20" s="1"/>
  <c r="Q141" i="20"/>
  <c r="S141" i="20" s="1"/>
  <c r="AF141" i="20" s="1"/>
  <c r="Q177" i="20"/>
  <c r="S177" i="20" s="1"/>
  <c r="AF177" i="20" s="1"/>
  <c r="S132" i="20"/>
  <c r="S106" i="20"/>
  <c r="AF106" i="20" s="1"/>
  <c r="Q133" i="20"/>
  <c r="S133" i="20" s="1"/>
  <c r="AF133" i="20" s="1"/>
  <c r="Q156" i="20"/>
  <c r="S156" i="20" s="1"/>
  <c r="AF156" i="20" s="1"/>
  <c r="F73" i="28" s="1"/>
  <c r="W73" i="28" s="1"/>
  <c r="Q117" i="20"/>
  <c r="S117" i="20" s="1"/>
  <c r="AF117" i="20" s="1"/>
  <c r="S107" i="20"/>
  <c r="AF107" i="20" s="1"/>
  <c r="Q114" i="20"/>
  <c r="S114" i="20" s="1"/>
  <c r="AF114" i="20" s="1"/>
  <c r="S168" i="20"/>
  <c r="AF168" i="20" s="1"/>
  <c r="Q180" i="20"/>
  <c r="S180" i="20" s="1"/>
  <c r="AF180" i="20" s="1"/>
  <c r="Q65" i="20"/>
  <c r="S65" i="20" s="1"/>
  <c r="Q147" i="20"/>
  <c r="S147" i="20" s="1"/>
  <c r="AF147" i="20" s="1"/>
  <c r="Q152" i="20"/>
  <c r="S152" i="20" s="1"/>
  <c r="AF152" i="20" s="1"/>
  <c r="Q53" i="20"/>
  <c r="S53" i="20" s="1"/>
  <c r="Q126" i="20"/>
  <c r="S126" i="20" s="1"/>
  <c r="AF126" i="20" s="1"/>
  <c r="F48" i="28" s="1"/>
  <c r="W48" i="28" s="1"/>
  <c r="Q138" i="20"/>
  <c r="S138" i="20" s="1"/>
  <c r="AF138" i="20" s="1"/>
  <c r="Q58" i="20"/>
  <c r="S58" i="20" s="1"/>
  <c r="Q136" i="20"/>
  <c r="S136" i="20" s="1"/>
  <c r="AF136" i="20" s="1"/>
  <c r="F57" i="28" s="1"/>
  <c r="W57" i="28" s="1"/>
  <c r="S160" i="20"/>
  <c r="AF160" i="20" s="1"/>
  <c r="Q99" i="20"/>
  <c r="S99" i="20" s="1"/>
  <c r="Q163" i="20"/>
  <c r="S163" i="20" s="1"/>
  <c r="AF163" i="20" s="1"/>
  <c r="J153" i="20"/>
  <c r="Y150" i="20" s="1"/>
  <c r="Y153" i="20" s="1"/>
  <c r="Q158" i="20"/>
  <c r="S158" i="20" s="1"/>
  <c r="AF158" i="20" s="1"/>
  <c r="Q184" i="20"/>
  <c r="S184" i="20" s="1"/>
  <c r="AF184" i="20" s="1"/>
  <c r="Q182" i="20"/>
  <c r="S182" i="20" s="1"/>
  <c r="Q150" i="20"/>
  <c r="S150" i="20" s="1"/>
  <c r="T188" i="20"/>
  <c r="J144" i="20"/>
  <c r="Y140" i="20" s="1"/>
  <c r="Y144" i="20" s="1"/>
  <c r="O149" i="20"/>
  <c r="D65" i="6" s="1"/>
  <c r="AF146" i="20"/>
  <c r="J169" i="20"/>
  <c r="O174" i="20"/>
  <c r="D97" i="6" s="1"/>
  <c r="J161" i="20"/>
  <c r="Y154" i="20" s="1"/>
  <c r="Y161" i="20" s="1"/>
  <c r="J139" i="20"/>
  <c r="V129" i="20"/>
  <c r="W129" i="20" s="1"/>
  <c r="U131" i="20"/>
  <c r="L118" i="20"/>
  <c r="L188" i="20" s="1"/>
  <c r="H188" i="20"/>
  <c r="O131" i="20"/>
  <c r="D41" i="6" s="1"/>
  <c r="G188" i="20"/>
  <c r="J122" i="20"/>
  <c r="Y119" i="20" s="1"/>
  <c r="Y122" i="20" s="1"/>
  <c r="I188" i="20"/>
  <c r="M188" i="20"/>
  <c r="J174" i="20"/>
  <c r="O139" i="20"/>
  <c r="D49" i="6" s="1"/>
  <c r="N188" i="20"/>
  <c r="F188" i="20"/>
  <c r="J187" i="20"/>
  <c r="O169" i="20"/>
  <c r="D89" i="6" s="1"/>
  <c r="U169" i="20"/>
  <c r="V166" i="20"/>
  <c r="V113" i="20"/>
  <c r="U118" i="20"/>
  <c r="X188" i="20"/>
  <c r="E188" i="20"/>
  <c r="O118" i="20"/>
  <c r="D24" i="6" s="1"/>
  <c r="J104" i="20"/>
  <c r="O122" i="20"/>
  <c r="D32" i="6" s="1"/>
  <c r="J109" i="20"/>
  <c r="Y105" i="20" s="1"/>
  <c r="O104" i="20"/>
  <c r="D8" i="6" s="1"/>
  <c r="J149" i="20"/>
  <c r="V185" i="20"/>
  <c r="J181" i="20"/>
  <c r="J131" i="20"/>
  <c r="Y123" i="20" s="1"/>
  <c r="J118" i="20"/>
  <c r="Y110" i="20" s="1"/>
  <c r="AC182" i="4"/>
  <c r="AA182" i="4"/>
  <c r="T182" i="4"/>
  <c r="AB182" i="4"/>
  <c r="U182" i="4"/>
  <c r="AC24" i="20"/>
  <c r="AB24" i="20"/>
  <c r="AA24" i="20"/>
  <c r="AC28" i="20"/>
  <c r="AB28" i="20"/>
  <c r="AA28" i="20"/>
  <c r="W28" i="20"/>
  <c r="V28" i="20"/>
  <c r="U28" i="20"/>
  <c r="T28" i="20"/>
  <c r="AC37" i="20"/>
  <c r="AB37" i="20"/>
  <c r="AA37" i="20"/>
  <c r="AC50" i="20"/>
  <c r="AB50" i="20"/>
  <c r="AA50" i="20"/>
  <c r="W50" i="20"/>
  <c r="V50" i="20"/>
  <c r="U50" i="20"/>
  <c r="T50" i="20"/>
  <c r="AC59" i="20"/>
  <c r="AB59" i="20"/>
  <c r="AA59" i="20"/>
  <c r="W59" i="20"/>
  <c r="V59" i="20"/>
  <c r="U59" i="20"/>
  <c r="T59" i="20"/>
  <c r="AC67" i="20"/>
  <c r="AB67" i="20"/>
  <c r="AA67" i="20"/>
  <c r="W67" i="20"/>
  <c r="V67" i="20"/>
  <c r="U67" i="20"/>
  <c r="T67" i="20"/>
  <c r="AC74" i="20"/>
  <c r="AB74" i="20"/>
  <c r="AA74" i="20"/>
  <c r="AC86" i="20"/>
  <c r="AB86" i="20"/>
  <c r="AA86" i="20"/>
  <c r="T86" i="20"/>
  <c r="U86" i="20"/>
  <c r="V86" i="20"/>
  <c r="W86" i="20"/>
  <c r="N91" i="20"/>
  <c r="O91" i="20" s="1"/>
  <c r="M91" i="20"/>
  <c r="I91" i="20"/>
  <c r="H91" i="20"/>
  <c r="G91" i="20"/>
  <c r="F91" i="20"/>
  <c r="E91" i="20"/>
  <c r="L91" i="20" s="1"/>
  <c r="N90" i="20"/>
  <c r="O90" i="20" s="1"/>
  <c r="M90" i="20"/>
  <c r="I90" i="20"/>
  <c r="H90" i="20"/>
  <c r="G90" i="20"/>
  <c r="F90" i="20"/>
  <c r="E90" i="20"/>
  <c r="L90" i="20" s="1"/>
  <c r="N89" i="20"/>
  <c r="O89" i="20" s="1"/>
  <c r="U90" i="20" s="1"/>
  <c r="M89" i="20"/>
  <c r="I89" i="20"/>
  <c r="H89" i="20"/>
  <c r="G89" i="20"/>
  <c r="F89" i="20"/>
  <c r="E89" i="20"/>
  <c r="L89" i="20" s="1"/>
  <c r="T90" i="20" s="1"/>
  <c r="T92" i="20" s="1"/>
  <c r="N88" i="20"/>
  <c r="O88" i="20" s="1"/>
  <c r="M88" i="20"/>
  <c r="I88" i="20"/>
  <c r="H88" i="20"/>
  <c r="G88" i="20"/>
  <c r="F88" i="20"/>
  <c r="E88" i="20"/>
  <c r="L88" i="20" s="1"/>
  <c r="N87" i="20"/>
  <c r="O87" i="20" s="1"/>
  <c r="M87" i="20"/>
  <c r="I87" i="20"/>
  <c r="H87" i="20"/>
  <c r="G87" i="20"/>
  <c r="F87" i="20"/>
  <c r="E87" i="20"/>
  <c r="L87" i="20" s="1"/>
  <c r="N85" i="20"/>
  <c r="O85" i="20" s="1"/>
  <c r="M85" i="20"/>
  <c r="I85" i="20"/>
  <c r="H85" i="20"/>
  <c r="G85" i="20"/>
  <c r="F85" i="20"/>
  <c r="E85" i="20"/>
  <c r="L85" i="20" s="1"/>
  <c r="N84" i="20"/>
  <c r="O84" i="20" s="1"/>
  <c r="M84" i="20"/>
  <c r="I84" i="20"/>
  <c r="H84" i="20"/>
  <c r="G84" i="20"/>
  <c r="F84" i="20"/>
  <c r="E84" i="20"/>
  <c r="L84" i="20" s="1"/>
  <c r="N83" i="20"/>
  <c r="O83" i="20" s="1"/>
  <c r="M83" i="20"/>
  <c r="I83" i="20"/>
  <c r="H83" i="20"/>
  <c r="G83" i="20"/>
  <c r="F83" i="20"/>
  <c r="E83" i="20"/>
  <c r="L83" i="20" s="1"/>
  <c r="N82" i="20"/>
  <c r="O82" i="20" s="1"/>
  <c r="M82" i="20"/>
  <c r="I82" i="20"/>
  <c r="H82" i="20"/>
  <c r="G82" i="20"/>
  <c r="F82" i="20"/>
  <c r="E82" i="20"/>
  <c r="L82" i="20" s="1"/>
  <c r="N81" i="20"/>
  <c r="O81" i="20" s="1"/>
  <c r="M81" i="20"/>
  <c r="I81" i="20"/>
  <c r="H81" i="20"/>
  <c r="G81" i="20"/>
  <c r="F81" i="20"/>
  <c r="E81" i="20"/>
  <c r="L81" i="20" s="1"/>
  <c r="N80" i="20"/>
  <c r="O80" i="20" s="1"/>
  <c r="M80" i="20"/>
  <c r="I80" i="20"/>
  <c r="H80" i="20"/>
  <c r="G80" i="20"/>
  <c r="F80" i="20"/>
  <c r="E80" i="20"/>
  <c r="L80" i="20" s="1"/>
  <c r="N78" i="20"/>
  <c r="O78" i="20" s="1"/>
  <c r="M78" i="20"/>
  <c r="I78" i="20"/>
  <c r="H78" i="20"/>
  <c r="G78" i="20"/>
  <c r="F78" i="20"/>
  <c r="E78" i="20"/>
  <c r="L78" i="20" s="1"/>
  <c r="N77" i="20"/>
  <c r="O77" i="20" s="1"/>
  <c r="M77" i="20"/>
  <c r="I77" i="20"/>
  <c r="H77" i="20"/>
  <c r="G77" i="20"/>
  <c r="F77" i="20"/>
  <c r="E77" i="20"/>
  <c r="L77" i="20" s="1"/>
  <c r="T79" i="20" s="1"/>
  <c r="N76" i="20"/>
  <c r="O76" i="20" s="1"/>
  <c r="M76" i="20"/>
  <c r="I76" i="20"/>
  <c r="H76" i="20"/>
  <c r="G76" i="20"/>
  <c r="F76" i="20"/>
  <c r="E76" i="20"/>
  <c r="L76" i="20" s="1"/>
  <c r="N75" i="20"/>
  <c r="O75" i="20" s="1"/>
  <c r="M75" i="20"/>
  <c r="I75" i="20"/>
  <c r="H75" i="20"/>
  <c r="G75" i="20"/>
  <c r="F75" i="20"/>
  <c r="E75" i="20"/>
  <c r="L75" i="20" s="1"/>
  <c r="N73" i="20"/>
  <c r="O73" i="20" s="1"/>
  <c r="M73" i="20"/>
  <c r="I73" i="20"/>
  <c r="H73" i="20"/>
  <c r="G73" i="20"/>
  <c r="F73" i="20"/>
  <c r="E73" i="20"/>
  <c r="L73" i="20" s="1"/>
  <c r="N72" i="20"/>
  <c r="O72" i="20" s="1"/>
  <c r="M72" i="20"/>
  <c r="I72" i="20"/>
  <c r="H72" i="20"/>
  <c r="G72" i="20"/>
  <c r="F72" i="20"/>
  <c r="E72" i="20"/>
  <c r="L72" i="20" s="1"/>
  <c r="N71" i="20"/>
  <c r="O71" i="20" s="1"/>
  <c r="M71" i="20"/>
  <c r="I71" i="20"/>
  <c r="H71" i="20"/>
  <c r="G71" i="20"/>
  <c r="F71" i="20"/>
  <c r="E71" i="20"/>
  <c r="L71" i="20" s="1"/>
  <c r="N70" i="20"/>
  <c r="O70" i="20" s="1"/>
  <c r="M70" i="20"/>
  <c r="I70" i="20"/>
  <c r="H70" i="20"/>
  <c r="G70" i="20"/>
  <c r="F70" i="20"/>
  <c r="E70" i="20"/>
  <c r="L70" i="20" s="1"/>
  <c r="N69" i="20"/>
  <c r="O69" i="20" s="1"/>
  <c r="M69" i="20"/>
  <c r="I69" i="20"/>
  <c r="H69" i="20"/>
  <c r="G69" i="20"/>
  <c r="F69" i="20"/>
  <c r="E69" i="20"/>
  <c r="L69" i="20" s="1"/>
  <c r="N68" i="20"/>
  <c r="O68" i="20" s="1"/>
  <c r="M68" i="20"/>
  <c r="I68" i="20"/>
  <c r="H68" i="20"/>
  <c r="G68" i="20"/>
  <c r="F68" i="20"/>
  <c r="E68" i="20"/>
  <c r="L68" i="20" s="1"/>
  <c r="X92" i="20"/>
  <c r="Y92" i="20"/>
  <c r="Z92" i="20"/>
  <c r="AA92" i="20"/>
  <c r="AB92" i="20"/>
  <c r="AC92" i="20"/>
  <c r="X86" i="20"/>
  <c r="Y86" i="20"/>
  <c r="Z86" i="20"/>
  <c r="AC79" i="20"/>
  <c r="AB79" i="20"/>
  <c r="AA79" i="20"/>
  <c r="Z79" i="20"/>
  <c r="Y79" i="20"/>
  <c r="X79" i="20"/>
  <c r="O90" i="4"/>
  <c r="N90" i="4"/>
  <c r="M72" i="6" l="1"/>
  <c r="I129" i="6" s="1"/>
  <c r="M17" i="6"/>
  <c r="K122" i="6" s="1"/>
  <c r="M73" i="6"/>
  <c r="J129" i="6" s="1"/>
  <c r="L127" i="6"/>
  <c r="L128" i="6"/>
  <c r="M74" i="6"/>
  <c r="K129" i="6" s="1"/>
  <c r="L129" i="6" s="1"/>
  <c r="M16" i="6"/>
  <c r="J122" i="6" s="1"/>
  <c r="L122" i="6" s="1"/>
  <c r="M32" i="6"/>
  <c r="J124" i="6" s="1"/>
  <c r="M31" i="6"/>
  <c r="I124" i="6" s="1"/>
  <c r="L21" i="6"/>
  <c r="M21" i="6" s="1" a="1"/>
  <c r="M21" i="6" s="1"/>
  <c r="M26" i="6" s="1"/>
  <c r="M25" i="6" s="1"/>
  <c r="K123" i="6" s="1"/>
  <c r="L24" i="6"/>
  <c r="L23" i="6"/>
  <c r="L80" i="6"/>
  <c r="L78" i="6"/>
  <c r="M78" i="6" s="1" a="1"/>
  <c r="M78" i="6" s="1"/>
  <c r="M83" i="6" s="1"/>
  <c r="L82" i="6"/>
  <c r="L81" i="6"/>
  <c r="K51" i="6"/>
  <c r="L48" i="6" s="1"/>
  <c r="L7" i="6"/>
  <c r="L8" i="6"/>
  <c r="L5" i="6"/>
  <c r="M5" i="6" s="1" a="1"/>
  <c r="M5" i="6" s="1"/>
  <c r="M10" i="6" s="1"/>
  <c r="L9" i="6"/>
  <c r="L104" i="6"/>
  <c r="L106" i="6"/>
  <c r="L102" i="6"/>
  <c r="M102" i="6" s="1" a="1"/>
  <c r="M102" i="6" s="1"/>
  <c r="M107" i="6" s="1"/>
  <c r="L105" i="6"/>
  <c r="K43" i="6"/>
  <c r="L42" i="6" s="1"/>
  <c r="L97" i="6"/>
  <c r="M99" i="6"/>
  <c r="M98" i="6" s="1"/>
  <c r="K132" i="6" s="1"/>
  <c r="L96" i="6"/>
  <c r="L94" i="6"/>
  <c r="K91" i="6"/>
  <c r="L113" i="6"/>
  <c r="L110" i="6"/>
  <c r="M110" i="6" s="1" a="1"/>
  <c r="M110" i="6" s="1"/>
  <c r="M115" i="6" s="1"/>
  <c r="L112" i="6"/>
  <c r="AH100" i="28"/>
  <c r="AN473" i="20"/>
  <c r="Q102" i="28"/>
  <c r="Z102" i="28"/>
  <c r="Q100" i="28"/>
  <c r="AM439" i="20"/>
  <c r="AN439" i="20" s="1"/>
  <c r="AN442" i="20" s="1"/>
  <c r="I68" i="28"/>
  <c r="Z68" i="28" s="1"/>
  <c r="AD399" i="20"/>
  <c r="AE399" i="20" s="1"/>
  <c r="I34" i="28"/>
  <c r="Z34" i="28" s="1"/>
  <c r="Z101" i="28"/>
  <c r="AH101" i="28" s="1"/>
  <c r="AD398" i="20"/>
  <c r="AF413" i="20"/>
  <c r="I46" i="28" s="1"/>
  <c r="Z46" i="28" s="1"/>
  <c r="S411" i="20"/>
  <c r="S481" i="20" s="1"/>
  <c r="AD473" i="20"/>
  <c r="AD439" i="20"/>
  <c r="AD442" i="20" s="1"/>
  <c r="AM399" i="20"/>
  <c r="AN399" i="20" s="1"/>
  <c r="AD428" i="20"/>
  <c r="AF442" i="20"/>
  <c r="AE438" i="20"/>
  <c r="AE467" i="20"/>
  <c r="AE473" i="20" s="1"/>
  <c r="Y481" i="20"/>
  <c r="AD438" i="20"/>
  <c r="AM438" i="20"/>
  <c r="AN438" i="20"/>
  <c r="AM429" i="20"/>
  <c r="AD429" i="20"/>
  <c r="AD433" i="20" s="1"/>
  <c r="AF433" i="20"/>
  <c r="AD474" i="20"/>
  <c r="AF480" i="20"/>
  <c r="AM474" i="20"/>
  <c r="W407" i="20"/>
  <c r="AF402" i="20"/>
  <c r="I37" i="28" s="1"/>
  <c r="Z37" i="28" s="1"/>
  <c r="AM473" i="20"/>
  <c r="AN467" i="20"/>
  <c r="AD408" i="20"/>
  <c r="AD411" i="20" s="1"/>
  <c r="AM408" i="20"/>
  <c r="AF411" i="20"/>
  <c r="W461" i="20"/>
  <c r="AF457" i="20"/>
  <c r="AE394" i="20"/>
  <c r="AE398" i="20" s="1"/>
  <c r="AM477" i="20"/>
  <c r="AN477" i="20" s="1"/>
  <c r="AD477" i="20"/>
  <c r="AE477" i="20" s="1"/>
  <c r="AD453" i="20"/>
  <c r="AM453" i="20"/>
  <c r="AF393" i="20"/>
  <c r="AM388" i="20"/>
  <c r="AD388" i="20"/>
  <c r="AD393" i="20" s="1"/>
  <c r="AM443" i="20"/>
  <c r="AF452" i="20"/>
  <c r="AD443" i="20"/>
  <c r="AD452" i="20" s="1"/>
  <c r="AN421" i="20"/>
  <c r="AN428" i="20" s="1"/>
  <c r="AM428" i="20"/>
  <c r="AM462" i="20"/>
  <c r="AD462" i="20"/>
  <c r="AD466" i="20" s="1"/>
  <c r="AF466" i="20"/>
  <c r="AE421" i="20"/>
  <c r="AE428" i="20" s="1"/>
  <c r="AM398" i="20"/>
  <c r="AN394" i="20"/>
  <c r="AN398" i="20" s="1"/>
  <c r="V174" i="20"/>
  <c r="AN374" i="20"/>
  <c r="AF378" i="20"/>
  <c r="H97" i="28" s="1"/>
  <c r="Y97" i="28" s="1"/>
  <c r="X99" i="28"/>
  <c r="AH99" i="28" s="1"/>
  <c r="Q99" i="28"/>
  <c r="AF364" i="20"/>
  <c r="H85" i="28" s="1"/>
  <c r="Y85" i="28" s="1"/>
  <c r="AM336" i="20"/>
  <c r="AN336" i="20" s="1"/>
  <c r="AN340" i="20" s="1"/>
  <c r="H64" i="28"/>
  <c r="Y64" i="28" s="1"/>
  <c r="W98" i="28"/>
  <c r="AN98" i="28" s="1"/>
  <c r="AY98" i="28" s="1"/>
  <c r="Q98" i="28"/>
  <c r="AF290" i="20"/>
  <c r="S295" i="20"/>
  <c r="AF315" i="20"/>
  <c r="AF340" i="20"/>
  <c r="AD336" i="20"/>
  <c r="AD340" i="20" s="1"/>
  <c r="AD300" i="20"/>
  <c r="AD353" i="20"/>
  <c r="Y382" i="20"/>
  <c r="S381" i="20"/>
  <c r="AF375" i="20"/>
  <c r="H94" i="28" s="1"/>
  <c r="Y94" i="28" s="1"/>
  <c r="W309" i="20"/>
  <c r="AF304" i="20"/>
  <c r="AE314" i="20"/>
  <c r="AM353" i="20"/>
  <c r="AN345" i="20"/>
  <c r="AN353" i="20" s="1"/>
  <c r="AD341" i="20"/>
  <c r="AD344" i="20" s="1"/>
  <c r="AM341" i="20"/>
  <c r="AF344" i="20"/>
  <c r="AF330" i="20"/>
  <c r="AD323" i="20"/>
  <c r="AD330" i="20" s="1"/>
  <c r="AM323" i="20"/>
  <c r="AD310" i="20"/>
  <c r="AD313" i="20" s="1"/>
  <c r="AF313" i="20"/>
  <c r="AM310" i="20"/>
  <c r="AN296" i="20"/>
  <c r="AN300" i="20" s="1"/>
  <c r="AM300" i="20"/>
  <c r="W362" i="20"/>
  <c r="AF358" i="20"/>
  <c r="AF335" i="20"/>
  <c r="AM331" i="20"/>
  <c r="AD331" i="20"/>
  <c r="AD335" i="20" s="1"/>
  <c r="AM354" i="20"/>
  <c r="AD354" i="20"/>
  <c r="AE354" i="20" s="1"/>
  <c r="AE363" i="20"/>
  <c r="AN363" i="20"/>
  <c r="AE296" i="20"/>
  <c r="AE300" i="20" s="1"/>
  <c r="AN314" i="20"/>
  <c r="AM301" i="20"/>
  <c r="AD301" i="20"/>
  <c r="AE301" i="20" s="1"/>
  <c r="AE345" i="20"/>
  <c r="AE353" i="20" s="1"/>
  <c r="AF374" i="20"/>
  <c r="AM368" i="20"/>
  <c r="AD368" i="20"/>
  <c r="AD374" i="20" s="1"/>
  <c r="AF171" i="20"/>
  <c r="AM171" i="20" s="1"/>
  <c r="AN171" i="20" s="1"/>
  <c r="AM208" i="20"/>
  <c r="AN208" i="20" s="1"/>
  <c r="AD208" i="20"/>
  <c r="AE208" i="20" s="1"/>
  <c r="AD167" i="20"/>
  <c r="AE167" i="20" s="1"/>
  <c r="AM167" i="20"/>
  <c r="AN167" i="20" s="1"/>
  <c r="AM255" i="20"/>
  <c r="AN255" i="20" s="1"/>
  <c r="AF204" i="20"/>
  <c r="AD255" i="20"/>
  <c r="AE255" i="20" s="1"/>
  <c r="AD200" i="20"/>
  <c r="AD204" i="20" s="1"/>
  <c r="AM200" i="20"/>
  <c r="AN200" i="20" s="1"/>
  <c r="AN204" i="20" s="1"/>
  <c r="G29" i="28"/>
  <c r="X29" i="28" s="1"/>
  <c r="AD209" i="20"/>
  <c r="AE209" i="20" s="1"/>
  <c r="AM209" i="20"/>
  <c r="AN209" i="20" s="1"/>
  <c r="G40" i="28"/>
  <c r="X40" i="28" s="1"/>
  <c r="G47" i="28"/>
  <c r="X47" i="28" s="1"/>
  <c r="AD211" i="20"/>
  <c r="AE211" i="20" s="1"/>
  <c r="AM220" i="20"/>
  <c r="AN220" i="20" s="1"/>
  <c r="AM198" i="20"/>
  <c r="AN198" i="20" s="1"/>
  <c r="AF194" i="20"/>
  <c r="S199" i="20"/>
  <c r="AM223" i="20"/>
  <c r="AN223" i="20" s="1"/>
  <c r="G28" i="28"/>
  <c r="X28" i="28" s="1"/>
  <c r="AM197" i="20"/>
  <c r="AN197" i="20" s="1"/>
  <c r="AD197" i="20"/>
  <c r="AE197" i="20" s="1"/>
  <c r="AM273" i="20"/>
  <c r="AN273" i="20" s="1"/>
  <c r="AN276" i="20" s="1"/>
  <c r="AD273" i="20"/>
  <c r="AE273" i="20" s="1"/>
  <c r="G91" i="28"/>
  <c r="X91" i="28" s="1"/>
  <c r="AD223" i="20"/>
  <c r="AE223" i="20" s="1"/>
  <c r="G58" i="28"/>
  <c r="X58" i="28" s="1"/>
  <c r="AD232" i="20"/>
  <c r="AE232" i="20" s="1"/>
  <c r="AM232" i="20"/>
  <c r="AN232" i="20" s="1"/>
  <c r="AF266" i="20"/>
  <c r="AF269" i="20" s="1"/>
  <c r="AD217" i="20"/>
  <c r="AF280" i="20"/>
  <c r="G97" i="28" s="1"/>
  <c r="X97" i="28" s="1"/>
  <c r="F52" i="28"/>
  <c r="W52" i="28" s="1"/>
  <c r="AF235" i="20"/>
  <c r="AF129" i="20"/>
  <c r="AD129" i="20" s="1"/>
  <c r="AE129" i="20" s="1"/>
  <c r="AM130" i="20"/>
  <c r="AN130" i="20" s="1"/>
  <c r="AD116" i="20"/>
  <c r="AE116" i="20" s="1"/>
  <c r="AM179" i="20"/>
  <c r="AN179" i="20" s="1"/>
  <c r="AD244" i="20"/>
  <c r="AM159" i="20"/>
  <c r="AN159" i="20" s="1"/>
  <c r="AD142" i="20"/>
  <c r="AE142" i="20" s="1"/>
  <c r="AM142" i="20"/>
  <c r="AN142" i="20" s="1"/>
  <c r="S248" i="20"/>
  <c r="S283" i="20"/>
  <c r="AE214" i="20"/>
  <c r="AE217" i="20" s="1"/>
  <c r="AN214" i="20"/>
  <c r="AN217" i="20" s="1"/>
  <c r="AM217" i="20"/>
  <c r="AN265" i="20"/>
  <c r="AD227" i="20"/>
  <c r="AF234" i="20"/>
  <c r="AM227" i="20"/>
  <c r="S213" i="20"/>
  <c r="AF205" i="20"/>
  <c r="G34" i="28" s="1"/>
  <c r="X34" i="28" s="1"/>
  <c r="AE240" i="20"/>
  <c r="AE244" i="20" s="1"/>
  <c r="AD261" i="20"/>
  <c r="AE261" i="20" s="1"/>
  <c r="AM261" i="20"/>
  <c r="AN261" i="20" s="1"/>
  <c r="AM244" i="20"/>
  <c r="AN240" i="20"/>
  <c r="AN244" i="20" s="1"/>
  <c r="Y284" i="20"/>
  <c r="AM277" i="20"/>
  <c r="AD277" i="20"/>
  <c r="S264" i="20"/>
  <c r="AF257" i="20"/>
  <c r="G78" i="28" s="1"/>
  <c r="X78" i="28" s="1"/>
  <c r="AM218" i="20"/>
  <c r="AD218" i="20"/>
  <c r="AF249" i="20"/>
  <c r="G71" i="28" s="1"/>
  <c r="X71" i="28" s="1"/>
  <c r="S256" i="20"/>
  <c r="AD270" i="20"/>
  <c r="AF276" i="20"/>
  <c r="AM270" i="20"/>
  <c r="AE265" i="20"/>
  <c r="W226" i="20"/>
  <c r="W284" i="20" s="1"/>
  <c r="AF219" i="20"/>
  <c r="G46" i="28" s="1"/>
  <c r="X46" i="28" s="1"/>
  <c r="AM245" i="20"/>
  <c r="AF248" i="20"/>
  <c r="AD245" i="20"/>
  <c r="AD248" i="20" s="1"/>
  <c r="AM151" i="20"/>
  <c r="AN151" i="20" s="1"/>
  <c r="F69" i="28"/>
  <c r="W69" i="28" s="1"/>
  <c r="AD168" i="20"/>
  <c r="AE168" i="20" s="1"/>
  <c r="F83" i="28"/>
  <c r="W83" i="28" s="1"/>
  <c r="AM172" i="20"/>
  <c r="AN172" i="20" s="1"/>
  <c r="F86" i="28"/>
  <c r="W86" i="28" s="1"/>
  <c r="AD115" i="20"/>
  <c r="AE115" i="20" s="1"/>
  <c r="F39" i="28"/>
  <c r="W39" i="28" s="1"/>
  <c r="AD123" i="20"/>
  <c r="AE123" i="20" s="1"/>
  <c r="F45" i="28"/>
  <c r="W45" i="28" s="1"/>
  <c r="AD120" i="20"/>
  <c r="AE120" i="20" s="1"/>
  <c r="F43" i="28"/>
  <c r="W43" i="28" s="1"/>
  <c r="AD155" i="20"/>
  <c r="AE155" i="20" s="1"/>
  <c r="F72" i="28"/>
  <c r="W72" i="28" s="1"/>
  <c r="AD159" i="20"/>
  <c r="AE159" i="20" s="1"/>
  <c r="AM116" i="20"/>
  <c r="AN116" i="20" s="1"/>
  <c r="AD146" i="20"/>
  <c r="AE146" i="20" s="1"/>
  <c r="F65" i="28"/>
  <c r="W65" i="28" s="1"/>
  <c r="AD184" i="20"/>
  <c r="AE184" i="20" s="1"/>
  <c r="F96" i="28"/>
  <c r="W96" i="28" s="1"/>
  <c r="AM138" i="20"/>
  <c r="AN138" i="20" s="1"/>
  <c r="F59" i="28"/>
  <c r="W59" i="28" s="1"/>
  <c r="AD114" i="20"/>
  <c r="AE114" i="20" s="1"/>
  <c r="F38" i="28"/>
  <c r="W38" i="28" s="1"/>
  <c r="AM177" i="20"/>
  <c r="AN177" i="20" s="1"/>
  <c r="F90" i="28"/>
  <c r="W90" i="28" s="1"/>
  <c r="AM125" i="20"/>
  <c r="AN125" i="20" s="1"/>
  <c r="F47" i="28"/>
  <c r="W47" i="28" s="1"/>
  <c r="AD158" i="20"/>
  <c r="AE158" i="20" s="1"/>
  <c r="F75" i="28"/>
  <c r="W75" i="28" s="1"/>
  <c r="AD141" i="20"/>
  <c r="AE141" i="20" s="1"/>
  <c r="F61" i="28"/>
  <c r="W61" i="28" s="1"/>
  <c r="AD127" i="20"/>
  <c r="AE127" i="20" s="1"/>
  <c r="F49" i="28"/>
  <c r="W49" i="28" s="1"/>
  <c r="AD178" i="20"/>
  <c r="AE178" i="20" s="1"/>
  <c r="F91" i="28"/>
  <c r="W91" i="28" s="1"/>
  <c r="AD112" i="20"/>
  <c r="AE112" i="20" s="1"/>
  <c r="F36" i="28"/>
  <c r="W36" i="28" s="1"/>
  <c r="AM121" i="20"/>
  <c r="AN121" i="20" s="1"/>
  <c r="F44" i="28"/>
  <c r="W44" i="28" s="1"/>
  <c r="AM107" i="20"/>
  <c r="AN107" i="20" s="1"/>
  <c r="F32" i="28"/>
  <c r="W32" i="28" s="1"/>
  <c r="AM103" i="20"/>
  <c r="AN103" i="20" s="1"/>
  <c r="F29" i="28"/>
  <c r="W29" i="28" s="1"/>
  <c r="AD183" i="20"/>
  <c r="AE183" i="20" s="1"/>
  <c r="F95" i="28"/>
  <c r="W95" i="28" s="1"/>
  <c r="AD134" i="20"/>
  <c r="AE134" i="20" s="1"/>
  <c r="F55" i="28"/>
  <c r="W55" i="28" s="1"/>
  <c r="AD164" i="20"/>
  <c r="AE164" i="20" s="1"/>
  <c r="F80" i="28"/>
  <c r="W80" i="28" s="1"/>
  <c r="AD163" i="20"/>
  <c r="AE163" i="20" s="1"/>
  <c r="F79" i="28"/>
  <c r="W79" i="28" s="1"/>
  <c r="AM152" i="20"/>
  <c r="AN152" i="20" s="1"/>
  <c r="F70" i="28"/>
  <c r="W70" i="28" s="1"/>
  <c r="AD117" i="20"/>
  <c r="AE117" i="20" s="1"/>
  <c r="F41" i="28"/>
  <c r="W41" i="28" s="1"/>
  <c r="AD176" i="20"/>
  <c r="AE176" i="20" s="1"/>
  <c r="F89" i="28"/>
  <c r="W89" i="28" s="1"/>
  <c r="AM173" i="20"/>
  <c r="AN173" i="20" s="1"/>
  <c r="F87" i="28"/>
  <c r="W87" i="28" s="1"/>
  <c r="AD101" i="20"/>
  <c r="AE101" i="20" s="1"/>
  <c r="F27" i="28"/>
  <c r="W27" i="28" s="1"/>
  <c r="AM100" i="20"/>
  <c r="AN100" i="20" s="1"/>
  <c r="F26" i="28"/>
  <c r="W26" i="28" s="1"/>
  <c r="AM143" i="20"/>
  <c r="AN143" i="20" s="1"/>
  <c r="F63" i="28"/>
  <c r="W63" i="28" s="1"/>
  <c r="AD147" i="20"/>
  <c r="AE147" i="20" s="1"/>
  <c r="F66" i="28"/>
  <c r="W66" i="28" s="1"/>
  <c r="AM186" i="20"/>
  <c r="AN186" i="20" s="1"/>
  <c r="F103" i="28"/>
  <c r="W103" i="28" s="1"/>
  <c r="AM135" i="20"/>
  <c r="AN135" i="20" s="1"/>
  <c r="F56" i="28"/>
  <c r="W56" i="28" s="1"/>
  <c r="AM160" i="20"/>
  <c r="AN160" i="20" s="1"/>
  <c r="F77" i="28"/>
  <c r="W77" i="28" s="1"/>
  <c r="AM133" i="20"/>
  <c r="AN133" i="20" s="1"/>
  <c r="F54" i="28"/>
  <c r="W54" i="28" s="1"/>
  <c r="AM157" i="20"/>
  <c r="AN157" i="20" s="1"/>
  <c r="F74" i="28"/>
  <c r="W74" i="28" s="1"/>
  <c r="AM128" i="20"/>
  <c r="AN128" i="20" s="1"/>
  <c r="F50" i="28"/>
  <c r="W50" i="28" s="1"/>
  <c r="AD179" i="20"/>
  <c r="AE179" i="20" s="1"/>
  <c r="AM180" i="20"/>
  <c r="AN180" i="20" s="1"/>
  <c r="F93" i="28"/>
  <c r="W93" i="28" s="1"/>
  <c r="AD106" i="20"/>
  <c r="AE106" i="20" s="1"/>
  <c r="F31" i="28"/>
  <c r="W31" i="28" s="1"/>
  <c r="AD148" i="20"/>
  <c r="AE148" i="20" s="1"/>
  <c r="F67" i="28"/>
  <c r="W67" i="28" s="1"/>
  <c r="AM165" i="20"/>
  <c r="AN165" i="20" s="1"/>
  <c r="F81" i="28"/>
  <c r="W81" i="28" s="1"/>
  <c r="AD102" i="20"/>
  <c r="AE102" i="20" s="1"/>
  <c r="F28" i="28"/>
  <c r="W28" i="28" s="1"/>
  <c r="AM183" i="20"/>
  <c r="AN183" i="20" s="1"/>
  <c r="AD100" i="20"/>
  <c r="AE100" i="20" s="1"/>
  <c r="AM176" i="20"/>
  <c r="AN176" i="20" s="1"/>
  <c r="AD133" i="20"/>
  <c r="AE133" i="20" s="1"/>
  <c r="AM148" i="20"/>
  <c r="AN148" i="20" s="1"/>
  <c r="AM114" i="20"/>
  <c r="AN114" i="20" s="1"/>
  <c r="AD128" i="20"/>
  <c r="AE128" i="20" s="1"/>
  <c r="AM102" i="20"/>
  <c r="AN102" i="20" s="1"/>
  <c r="Z154" i="20"/>
  <c r="Z161" i="20" s="1"/>
  <c r="AM117" i="20"/>
  <c r="AN117" i="20" s="1"/>
  <c r="AD160" i="20"/>
  <c r="AE160" i="20" s="1"/>
  <c r="AM101" i="20"/>
  <c r="AN101" i="20" s="1"/>
  <c r="AM134" i="20"/>
  <c r="AN134" i="20" s="1"/>
  <c r="AM141" i="20"/>
  <c r="AN141" i="20" s="1"/>
  <c r="AD165" i="20"/>
  <c r="AE165" i="20" s="1"/>
  <c r="AD151" i="20"/>
  <c r="AE151" i="20" s="1"/>
  <c r="AM178" i="20"/>
  <c r="AN178" i="20" s="1"/>
  <c r="AM158" i="20"/>
  <c r="AN158" i="20" s="1"/>
  <c r="AD157" i="20"/>
  <c r="AE157" i="20" s="1"/>
  <c r="AM163" i="20"/>
  <c r="AN163" i="20" s="1"/>
  <c r="Z150" i="20"/>
  <c r="Z153" i="20" s="1"/>
  <c r="AD107" i="20"/>
  <c r="AE107" i="20" s="1"/>
  <c r="AM106" i="20"/>
  <c r="AN106" i="20" s="1"/>
  <c r="AD172" i="20"/>
  <c r="AE172" i="20" s="1"/>
  <c r="W131" i="20"/>
  <c r="AM168" i="20"/>
  <c r="AN168" i="20" s="1"/>
  <c r="V131" i="20"/>
  <c r="AM112" i="20"/>
  <c r="AN112" i="20" s="1"/>
  <c r="Z140" i="20"/>
  <c r="Z144" i="20" s="1"/>
  <c r="AD152" i="20"/>
  <c r="AE152" i="20" s="1"/>
  <c r="S144" i="20"/>
  <c r="AD103" i="20"/>
  <c r="AE103" i="20" s="1"/>
  <c r="AD126" i="20"/>
  <c r="AE126" i="20" s="1"/>
  <c r="AM126" i="20"/>
  <c r="AN126" i="20" s="1"/>
  <c r="AD173" i="20"/>
  <c r="AE173" i="20" s="1"/>
  <c r="AM184" i="20"/>
  <c r="AN184" i="20" s="1"/>
  <c r="AD125" i="20"/>
  <c r="AE125" i="20" s="1"/>
  <c r="AM147" i="20"/>
  <c r="AN147" i="20" s="1"/>
  <c r="AD177" i="20"/>
  <c r="AE177" i="20" s="1"/>
  <c r="AD171" i="20"/>
  <c r="AE171" i="20" s="1"/>
  <c r="AM146" i="20"/>
  <c r="AN146" i="20" s="1"/>
  <c r="Z119" i="20"/>
  <c r="Z122" i="20" s="1"/>
  <c r="AM115" i="20"/>
  <c r="AN115" i="20" s="1"/>
  <c r="AM164" i="20"/>
  <c r="AN164" i="20" s="1"/>
  <c r="AD180" i="20"/>
  <c r="AE180" i="20" s="1"/>
  <c r="AD138" i="20"/>
  <c r="AE138" i="20" s="1"/>
  <c r="AM111" i="20"/>
  <c r="AN111" i="20" s="1"/>
  <c r="AD111" i="20"/>
  <c r="AE111" i="20" s="1"/>
  <c r="S181" i="20"/>
  <c r="S131" i="20"/>
  <c r="AM127" i="20"/>
  <c r="AN127" i="20" s="1"/>
  <c r="S174" i="20"/>
  <c r="AD136" i="20"/>
  <c r="AE136" i="20" s="1"/>
  <c r="AM136" i="20"/>
  <c r="AN136" i="20" s="1"/>
  <c r="AD108" i="20"/>
  <c r="AE108" i="20" s="1"/>
  <c r="AM108" i="20"/>
  <c r="AN108" i="20" s="1"/>
  <c r="AF140" i="20"/>
  <c r="AF154" i="20"/>
  <c r="F71" i="28" s="1"/>
  <c r="W71" i="28" s="1"/>
  <c r="S161" i="20"/>
  <c r="O188" i="20"/>
  <c r="F18" i="28" s="1"/>
  <c r="W113" i="20"/>
  <c r="V118" i="20"/>
  <c r="AF145" i="20"/>
  <c r="F64" i="28" s="1"/>
  <c r="W64" i="28" s="1"/>
  <c r="S149" i="20"/>
  <c r="Z105" i="20"/>
  <c r="Z109" i="20" s="1"/>
  <c r="Y109" i="20"/>
  <c r="S122" i="20"/>
  <c r="AF119" i="20"/>
  <c r="F42" i="28" s="1"/>
  <c r="W42" i="28" s="1"/>
  <c r="J188" i="20"/>
  <c r="Y99" i="20"/>
  <c r="AF150" i="20"/>
  <c r="F68" i="28" s="1"/>
  <c r="W68" i="28" s="1"/>
  <c r="S153" i="20"/>
  <c r="AF124" i="20"/>
  <c r="F46" i="28" s="1"/>
  <c r="W46" i="28" s="1"/>
  <c r="AF105" i="20"/>
  <c r="F30" i="28" s="1"/>
  <c r="W30" i="28" s="1"/>
  <c r="S109" i="20"/>
  <c r="AM170" i="20"/>
  <c r="AD170" i="20"/>
  <c r="AD156" i="20"/>
  <c r="AE156" i="20" s="1"/>
  <c r="AM156" i="20"/>
  <c r="AN156" i="20" s="1"/>
  <c r="V169" i="20"/>
  <c r="W166" i="20"/>
  <c r="Z110" i="20"/>
  <c r="Z118" i="20" s="1"/>
  <c r="Y118" i="20"/>
  <c r="Z123" i="20"/>
  <c r="Z131" i="20" s="1"/>
  <c r="Y131" i="20"/>
  <c r="AN123" i="20"/>
  <c r="S118" i="20"/>
  <c r="AF110" i="20"/>
  <c r="F34" i="28" s="1"/>
  <c r="W34" i="28" s="1"/>
  <c r="S169" i="20"/>
  <c r="AF162" i="20"/>
  <c r="F78" i="28" s="1"/>
  <c r="W78" i="28" s="1"/>
  <c r="W185" i="20"/>
  <c r="V187" i="20"/>
  <c r="S104" i="20"/>
  <c r="AF99" i="20"/>
  <c r="F25" i="28" s="1"/>
  <c r="AF181" i="20"/>
  <c r="AM175" i="20"/>
  <c r="AD175" i="20"/>
  <c r="AD137" i="20"/>
  <c r="AE137" i="20" s="1"/>
  <c r="AM137" i="20"/>
  <c r="AN137" i="20" s="1"/>
  <c r="U188" i="20"/>
  <c r="S139" i="20"/>
  <c r="AF132" i="20"/>
  <c r="F53" i="28" s="1"/>
  <c r="W53" i="28" s="1"/>
  <c r="M59" i="20"/>
  <c r="I28" i="20"/>
  <c r="J70" i="20"/>
  <c r="K70" i="20" s="1"/>
  <c r="H59" i="20"/>
  <c r="O67" i="20"/>
  <c r="P87" i="20"/>
  <c r="M50" i="20"/>
  <c r="L67" i="20"/>
  <c r="H28" i="20"/>
  <c r="I50" i="20"/>
  <c r="I59" i="20"/>
  <c r="I74" i="20"/>
  <c r="O86" i="20"/>
  <c r="D104" i="6" s="1"/>
  <c r="V90" i="20"/>
  <c r="W90" i="20" s="1"/>
  <c r="P69" i="20"/>
  <c r="J73" i="20"/>
  <c r="K73" i="20" s="1"/>
  <c r="J83" i="20"/>
  <c r="K83" i="20" s="1"/>
  <c r="G67" i="20"/>
  <c r="J71" i="20"/>
  <c r="K71" i="20" s="1"/>
  <c r="J81" i="20"/>
  <c r="K81" i="20" s="1"/>
  <c r="J90" i="20"/>
  <c r="K90" i="20" s="1"/>
  <c r="L59" i="20"/>
  <c r="L24" i="20"/>
  <c r="L28" i="20"/>
  <c r="H37" i="20"/>
  <c r="F50" i="20"/>
  <c r="I67" i="20"/>
  <c r="F28" i="20"/>
  <c r="G74" i="20"/>
  <c r="J77" i="20"/>
  <c r="K77" i="20" s="1"/>
  <c r="M28" i="20"/>
  <c r="H50" i="20"/>
  <c r="H74" i="20"/>
  <c r="H24" i="20"/>
  <c r="N67" i="20"/>
  <c r="P71" i="20"/>
  <c r="L86" i="20"/>
  <c r="N37" i="20"/>
  <c r="I24" i="20"/>
  <c r="F37" i="20"/>
  <c r="L50" i="20"/>
  <c r="O50" i="20"/>
  <c r="D56" i="6" s="1"/>
  <c r="M24" i="20"/>
  <c r="F24" i="20"/>
  <c r="L37" i="20"/>
  <c r="O37" i="20"/>
  <c r="D40" i="6" s="1"/>
  <c r="M74" i="20"/>
  <c r="O59" i="20"/>
  <c r="D72" i="6" s="1"/>
  <c r="F67" i="20"/>
  <c r="F86" i="20"/>
  <c r="E28" i="20"/>
  <c r="M67" i="20"/>
  <c r="L74" i="20"/>
  <c r="G86" i="20"/>
  <c r="J89" i="20"/>
  <c r="K89" i="20" s="1"/>
  <c r="H67" i="20"/>
  <c r="I37" i="20"/>
  <c r="F59" i="20"/>
  <c r="F74" i="20"/>
  <c r="J80" i="20"/>
  <c r="K80" i="20" s="1"/>
  <c r="J88" i="20"/>
  <c r="K88" i="20" s="1"/>
  <c r="G50" i="20"/>
  <c r="G24" i="20"/>
  <c r="M37" i="20"/>
  <c r="I86" i="20"/>
  <c r="M86" i="20"/>
  <c r="P82" i="20"/>
  <c r="P70" i="20"/>
  <c r="O74" i="20"/>
  <c r="D88" i="6" s="1"/>
  <c r="E24" i="20"/>
  <c r="J76" i="20"/>
  <c r="K76" i="20" s="1"/>
  <c r="G28" i="20"/>
  <c r="O28" i="20"/>
  <c r="D31" i="6" s="1"/>
  <c r="J72" i="20"/>
  <c r="K72" i="20" s="1"/>
  <c r="J84" i="20"/>
  <c r="K84" i="20" s="1"/>
  <c r="N24" i="20"/>
  <c r="E67" i="20"/>
  <c r="G37" i="20"/>
  <c r="O24" i="20"/>
  <c r="D23" i="6" s="1"/>
  <c r="E86" i="20"/>
  <c r="H86" i="20"/>
  <c r="E59" i="20"/>
  <c r="N28" i="20"/>
  <c r="J68" i="20"/>
  <c r="E74" i="20"/>
  <c r="N59" i="20"/>
  <c r="E50" i="20"/>
  <c r="P72" i="20"/>
  <c r="J78" i="20"/>
  <c r="K78" i="20" s="1"/>
  <c r="N86" i="20"/>
  <c r="N74" i="20"/>
  <c r="G59" i="20"/>
  <c r="N50" i="20"/>
  <c r="E37" i="20"/>
  <c r="P81" i="20"/>
  <c r="P84" i="20"/>
  <c r="J91" i="20"/>
  <c r="K91" i="20" s="1"/>
  <c r="J87" i="20"/>
  <c r="K87" i="20" s="1"/>
  <c r="J75" i="20"/>
  <c r="K75" i="20" s="1"/>
  <c r="J82" i="20"/>
  <c r="K82" i="20" s="1"/>
  <c r="J85" i="20"/>
  <c r="K85" i="20" s="1"/>
  <c r="J69" i="20"/>
  <c r="K69" i="20" s="1"/>
  <c r="P90" i="20"/>
  <c r="P88" i="20"/>
  <c r="P89" i="20"/>
  <c r="P91" i="20"/>
  <c r="P80" i="20"/>
  <c r="P83" i="20"/>
  <c r="P85" i="20"/>
  <c r="P76" i="20"/>
  <c r="P77" i="20"/>
  <c r="P75" i="20"/>
  <c r="P78" i="20"/>
  <c r="P68" i="20"/>
  <c r="P73" i="20"/>
  <c r="AL93" i="20"/>
  <c r="I92" i="20"/>
  <c r="G92" i="20"/>
  <c r="M92" i="20"/>
  <c r="F92" i="20"/>
  <c r="H92" i="20"/>
  <c r="O92" i="20"/>
  <c r="D112" i="6" s="1"/>
  <c r="L92" i="20"/>
  <c r="E92" i="20"/>
  <c r="N92" i="20"/>
  <c r="I79" i="20"/>
  <c r="M79" i="20"/>
  <c r="E79" i="20"/>
  <c r="G79" i="20"/>
  <c r="F79" i="20"/>
  <c r="H79" i="20"/>
  <c r="N79" i="20"/>
  <c r="O79" i="20"/>
  <c r="D96" i="6" s="1"/>
  <c r="M90" i="4"/>
  <c r="L124" i="6" l="1"/>
  <c r="AD413" i="20"/>
  <c r="AD420" i="20" s="1"/>
  <c r="M23" i="6"/>
  <c r="I123" i="6" s="1"/>
  <c r="M24" i="6"/>
  <c r="J123" i="6" s="1"/>
  <c r="L123" i="6" s="1"/>
  <c r="M113" i="6"/>
  <c r="J134" i="6" s="1"/>
  <c r="M9" i="6"/>
  <c r="K121" i="6" s="1"/>
  <c r="M105" i="6"/>
  <c r="J133" i="6" s="1"/>
  <c r="M104" i="6"/>
  <c r="I133" i="6" s="1"/>
  <c r="L50" i="6"/>
  <c r="L46" i="6"/>
  <c r="M46" i="6" s="1" a="1"/>
  <c r="M46" i="6" s="1"/>
  <c r="M51" i="6" s="1"/>
  <c r="M48" i="6" s="1"/>
  <c r="I126" i="6" s="1"/>
  <c r="L126" i="6" s="1"/>
  <c r="L49" i="6"/>
  <c r="M106" i="6"/>
  <c r="K133" i="6" s="1"/>
  <c r="M81" i="6"/>
  <c r="J130" i="6" s="1"/>
  <c r="M82" i="6"/>
  <c r="K130" i="6" s="1"/>
  <c r="M7" i="6"/>
  <c r="I121" i="6" s="1"/>
  <c r="M80" i="6"/>
  <c r="I130" i="6" s="1"/>
  <c r="M8" i="6"/>
  <c r="J121" i="6" s="1"/>
  <c r="M112" i="6"/>
  <c r="I134" i="6" s="1"/>
  <c r="M97" i="6"/>
  <c r="J132" i="6" s="1"/>
  <c r="L40" i="6"/>
  <c r="L38" i="6"/>
  <c r="M38" i="6" s="1" a="1"/>
  <c r="M38" i="6" s="1"/>
  <c r="M43" i="6" s="1"/>
  <c r="L41" i="6"/>
  <c r="L88" i="6"/>
  <c r="L89" i="6"/>
  <c r="L86" i="6"/>
  <c r="M86" i="6" s="1" a="1"/>
  <c r="M86" i="6" s="1"/>
  <c r="M91" i="6" s="1"/>
  <c r="L90" i="6"/>
  <c r="M96" i="6"/>
  <c r="I132" i="6" s="1"/>
  <c r="L132" i="6" s="1"/>
  <c r="M114" i="6"/>
  <c r="K134" i="6" s="1"/>
  <c r="AM413" i="20"/>
  <c r="AM420" i="20" s="1"/>
  <c r="AM442" i="20"/>
  <c r="AF420" i="20"/>
  <c r="AQ102" i="28"/>
  <c r="AY102" i="28" s="1"/>
  <c r="AH102" i="28"/>
  <c r="AQ101" i="28"/>
  <c r="AY101" i="28" s="1"/>
  <c r="AF461" i="20"/>
  <c r="I82" i="28"/>
  <c r="Z82" i="28" s="1"/>
  <c r="Z25" i="28"/>
  <c r="H25" i="28"/>
  <c r="Y25" i="28" s="1"/>
  <c r="AE439" i="20"/>
  <c r="AE442" i="20" s="1"/>
  <c r="AM378" i="20"/>
  <c r="AN378" i="20" s="1"/>
  <c r="AD378" i="20"/>
  <c r="AE378" i="20" s="1"/>
  <c r="AD480" i="20"/>
  <c r="AE429" i="20"/>
  <c r="AE433" i="20" s="1"/>
  <c r="AE388" i="20"/>
  <c r="AE393" i="20" s="1"/>
  <c r="AM411" i="20"/>
  <c r="AN408" i="20"/>
  <c r="AN411" i="20" s="1"/>
  <c r="AE474" i="20"/>
  <c r="AE480" i="20" s="1"/>
  <c r="AE462" i="20"/>
  <c r="AE466" i="20" s="1"/>
  <c r="AD457" i="20"/>
  <c r="AE457" i="20" s="1"/>
  <c r="AM457" i="20"/>
  <c r="AN457" i="20" s="1"/>
  <c r="AM402" i="20"/>
  <c r="AD402" i="20"/>
  <c r="AD407" i="20" s="1"/>
  <c r="AF407" i="20"/>
  <c r="AM466" i="20"/>
  <c r="AN462" i="20"/>
  <c r="AN466" i="20" s="1"/>
  <c r="AM452" i="20"/>
  <c r="AN443" i="20"/>
  <c r="AN452" i="20" s="1"/>
  <c r="W481" i="20"/>
  <c r="AN388" i="20"/>
  <c r="AN393" i="20" s="1"/>
  <c r="AM393" i="20"/>
  <c r="AN413" i="20"/>
  <c r="AN420" i="20" s="1"/>
  <c r="AE443" i="20"/>
  <c r="AE452" i="20" s="1"/>
  <c r="AN453" i="20"/>
  <c r="AE453" i="20"/>
  <c r="AE408" i="20"/>
  <c r="AE411" i="20" s="1"/>
  <c r="AM480" i="20"/>
  <c r="AN474" i="20"/>
  <c r="AN480" i="20" s="1"/>
  <c r="AM433" i="20"/>
  <c r="AN429" i="20"/>
  <c r="AN433" i="20" s="1"/>
  <c r="AD364" i="20"/>
  <c r="AE364" i="20" s="1"/>
  <c r="AE367" i="20" s="1"/>
  <c r="AH98" i="28"/>
  <c r="AF367" i="20"/>
  <c r="S382" i="20"/>
  <c r="AM340" i="20"/>
  <c r="G25" i="28"/>
  <c r="X25" i="28" s="1"/>
  <c r="AF309" i="20"/>
  <c r="H37" i="28"/>
  <c r="Y37" i="28" s="1"/>
  <c r="AD315" i="20"/>
  <c r="H46" i="28"/>
  <c r="Y46" i="28" s="1"/>
  <c r="AM364" i="20"/>
  <c r="AN364" i="20" s="1"/>
  <c r="AN367" i="20" s="1"/>
  <c r="AF362" i="20"/>
  <c r="H82" i="28"/>
  <c r="Y82" i="28" s="1"/>
  <c r="AO99" i="28"/>
  <c r="AY99" i="28" s="1"/>
  <c r="AE336" i="20"/>
  <c r="AE340" i="20" s="1"/>
  <c r="AM315" i="20"/>
  <c r="AN315" i="20" s="1"/>
  <c r="AN322" i="20" s="1"/>
  <c r="AF322" i="20"/>
  <c r="AM290" i="20"/>
  <c r="AF295" i="20"/>
  <c r="AD290" i="20"/>
  <c r="AE310" i="20"/>
  <c r="AE313" i="20" s="1"/>
  <c r="F85" i="28"/>
  <c r="W85" i="28" s="1"/>
  <c r="AF174" i="20"/>
  <c r="AE323" i="20"/>
  <c r="AE330" i="20" s="1"/>
  <c r="W382" i="20"/>
  <c r="AN354" i="20"/>
  <c r="AE341" i="20"/>
  <c r="AE344" i="20" s="1"/>
  <c r="AN301" i="20"/>
  <c r="AM304" i="20"/>
  <c r="AN304" i="20" s="1"/>
  <c r="AD304" i="20"/>
  <c r="AD309" i="20" s="1"/>
  <c r="AE368" i="20"/>
  <c r="AE374" i="20" s="1"/>
  <c r="AE331" i="20"/>
  <c r="AE335" i="20" s="1"/>
  <c r="AM330" i="20"/>
  <c r="AN323" i="20"/>
  <c r="AN330" i="20" s="1"/>
  <c r="AM358" i="20"/>
  <c r="AN358" i="20" s="1"/>
  <c r="AD358" i="20"/>
  <c r="AD362" i="20" s="1"/>
  <c r="AM344" i="20"/>
  <c r="AN341" i="20"/>
  <c r="AN344" i="20" s="1"/>
  <c r="AN368" i="20"/>
  <c r="AM374" i="20"/>
  <c r="AM335" i="20"/>
  <c r="AN331" i="20"/>
  <c r="AN335" i="20" s="1"/>
  <c r="AM313" i="20"/>
  <c r="AN310" i="20"/>
  <c r="AN313" i="20" s="1"/>
  <c r="AF381" i="20"/>
  <c r="AM375" i="20"/>
  <c r="AD375" i="20"/>
  <c r="D115" i="6"/>
  <c r="E112" i="6" s="1"/>
  <c r="D107" i="6"/>
  <c r="E104" i="6" s="1"/>
  <c r="D99" i="6"/>
  <c r="E96" i="6" s="1"/>
  <c r="J1" i="20"/>
  <c r="D80" i="6"/>
  <c r="AM194" i="20"/>
  <c r="AN194" i="20" s="1"/>
  <c r="AN199" i="20" s="1"/>
  <c r="G85" i="28"/>
  <c r="X85" i="28" s="1"/>
  <c r="F51" i="28"/>
  <c r="W51" i="28" s="1"/>
  <c r="AM129" i="20"/>
  <c r="AN129" i="20" s="1"/>
  <c r="AE200" i="20"/>
  <c r="AE204" i="20" s="1"/>
  <c r="AM204" i="20"/>
  <c r="AM266" i="20"/>
  <c r="AN266" i="20" s="1"/>
  <c r="AN269" i="20" s="1"/>
  <c r="AD276" i="20"/>
  <c r="AF199" i="20"/>
  <c r="AD194" i="20"/>
  <c r="AD199" i="20" s="1"/>
  <c r="AD234" i="20"/>
  <c r="AD266" i="20"/>
  <c r="AD269" i="20" s="1"/>
  <c r="AM280" i="20"/>
  <c r="AN280" i="20" s="1"/>
  <c r="G60" i="28"/>
  <c r="X60" i="28" s="1"/>
  <c r="AF239" i="20"/>
  <c r="AD235" i="20"/>
  <c r="AD239" i="20" s="1"/>
  <c r="AM235" i="20"/>
  <c r="AM239" i="20" s="1"/>
  <c r="AD280" i="20"/>
  <c r="AE280" i="20" s="1"/>
  <c r="AF283" i="20"/>
  <c r="S284" i="20"/>
  <c r="AN245" i="20"/>
  <c r="AN248" i="20" s="1"/>
  <c r="AM248" i="20"/>
  <c r="AN218" i="20"/>
  <c r="AE227" i="20"/>
  <c r="AE234" i="20" s="1"/>
  <c r="AE270" i="20"/>
  <c r="AE276" i="20" s="1"/>
  <c r="AM205" i="20"/>
  <c r="AF213" i="20"/>
  <c r="AD205" i="20"/>
  <c r="AD213" i="20" s="1"/>
  <c r="AD257" i="20"/>
  <c r="AD264" i="20" s="1"/>
  <c r="AM257" i="20"/>
  <c r="AF264" i="20"/>
  <c r="AF256" i="20"/>
  <c r="AD249" i="20"/>
  <c r="AD256" i="20" s="1"/>
  <c r="AM249" i="20"/>
  <c r="AE245" i="20"/>
  <c r="AE248" i="20" s="1"/>
  <c r="AE218" i="20"/>
  <c r="AN277" i="20"/>
  <c r="AM219" i="20"/>
  <c r="AN219" i="20" s="1"/>
  <c r="AD219" i="20"/>
  <c r="AE219" i="20" s="1"/>
  <c r="AM276" i="20"/>
  <c r="AN270" i="20"/>
  <c r="AF226" i="20"/>
  <c r="AE277" i="20"/>
  <c r="AM234" i="20"/>
  <c r="AN227" i="20"/>
  <c r="AN234" i="20" s="1"/>
  <c r="AD140" i="20"/>
  <c r="AD144" i="20" s="1"/>
  <c r="F60" i="28"/>
  <c r="W60" i="28" s="1"/>
  <c r="AN181" i="20"/>
  <c r="AD174" i="20"/>
  <c r="AM140" i="20"/>
  <c r="AN140" i="20" s="1"/>
  <c r="AN144" i="20" s="1"/>
  <c r="AD181" i="20"/>
  <c r="AF144" i="20"/>
  <c r="Z99" i="20"/>
  <c r="Z104" i="20" s="1"/>
  <c r="Y104" i="20"/>
  <c r="Y188" i="20" s="1"/>
  <c r="W169" i="20"/>
  <c r="AF166" i="20"/>
  <c r="AF104" i="20"/>
  <c r="AM99" i="20"/>
  <c r="AD99" i="20"/>
  <c r="AD104" i="20" s="1"/>
  <c r="AF153" i="20"/>
  <c r="AD150" i="20"/>
  <c r="AD153" i="20" s="1"/>
  <c r="AM150" i="20"/>
  <c r="AM145" i="20"/>
  <c r="AF149" i="20"/>
  <c r="AD145" i="20"/>
  <c r="AD149" i="20" s="1"/>
  <c r="AM119" i="20"/>
  <c r="AF122" i="20"/>
  <c r="AD119" i="20"/>
  <c r="AD122" i="20" s="1"/>
  <c r="AM132" i="20"/>
  <c r="AF139" i="20"/>
  <c r="AD132" i="20"/>
  <c r="AD139" i="20" s="1"/>
  <c r="AM181" i="20"/>
  <c r="AN175" i="20"/>
  <c r="AE175" i="20"/>
  <c r="AE181" i="20" s="1"/>
  <c r="AN170" i="20"/>
  <c r="AN174" i="20" s="1"/>
  <c r="AM174" i="20"/>
  <c r="S187" i="20"/>
  <c r="S188" i="20" s="1"/>
  <c r="AF182" i="20"/>
  <c r="F94" i="28" s="1"/>
  <c r="W94" i="28" s="1"/>
  <c r="AF109" i="20"/>
  <c r="AM105" i="20"/>
  <c r="AD105" i="20"/>
  <c r="AD109" i="20" s="1"/>
  <c r="W187" i="20"/>
  <c r="AF185" i="20"/>
  <c r="F97" i="28" s="1"/>
  <c r="W97" i="28" s="1"/>
  <c r="AE170" i="20"/>
  <c r="AE174" i="20" s="1"/>
  <c r="AM162" i="20"/>
  <c r="AD162" i="20"/>
  <c r="AE162" i="20" s="1"/>
  <c r="W118" i="20"/>
  <c r="AF113" i="20"/>
  <c r="AM110" i="20"/>
  <c r="AD110" i="20"/>
  <c r="AE110" i="20" s="1"/>
  <c r="AD124" i="20"/>
  <c r="AD131" i="20" s="1"/>
  <c r="AM124" i="20"/>
  <c r="AF131" i="20"/>
  <c r="AM154" i="20"/>
  <c r="AD154" i="20"/>
  <c r="AD161" i="20" s="1"/>
  <c r="AF161" i="20"/>
  <c r="Q80" i="20"/>
  <c r="Q85" i="20"/>
  <c r="S85" i="20" s="1"/>
  <c r="AF85" i="20" s="1"/>
  <c r="E93" i="28" s="1"/>
  <c r="Q84" i="20"/>
  <c r="S84" i="20" s="1"/>
  <c r="AF84" i="20" s="1"/>
  <c r="E92" i="28" s="1"/>
  <c r="Q72" i="20"/>
  <c r="S72" i="20" s="1"/>
  <c r="Q91" i="20"/>
  <c r="S91" i="20" s="1"/>
  <c r="AF91" i="20" s="1"/>
  <c r="E103" i="28" s="1"/>
  <c r="Q73" i="20"/>
  <c r="S73" i="20" s="1"/>
  <c r="Q83" i="20"/>
  <c r="S83" i="20" s="1"/>
  <c r="AF83" i="20" s="1"/>
  <c r="E91" i="28" s="1"/>
  <c r="Q81" i="20"/>
  <c r="S81" i="20" s="1"/>
  <c r="AF81" i="20" s="1"/>
  <c r="E89" i="28" s="1"/>
  <c r="Q70" i="20"/>
  <c r="S70" i="20" s="1"/>
  <c r="Q71" i="20"/>
  <c r="S71" i="20" s="1"/>
  <c r="Q69" i="20"/>
  <c r="S69" i="20" s="1"/>
  <c r="Q78" i="20"/>
  <c r="S78" i="20" s="1"/>
  <c r="AF78" i="20" s="1"/>
  <c r="E87" i="28" s="1"/>
  <c r="Q90" i="20"/>
  <c r="S90" i="20" s="1"/>
  <c r="AF90" i="20" s="1"/>
  <c r="E97" i="28" s="1"/>
  <c r="Q75" i="20"/>
  <c r="S75" i="20" s="1"/>
  <c r="AF75" i="20" s="1"/>
  <c r="E84" i="28" s="1"/>
  <c r="Q89" i="20"/>
  <c r="S89" i="20" s="1"/>
  <c r="AF89" i="20" s="1"/>
  <c r="E96" i="28" s="1"/>
  <c r="Q88" i="20"/>
  <c r="S88" i="20" s="1"/>
  <c r="AF88" i="20" s="1"/>
  <c r="E95" i="28" s="1"/>
  <c r="Q82" i="20"/>
  <c r="S82" i="20" s="1"/>
  <c r="AF82" i="20" s="1"/>
  <c r="E90" i="28" s="1"/>
  <c r="Q87" i="20"/>
  <c r="S87" i="20" s="1"/>
  <c r="AF87" i="20" s="1"/>
  <c r="E94" i="28" s="1"/>
  <c r="Q77" i="20"/>
  <c r="S77" i="20" s="1"/>
  <c r="AF77" i="20" s="1"/>
  <c r="E86" i="28" s="1"/>
  <c r="Q76" i="20"/>
  <c r="S76" i="20" s="1"/>
  <c r="AF76" i="20" s="1"/>
  <c r="E85" i="28" s="1"/>
  <c r="J59" i="20"/>
  <c r="J28" i="20"/>
  <c r="J67" i="20"/>
  <c r="J37" i="20"/>
  <c r="J24" i="20"/>
  <c r="J86" i="20"/>
  <c r="K68" i="20"/>
  <c r="Q68" i="20" s="1"/>
  <c r="S68" i="20" s="1"/>
  <c r="J74" i="20"/>
  <c r="J50" i="20"/>
  <c r="U92" i="20"/>
  <c r="J92" i="20"/>
  <c r="L79" i="20"/>
  <c r="J79" i="20"/>
  <c r="U79" i="20"/>
  <c r="AC90" i="4"/>
  <c r="AB90" i="4"/>
  <c r="U90" i="4"/>
  <c r="AA90" i="4"/>
  <c r="T90" i="4"/>
  <c r="V90" i="4"/>
  <c r="AD367" i="20" l="1"/>
  <c r="AE413" i="20"/>
  <c r="AE420" i="20" s="1"/>
  <c r="L133" i="6"/>
  <c r="M40" i="6"/>
  <c r="I125" i="6" s="1"/>
  <c r="I135" i="6" s="1"/>
  <c r="M90" i="6"/>
  <c r="K131" i="6" s="1"/>
  <c r="L130" i="6"/>
  <c r="L121" i="6"/>
  <c r="M89" i="6"/>
  <c r="J131" i="6" s="1"/>
  <c r="M41" i="6"/>
  <c r="J125" i="6" s="1"/>
  <c r="M88" i="6"/>
  <c r="I131" i="6" s="1"/>
  <c r="M42" i="6"/>
  <c r="K125" i="6" s="1"/>
  <c r="L134" i="6"/>
  <c r="AD381" i="20"/>
  <c r="AF481" i="20"/>
  <c r="I15" i="28" s="1"/>
  <c r="I20" i="28" s="1"/>
  <c r="AD461" i="20"/>
  <c r="AD481" i="20" s="1"/>
  <c r="AN461" i="20"/>
  <c r="AM461" i="20"/>
  <c r="AM199" i="20"/>
  <c r="AN402" i="20"/>
  <c r="AN407" i="20" s="1"/>
  <c r="AM407" i="20"/>
  <c r="AE402" i="20"/>
  <c r="AE407" i="20" s="1"/>
  <c r="AE461" i="20"/>
  <c r="AM367" i="20"/>
  <c r="AM322" i="20"/>
  <c r="AE315" i="20"/>
  <c r="AE322" i="20" s="1"/>
  <c r="AD322" i="20"/>
  <c r="AF382" i="20"/>
  <c r="H15" i="28" s="1"/>
  <c r="H20" i="28" s="1"/>
  <c r="AD295" i="20"/>
  <c r="AE290" i="20"/>
  <c r="AE295" i="20" s="1"/>
  <c r="AM295" i="20"/>
  <c r="AN290" i="20"/>
  <c r="AN295" i="20" s="1"/>
  <c r="AE358" i="20"/>
  <c r="AE362" i="20" s="1"/>
  <c r="AN362" i="20"/>
  <c r="AM381" i="20"/>
  <c r="AN375" i="20"/>
  <c r="AN381" i="20" s="1"/>
  <c r="AE304" i="20"/>
  <c r="AE309" i="20" s="1"/>
  <c r="AN309" i="20"/>
  <c r="AM362" i="20"/>
  <c r="AE375" i="20"/>
  <c r="AE381" i="20" s="1"/>
  <c r="AM309" i="20"/>
  <c r="E110" i="6"/>
  <c r="E114" i="6"/>
  <c r="E113" i="6"/>
  <c r="E102" i="6"/>
  <c r="E105" i="6"/>
  <c r="E106" i="6"/>
  <c r="E94" i="6"/>
  <c r="F99" i="6" s="1"/>
  <c r="F96" i="6" s="1"/>
  <c r="B132" i="6" s="1"/>
  <c r="E98" i="6"/>
  <c r="E97" i="6"/>
  <c r="AM269" i="20"/>
  <c r="AE194" i="20"/>
  <c r="AE199" i="20" s="1"/>
  <c r="AE266" i="20"/>
  <c r="AE269" i="20" s="1"/>
  <c r="AN283" i="20"/>
  <c r="AM283" i="20"/>
  <c r="AE283" i="20"/>
  <c r="AD283" i="20"/>
  <c r="AN235" i="20"/>
  <c r="AN239" i="20" s="1"/>
  <c r="AE235" i="20"/>
  <c r="AE239" i="20" s="1"/>
  <c r="AM144" i="20"/>
  <c r="AE257" i="20"/>
  <c r="AE264" i="20" s="1"/>
  <c r="AF284" i="20"/>
  <c r="G15" i="28" s="1"/>
  <c r="AE205" i="20"/>
  <c r="AE213" i="20" s="1"/>
  <c r="AN226" i="20"/>
  <c r="AD226" i="20"/>
  <c r="AM226" i="20"/>
  <c r="AE140" i="20"/>
  <c r="AE144" i="20" s="1"/>
  <c r="AN257" i="20"/>
  <c r="AN264" i="20" s="1"/>
  <c r="AM264" i="20"/>
  <c r="AN205" i="20"/>
  <c r="AN213" i="20" s="1"/>
  <c r="AM213" i="20"/>
  <c r="AE249" i="20"/>
  <c r="AE256" i="20" s="1"/>
  <c r="AE226" i="20"/>
  <c r="AN249" i="20"/>
  <c r="AN256" i="20" s="1"/>
  <c r="AM256" i="20"/>
  <c r="AF169" i="20"/>
  <c r="F82" i="28"/>
  <c r="W82" i="28" s="1"/>
  <c r="AF118" i="20"/>
  <c r="F37" i="28"/>
  <c r="W37" i="28" s="1"/>
  <c r="AE124" i="20"/>
  <c r="AE131" i="20" s="1"/>
  <c r="AE99" i="20"/>
  <c r="AE104" i="20" s="1"/>
  <c r="AE145" i="20"/>
  <c r="AE149" i="20" s="1"/>
  <c r="W188" i="20"/>
  <c r="AE132" i="20"/>
  <c r="AE139" i="20" s="1"/>
  <c r="AN124" i="20"/>
  <c r="AN131" i="20" s="1"/>
  <c r="AM131" i="20"/>
  <c r="AN132" i="20"/>
  <c r="AN139" i="20" s="1"/>
  <c r="AM139" i="20"/>
  <c r="AN145" i="20"/>
  <c r="AN149" i="20" s="1"/>
  <c r="AM149" i="20"/>
  <c r="AM153" i="20"/>
  <c r="AN150" i="20"/>
  <c r="AN153" i="20" s="1"/>
  <c r="AN110" i="20"/>
  <c r="AE105" i="20"/>
  <c r="AE109" i="20" s="1"/>
  <c r="AE119" i="20"/>
  <c r="AE122" i="20" s="1"/>
  <c r="AN119" i="20"/>
  <c r="AN122" i="20" s="1"/>
  <c r="AM122" i="20"/>
  <c r="AF187" i="20"/>
  <c r="AM182" i="20"/>
  <c r="AD182" i="20"/>
  <c r="AE150" i="20"/>
  <c r="AE153" i="20" s="1"/>
  <c r="AM104" i="20"/>
  <c r="AN99" i="20"/>
  <c r="AN104" i="20" s="1"/>
  <c r="AN105" i="20"/>
  <c r="AN109" i="20" s="1"/>
  <c r="AM109" i="20"/>
  <c r="AN162" i="20"/>
  <c r="AM166" i="20"/>
  <c r="AN166" i="20" s="1"/>
  <c r="AD166" i="20"/>
  <c r="AE166" i="20" s="1"/>
  <c r="AE169" i="20" s="1"/>
  <c r="AE154" i="20"/>
  <c r="AE161" i="20" s="1"/>
  <c r="AN154" i="20"/>
  <c r="AN161" i="20" s="1"/>
  <c r="AM161" i="20"/>
  <c r="AD185" i="20"/>
  <c r="AE185" i="20" s="1"/>
  <c r="AM185" i="20"/>
  <c r="AN185" i="20" s="1"/>
  <c r="AD113" i="20"/>
  <c r="AD118" i="20" s="1"/>
  <c r="AM113" i="20"/>
  <c r="AN113" i="20" s="1"/>
  <c r="AM84" i="20"/>
  <c r="AN84" i="20" s="1"/>
  <c r="AD84" i="20"/>
  <c r="AE84" i="20" s="1"/>
  <c r="S67" i="20"/>
  <c r="AM77" i="20"/>
  <c r="AN77" i="20" s="1"/>
  <c r="AD77" i="20"/>
  <c r="AE77" i="20" s="1"/>
  <c r="AF68" i="20"/>
  <c r="E78" i="28" s="1"/>
  <c r="S74" i="20"/>
  <c r="AD81" i="20"/>
  <c r="AE81" i="20" s="1"/>
  <c r="AM81" i="20"/>
  <c r="AN81" i="20" s="1"/>
  <c r="AD78" i="20"/>
  <c r="AE78" i="20" s="1"/>
  <c r="AM78" i="20"/>
  <c r="AN78" i="20" s="1"/>
  <c r="AF29" i="20"/>
  <c r="S37" i="20"/>
  <c r="AD82" i="20"/>
  <c r="AE82" i="20" s="1"/>
  <c r="AM82" i="20"/>
  <c r="AN82" i="20" s="1"/>
  <c r="AD88" i="20"/>
  <c r="AE88" i="20" s="1"/>
  <c r="AM88" i="20"/>
  <c r="AN88" i="20" s="1"/>
  <c r="S28" i="20"/>
  <c r="AF25" i="20"/>
  <c r="E42" i="28" s="1"/>
  <c r="AD90" i="20"/>
  <c r="AE90" i="20" s="1"/>
  <c r="AM90" i="20"/>
  <c r="AN90" i="20" s="1"/>
  <c r="AD85" i="20"/>
  <c r="AE85" i="20" s="1"/>
  <c r="AM85" i="20"/>
  <c r="AN85" i="20" s="1"/>
  <c r="AF16" i="20"/>
  <c r="S24" i="20"/>
  <c r="AM91" i="20"/>
  <c r="AN91" i="20" s="1"/>
  <c r="AD91" i="20"/>
  <c r="AE91" i="20" s="1"/>
  <c r="AM89" i="20"/>
  <c r="AN89" i="20" s="1"/>
  <c r="AD89" i="20"/>
  <c r="AE89" i="20" s="1"/>
  <c r="AF56" i="20"/>
  <c r="E68" i="28" s="1"/>
  <c r="S59" i="20"/>
  <c r="AD75" i="20"/>
  <c r="AE75" i="20" s="1"/>
  <c r="AM75" i="20"/>
  <c r="AN75" i="20" s="1"/>
  <c r="AD83" i="20"/>
  <c r="AE83" i="20" s="1"/>
  <c r="AM83" i="20"/>
  <c r="AN83" i="20" s="1"/>
  <c r="AM87" i="20"/>
  <c r="AN87" i="20" s="1"/>
  <c r="AF92" i="20"/>
  <c r="AD87" i="20"/>
  <c r="AE87" i="20" s="1"/>
  <c r="AF79" i="20"/>
  <c r="AM76" i="20"/>
  <c r="AN76" i="20" s="1"/>
  <c r="AD76" i="20"/>
  <c r="AE76" i="20" s="1"/>
  <c r="S80" i="20"/>
  <c r="S79" i="20"/>
  <c r="W92" i="20"/>
  <c r="V92" i="20"/>
  <c r="S92" i="20"/>
  <c r="W79" i="20"/>
  <c r="V79" i="20"/>
  <c r="AN481" i="20" l="1"/>
  <c r="L131" i="6"/>
  <c r="J135" i="6"/>
  <c r="L125" i="6"/>
  <c r="K135" i="6"/>
  <c r="AM481" i="20"/>
  <c r="AE481" i="20"/>
  <c r="AD382" i="20"/>
  <c r="AN382" i="20"/>
  <c r="AM382" i="20"/>
  <c r="AE382" i="20"/>
  <c r="F102" i="6" a="1"/>
  <c r="F102" i="6" s="1"/>
  <c r="F107" i="6" s="1"/>
  <c r="F110" i="6" a="1"/>
  <c r="F110" i="6" s="1"/>
  <c r="F115" i="6" s="1"/>
  <c r="F97" i="6"/>
  <c r="C132" i="6" s="1"/>
  <c r="F98" i="6"/>
  <c r="D132" i="6" s="1"/>
  <c r="AD284" i="20"/>
  <c r="AE284" i="20"/>
  <c r="AN284" i="20"/>
  <c r="AF188" i="20"/>
  <c r="F15" i="28" s="1"/>
  <c r="AM284" i="20"/>
  <c r="AN86" i="20"/>
  <c r="AM16" i="20"/>
  <c r="AN16" i="20" s="1"/>
  <c r="E34" i="28"/>
  <c r="AM29" i="20"/>
  <c r="AN29" i="20" s="1"/>
  <c r="E45" i="28"/>
  <c r="AE113" i="20"/>
  <c r="AE118" i="20" s="1"/>
  <c r="AE92" i="20"/>
  <c r="AM25" i="20"/>
  <c r="AN25" i="20" s="1"/>
  <c r="AD169" i="20"/>
  <c r="AM169" i="20"/>
  <c r="AD187" i="20"/>
  <c r="AM118" i="20"/>
  <c r="AN169" i="20"/>
  <c r="AE182" i="20"/>
  <c r="AE187" i="20" s="1"/>
  <c r="AM187" i="20"/>
  <c r="AN182" i="20"/>
  <c r="AN187" i="20" s="1"/>
  <c r="AN118" i="20"/>
  <c r="AD25" i="20"/>
  <c r="AE25" i="20" s="1"/>
  <c r="AN92" i="20"/>
  <c r="AE79" i="20"/>
  <c r="AF46" i="20"/>
  <c r="E60" i="28" s="1"/>
  <c r="S50" i="20"/>
  <c r="AM56" i="20"/>
  <c r="AN56" i="20" s="1"/>
  <c r="AD56" i="20"/>
  <c r="AE56" i="20" s="1"/>
  <c r="AD16" i="20"/>
  <c r="AE16" i="20" s="1"/>
  <c r="AM92" i="20"/>
  <c r="AM79" i="20"/>
  <c r="AD68" i="20"/>
  <c r="AE68" i="20" s="1"/>
  <c r="AM68" i="20"/>
  <c r="AN68" i="20" s="1"/>
  <c r="AD29" i="20"/>
  <c r="AE29" i="20" s="1"/>
  <c r="AD92" i="20"/>
  <c r="AN79" i="20"/>
  <c r="AD79" i="20"/>
  <c r="AF80" i="20"/>
  <c r="E88" i="28" s="1"/>
  <c r="S86" i="20"/>
  <c r="L135" i="6" l="1"/>
  <c r="E132" i="6"/>
  <c r="F112" i="6"/>
  <c r="B134" i="6" s="1"/>
  <c r="F113" i="6"/>
  <c r="C134" i="6" s="1"/>
  <c r="F114" i="6"/>
  <c r="D134" i="6" s="1"/>
  <c r="F104" i="6"/>
  <c r="B133" i="6" s="1"/>
  <c r="F105" i="6"/>
  <c r="C133" i="6" s="1"/>
  <c r="F106" i="6"/>
  <c r="D133" i="6" s="1"/>
  <c r="AD188" i="20"/>
  <c r="AE188" i="20"/>
  <c r="AN188" i="20"/>
  <c r="AM188" i="20"/>
  <c r="AD46" i="20"/>
  <c r="AE46" i="20" s="1"/>
  <c r="AM46" i="20"/>
  <c r="AN46" i="20" s="1"/>
  <c r="AM80" i="20"/>
  <c r="AN80" i="20" s="1"/>
  <c r="AD80" i="20"/>
  <c r="AF86" i="20"/>
  <c r="E133" i="6" l="1"/>
  <c r="E134" i="6"/>
  <c r="AM86" i="20"/>
  <c r="AE80" i="20"/>
  <c r="AE86" i="20" s="1"/>
  <c r="AD86" i="20"/>
  <c r="U72" i="20" l="1"/>
  <c r="U74" i="20" s="1"/>
  <c r="T72" i="20"/>
  <c r="T74" i="20" s="1"/>
  <c r="T55" i="20"/>
  <c r="T45" i="20"/>
  <c r="U35" i="20"/>
  <c r="T35" i="20"/>
  <c r="U19" i="20"/>
  <c r="U24" i="20" s="1"/>
  <c r="T19" i="20"/>
  <c r="T24" i="20" s="1"/>
  <c r="Z74" i="20"/>
  <c r="Y74" i="20"/>
  <c r="X74" i="20"/>
  <c r="AC55" i="20"/>
  <c r="AB55" i="20"/>
  <c r="AA55" i="20"/>
  <c r="Z55" i="20"/>
  <c r="Y55" i="20"/>
  <c r="X55" i="20"/>
  <c r="AC45" i="20"/>
  <c r="AB45" i="20"/>
  <c r="AA45" i="20"/>
  <c r="Z45" i="20"/>
  <c r="Y45" i="20"/>
  <c r="X45" i="20"/>
  <c r="AC15" i="20"/>
  <c r="AB15" i="20"/>
  <c r="AA15" i="20"/>
  <c r="AC10" i="20"/>
  <c r="AB10" i="20"/>
  <c r="AA10" i="20"/>
  <c r="W10" i="20"/>
  <c r="V10" i="20"/>
  <c r="U10" i="20"/>
  <c r="T10" i="20"/>
  <c r="AJ4" i="20"/>
  <c r="V72" i="20" l="1"/>
  <c r="V19" i="20"/>
  <c r="T30" i="20"/>
  <c r="T37" i="20" s="1"/>
  <c r="V35" i="20"/>
  <c r="W35" i="20" s="1"/>
  <c r="U30" i="20"/>
  <c r="AA93" i="20"/>
  <c r="AC93" i="20"/>
  <c r="AB93" i="20"/>
  <c r="H55" i="20"/>
  <c r="H45" i="20"/>
  <c r="I45" i="20"/>
  <c r="M45" i="20"/>
  <c r="I55" i="20"/>
  <c r="M15" i="20"/>
  <c r="F15" i="20"/>
  <c r="I15" i="20"/>
  <c r="F45" i="20"/>
  <c r="I10" i="20"/>
  <c r="M10" i="20"/>
  <c r="H10" i="20"/>
  <c r="H15" i="20"/>
  <c r="M55" i="20"/>
  <c r="AF22" i="20"/>
  <c r="E40" i="28" s="1"/>
  <c r="F55" i="20"/>
  <c r="AF65" i="20"/>
  <c r="E76" i="28" s="1"/>
  <c r="F10" i="20"/>
  <c r="X60" i="20"/>
  <c r="X67" i="20" s="1"/>
  <c r="X56" i="20"/>
  <c r="X59" i="20" s="1"/>
  <c r="N55" i="20"/>
  <c r="G55" i="20"/>
  <c r="E55" i="20"/>
  <c r="L55" i="20"/>
  <c r="X46" i="20"/>
  <c r="X50" i="20" s="1"/>
  <c r="N45" i="20"/>
  <c r="G45" i="20"/>
  <c r="E45" i="20"/>
  <c r="L45" i="20"/>
  <c r="X29" i="20"/>
  <c r="X37" i="20" s="1"/>
  <c r="X25" i="20"/>
  <c r="X28" i="20" s="1"/>
  <c r="X16" i="20"/>
  <c r="X24" i="20" s="1"/>
  <c r="N15" i="20"/>
  <c r="G15" i="20"/>
  <c r="E15" i="20"/>
  <c r="X11" i="20" s="1"/>
  <c r="X15" i="20" s="1"/>
  <c r="L15" i="20"/>
  <c r="N10" i="20"/>
  <c r="G10" i="20"/>
  <c r="E10" i="20"/>
  <c r="L10" i="20"/>
  <c r="Y31" i="6"/>
  <c r="Y64" i="6"/>
  <c r="Y40" i="6"/>
  <c r="Y80" i="6"/>
  <c r="Y56" i="6"/>
  <c r="Y72" i="6"/>
  <c r="E46" i="35"/>
  <c r="E32" i="35"/>
  <c r="E18" i="35"/>
  <c r="E4" i="35"/>
  <c r="AM22" i="20" l="1"/>
  <c r="AM65" i="20"/>
  <c r="V30" i="20"/>
  <c r="U37" i="20"/>
  <c r="W19" i="20"/>
  <c r="W24" i="20" s="1"/>
  <c r="V24" i="20"/>
  <c r="W72" i="20"/>
  <c r="V74" i="20"/>
  <c r="G93" i="20"/>
  <c r="N93" i="20"/>
  <c r="F93" i="20"/>
  <c r="L93" i="20"/>
  <c r="H93" i="20"/>
  <c r="M93" i="20"/>
  <c r="E93" i="20"/>
  <c r="I93" i="20"/>
  <c r="T15" i="20"/>
  <c r="T93" i="20" s="1"/>
  <c r="AF12" i="20"/>
  <c r="E31" i="28" s="1"/>
  <c r="AF62" i="20"/>
  <c r="E73" i="28" s="1"/>
  <c r="AF53" i="20"/>
  <c r="E66" i="28" s="1"/>
  <c r="AF52" i="20"/>
  <c r="E65" i="28" s="1"/>
  <c r="AF70" i="20"/>
  <c r="E80" i="28" s="1"/>
  <c r="AF49" i="20"/>
  <c r="E63" i="28" s="1"/>
  <c r="AF48" i="20"/>
  <c r="E62" i="28" s="1"/>
  <c r="AF35" i="20"/>
  <c r="E51" i="28" s="1"/>
  <c r="AF23" i="20"/>
  <c r="E41" i="28" s="1"/>
  <c r="AF18" i="20"/>
  <c r="E36" i="28" s="1"/>
  <c r="AF8" i="20"/>
  <c r="E28" i="28" s="1"/>
  <c r="AF6" i="20"/>
  <c r="E26" i="28" s="1"/>
  <c r="AF66" i="20"/>
  <c r="E77" i="28" s="1"/>
  <c r="AF13" i="20"/>
  <c r="E32" i="28" s="1"/>
  <c r="AN22" i="20"/>
  <c r="AD22" i="20"/>
  <c r="AF63" i="20"/>
  <c r="E74" i="28" s="1"/>
  <c r="AF31" i="20"/>
  <c r="E47" i="28" s="1"/>
  <c r="AF58" i="20"/>
  <c r="E70" i="28" s="1"/>
  <c r="AF43" i="20"/>
  <c r="E58" i="28" s="1"/>
  <c r="AF41" i="20"/>
  <c r="E56" i="28" s="1"/>
  <c r="AF40" i="20"/>
  <c r="E55" i="28" s="1"/>
  <c r="AF39" i="20"/>
  <c r="E54" i="28" s="1"/>
  <c r="AF36" i="20"/>
  <c r="E52" i="28" s="1"/>
  <c r="AF32" i="20"/>
  <c r="E48" i="28" s="1"/>
  <c r="AF21" i="20"/>
  <c r="E39" i="28" s="1"/>
  <c r="AF9" i="20"/>
  <c r="E29" i="28" s="1"/>
  <c r="AF64" i="20"/>
  <c r="E75" i="28" s="1"/>
  <c r="AF42" i="20"/>
  <c r="E57" i="28" s="1"/>
  <c r="AF34" i="20"/>
  <c r="E50" i="28" s="1"/>
  <c r="AF33" i="20"/>
  <c r="E49" i="28" s="1"/>
  <c r="AF73" i="20"/>
  <c r="E83" i="28" s="1"/>
  <c r="AF7" i="20"/>
  <c r="E27" i="28" s="1"/>
  <c r="AN65" i="20"/>
  <c r="AD65" i="20"/>
  <c r="Y90" i="6"/>
  <c r="Y82" i="6"/>
  <c r="Y60" i="20"/>
  <c r="Y67" i="20" s="1"/>
  <c r="Y56" i="20"/>
  <c r="Y59" i="20" s="1"/>
  <c r="U55" i="20"/>
  <c r="O55" i="20"/>
  <c r="J55" i="20"/>
  <c r="Y58" i="6"/>
  <c r="Y46" i="20"/>
  <c r="Y50" i="20" s="1"/>
  <c r="U45" i="20"/>
  <c r="O45" i="20"/>
  <c r="J45" i="20"/>
  <c r="Y42" i="6"/>
  <c r="Y29" i="20"/>
  <c r="Y37" i="20" s="1"/>
  <c r="Y33" i="6"/>
  <c r="Y25" i="20"/>
  <c r="Y28" i="20" s="1"/>
  <c r="Y25" i="6"/>
  <c r="Y16" i="20"/>
  <c r="Y24" i="20" s="1"/>
  <c r="U15" i="20"/>
  <c r="O15" i="20"/>
  <c r="J15" i="20"/>
  <c r="Y11" i="20" s="1"/>
  <c r="O10" i="20"/>
  <c r="D7" i="6" s="1"/>
  <c r="J10" i="20"/>
  <c r="X5" i="20"/>
  <c r="X10" i="20" s="1"/>
  <c r="X93" i="20" s="1"/>
  <c r="Y89" i="6"/>
  <c r="Y81" i="6"/>
  <c r="Y73" i="6"/>
  <c r="Y65" i="6"/>
  <c r="Y57" i="6"/>
  <c r="Y49" i="6"/>
  <c r="Y41" i="6"/>
  <c r="Y32" i="6"/>
  <c r="Y24" i="6"/>
  <c r="Y16" i="6"/>
  <c r="Y8" i="6"/>
  <c r="Y23" i="6"/>
  <c r="Y88" i="6"/>
  <c r="E54" i="35" s="1"/>
  <c r="Y15" i="6"/>
  <c r="Y7" i="6"/>
  <c r="Y48" i="6"/>
  <c r="Y66" i="6" l="1"/>
  <c r="D64" i="6"/>
  <c r="Y50" i="6"/>
  <c r="D48" i="6"/>
  <c r="Y17" i="6"/>
  <c r="D15" i="6"/>
  <c r="AM42" i="20"/>
  <c r="AN42" i="20" s="1"/>
  <c r="AM66" i="20"/>
  <c r="AN66" i="20" s="1"/>
  <c r="AM70" i="20"/>
  <c r="AN70" i="20" s="1"/>
  <c r="AM52" i="20"/>
  <c r="AN52" i="20" s="1"/>
  <c r="AM31" i="20"/>
  <c r="AN31" i="20" s="1"/>
  <c r="AM73" i="20"/>
  <c r="AN73" i="20" s="1"/>
  <c r="AM32" i="20"/>
  <c r="AN32" i="20" s="1"/>
  <c r="AM63" i="20"/>
  <c r="AN63" i="20" s="1"/>
  <c r="AM23" i="20"/>
  <c r="AN23" i="20" s="1"/>
  <c r="AM12" i="20"/>
  <c r="AN12" i="20" s="1"/>
  <c r="AF19" i="20"/>
  <c r="E37" i="28" s="1"/>
  <c r="AM36" i="20"/>
  <c r="AN36" i="20" s="1"/>
  <c r="AM35" i="20"/>
  <c r="AN35" i="20" s="1"/>
  <c r="AM41" i="20"/>
  <c r="AN41" i="20" s="1"/>
  <c r="AM64" i="20"/>
  <c r="AN64" i="20" s="1"/>
  <c r="AM43" i="20"/>
  <c r="AN43" i="20" s="1"/>
  <c r="AM6" i="20"/>
  <c r="AN6" i="20" s="1"/>
  <c r="AM53" i="20"/>
  <c r="AN53" i="20" s="1"/>
  <c r="AM21" i="20"/>
  <c r="AN21" i="20" s="1"/>
  <c r="AM62" i="20"/>
  <c r="AN62" i="20" s="1"/>
  <c r="AM9" i="20"/>
  <c r="AN9" i="20" s="1"/>
  <c r="AM58" i="20"/>
  <c r="AN58" i="20" s="1"/>
  <c r="AM8" i="20"/>
  <c r="AN8" i="20" s="1"/>
  <c r="AM7" i="20"/>
  <c r="AN7" i="20" s="1"/>
  <c r="AM18" i="20"/>
  <c r="AN18" i="20" s="1"/>
  <c r="AM33" i="20"/>
  <c r="AN33" i="20" s="1"/>
  <c r="AM39" i="20"/>
  <c r="AN39" i="20" s="1"/>
  <c r="AM48" i="20"/>
  <c r="AN48" i="20" s="1"/>
  <c r="AM34" i="20"/>
  <c r="AN34" i="20" s="1"/>
  <c r="AM40" i="20"/>
  <c r="AN40" i="20" s="1"/>
  <c r="AM13" i="20"/>
  <c r="AN13" i="20" s="1"/>
  <c r="AM49" i="20"/>
  <c r="AN49" i="20" s="1"/>
  <c r="W74" i="20"/>
  <c r="AF72" i="20"/>
  <c r="E82" i="28" s="1"/>
  <c r="W30" i="20"/>
  <c r="W37" i="20" s="1"/>
  <c r="V37" i="20"/>
  <c r="Y74" i="6"/>
  <c r="E56" i="35" s="1"/>
  <c r="AF60" i="20"/>
  <c r="E71" i="28" s="1"/>
  <c r="U93" i="20"/>
  <c r="J93" i="20"/>
  <c r="Y9" i="6"/>
  <c r="O93" i="20"/>
  <c r="E18" i="28" s="1"/>
  <c r="AD12" i="20"/>
  <c r="AE12" i="20" s="1"/>
  <c r="AD58" i="20"/>
  <c r="AD62" i="20"/>
  <c r="AD52" i="20"/>
  <c r="AE52" i="20" s="1"/>
  <c r="AD66" i="20"/>
  <c r="AE66" i="20" s="1"/>
  <c r="AD48" i="20"/>
  <c r="AE48" i="20" s="1"/>
  <c r="AE22" i="20"/>
  <c r="AE65" i="20"/>
  <c r="AD49" i="20"/>
  <c r="E28" i="35"/>
  <c r="E42" i="35"/>
  <c r="E13" i="35"/>
  <c r="AD53" i="20"/>
  <c r="AD70" i="20"/>
  <c r="AD63" i="20"/>
  <c r="AD41" i="20"/>
  <c r="AD32" i="20"/>
  <c r="AD35" i="20"/>
  <c r="AD23" i="20"/>
  <c r="AD18" i="20"/>
  <c r="AD8" i="20"/>
  <c r="AD6" i="20"/>
  <c r="AD13" i="20"/>
  <c r="Y83" i="6"/>
  <c r="AD73" i="20"/>
  <c r="AD31" i="20"/>
  <c r="AD36" i="20"/>
  <c r="AD43" i="20"/>
  <c r="AD40" i="20"/>
  <c r="AD39" i="20"/>
  <c r="AD21" i="20"/>
  <c r="AD9" i="20"/>
  <c r="AD64" i="20"/>
  <c r="AE64" i="20" s="1"/>
  <c r="AD42" i="20"/>
  <c r="AD34" i="20"/>
  <c r="AD33" i="20"/>
  <c r="AD7" i="20"/>
  <c r="AF69" i="20"/>
  <c r="E79" i="28" s="1"/>
  <c r="AF61" i="20"/>
  <c r="E72" i="28" s="1"/>
  <c r="Z60" i="20"/>
  <c r="Z67" i="20" s="1"/>
  <c r="AF57" i="20"/>
  <c r="E69" i="28" s="1"/>
  <c r="Z56" i="20"/>
  <c r="Z59" i="20" s="1"/>
  <c r="V55" i="20"/>
  <c r="AF47" i="20"/>
  <c r="E61" i="28" s="1"/>
  <c r="Z46" i="20"/>
  <c r="Z50" i="20" s="1"/>
  <c r="V45" i="20"/>
  <c r="Z29" i="20"/>
  <c r="Z37" i="20" s="1"/>
  <c r="AF26" i="20"/>
  <c r="E43" i="28" s="1"/>
  <c r="Z25" i="20"/>
  <c r="Z28" i="20" s="1"/>
  <c r="AF17" i="20"/>
  <c r="E35" i="28" s="1"/>
  <c r="Z16" i="20"/>
  <c r="Z24" i="20" s="1"/>
  <c r="V15" i="20"/>
  <c r="Z11" i="20"/>
  <c r="Z15" i="20" s="1"/>
  <c r="Y15" i="20"/>
  <c r="Y5" i="20"/>
  <c r="E41" i="35"/>
  <c r="Y75" i="6"/>
  <c r="E55" i="35"/>
  <c r="Y67" i="6"/>
  <c r="Z65" i="6" s="1"/>
  <c r="Y59" i="6"/>
  <c r="Z57" i="6" s="1"/>
  <c r="AA57" i="6" s="1"/>
  <c r="X127" i="6" s="1"/>
  <c r="Y34" i="6"/>
  <c r="E27" i="35"/>
  <c r="Y18" i="6"/>
  <c r="Z15" i="6" s="1"/>
  <c r="Y26" i="6"/>
  <c r="Z23" i="6" s="1"/>
  <c r="Y91" i="6"/>
  <c r="Z88" i="6" s="1"/>
  <c r="Y10" i="6"/>
  <c r="Z7" i="6" s="1"/>
  <c r="E12" i="35"/>
  <c r="R25" i="6"/>
  <c r="R33" i="6"/>
  <c r="R42" i="6"/>
  <c r="R50" i="6"/>
  <c r="E14" i="35" l="1"/>
  <c r="AF30" i="20"/>
  <c r="E46" i="28" s="1"/>
  <c r="AM17" i="20"/>
  <c r="AM47" i="20"/>
  <c r="AM50" i="20" s="1"/>
  <c r="AM19" i="20"/>
  <c r="AN19" i="20" s="1"/>
  <c r="AD19" i="20"/>
  <c r="AE19" i="20" s="1"/>
  <c r="AM26" i="20"/>
  <c r="AM30" i="20"/>
  <c r="AM37" i="20" s="1"/>
  <c r="AM61" i="20"/>
  <c r="AM72" i="20"/>
  <c r="AN72" i="20" s="1"/>
  <c r="AM69" i="20"/>
  <c r="AF67" i="20"/>
  <c r="AM60" i="20"/>
  <c r="AF59" i="20"/>
  <c r="AM57" i="20"/>
  <c r="AM59" i="20" s="1"/>
  <c r="AF37" i="20"/>
  <c r="AD72" i="20"/>
  <c r="AE72" i="20" s="1"/>
  <c r="AF50" i="20"/>
  <c r="AD60" i="20"/>
  <c r="AE58" i="20"/>
  <c r="AE62" i="20"/>
  <c r="S21" i="28"/>
  <c r="U21" i="28" s="1"/>
  <c r="AE33" i="20"/>
  <c r="AE63" i="20"/>
  <c r="AE34" i="20"/>
  <c r="AE6" i="20"/>
  <c r="AE23" i="20"/>
  <c r="AE9" i="20"/>
  <c r="AE39" i="20"/>
  <c r="AE36" i="20"/>
  <c r="AE8" i="20"/>
  <c r="AE35" i="20"/>
  <c r="AE49" i="20"/>
  <c r="AE42" i="20"/>
  <c r="AE40" i="20"/>
  <c r="AE31" i="20"/>
  <c r="AE73" i="20"/>
  <c r="AE7" i="20"/>
  <c r="AE18" i="20"/>
  <c r="AE41" i="20"/>
  <c r="AE70" i="20"/>
  <c r="AE21" i="20"/>
  <c r="AE43" i="20"/>
  <c r="AE32" i="20"/>
  <c r="AE13" i="20"/>
  <c r="AE53" i="20"/>
  <c r="Z80" i="6"/>
  <c r="Z82" i="6"/>
  <c r="Z81" i="6"/>
  <c r="AF71" i="20"/>
  <c r="E81" i="28" s="1"/>
  <c r="AD69" i="20"/>
  <c r="AD61" i="20"/>
  <c r="AD57" i="20"/>
  <c r="AF54" i="20"/>
  <c r="E67" i="28" s="1"/>
  <c r="W55" i="20"/>
  <c r="AD47" i="20"/>
  <c r="AF44" i="20"/>
  <c r="E59" i="28" s="1"/>
  <c r="W45" i="20"/>
  <c r="AD30" i="20"/>
  <c r="AD37" i="20" s="1"/>
  <c r="AF27" i="20"/>
  <c r="E44" i="28" s="1"/>
  <c r="AD26" i="20"/>
  <c r="AF20" i="20"/>
  <c r="E38" i="28" s="1"/>
  <c r="AD17" i="20"/>
  <c r="AF14" i="20"/>
  <c r="E33" i="28" s="1"/>
  <c r="W15" i="20"/>
  <c r="Z5" i="20"/>
  <c r="Z10" i="20" s="1"/>
  <c r="Y10" i="20"/>
  <c r="Y93" i="20" s="1"/>
  <c r="S55" i="20"/>
  <c r="AF51" i="20"/>
  <c r="E64" i="28" s="1"/>
  <c r="S15" i="20"/>
  <c r="AF11" i="20"/>
  <c r="E30" i="28" s="1"/>
  <c r="S45" i="20"/>
  <c r="AF38" i="20"/>
  <c r="E53" i="28" s="1"/>
  <c r="S10" i="20"/>
  <c r="AF5" i="20"/>
  <c r="Z31" i="6"/>
  <c r="Z32" i="6"/>
  <c r="Z74" i="6"/>
  <c r="Z73" i="6"/>
  <c r="Z72" i="6"/>
  <c r="Z66" i="6"/>
  <c r="Z64" i="6"/>
  <c r="AA67" i="6"/>
  <c r="AA65" i="6" s="1"/>
  <c r="X128" i="6" s="1"/>
  <c r="Z56" i="6"/>
  <c r="AA56" i="6" s="1"/>
  <c r="W127" i="6" s="1"/>
  <c r="Z58" i="6"/>
  <c r="AA58" i="6" s="1"/>
  <c r="Y127" i="6" s="1"/>
  <c r="Z33" i="6"/>
  <c r="Y43" i="6"/>
  <c r="Z40" i="6" s="1"/>
  <c r="E26" i="35"/>
  <c r="Z9" i="6"/>
  <c r="Z8" i="6"/>
  <c r="Z24" i="6"/>
  <c r="Z25" i="6"/>
  <c r="AA91" i="6"/>
  <c r="AA88" i="6" s="1"/>
  <c r="W131" i="6" s="1"/>
  <c r="Z89" i="6"/>
  <c r="Z90" i="6"/>
  <c r="Z16" i="6"/>
  <c r="AA18" i="6"/>
  <c r="AA15" i="6" s="1"/>
  <c r="W122" i="6" s="1"/>
  <c r="Z17" i="6"/>
  <c r="E25" i="35"/>
  <c r="R66" i="6"/>
  <c r="R82" i="6"/>
  <c r="R9" i="6"/>
  <c r="R74" i="6"/>
  <c r="R90" i="6"/>
  <c r="R17" i="6"/>
  <c r="R58" i="6"/>
  <c r="W25" i="28" l="1"/>
  <c r="E25" i="28"/>
  <c r="AM14" i="20"/>
  <c r="AN14" i="20" s="1"/>
  <c r="AM51" i="20"/>
  <c r="AM11" i="20"/>
  <c r="AM5" i="20"/>
  <c r="AM10" i="20" s="1"/>
  <c r="AM67" i="20"/>
  <c r="AM54" i="20"/>
  <c r="AN54" i="20" s="1"/>
  <c r="AM38" i="20"/>
  <c r="AM44" i="20"/>
  <c r="AN44" i="20" s="1"/>
  <c r="AN60" i="20"/>
  <c r="AF74" i="20"/>
  <c r="AM71" i="20"/>
  <c r="AM74" i="20" s="1"/>
  <c r="AF24" i="20"/>
  <c r="AM20" i="20"/>
  <c r="AM24" i="20" s="1"/>
  <c r="AF28" i="20"/>
  <c r="AM27" i="20"/>
  <c r="AM28" i="20" s="1"/>
  <c r="AE60" i="20"/>
  <c r="AD67" i="20"/>
  <c r="AD50" i="20"/>
  <c r="AE57" i="20"/>
  <c r="AE59" i="20" s="1"/>
  <c r="AD59" i="20"/>
  <c r="S93" i="20"/>
  <c r="W93" i="20"/>
  <c r="AE69" i="20"/>
  <c r="AE61" i="20"/>
  <c r="AE30" i="20"/>
  <c r="AE37" i="20" s="1"/>
  <c r="AE26" i="20"/>
  <c r="AE17" i="20"/>
  <c r="AD71" i="20"/>
  <c r="AD74" i="20" s="1"/>
  <c r="AN69" i="20"/>
  <c r="AN61" i="20"/>
  <c r="AN57" i="20"/>
  <c r="AN59" i="20" s="1"/>
  <c r="AD54" i="20"/>
  <c r="AN47" i="20"/>
  <c r="AN50" i="20" s="1"/>
  <c r="AD44" i="20"/>
  <c r="AN30" i="20"/>
  <c r="AN37" i="20" s="1"/>
  <c r="AD27" i="20"/>
  <c r="AD28" i="20" s="1"/>
  <c r="AN26" i="20"/>
  <c r="AD20" i="20"/>
  <c r="AD24" i="20" s="1"/>
  <c r="AN17" i="20"/>
  <c r="AD14" i="20"/>
  <c r="AF55" i="20"/>
  <c r="AD51" i="20"/>
  <c r="AF15" i="20"/>
  <c r="AD11" i="20"/>
  <c r="AF45" i="20"/>
  <c r="AD38" i="20"/>
  <c r="AF10" i="20"/>
  <c r="AD5" i="20"/>
  <c r="AE47" i="20"/>
  <c r="AE50" i="20" s="1"/>
  <c r="AA66" i="6"/>
  <c r="Y128" i="6" s="1"/>
  <c r="AA64" i="6"/>
  <c r="W128" i="6" s="1"/>
  <c r="Z127" i="6"/>
  <c r="AA90" i="6"/>
  <c r="Y131" i="6" s="1"/>
  <c r="AA89" i="6"/>
  <c r="X131" i="6" s="1"/>
  <c r="AA16" i="6"/>
  <c r="X122" i="6" s="1"/>
  <c r="AA17" i="6"/>
  <c r="Y122" i="6" s="1"/>
  <c r="Z42" i="6"/>
  <c r="Z41" i="6"/>
  <c r="E11" i="35"/>
  <c r="E39" i="35"/>
  <c r="E53" i="35"/>
  <c r="AM15" i="20" l="1"/>
  <c r="AN67" i="20"/>
  <c r="AM55" i="20"/>
  <c r="AN27" i="20"/>
  <c r="AN28" i="20" s="1"/>
  <c r="AM45" i="20"/>
  <c r="AN20" i="20"/>
  <c r="AN24" i="20" s="1"/>
  <c r="AE67" i="20"/>
  <c r="AF93" i="20"/>
  <c r="E15" i="28" s="1"/>
  <c r="P104" i="28"/>
  <c r="Z128" i="6"/>
  <c r="AE54" i="20"/>
  <c r="AE44" i="20"/>
  <c r="AE14" i="20"/>
  <c r="O104" i="28"/>
  <c r="AD15" i="20"/>
  <c r="AE11" i="20"/>
  <c r="AN71" i="20"/>
  <c r="AN74" i="20" s="1"/>
  <c r="AD45" i="20"/>
  <c r="AE38" i="20"/>
  <c r="AN51" i="20"/>
  <c r="AN55" i="20" s="1"/>
  <c r="AN11" i="20"/>
  <c r="AN15" i="20" s="1"/>
  <c r="AN38" i="20"/>
  <c r="AN45" i="20" s="1"/>
  <c r="AN5" i="20"/>
  <c r="AN10" i="20" s="1"/>
  <c r="AE71" i="20"/>
  <c r="AE74" i="20" s="1"/>
  <c r="AE27" i="20"/>
  <c r="AE28" i="20" s="1"/>
  <c r="AE20" i="20"/>
  <c r="AE24" i="20" s="1"/>
  <c r="AD55" i="20"/>
  <c r="AE51" i="20"/>
  <c r="AD10" i="20"/>
  <c r="AE5" i="20"/>
  <c r="AE10" i="20" s="1"/>
  <c r="Z131" i="6"/>
  <c r="N104" i="28"/>
  <c r="Z122" i="6"/>
  <c r="E40" i="35"/>
  <c r="Y51" i="6"/>
  <c r="Z48" i="6" s="1"/>
  <c r="AD93" i="20" l="1"/>
  <c r="AN93" i="20"/>
  <c r="AM93" i="20"/>
  <c r="AE45" i="20"/>
  <c r="AE55" i="20"/>
  <c r="AE15" i="20"/>
  <c r="Z50" i="6"/>
  <c r="Z49" i="6"/>
  <c r="AE93" i="20" l="1"/>
  <c r="M104" i="28"/>
  <c r="R41" i="6" l="1"/>
  <c r="R81" i="6"/>
  <c r="R8" i="6"/>
  <c r="R16" i="6"/>
  <c r="R32" i="6"/>
  <c r="R65" i="6"/>
  <c r="R24" i="6"/>
  <c r="R57" i="6"/>
  <c r="R89" i="6"/>
  <c r="E24" i="35" l="1"/>
  <c r="E10" i="35"/>
  <c r="R49" i="6"/>
  <c r="E38" i="35" s="1"/>
  <c r="R73" i="6"/>
  <c r="E52" i="35" s="1"/>
  <c r="R31" i="6" l="1"/>
  <c r="R23" i="6"/>
  <c r="R56" i="6"/>
  <c r="R40" i="6"/>
  <c r="R64" i="6"/>
  <c r="R88" i="6"/>
  <c r="R72" i="6"/>
  <c r="N59" i="21"/>
  <c r="M59" i="21"/>
  <c r="E23" i="35" l="1"/>
  <c r="R48" i="6"/>
  <c r="E37" i="35" s="1"/>
  <c r="R15" i="6"/>
  <c r="R7" i="6"/>
  <c r="R80" i="6"/>
  <c r="E51" i="35" s="1"/>
  <c r="L104" i="28" l="1"/>
  <c r="E9" i="35"/>
  <c r="R10" i="6"/>
  <c r="S9" i="6" l="1"/>
  <c r="R83" i="6"/>
  <c r="S8" i="6"/>
  <c r="S7" i="6"/>
  <c r="E36" i="35" l="1"/>
  <c r="E50" i="35"/>
  <c r="R26" i="6"/>
  <c r="S23" i="6" s="1"/>
  <c r="R51" i="6"/>
  <c r="R91" i="6"/>
  <c r="S88" i="6" s="1"/>
  <c r="R59" i="6"/>
  <c r="S56" i="6" s="1"/>
  <c r="T56" i="6" s="1"/>
  <c r="P127" i="6" s="1"/>
  <c r="R67" i="6"/>
  <c r="S64" i="6" s="1"/>
  <c r="S80" i="6"/>
  <c r="S82" i="6"/>
  <c r="S81" i="6"/>
  <c r="E8" i="35"/>
  <c r="R75" i="6"/>
  <c r="E49" i="35"/>
  <c r="E21" i="35"/>
  <c r="O5" i="6" l="1"/>
  <c r="O38" i="6"/>
  <c r="R38" i="6" s="1"/>
  <c r="O54" i="6"/>
  <c r="R54" i="6" s="1"/>
  <c r="S54" i="6" s="1"/>
  <c r="O70" i="6"/>
  <c r="O86" i="6"/>
  <c r="R86" i="6" s="1"/>
  <c r="S86" i="6" s="1"/>
  <c r="O21" i="6"/>
  <c r="R21" i="6" s="1"/>
  <c r="S21" i="6" s="1"/>
  <c r="T21" i="6" s="1"/>
  <c r="T26" i="6" s="1"/>
  <c r="T23" i="6" s="1"/>
  <c r="P123" i="6" s="1"/>
  <c r="V5" i="6"/>
  <c r="Y5" i="6" s="1"/>
  <c r="Z5" i="6" s="1"/>
  <c r="AA5" i="6" s="1"/>
  <c r="AA10" i="6" s="1"/>
  <c r="V21" i="6"/>
  <c r="Y21" i="6" s="1"/>
  <c r="Z21" i="6" s="1"/>
  <c r="AA21" i="6" s="1"/>
  <c r="AA26" i="6" s="1"/>
  <c r="V38" i="6"/>
  <c r="Y38" i="6" s="1"/>
  <c r="Z38" i="6" s="1"/>
  <c r="AA38" i="6" s="1"/>
  <c r="AA43" i="6" s="1"/>
  <c r="V54" i="6"/>
  <c r="Y54" i="6" s="1"/>
  <c r="Z54" i="6" s="1"/>
  <c r="V70" i="6"/>
  <c r="Y70" i="6" s="1"/>
  <c r="Z70" i="6" s="1"/>
  <c r="AA70" i="6" s="1"/>
  <c r="AA75" i="6" s="1"/>
  <c r="V86" i="6"/>
  <c r="Y86" i="6" s="1"/>
  <c r="Z86" i="6" s="1"/>
  <c r="O13" i="6"/>
  <c r="R13" i="6" s="1"/>
  <c r="O29" i="6"/>
  <c r="O46" i="6"/>
  <c r="O62" i="6"/>
  <c r="R62" i="6" s="1"/>
  <c r="S62" i="6" s="1"/>
  <c r="O78" i="6"/>
  <c r="R78" i="6" s="1"/>
  <c r="S78" i="6" s="1"/>
  <c r="T78" i="6" s="1"/>
  <c r="T83" i="6" s="1"/>
  <c r="T81" i="6" s="1"/>
  <c r="Q130" i="6" s="1"/>
  <c r="V13" i="6"/>
  <c r="Y13" i="6" s="1"/>
  <c r="Z13" i="6" s="1"/>
  <c r="V29" i="6"/>
  <c r="Y29" i="6" s="1"/>
  <c r="Z29" i="6" s="1"/>
  <c r="AA29" i="6" s="1"/>
  <c r="AA34" i="6" s="1"/>
  <c r="V46" i="6"/>
  <c r="Y46" i="6" s="1"/>
  <c r="Z46" i="6" s="1"/>
  <c r="AA46" i="6" s="1"/>
  <c r="AA51" i="6" s="1"/>
  <c r="V62" i="6"/>
  <c r="Y62" i="6" s="1"/>
  <c r="Z62" i="6" s="1"/>
  <c r="V78" i="6"/>
  <c r="Y78" i="6" s="1"/>
  <c r="Z78" i="6" s="1"/>
  <c r="AA78" i="6" s="1"/>
  <c r="AA83" i="6" s="1"/>
  <c r="E22" i="35"/>
  <c r="E7" i="35"/>
  <c r="E35" i="35"/>
  <c r="S48" i="6"/>
  <c r="U18" i="31"/>
  <c r="S72" i="6"/>
  <c r="U25" i="31"/>
  <c r="K104" i="28"/>
  <c r="R43" i="6"/>
  <c r="S73" i="6"/>
  <c r="S74" i="6"/>
  <c r="R34" i="6"/>
  <c r="S31" i="6" s="1"/>
  <c r="S90" i="6"/>
  <c r="T91" i="6"/>
  <c r="T88" i="6" s="1"/>
  <c r="P131" i="6" s="1"/>
  <c r="S89" i="6"/>
  <c r="R18" i="6"/>
  <c r="S65" i="6"/>
  <c r="S66" i="6"/>
  <c r="T67" i="6"/>
  <c r="S50" i="6"/>
  <c r="S49" i="6"/>
  <c r="S58" i="6"/>
  <c r="T58" i="6" s="1"/>
  <c r="R127" i="6" s="1"/>
  <c r="S57" i="6"/>
  <c r="T57" i="6" s="1"/>
  <c r="Q127" i="6" s="1"/>
  <c r="S24" i="6"/>
  <c r="S25" i="6"/>
  <c r="T82" i="6" l="1"/>
  <c r="R130" i="6" s="1"/>
  <c r="T80" i="6"/>
  <c r="P130" i="6" s="1"/>
  <c r="AA48" i="6"/>
  <c r="W126" i="6" s="1"/>
  <c r="AA50" i="6"/>
  <c r="Y126" i="6" s="1"/>
  <c r="AA49" i="6"/>
  <c r="X126" i="6" s="1"/>
  <c r="R70" i="6"/>
  <c r="S70" i="6" s="1"/>
  <c r="T70" i="6" s="1"/>
  <c r="T75" i="6" s="1"/>
  <c r="T73" i="6" s="1"/>
  <c r="Q129" i="6" s="1"/>
  <c r="R23" i="31"/>
  <c r="U23" i="31" s="1"/>
  <c r="AA7" i="6"/>
  <c r="W121" i="6" s="1"/>
  <c r="AA8" i="6"/>
  <c r="X121" i="6" s="1"/>
  <c r="X135" i="6" s="1"/>
  <c r="AA9" i="6"/>
  <c r="Y121" i="6" s="1"/>
  <c r="R29" i="6"/>
  <c r="S29" i="6" s="1"/>
  <c r="T29" i="6" s="1"/>
  <c r="T34" i="6" s="1"/>
  <c r="R10" i="31"/>
  <c r="U10" i="31" s="1"/>
  <c r="AA24" i="6"/>
  <c r="X123" i="6" s="1"/>
  <c r="AA23" i="6"/>
  <c r="W123" i="6" s="1"/>
  <c r="AA25" i="6"/>
  <c r="Y123" i="6" s="1"/>
  <c r="AA72" i="6"/>
  <c r="W129" i="6" s="1"/>
  <c r="AA73" i="6"/>
  <c r="X129" i="6" s="1"/>
  <c r="AA74" i="6"/>
  <c r="Y129" i="6" s="1"/>
  <c r="AA40" i="6"/>
  <c r="W125" i="6" s="1"/>
  <c r="AA41" i="6"/>
  <c r="X125" i="6" s="1"/>
  <c r="AA42" i="6"/>
  <c r="Y125" i="6" s="1"/>
  <c r="R5" i="6"/>
  <c r="S5" i="6" s="1"/>
  <c r="T5" i="6" s="1"/>
  <c r="T10" i="6" s="1"/>
  <c r="R4" i="31"/>
  <c r="U4" i="31" s="1"/>
  <c r="AA32" i="6"/>
  <c r="X124" i="6" s="1"/>
  <c r="AA33" i="6"/>
  <c r="Y124" i="6" s="1"/>
  <c r="AA31" i="6"/>
  <c r="W124" i="6" s="1"/>
  <c r="R46" i="6"/>
  <c r="S46" i="6" s="1"/>
  <c r="T46" i="6" s="1"/>
  <c r="T51" i="6" s="1"/>
  <c r="T50" i="6" s="1"/>
  <c r="R126" i="6" s="1"/>
  <c r="R16" i="31"/>
  <c r="U16" i="31" s="1"/>
  <c r="AA80" i="6"/>
  <c r="W130" i="6" s="1"/>
  <c r="AA82" i="6"/>
  <c r="Y130" i="6" s="1"/>
  <c r="AA81" i="6"/>
  <c r="X130" i="6" s="1"/>
  <c r="I23" i="31"/>
  <c r="L23" i="31" s="1"/>
  <c r="I10" i="31"/>
  <c r="L10" i="31" s="1"/>
  <c r="I4" i="31"/>
  <c r="L4" i="31" s="1"/>
  <c r="S15" i="6"/>
  <c r="U6" i="31"/>
  <c r="U19" i="31"/>
  <c r="U26" i="31"/>
  <c r="S40" i="6"/>
  <c r="U12" i="31"/>
  <c r="U13" i="31" s="1"/>
  <c r="T66" i="6"/>
  <c r="R128" i="6" s="1"/>
  <c r="S127" i="6"/>
  <c r="T25" i="6"/>
  <c r="R123" i="6" s="1"/>
  <c r="T24" i="6"/>
  <c r="Q123" i="6" s="1"/>
  <c r="T89" i="6"/>
  <c r="Q131" i="6" s="1"/>
  <c r="T65" i="6"/>
  <c r="Q128" i="6" s="1"/>
  <c r="T90" i="6"/>
  <c r="R131" i="6" s="1"/>
  <c r="S16" i="6"/>
  <c r="S13" i="6"/>
  <c r="T18" i="6"/>
  <c r="S17" i="6"/>
  <c r="S33" i="6"/>
  <c r="S32" i="6"/>
  <c r="S42" i="6"/>
  <c r="S38" i="6"/>
  <c r="T38" i="6" s="1"/>
  <c r="T43" i="6" s="1"/>
  <c r="S41" i="6"/>
  <c r="T64" i="6"/>
  <c r="P128" i="6" s="1"/>
  <c r="I16" i="31"/>
  <c r="L16" i="31" s="1"/>
  <c r="J104" i="28"/>
  <c r="S130" i="6" l="1"/>
  <c r="T49" i="6"/>
  <c r="Q126" i="6" s="1"/>
  <c r="T72" i="6"/>
  <c r="P129" i="6" s="1"/>
  <c r="T48" i="6"/>
  <c r="P126" i="6" s="1"/>
  <c r="S126" i="6" s="1"/>
  <c r="V16" i="31"/>
  <c r="W16" i="31" s="1" a="1"/>
  <c r="W16" i="31" s="1"/>
  <c r="W19" i="31" s="1"/>
  <c r="Y32" i="31" s="1"/>
  <c r="T74" i="6"/>
  <c r="R129" i="6" s="1"/>
  <c r="V23" i="31"/>
  <c r="X23" i="31" s="1"/>
  <c r="Z130" i="6"/>
  <c r="Z123" i="6"/>
  <c r="Z129" i="6"/>
  <c r="Z121" i="6"/>
  <c r="W135" i="6"/>
  <c r="Y135" i="6"/>
  <c r="T8" i="6"/>
  <c r="Q121" i="6" s="1"/>
  <c r="T9" i="6"/>
  <c r="R121" i="6" s="1"/>
  <c r="T7" i="6"/>
  <c r="P121" i="6" s="1"/>
  <c r="Z125" i="6"/>
  <c r="Z124" i="6"/>
  <c r="Z126" i="6"/>
  <c r="T15" i="6"/>
  <c r="P122" i="6" s="1"/>
  <c r="V18" i="31"/>
  <c r="V25" i="31"/>
  <c r="U7" i="31"/>
  <c r="V4" i="31" s="1"/>
  <c r="V12" i="31"/>
  <c r="V10" i="31"/>
  <c r="T42" i="6"/>
  <c r="R125" i="6" s="1"/>
  <c r="S123" i="6"/>
  <c r="T17" i="6"/>
  <c r="R122" i="6" s="1"/>
  <c r="S128" i="6"/>
  <c r="T16" i="6"/>
  <c r="Q122" i="6" s="1"/>
  <c r="S131" i="6"/>
  <c r="T40" i="6"/>
  <c r="P125" i="6" s="1"/>
  <c r="T41" i="6"/>
  <c r="Q125" i="6" s="1"/>
  <c r="T33" i="6"/>
  <c r="R124" i="6" s="1"/>
  <c r="T31" i="6"/>
  <c r="P124" i="6" s="1"/>
  <c r="T32" i="6"/>
  <c r="Q124" i="6" s="1"/>
  <c r="S129" i="6" l="1"/>
  <c r="X16" i="31"/>
  <c r="W23" i="31" a="1"/>
  <c r="W23" i="31" s="1"/>
  <c r="W26" i="31" s="1"/>
  <c r="Y33" i="31" s="1"/>
  <c r="Z135" i="6"/>
  <c r="S121" i="6"/>
  <c r="W18" i="31"/>
  <c r="V6" i="31"/>
  <c r="X4" i="31"/>
  <c r="W4" i="31" a="1"/>
  <c r="W4" i="31" s="1"/>
  <c r="W7" i="31" s="1"/>
  <c r="Y30" i="31" s="1"/>
  <c r="S122" i="6"/>
  <c r="R135" i="6"/>
  <c r="X10" i="31"/>
  <c r="W10" i="31" a="1"/>
  <c r="W10" i="31" s="1"/>
  <c r="W13" i="31" s="1"/>
  <c r="Y31" i="31" s="1"/>
  <c r="P135" i="6"/>
  <c r="Q135" i="6"/>
  <c r="S125" i="6"/>
  <c r="S124" i="6"/>
  <c r="I104" i="28"/>
  <c r="W25" i="31" l="1"/>
  <c r="Y34" i="31"/>
  <c r="W6" i="31"/>
  <c r="W12" i="31"/>
  <c r="S135" i="6"/>
  <c r="B4" i="31" l="1"/>
  <c r="E4" i="31" s="1"/>
  <c r="B23" i="31"/>
  <c r="E23" i="31" s="1"/>
  <c r="B16" i="31"/>
  <c r="E16" i="31" s="1"/>
  <c r="B10" i="31"/>
  <c r="E10" i="31" s="1"/>
  <c r="E6" i="35" l="1"/>
  <c r="E20" i="35"/>
  <c r="E48" i="35"/>
  <c r="E34" i="35" l="1"/>
  <c r="E43" i="35" s="1"/>
  <c r="F34" i="35" s="1"/>
  <c r="E29" i="35"/>
  <c r="F20" i="35" s="1"/>
  <c r="E57" i="35"/>
  <c r="F48" i="35" s="1"/>
  <c r="E15" i="35"/>
  <c r="F6" i="35" s="1"/>
  <c r="L18" i="31"/>
  <c r="L12" i="31"/>
  <c r="L6" i="31"/>
  <c r="F4" i="35" l="1"/>
  <c r="F13" i="35"/>
  <c r="F14" i="35"/>
  <c r="F7" i="35"/>
  <c r="F12" i="35"/>
  <c r="F11" i="35"/>
  <c r="F10" i="35"/>
  <c r="F9" i="35"/>
  <c r="F8" i="35"/>
  <c r="F55" i="35"/>
  <c r="F50" i="35"/>
  <c r="F56" i="35"/>
  <c r="F54" i="35"/>
  <c r="F46" i="35"/>
  <c r="F51" i="35"/>
  <c r="F49" i="35"/>
  <c r="F52" i="35"/>
  <c r="F53" i="35"/>
  <c r="F40" i="35"/>
  <c r="F41" i="35"/>
  <c r="F42" i="35"/>
  <c r="F38" i="35"/>
  <c r="F39" i="35"/>
  <c r="F36" i="35"/>
  <c r="F37" i="35"/>
  <c r="F32" i="35"/>
  <c r="F35" i="35"/>
  <c r="F26" i="35"/>
  <c r="F27" i="35"/>
  <c r="F28" i="35"/>
  <c r="F24" i="35"/>
  <c r="F18" i="35"/>
  <c r="F25" i="35"/>
  <c r="F21" i="35"/>
  <c r="F22" i="35"/>
  <c r="F23" i="35"/>
  <c r="L19" i="31"/>
  <c r="M16" i="31" s="1"/>
  <c r="L7" i="31"/>
  <c r="M4" i="31" s="1"/>
  <c r="L25" i="31"/>
  <c r="L13" i="31"/>
  <c r="M10" i="31" s="1"/>
  <c r="D46" i="6"/>
  <c r="C48" i="21"/>
  <c r="G48" i="21" s="1"/>
  <c r="G43" i="21"/>
  <c r="F43" i="21"/>
  <c r="J43" i="21" s="1"/>
  <c r="E43" i="21"/>
  <c r="I43" i="21" s="1"/>
  <c r="D43" i="21"/>
  <c r="G42" i="21"/>
  <c r="F42" i="21"/>
  <c r="J42" i="21" s="1"/>
  <c r="E42" i="21"/>
  <c r="I42" i="21" s="1"/>
  <c r="D42" i="21"/>
  <c r="G41" i="21"/>
  <c r="F41" i="21"/>
  <c r="J41" i="21" s="1"/>
  <c r="E41" i="21"/>
  <c r="I41" i="21" s="1"/>
  <c r="D41" i="21"/>
  <c r="G40" i="21"/>
  <c r="F40" i="21"/>
  <c r="J40" i="21" s="1"/>
  <c r="E40" i="21"/>
  <c r="I40" i="21" s="1"/>
  <c r="D40" i="21"/>
  <c r="G39" i="21"/>
  <c r="F39" i="21"/>
  <c r="J39" i="21" s="1"/>
  <c r="E39" i="21"/>
  <c r="I39" i="21" s="1"/>
  <c r="D39" i="21"/>
  <c r="H39" i="21" s="1"/>
  <c r="G38" i="21"/>
  <c r="F38" i="21"/>
  <c r="J38" i="21" s="1"/>
  <c r="E38" i="21"/>
  <c r="I38" i="21" s="1"/>
  <c r="D38" i="21"/>
  <c r="G37" i="21"/>
  <c r="F37" i="21"/>
  <c r="J37" i="21" s="1"/>
  <c r="E37" i="21"/>
  <c r="I37" i="21" s="1"/>
  <c r="D37" i="21"/>
  <c r="G36" i="21"/>
  <c r="F36" i="21"/>
  <c r="J36" i="21" s="1"/>
  <c r="E36" i="21"/>
  <c r="I36" i="21" s="1"/>
  <c r="D36" i="21"/>
  <c r="G35" i="21"/>
  <c r="F35" i="21"/>
  <c r="J35" i="21" s="1"/>
  <c r="E35" i="21"/>
  <c r="I35" i="21" s="1"/>
  <c r="D35" i="21"/>
  <c r="G34" i="21"/>
  <c r="F34" i="21"/>
  <c r="J34" i="21" s="1"/>
  <c r="E34" i="21"/>
  <c r="I34" i="21" s="1"/>
  <c r="D34" i="21"/>
  <c r="H37" i="21" l="1"/>
  <c r="H43" i="21"/>
  <c r="H35" i="21"/>
  <c r="H41" i="21"/>
  <c r="H34" i="21"/>
  <c r="H36" i="21"/>
  <c r="H38" i="21"/>
  <c r="H40" i="21"/>
  <c r="H42" i="21"/>
  <c r="F57" i="35"/>
  <c r="G18" i="35" a="1"/>
  <c r="G18" i="35" s="1"/>
  <c r="G29" i="35" s="1"/>
  <c r="G20" i="35" s="1"/>
  <c r="C64" i="35" s="1"/>
  <c r="H18" i="35"/>
  <c r="F43" i="35"/>
  <c r="G32" i="35" a="1"/>
  <c r="G32" i="35" s="1"/>
  <c r="G43" i="35" s="1"/>
  <c r="G34" i="35" s="1"/>
  <c r="C66" i="35" s="1"/>
  <c r="H32" i="35"/>
  <c r="G46" i="35" a="1"/>
  <c r="G46" i="35" s="1"/>
  <c r="G57" i="35" s="1"/>
  <c r="G48" i="35" s="1"/>
  <c r="C68" i="35" s="1"/>
  <c r="H46" i="35"/>
  <c r="G4" i="35" a="1"/>
  <c r="G4" i="35" s="1"/>
  <c r="G15" i="35" s="1"/>
  <c r="G6" i="35" s="1"/>
  <c r="C62" i="35" s="1"/>
  <c r="H4" i="35"/>
  <c r="F29" i="35"/>
  <c r="F15" i="35"/>
  <c r="N4" i="31" a="1"/>
  <c r="N4" i="31" s="1"/>
  <c r="N7" i="31" s="1"/>
  <c r="P30" i="31" s="1"/>
  <c r="O4" i="31"/>
  <c r="N10" i="31" a="1"/>
  <c r="N10" i="31" s="1"/>
  <c r="N13" i="31" s="1"/>
  <c r="P31" i="31" s="1"/>
  <c r="O10" i="31"/>
  <c r="N16" i="31" a="1"/>
  <c r="N16" i="31" s="1"/>
  <c r="N19" i="31" s="1"/>
  <c r="P32" i="31" s="1"/>
  <c r="O16" i="31"/>
  <c r="M12" i="31"/>
  <c r="M6" i="31"/>
  <c r="M18" i="31"/>
  <c r="L26" i="31"/>
  <c r="M23" i="31" s="1"/>
  <c r="D48" i="21"/>
  <c r="H48" i="21" s="1"/>
  <c r="E48" i="21"/>
  <c r="I48" i="21" s="1"/>
  <c r="F48" i="21"/>
  <c r="J48" i="21" s="1"/>
  <c r="O49" i="21" l="1"/>
  <c r="P49" i="21" s="1"/>
  <c r="X49" i="21" s="1"/>
  <c r="G54" i="35"/>
  <c r="I68" i="35" s="1"/>
  <c r="G52" i="35"/>
  <c r="G68" i="35" s="1"/>
  <c r="G27" i="35"/>
  <c r="J64" i="35" s="1"/>
  <c r="G56" i="35"/>
  <c r="K68" i="35" s="1"/>
  <c r="G51" i="35"/>
  <c r="F68" i="35" s="1"/>
  <c r="G40" i="35"/>
  <c r="I66" i="35" s="1"/>
  <c r="G7" i="35"/>
  <c r="D62" i="35" s="1"/>
  <c r="G22" i="35"/>
  <c r="E64" i="35" s="1"/>
  <c r="G36" i="35"/>
  <c r="E66" i="35" s="1"/>
  <c r="G21" i="35"/>
  <c r="D64" i="35" s="1"/>
  <c r="L64" i="35" s="1"/>
  <c r="G9" i="35"/>
  <c r="F62" i="35" s="1"/>
  <c r="G49" i="35"/>
  <c r="D68" i="35" s="1"/>
  <c r="L68" i="35" s="1"/>
  <c r="G50" i="35"/>
  <c r="E68" i="35" s="1"/>
  <c r="G55" i="35"/>
  <c r="J68" i="35" s="1"/>
  <c r="G26" i="35"/>
  <c r="I64" i="35" s="1"/>
  <c r="G42" i="35"/>
  <c r="K66" i="35" s="1"/>
  <c r="G25" i="35"/>
  <c r="H64" i="35" s="1"/>
  <c r="G35" i="35"/>
  <c r="D66" i="35" s="1"/>
  <c r="G28" i="35"/>
  <c r="K64" i="35" s="1"/>
  <c r="G41" i="35"/>
  <c r="J66" i="35" s="1"/>
  <c r="G11" i="35"/>
  <c r="G14" i="35"/>
  <c r="K62" i="35" s="1"/>
  <c r="G8" i="35"/>
  <c r="E62" i="35" s="1"/>
  <c r="G12" i="35"/>
  <c r="I62" i="35" s="1"/>
  <c r="G23" i="35"/>
  <c r="F64" i="35" s="1"/>
  <c r="G38" i="35"/>
  <c r="G66" i="35" s="1"/>
  <c r="G53" i="35"/>
  <c r="H68" i="35" s="1"/>
  <c r="G37" i="35"/>
  <c r="F66" i="35" s="1"/>
  <c r="G13" i="35"/>
  <c r="J62" i="35" s="1"/>
  <c r="G10" i="35"/>
  <c r="G62" i="35" s="1"/>
  <c r="G24" i="35"/>
  <c r="G64" i="35" s="1"/>
  <c r="G39" i="35"/>
  <c r="H66" i="35" s="1"/>
  <c r="L66" i="35" s="1"/>
  <c r="N18" i="31"/>
  <c r="N12" i="31"/>
  <c r="N23" i="31" a="1"/>
  <c r="N23" i="31" s="1"/>
  <c r="N26" i="31" s="1"/>
  <c r="P33" i="31" s="1"/>
  <c r="P34" i="31" s="1"/>
  <c r="O23" i="31"/>
  <c r="N6" i="31"/>
  <c r="M25" i="31"/>
  <c r="H104" i="28"/>
  <c r="V38" i="28"/>
  <c r="V51" i="28"/>
  <c r="V54" i="28"/>
  <c r="V73" i="28"/>
  <c r="V25" i="28"/>
  <c r="I70" i="35" l="1"/>
  <c r="J70" i="35"/>
  <c r="K70" i="35"/>
  <c r="H62" i="35"/>
  <c r="L62" i="35" s="1"/>
  <c r="G70" i="35"/>
  <c r="E70" i="35"/>
  <c r="D70" i="35"/>
  <c r="N25" i="31"/>
  <c r="H70" i="35" l="1"/>
  <c r="L70" i="35"/>
  <c r="F70" i="35"/>
  <c r="C70" i="35"/>
  <c r="G104" i="28" l="1"/>
  <c r="V45" i="28"/>
  <c r="V44" i="28" l="1"/>
  <c r="V32" i="28"/>
  <c r="V74" i="28"/>
  <c r="V76" i="28"/>
  <c r="V57" i="28" l="1"/>
  <c r="V47" i="28"/>
  <c r="F104" i="28" l="1"/>
  <c r="V97" i="28" l="1"/>
  <c r="V61" i="28" l="1"/>
  <c r="V86" i="28"/>
  <c r="V41" i="28"/>
  <c r="V39" i="28"/>
  <c r="V66" i="28"/>
  <c r="D24" i="30" l="1"/>
  <c r="D17" i="30"/>
  <c r="D11" i="30"/>
  <c r="D5" i="30"/>
  <c r="D34" i="30" l="1"/>
  <c r="E6" i="31" l="1"/>
  <c r="E7" i="31" s="1"/>
  <c r="E18" i="31"/>
  <c r="V82" i="28"/>
  <c r="V43" i="28"/>
  <c r="V48" i="28"/>
  <c r="V81" i="28"/>
  <c r="V31" i="28"/>
  <c r="V59" i="28"/>
  <c r="V62" i="28"/>
  <c r="V89" i="28"/>
  <c r="V64" i="28"/>
  <c r="V67" i="28"/>
  <c r="V94" i="28"/>
  <c r="V63" i="28"/>
  <c r="V87" i="28"/>
  <c r="V77" i="28"/>
  <c r="V65" i="28"/>
  <c r="C34" i="30"/>
  <c r="D31" i="30"/>
  <c r="C31" i="30"/>
  <c r="V70" i="28"/>
  <c r="V78" i="28"/>
  <c r="V55" i="28"/>
  <c r="V52" i="28"/>
  <c r="V92" i="28"/>
  <c r="V103" i="28"/>
  <c r="V85" i="28"/>
  <c r="V80" i="28"/>
  <c r="V84" i="28"/>
  <c r="V60" i="28"/>
  <c r="V56" i="28"/>
  <c r="V35" i="28"/>
  <c r="V71" i="28"/>
  <c r="V26" i="28"/>
  <c r="V68" i="28"/>
  <c r="V96" i="28"/>
  <c r="V83" i="28"/>
  <c r="V95" i="28"/>
  <c r="V91" i="28"/>
  <c r="V33" i="28"/>
  <c r="V30" i="28"/>
  <c r="E12" i="31" l="1"/>
  <c r="E19" i="31"/>
  <c r="F16" i="31" s="1"/>
  <c r="G16" i="31" s="1" a="1"/>
  <c r="G16" i="31" s="1"/>
  <c r="G19" i="31" s="1"/>
  <c r="C32" i="31" s="1"/>
  <c r="E25" i="31"/>
  <c r="F6" i="31"/>
  <c r="F4" i="31"/>
  <c r="G4" i="31" s="1" a="1"/>
  <c r="G4" i="31" s="1"/>
  <c r="G7" i="31" s="1"/>
  <c r="V36" i="28"/>
  <c r="V79" i="28"/>
  <c r="V75" i="28"/>
  <c r="V88" i="28"/>
  <c r="V72" i="28"/>
  <c r="V58" i="28"/>
  <c r="AX93" i="28"/>
  <c r="V93" i="28"/>
  <c r="AX90" i="28"/>
  <c r="V90" i="28"/>
  <c r="V29" i="28"/>
  <c r="AX86" i="28"/>
  <c r="D33" i="30"/>
  <c r="D32" i="30"/>
  <c r="D35" i="30" s="1"/>
  <c r="C33" i="30"/>
  <c r="C32" i="30"/>
  <c r="C35" i="30" s="1"/>
  <c r="V34" i="28"/>
  <c r="V42" i="28"/>
  <c r="V40" i="28"/>
  <c r="V49" i="28"/>
  <c r="V27" i="28"/>
  <c r="V53" i="28"/>
  <c r="F18" i="31" l="1"/>
  <c r="G18" i="31" s="1"/>
  <c r="G6" i="31"/>
  <c r="C30" i="31"/>
  <c r="E26" i="31"/>
  <c r="F23" i="31" s="1"/>
  <c r="G23" i="31" s="1" a="1"/>
  <c r="G23" i="31" s="1"/>
  <c r="G26" i="31" s="1"/>
  <c r="C33" i="31" s="1"/>
  <c r="E13" i="31"/>
  <c r="F10" i="31" s="1"/>
  <c r="V50" i="28"/>
  <c r="AX89" i="28"/>
  <c r="AX87" i="28"/>
  <c r="AX91" i="28"/>
  <c r="AX88" i="28"/>
  <c r="AX97" i="28"/>
  <c r="AX95" i="28"/>
  <c r="AX92" i="28"/>
  <c r="AX103" i="28"/>
  <c r="AX94" i="28"/>
  <c r="AX96" i="28"/>
  <c r="V28" i="28"/>
  <c r="V69" i="28"/>
  <c r="V46" i="28"/>
  <c r="AW88" i="28"/>
  <c r="AW90" i="28"/>
  <c r="AW93" i="28"/>
  <c r="F25" i="31" l="1"/>
  <c r="G25" i="31" s="1"/>
  <c r="G10" i="31" a="1"/>
  <c r="G10" i="31" s="1"/>
  <c r="G13" i="31" s="1"/>
  <c r="C31" i="31" s="1"/>
  <c r="C34" i="31" s="1"/>
  <c r="F12" i="31"/>
  <c r="V37" i="28"/>
  <c r="AW97" i="28"/>
  <c r="AW96" i="28"/>
  <c r="AW86" i="28"/>
  <c r="AW95" i="28"/>
  <c r="AW87" i="28"/>
  <c r="AW103" i="28"/>
  <c r="AW89" i="28"/>
  <c r="AW91" i="28"/>
  <c r="AW94" i="28"/>
  <c r="AW92" i="28"/>
  <c r="D83" i="6"/>
  <c r="E82" i="6" s="1"/>
  <c r="G12" i="31" l="1"/>
  <c r="P23" i="28"/>
  <c r="O23" i="28"/>
  <c r="D67" i="6"/>
  <c r="D75" i="6"/>
  <c r="D10" i="6"/>
  <c r="E80" i="6"/>
  <c r="E81" i="6"/>
  <c r="D18" i="6"/>
  <c r="E17" i="6" s="1"/>
  <c r="D34" i="6"/>
  <c r="D59" i="6"/>
  <c r="D91" i="6"/>
  <c r="E88" i="6" s="1"/>
  <c r="AS90" i="28"/>
  <c r="E72" i="6" l="1"/>
  <c r="E74" i="6"/>
  <c r="E64" i="6"/>
  <c r="E66" i="6"/>
  <c r="E56" i="6"/>
  <c r="E58" i="6"/>
  <c r="E9" i="6"/>
  <c r="E8" i="6"/>
  <c r="E31" i="6"/>
  <c r="E33" i="6"/>
  <c r="E15" i="6"/>
  <c r="E7" i="6"/>
  <c r="D26" i="6"/>
  <c r="AV93" i="28"/>
  <c r="E32" i="6"/>
  <c r="E89" i="6"/>
  <c r="E90" i="6"/>
  <c r="E16" i="6"/>
  <c r="E73" i="6"/>
  <c r="D43" i="6"/>
  <c r="D51" i="6"/>
  <c r="E46" i="6" s="1"/>
  <c r="F51" i="6" s="1"/>
  <c r="E57" i="6"/>
  <c r="E65" i="6"/>
  <c r="AR103" i="28"/>
  <c r="AQ97" i="28"/>
  <c r="AQ103" i="28"/>
  <c r="AP97" i="28"/>
  <c r="AO103" i="28"/>
  <c r="AN97" i="28"/>
  <c r="AS97" i="28"/>
  <c r="AS103" i="28"/>
  <c r="AR97" i="28"/>
  <c r="AP103" i="28"/>
  <c r="AO97" i="28"/>
  <c r="AN103" i="28"/>
  <c r="AM97" i="28"/>
  <c r="AM103" i="28"/>
  <c r="AS93" i="28"/>
  <c r="D38" i="6"/>
  <c r="D5" i="6"/>
  <c r="E5" i="6" s="1"/>
  <c r="F5" i="6" s="1" a="1"/>
  <c r="F5" i="6" s="1"/>
  <c r="D70" i="6"/>
  <c r="E70" i="6" s="1"/>
  <c r="F70" i="6" s="1" a="1"/>
  <c r="F70" i="6" s="1"/>
  <c r="D54" i="6"/>
  <c r="E54" i="6" s="1"/>
  <c r="F54" i="6" s="1" a="1"/>
  <c r="F54" i="6" s="1"/>
  <c r="D78" i="6"/>
  <c r="E78" i="6" s="1"/>
  <c r="D62" i="6"/>
  <c r="E62" i="6" s="1"/>
  <c r="F62" i="6" s="1" a="1"/>
  <c r="F62" i="6" s="1"/>
  <c r="D21" i="6"/>
  <c r="D86" i="6"/>
  <c r="E86" i="6" s="1"/>
  <c r="F86" i="6" s="1" a="1"/>
  <c r="F86" i="6" s="1"/>
  <c r="F78" i="6" l="1" a="1"/>
  <c r="F78" i="6" s="1"/>
  <c r="F83" i="6" s="1"/>
  <c r="E49" i="6"/>
  <c r="E50" i="6"/>
  <c r="E23" i="6"/>
  <c r="E25" i="6"/>
  <c r="E40" i="6"/>
  <c r="E42" i="6"/>
  <c r="E48" i="6"/>
  <c r="D13" i="6"/>
  <c r="E13" i="6" s="1"/>
  <c r="H24" i="30"/>
  <c r="K24" i="30" s="1"/>
  <c r="H5" i="30"/>
  <c r="K5" i="30" s="1"/>
  <c r="H17" i="30"/>
  <c r="K17" i="30" s="1"/>
  <c r="F67" i="6"/>
  <c r="F66" i="6" s="1"/>
  <c r="F58" i="6"/>
  <c r="F91" i="6"/>
  <c r="F75" i="6"/>
  <c r="F74" i="6" s="1"/>
  <c r="AV88" i="28"/>
  <c r="AV86" i="28"/>
  <c r="AV103" i="28"/>
  <c r="AV94" i="28"/>
  <c r="AV96" i="28"/>
  <c r="AV87" i="28"/>
  <c r="E38" i="6"/>
  <c r="F38" i="6" s="1" a="1"/>
  <c r="F38" i="6" s="1"/>
  <c r="E41" i="6"/>
  <c r="AV90" i="28"/>
  <c r="F10" i="6"/>
  <c r="F8" i="6" s="1"/>
  <c r="AH73" i="28"/>
  <c r="AH54" i="28"/>
  <c r="AV95" i="28"/>
  <c r="AV89" i="28"/>
  <c r="AV97" i="28"/>
  <c r="E24" i="6"/>
  <c r="E21" i="6"/>
  <c r="F21" i="6" s="1" a="1"/>
  <c r="F21" i="6" s="1"/>
  <c r="AP90" i="28"/>
  <c r="AN90" i="28"/>
  <c r="AO90" i="28"/>
  <c r="AM90" i="28"/>
  <c r="AT90" i="28"/>
  <c r="AN96" i="28"/>
  <c r="AM95" i="28"/>
  <c r="AP96" i="28"/>
  <c r="AO96" i="28"/>
  <c r="AQ95" i="28"/>
  <c r="AP95" i="28"/>
  <c r="AM96" i="28"/>
  <c r="AO95" i="28"/>
  <c r="AN95" i="28"/>
  <c r="AQ96" i="28"/>
  <c r="AP92" i="28"/>
  <c r="AP86" i="28"/>
  <c r="AP87" i="28"/>
  <c r="AN91" i="28"/>
  <c r="AN92" i="28"/>
  <c r="AN86" i="28"/>
  <c r="AO89" i="28"/>
  <c r="AM93" i="28"/>
  <c r="AM91" i="28"/>
  <c r="AM88" i="28"/>
  <c r="AN94" i="28"/>
  <c r="AN89" i="28"/>
  <c r="AN87" i="28"/>
  <c r="AM94" i="28"/>
  <c r="AM87" i="28"/>
  <c r="AP93" i="28"/>
  <c r="AP91" i="28"/>
  <c r="AO92" i="28"/>
  <c r="AO86" i="28"/>
  <c r="AO93" i="28"/>
  <c r="AO91" i="28"/>
  <c r="AO88" i="28"/>
  <c r="AP89" i="28"/>
  <c r="AN93" i="28"/>
  <c r="AN88" i="28"/>
  <c r="AO94" i="28"/>
  <c r="AO87" i="28"/>
  <c r="AM92" i="28"/>
  <c r="AM89" i="28"/>
  <c r="AM86" i="28"/>
  <c r="AP88" i="28"/>
  <c r="H11" i="30"/>
  <c r="K11" i="30" s="1"/>
  <c r="F82" i="6" l="1"/>
  <c r="D130" i="6" s="1"/>
  <c r="F81" i="6"/>
  <c r="C130" i="6" s="1"/>
  <c r="F80" i="6"/>
  <c r="B130" i="6" s="1"/>
  <c r="F13" i="6" a="1"/>
  <c r="F13" i="6" s="1"/>
  <c r="F18" i="6" s="1"/>
  <c r="F9" i="6"/>
  <c r="D29" i="6"/>
  <c r="E29" i="6" s="1"/>
  <c r="D7" i="30"/>
  <c r="D8" i="30" s="1"/>
  <c r="D13" i="30"/>
  <c r="D19" i="30"/>
  <c r="F7" i="6"/>
  <c r="D127" i="6"/>
  <c r="F56" i="6"/>
  <c r="B127" i="6" s="1"/>
  <c r="F57" i="6"/>
  <c r="C127" i="6" s="1"/>
  <c r="F72" i="6"/>
  <c r="B129" i="6" s="1"/>
  <c r="D129" i="6"/>
  <c r="F73" i="6"/>
  <c r="C129" i="6" s="1"/>
  <c r="F64" i="6"/>
  <c r="B128" i="6" s="1"/>
  <c r="D128" i="6"/>
  <c r="F65" i="6"/>
  <c r="C128" i="6" s="1"/>
  <c r="F88" i="6"/>
  <c r="B131" i="6" s="1"/>
  <c r="F89" i="6"/>
  <c r="C131" i="6" s="1"/>
  <c r="F90" i="6"/>
  <c r="D131" i="6" s="1"/>
  <c r="F26" i="6"/>
  <c r="F25" i="6" s="1"/>
  <c r="F43" i="6"/>
  <c r="F42" i="6" s="1"/>
  <c r="AV92" i="28"/>
  <c r="AV91" i="28"/>
  <c r="Q94" i="28"/>
  <c r="AU86" i="28"/>
  <c r="AU92" i="28"/>
  <c r="AU103" i="28"/>
  <c r="AU95" i="28"/>
  <c r="AT93" i="28"/>
  <c r="Q97" i="28"/>
  <c r="Q103" i="28"/>
  <c r="AS94" i="28"/>
  <c r="E130" i="6" l="1"/>
  <c r="F17" i="6"/>
  <c r="D122" i="6" s="1"/>
  <c r="F15" i="6"/>
  <c r="B122" i="6" s="1"/>
  <c r="F16" i="6"/>
  <c r="C122" i="6" s="1"/>
  <c r="F29" i="6" a="1"/>
  <c r="F29" i="6" s="1"/>
  <c r="F34" i="6" s="1"/>
  <c r="AU93" i="28"/>
  <c r="Q93" i="28"/>
  <c r="AU90" i="28"/>
  <c r="Q90" i="28"/>
  <c r="D20" i="30"/>
  <c r="E17" i="30" s="1"/>
  <c r="F17" i="30" s="1" a="1"/>
  <c r="F17" i="30" s="1"/>
  <c r="F20" i="30" s="1"/>
  <c r="D26" i="30"/>
  <c r="D14" i="30"/>
  <c r="E11" i="30" s="1"/>
  <c r="F11" i="30" s="1" a="1"/>
  <c r="F11" i="30" s="1"/>
  <c r="F14" i="30" s="1"/>
  <c r="E7" i="30"/>
  <c r="E5" i="30"/>
  <c r="F5" i="30" s="1" a="1"/>
  <c r="F5" i="30" s="1"/>
  <c r="F8" i="30" s="1"/>
  <c r="C121" i="6"/>
  <c r="D121" i="6"/>
  <c r="E131" i="6"/>
  <c r="B121" i="6"/>
  <c r="E127" i="6"/>
  <c r="F23" i="6"/>
  <c r="B123" i="6" s="1"/>
  <c r="F24" i="6"/>
  <c r="C123" i="6" s="1"/>
  <c r="D123" i="6"/>
  <c r="E128" i="6"/>
  <c r="F40" i="6"/>
  <c r="B125" i="6" s="1"/>
  <c r="D125" i="6"/>
  <c r="F41" i="6"/>
  <c r="C125" i="6" s="1"/>
  <c r="E129" i="6"/>
  <c r="N23" i="28"/>
  <c r="AT94" i="28"/>
  <c r="AU94" i="28"/>
  <c r="AU91" i="28"/>
  <c r="AU97" i="28"/>
  <c r="AU88" i="28"/>
  <c r="AU96" i="28"/>
  <c r="AU89" i="28"/>
  <c r="AU87" i="28"/>
  <c r="AT92" i="28"/>
  <c r="AT89" i="28"/>
  <c r="AT87" i="28"/>
  <c r="AT96" i="28"/>
  <c r="AT86" i="28"/>
  <c r="AT95" i="28"/>
  <c r="AT91" i="28"/>
  <c r="AT88" i="28"/>
  <c r="Q96" i="28"/>
  <c r="Q95" i="28"/>
  <c r="E122" i="6" l="1"/>
  <c r="F33" i="6"/>
  <c r="D124" i="6" s="1"/>
  <c r="F32" i="6"/>
  <c r="C124" i="6" s="1"/>
  <c r="F31" i="6"/>
  <c r="B124" i="6" s="1"/>
  <c r="Q89" i="28"/>
  <c r="E19" i="30"/>
  <c r="F19" i="30" s="1"/>
  <c r="B33" i="30" s="1"/>
  <c r="E33" i="30" s="1"/>
  <c r="Q88" i="28"/>
  <c r="Q86" i="28"/>
  <c r="Q92" i="28"/>
  <c r="Q87" i="28"/>
  <c r="Q91" i="28"/>
  <c r="E121" i="6"/>
  <c r="D27" i="30"/>
  <c r="E24" i="30" s="1"/>
  <c r="F24" i="30" s="1" a="1"/>
  <c r="F24" i="30" s="1"/>
  <c r="F27" i="30" s="1"/>
  <c r="F7" i="30"/>
  <c r="B31" i="30" s="1"/>
  <c r="E13" i="30"/>
  <c r="F13" i="30" s="1"/>
  <c r="B32" i="30" s="1"/>
  <c r="E32" i="30" s="1"/>
  <c r="E123" i="6"/>
  <c r="E125" i="6"/>
  <c r="AT97" i="28"/>
  <c r="AY97" i="28" s="1"/>
  <c r="AH97" i="28"/>
  <c r="AT103" i="28"/>
  <c r="AY103" i="28" s="1"/>
  <c r="AH103" i="28"/>
  <c r="M23" i="28"/>
  <c r="AS95" i="28"/>
  <c r="AR88" i="28"/>
  <c r="AS89" i="28"/>
  <c r="AS86" i="28"/>
  <c r="AS91" i="28"/>
  <c r="AS96" i="28"/>
  <c r="AS88" i="28"/>
  <c r="AS87" i="28"/>
  <c r="AS92" i="28"/>
  <c r="AR92" i="28"/>
  <c r="AR89" i="28"/>
  <c r="AR94" i="28"/>
  <c r="AR90" i="28"/>
  <c r="AR87" i="28"/>
  <c r="AR91" i="28"/>
  <c r="AR86" i="28"/>
  <c r="AR93" i="28"/>
  <c r="AQ93" i="28"/>
  <c r="AQ86" i="28"/>
  <c r="AQ90" i="28"/>
  <c r="AQ92" i="28"/>
  <c r="AQ89" i="28"/>
  <c r="AQ88" i="28"/>
  <c r="E124" i="6" l="1"/>
  <c r="E26" i="30"/>
  <c r="F26" i="30" s="1"/>
  <c r="B34" i="30" s="1"/>
  <c r="E34" i="30" s="1"/>
  <c r="K19" i="30"/>
  <c r="K20" i="30" s="1"/>
  <c r="L19" i="30" s="1"/>
  <c r="K26" i="30"/>
  <c r="AH85" i="28"/>
  <c r="E31" i="30"/>
  <c r="E35" i="30" s="1"/>
  <c r="AP94" i="28"/>
  <c r="AH79" i="28"/>
  <c r="AH93" i="28"/>
  <c r="AR95" i="28"/>
  <c r="AY95" i="28" s="1"/>
  <c r="AH95" i="28"/>
  <c r="AH86" i="28"/>
  <c r="AQ91" i="28"/>
  <c r="AY91" i="28" s="1"/>
  <c r="AH91" i="28"/>
  <c r="AR96" i="28"/>
  <c r="AY96" i="28" s="1"/>
  <c r="AH96" i="28"/>
  <c r="AH88" i="28"/>
  <c r="AH90" i="28"/>
  <c r="AH89" i="28"/>
  <c r="AQ94" i="28"/>
  <c r="AQ87" i="28"/>
  <c r="AY87" i="28" s="1"/>
  <c r="AH87" i="28"/>
  <c r="AH92" i="28"/>
  <c r="AY89" i="28"/>
  <c r="AY92" i="28"/>
  <c r="AY88" i="28"/>
  <c r="AY93" i="28"/>
  <c r="AY90" i="28"/>
  <c r="AH71" i="28"/>
  <c r="AY86" i="28"/>
  <c r="AH70" i="28"/>
  <c r="AH78" i="28"/>
  <c r="L17" i="30" l="1"/>
  <c r="M17" i="30" s="1" a="1"/>
  <c r="M17" i="30" s="1"/>
  <c r="M20" i="30" s="1"/>
  <c r="I33" i="30" s="1"/>
  <c r="K27" i="30"/>
  <c r="L24" i="30" s="1"/>
  <c r="M24" i="30" s="1" a="1"/>
  <c r="M24" i="30" s="1"/>
  <c r="M27" i="30" s="1"/>
  <c r="I34" i="30" s="1"/>
  <c r="K7" i="30"/>
  <c r="K8" i="30" s="1"/>
  <c r="B35" i="30"/>
  <c r="K13" i="30"/>
  <c r="AY94" i="28"/>
  <c r="AH94" i="28"/>
  <c r="L23" i="28"/>
  <c r="J23" i="28"/>
  <c r="K23" i="28"/>
  <c r="I23" i="28"/>
  <c r="M19" i="30" l="1"/>
  <c r="L26" i="30"/>
  <c r="M26" i="30" s="1"/>
  <c r="K14" i="30"/>
  <c r="L11" i="30" s="1"/>
  <c r="L7" i="30"/>
  <c r="L5" i="30"/>
  <c r="H23" i="28"/>
  <c r="L13" i="30" l="1"/>
  <c r="M5" i="30" a="1"/>
  <c r="M5" i="30" s="1"/>
  <c r="M8" i="30" s="1"/>
  <c r="M11" i="30" a="1"/>
  <c r="M11" i="30" s="1"/>
  <c r="M14" i="30" s="1"/>
  <c r="I32" i="30" s="1"/>
  <c r="I31" i="30" l="1"/>
  <c r="I35" i="30" s="1"/>
  <c r="M7" i="30"/>
  <c r="M13" i="30"/>
  <c r="Q17" i="28" l="1"/>
  <c r="AO73" i="28"/>
  <c r="Q19" i="28"/>
  <c r="AO85" i="28" l="1"/>
  <c r="AO79" i="28"/>
  <c r="AO78" i="28"/>
  <c r="Q73" i="28"/>
  <c r="AO37" i="28" l="1"/>
  <c r="AO62" i="28"/>
  <c r="AO71" i="28"/>
  <c r="AO26" i="28" l="1"/>
  <c r="AO75" i="28"/>
  <c r="AO39" i="28"/>
  <c r="AO59" i="28"/>
  <c r="AO44" i="28"/>
  <c r="AO77" i="28"/>
  <c r="AO83" i="28"/>
  <c r="AO32" i="28"/>
  <c r="AO64" i="28"/>
  <c r="AO76" i="28"/>
  <c r="AO48" i="28"/>
  <c r="AO74" i="28"/>
  <c r="AO80" i="28"/>
  <c r="AO81" i="28"/>
  <c r="AO66" i="28"/>
  <c r="AO65" i="28"/>
  <c r="AO60" i="28"/>
  <c r="AO82" i="28"/>
  <c r="AO68" i="28"/>
  <c r="AO84" i="28"/>
  <c r="AO55" i="28"/>
  <c r="AO46" i="28"/>
  <c r="AO35" i="28"/>
  <c r="AO63" i="28"/>
  <c r="AO45" i="28"/>
  <c r="AO30" i="28"/>
  <c r="AO36" i="28"/>
  <c r="AO56" i="28"/>
  <c r="AO69" i="28"/>
  <c r="AO52" i="28"/>
  <c r="AO47" i="28"/>
  <c r="AO67" i="28"/>
  <c r="AO61" i="28"/>
  <c r="AO33" i="28"/>
  <c r="AO72" i="28"/>
  <c r="AO58" i="28"/>
  <c r="AO31" i="28"/>
  <c r="AO54" i="28"/>
  <c r="AO70" i="28"/>
  <c r="AO49" i="28" l="1"/>
  <c r="AO51" i="28"/>
  <c r="AO53" i="28"/>
  <c r="AO57" i="28"/>
  <c r="AO50" i="28"/>
  <c r="AO27" i="28"/>
  <c r="AO34" i="28"/>
  <c r="AO40" i="28"/>
  <c r="AO42" i="28"/>
  <c r="Q47" i="28"/>
  <c r="AH47" i="28"/>
  <c r="G23" i="28" l="1"/>
  <c r="AO38" i="28"/>
  <c r="AO29" i="28"/>
  <c r="AO43" i="28"/>
  <c r="AO41" i="28"/>
  <c r="AO28" i="28"/>
  <c r="AH84" i="28"/>
  <c r="Q84" i="28"/>
  <c r="Q65" i="28"/>
  <c r="AH65" i="28"/>
  <c r="AN82" i="28" l="1"/>
  <c r="AP82" i="28"/>
  <c r="AQ82" i="28"/>
  <c r="AR82" i="28"/>
  <c r="AS82" i="28"/>
  <c r="AT82" i="28"/>
  <c r="AU82" i="28"/>
  <c r="AV82" i="28"/>
  <c r="AW82" i="28"/>
  <c r="AX82" i="28"/>
  <c r="AN83" i="28"/>
  <c r="AP83" i="28"/>
  <c r="AQ83" i="28"/>
  <c r="AR83" i="28"/>
  <c r="AS83" i="28"/>
  <c r="AT83" i="28"/>
  <c r="AU83" i="28"/>
  <c r="AV83" i="28"/>
  <c r="AW83" i="28"/>
  <c r="AX83" i="28"/>
  <c r="AM84" i="28"/>
  <c r="AN84" i="28"/>
  <c r="AP84" i="28"/>
  <c r="AQ84" i="28"/>
  <c r="AR84" i="28"/>
  <c r="AS84" i="28"/>
  <c r="AT84" i="28"/>
  <c r="AU84" i="28"/>
  <c r="AV84" i="28"/>
  <c r="AW84" i="28"/>
  <c r="AX84" i="28"/>
  <c r="AN85" i="28"/>
  <c r="AP85" i="28"/>
  <c r="AQ85" i="28"/>
  <c r="AR85" i="28"/>
  <c r="AS85" i="28"/>
  <c r="AT85" i="28"/>
  <c r="AU85" i="28"/>
  <c r="AV85" i="28"/>
  <c r="AW85" i="28"/>
  <c r="AX85" i="28"/>
  <c r="W104" i="28"/>
  <c r="Y104" i="28"/>
  <c r="Z104" i="28"/>
  <c r="AA104" i="28"/>
  <c r="AB104" i="28"/>
  <c r="AC104" i="28"/>
  <c r="AD104" i="28"/>
  <c r="AE104" i="28"/>
  <c r="AF104" i="28"/>
  <c r="AG104" i="28"/>
  <c r="AY84" i="28" l="1"/>
  <c r="AN25" i="28"/>
  <c r="AP25" i="28"/>
  <c r="AQ25" i="28"/>
  <c r="AR25" i="28"/>
  <c r="AS25" i="28"/>
  <c r="AT25" i="28"/>
  <c r="AU25" i="28"/>
  <c r="AV25" i="28"/>
  <c r="AW25" i="28"/>
  <c r="AX25" i="28"/>
  <c r="AN26" i="28"/>
  <c r="AP26" i="28"/>
  <c r="AQ26" i="28"/>
  <c r="AR26" i="28"/>
  <c r="AS26" i="28"/>
  <c r="AT26" i="28"/>
  <c r="AU26" i="28"/>
  <c r="AV26" i="28"/>
  <c r="AW26" i="28"/>
  <c r="AX26" i="28"/>
  <c r="AN27" i="28"/>
  <c r="AP27" i="28"/>
  <c r="AQ27" i="28"/>
  <c r="AR27" i="28"/>
  <c r="AS27" i="28"/>
  <c r="AT27" i="28"/>
  <c r="AU27" i="28"/>
  <c r="AV27" i="28"/>
  <c r="AW27" i="28"/>
  <c r="AX27" i="28"/>
  <c r="AN28" i="28"/>
  <c r="AP28" i="28"/>
  <c r="AQ28" i="28"/>
  <c r="AR28" i="28"/>
  <c r="AS28" i="28"/>
  <c r="AT28" i="28"/>
  <c r="AU28" i="28"/>
  <c r="AV28" i="28"/>
  <c r="AW28" i="28"/>
  <c r="AX28" i="28"/>
  <c r="AN29" i="28"/>
  <c r="AP29" i="28"/>
  <c r="AQ29" i="28"/>
  <c r="AR29" i="28"/>
  <c r="AS29" i="28"/>
  <c r="AT29" i="28"/>
  <c r="AU29" i="28"/>
  <c r="AV29" i="28"/>
  <c r="AW29" i="28"/>
  <c r="AX29" i="28"/>
  <c r="AN30" i="28"/>
  <c r="AP30" i="28"/>
  <c r="AQ30" i="28"/>
  <c r="AR30" i="28"/>
  <c r="AS30" i="28"/>
  <c r="AT30" i="28"/>
  <c r="AU30" i="28"/>
  <c r="AV30" i="28"/>
  <c r="AW30" i="28"/>
  <c r="AX30" i="28"/>
  <c r="AN31" i="28"/>
  <c r="AP31" i="28"/>
  <c r="AQ31" i="28"/>
  <c r="AR31" i="28"/>
  <c r="AS31" i="28"/>
  <c r="AT31" i="28"/>
  <c r="AU31" i="28"/>
  <c r="AV31" i="28"/>
  <c r="AW31" i="28"/>
  <c r="AX31" i="28"/>
  <c r="AN32" i="28"/>
  <c r="AP32" i="28"/>
  <c r="AQ32" i="28"/>
  <c r="AR32" i="28"/>
  <c r="AS32" i="28"/>
  <c r="AT32" i="28"/>
  <c r="AU32" i="28"/>
  <c r="AV32" i="28"/>
  <c r="AW32" i="28"/>
  <c r="AX32" i="28"/>
  <c r="AN33" i="28"/>
  <c r="AP33" i="28"/>
  <c r="AQ33" i="28"/>
  <c r="AR33" i="28"/>
  <c r="AS33" i="28"/>
  <c r="AT33" i="28"/>
  <c r="AU33" i="28"/>
  <c r="AV33" i="28"/>
  <c r="AW33" i="28"/>
  <c r="AX33" i="28"/>
  <c r="AN34" i="28"/>
  <c r="AP34" i="28"/>
  <c r="AQ34" i="28"/>
  <c r="AR34" i="28"/>
  <c r="AS34" i="28"/>
  <c r="AT34" i="28"/>
  <c r="AU34" i="28"/>
  <c r="AV34" i="28"/>
  <c r="AW34" i="28"/>
  <c r="AX34" i="28"/>
  <c r="AN35" i="28"/>
  <c r="AP35" i="28"/>
  <c r="AQ35" i="28"/>
  <c r="AR35" i="28"/>
  <c r="AS35" i="28"/>
  <c r="AT35" i="28"/>
  <c r="AU35" i="28"/>
  <c r="AV35" i="28"/>
  <c r="AW35" i="28"/>
  <c r="AX35" i="28"/>
  <c r="AN36" i="28"/>
  <c r="AP36" i="28"/>
  <c r="AQ36" i="28"/>
  <c r="AR36" i="28"/>
  <c r="AS36" i="28"/>
  <c r="AT36" i="28"/>
  <c r="AU36" i="28"/>
  <c r="AV36" i="28"/>
  <c r="AW36" i="28"/>
  <c r="AX36" i="28"/>
  <c r="AN37" i="28"/>
  <c r="AP37" i="28"/>
  <c r="AQ37" i="28"/>
  <c r="AR37" i="28"/>
  <c r="AS37" i="28"/>
  <c r="AT37" i="28"/>
  <c r="AU37" i="28"/>
  <c r="AV37" i="28"/>
  <c r="AW37" i="28"/>
  <c r="AX37" i="28"/>
  <c r="AN38" i="28"/>
  <c r="AP38" i="28"/>
  <c r="AQ38" i="28"/>
  <c r="AR38" i="28"/>
  <c r="AS38" i="28"/>
  <c r="AT38" i="28"/>
  <c r="AU38" i="28"/>
  <c r="AV38" i="28"/>
  <c r="AW38" i="28"/>
  <c r="AX38" i="28"/>
  <c r="AN39" i="28"/>
  <c r="AP39" i="28"/>
  <c r="AQ39" i="28"/>
  <c r="AR39" i="28"/>
  <c r="AS39" i="28"/>
  <c r="AT39" i="28"/>
  <c r="AU39" i="28"/>
  <c r="AV39" i="28"/>
  <c r="AW39" i="28"/>
  <c r="AX39" i="28"/>
  <c r="AN40" i="28"/>
  <c r="AP40" i="28"/>
  <c r="AQ40" i="28"/>
  <c r="AR40" i="28"/>
  <c r="AS40" i="28"/>
  <c r="AT40" i="28"/>
  <c r="AU40" i="28"/>
  <c r="AV40" i="28"/>
  <c r="AW40" i="28"/>
  <c r="AX40" i="28"/>
  <c r="AN41" i="28"/>
  <c r="AP41" i="28"/>
  <c r="AQ41" i="28"/>
  <c r="AR41" i="28"/>
  <c r="AS41" i="28"/>
  <c r="AT41" i="28"/>
  <c r="AU41" i="28"/>
  <c r="AV41" i="28"/>
  <c r="AW41" i="28"/>
  <c r="AX41" i="28"/>
  <c r="AN42" i="28"/>
  <c r="AP42" i="28"/>
  <c r="AQ42" i="28"/>
  <c r="AR42" i="28"/>
  <c r="AS42" i="28"/>
  <c r="AT42" i="28"/>
  <c r="AU42" i="28"/>
  <c r="AV42" i="28"/>
  <c r="AW42" i="28"/>
  <c r="AX42" i="28"/>
  <c r="AN43" i="28"/>
  <c r="AP43" i="28"/>
  <c r="AQ43" i="28"/>
  <c r="AR43" i="28"/>
  <c r="AS43" i="28"/>
  <c r="AT43" i="28"/>
  <c r="AU43" i="28"/>
  <c r="AV43" i="28"/>
  <c r="AW43" i="28"/>
  <c r="AX43" i="28"/>
  <c r="AN44" i="28"/>
  <c r="AP44" i="28"/>
  <c r="AQ44" i="28"/>
  <c r="AR44" i="28"/>
  <c r="AS44" i="28"/>
  <c r="AT44" i="28"/>
  <c r="AU44" i="28"/>
  <c r="AV44" i="28"/>
  <c r="AW44" i="28"/>
  <c r="AX44" i="28"/>
  <c r="AN45" i="28"/>
  <c r="AP45" i="28"/>
  <c r="AQ45" i="28"/>
  <c r="AR45" i="28"/>
  <c r="AS45" i="28"/>
  <c r="AT45" i="28"/>
  <c r="AU45" i="28"/>
  <c r="AV45" i="28"/>
  <c r="AW45" i="28"/>
  <c r="AX45" i="28"/>
  <c r="AN46" i="28"/>
  <c r="AP46" i="28"/>
  <c r="AQ46" i="28"/>
  <c r="AR46" i="28"/>
  <c r="AS46" i="28"/>
  <c r="AT46" i="28"/>
  <c r="AU46" i="28"/>
  <c r="AV46" i="28"/>
  <c r="AW46" i="28"/>
  <c r="AX46" i="28"/>
  <c r="AN47" i="28"/>
  <c r="AP47" i="28"/>
  <c r="AQ47" i="28"/>
  <c r="AR47" i="28"/>
  <c r="AS47" i="28"/>
  <c r="AT47" i="28"/>
  <c r="AU47" i="28"/>
  <c r="AV47" i="28"/>
  <c r="AW47" i="28"/>
  <c r="AX47" i="28"/>
  <c r="AN48" i="28"/>
  <c r="AP48" i="28"/>
  <c r="AQ48" i="28"/>
  <c r="AR48" i="28"/>
  <c r="AS48" i="28"/>
  <c r="AT48" i="28"/>
  <c r="AU48" i="28"/>
  <c r="AV48" i="28"/>
  <c r="AW48" i="28"/>
  <c r="AX48" i="28"/>
  <c r="AN49" i="28"/>
  <c r="AP49" i="28"/>
  <c r="AQ49" i="28"/>
  <c r="AR49" i="28"/>
  <c r="AS49" i="28"/>
  <c r="AT49" i="28"/>
  <c r="AU49" i="28"/>
  <c r="AV49" i="28"/>
  <c r="AW49" i="28"/>
  <c r="AX49" i="28"/>
  <c r="AN50" i="28"/>
  <c r="AP50" i="28"/>
  <c r="AQ50" i="28"/>
  <c r="AR50" i="28"/>
  <c r="AS50" i="28"/>
  <c r="AT50" i="28"/>
  <c r="AU50" i="28"/>
  <c r="AV50" i="28"/>
  <c r="AW50" i="28"/>
  <c r="AX50" i="28"/>
  <c r="AN51" i="28"/>
  <c r="AP51" i="28"/>
  <c r="AQ51" i="28"/>
  <c r="AR51" i="28"/>
  <c r="AS51" i="28"/>
  <c r="AT51" i="28"/>
  <c r="AU51" i="28"/>
  <c r="AV51" i="28"/>
  <c r="AW51" i="28"/>
  <c r="AX51" i="28"/>
  <c r="AN52" i="28"/>
  <c r="AP52" i="28"/>
  <c r="AQ52" i="28"/>
  <c r="AR52" i="28"/>
  <c r="AS52" i="28"/>
  <c r="AT52" i="28"/>
  <c r="AU52" i="28"/>
  <c r="AV52" i="28"/>
  <c r="AW52" i="28"/>
  <c r="AX52" i="28"/>
  <c r="AN53" i="28"/>
  <c r="AP53" i="28"/>
  <c r="AQ53" i="28"/>
  <c r="AR53" i="28"/>
  <c r="AS53" i="28"/>
  <c r="AT53" i="28"/>
  <c r="AU53" i="28"/>
  <c r="AV53" i="28"/>
  <c r="AW53" i="28"/>
  <c r="AX53" i="28"/>
  <c r="AN54" i="28"/>
  <c r="AP54" i="28"/>
  <c r="AQ54" i="28"/>
  <c r="AR54" i="28"/>
  <c r="AS54" i="28"/>
  <c r="AT54" i="28"/>
  <c r="AU54" i="28"/>
  <c r="AV54" i="28"/>
  <c r="AW54" i="28"/>
  <c r="AX54" i="28"/>
  <c r="AN55" i="28"/>
  <c r="AP55" i="28"/>
  <c r="AQ55" i="28"/>
  <c r="AR55" i="28"/>
  <c r="AS55" i="28"/>
  <c r="AT55" i="28"/>
  <c r="AU55" i="28"/>
  <c r="AV55" i="28"/>
  <c r="AW55" i="28"/>
  <c r="AX55" i="28"/>
  <c r="AN56" i="28"/>
  <c r="AP56" i="28"/>
  <c r="AQ56" i="28"/>
  <c r="AR56" i="28"/>
  <c r="AS56" i="28"/>
  <c r="AT56" i="28"/>
  <c r="AU56" i="28"/>
  <c r="AV56" i="28"/>
  <c r="AW56" i="28"/>
  <c r="AX56" i="28"/>
  <c r="AN57" i="28"/>
  <c r="AP57" i="28"/>
  <c r="AQ57" i="28"/>
  <c r="AR57" i="28"/>
  <c r="AS57" i="28"/>
  <c r="AT57" i="28"/>
  <c r="AU57" i="28"/>
  <c r="AV57" i="28"/>
  <c r="AW57" i="28"/>
  <c r="AX57" i="28"/>
  <c r="AN58" i="28"/>
  <c r="AP58" i="28"/>
  <c r="AQ58" i="28"/>
  <c r="AR58" i="28"/>
  <c r="AS58" i="28"/>
  <c r="AT58" i="28"/>
  <c r="AU58" i="28"/>
  <c r="AV58" i="28"/>
  <c r="AW58" i="28"/>
  <c r="AX58" i="28"/>
  <c r="AN59" i="28"/>
  <c r="AP59" i="28"/>
  <c r="AQ59" i="28"/>
  <c r="AR59" i="28"/>
  <c r="AS59" i="28"/>
  <c r="AT59" i="28"/>
  <c r="AU59" i="28"/>
  <c r="AV59" i="28"/>
  <c r="AW59" i="28"/>
  <c r="AX59" i="28"/>
  <c r="AN60" i="28"/>
  <c r="AP60" i="28"/>
  <c r="AQ60" i="28"/>
  <c r="AR60" i="28"/>
  <c r="AS60" i="28"/>
  <c r="AT60" i="28"/>
  <c r="AU60" i="28"/>
  <c r="AV60" i="28"/>
  <c r="AW60" i="28"/>
  <c r="AX60" i="28"/>
  <c r="AN61" i="28"/>
  <c r="AP61" i="28"/>
  <c r="AQ61" i="28"/>
  <c r="AR61" i="28"/>
  <c r="AS61" i="28"/>
  <c r="AT61" i="28"/>
  <c r="AU61" i="28"/>
  <c r="AV61" i="28"/>
  <c r="AW61" i="28"/>
  <c r="AX61" i="28"/>
  <c r="AN62" i="28"/>
  <c r="AP62" i="28"/>
  <c r="AQ62" i="28"/>
  <c r="AR62" i="28"/>
  <c r="AS62" i="28"/>
  <c r="AT62" i="28"/>
  <c r="AU62" i="28"/>
  <c r="AV62" i="28"/>
  <c r="AW62" i="28"/>
  <c r="AX62" i="28"/>
  <c r="AN63" i="28"/>
  <c r="AP63" i="28"/>
  <c r="AQ63" i="28"/>
  <c r="AR63" i="28"/>
  <c r="AS63" i="28"/>
  <c r="AT63" i="28"/>
  <c r="AU63" i="28"/>
  <c r="AV63" i="28"/>
  <c r="AW63" i="28"/>
  <c r="AX63" i="28"/>
  <c r="AN64" i="28"/>
  <c r="AP64" i="28"/>
  <c r="AQ64" i="28"/>
  <c r="AR64" i="28"/>
  <c r="AS64" i="28"/>
  <c r="AT64" i="28"/>
  <c r="AU64" i="28"/>
  <c r="AV64" i="28"/>
  <c r="AW64" i="28"/>
  <c r="AX64" i="28"/>
  <c r="AN65" i="28"/>
  <c r="AP65" i="28"/>
  <c r="AQ65" i="28"/>
  <c r="AR65" i="28"/>
  <c r="AS65" i="28"/>
  <c r="AT65" i="28"/>
  <c r="AU65" i="28"/>
  <c r="AV65" i="28"/>
  <c r="AW65" i="28"/>
  <c r="AX65" i="28"/>
  <c r="AN66" i="28"/>
  <c r="AP66" i="28"/>
  <c r="AQ66" i="28"/>
  <c r="AR66" i="28"/>
  <c r="AS66" i="28"/>
  <c r="AT66" i="28"/>
  <c r="AU66" i="28"/>
  <c r="AV66" i="28"/>
  <c r="AW66" i="28"/>
  <c r="AX66" i="28"/>
  <c r="AN67" i="28"/>
  <c r="AP67" i="28"/>
  <c r="AQ67" i="28"/>
  <c r="AR67" i="28"/>
  <c r="AS67" i="28"/>
  <c r="AT67" i="28"/>
  <c r="AU67" i="28"/>
  <c r="AV67" i="28"/>
  <c r="AW67" i="28"/>
  <c r="AX67" i="28"/>
  <c r="AN68" i="28"/>
  <c r="AP68" i="28"/>
  <c r="AQ68" i="28"/>
  <c r="AR68" i="28"/>
  <c r="AS68" i="28"/>
  <c r="AT68" i="28"/>
  <c r="AU68" i="28"/>
  <c r="AV68" i="28"/>
  <c r="AW68" i="28"/>
  <c r="AX68" i="28"/>
  <c r="AN69" i="28"/>
  <c r="AP69" i="28"/>
  <c r="AQ69" i="28"/>
  <c r="AR69" i="28"/>
  <c r="AS69" i="28"/>
  <c r="AT69" i="28"/>
  <c r="AU69" i="28"/>
  <c r="AV69" i="28"/>
  <c r="AW69" i="28"/>
  <c r="AX69" i="28"/>
  <c r="AN70" i="28"/>
  <c r="AP70" i="28"/>
  <c r="AQ70" i="28"/>
  <c r="AR70" i="28"/>
  <c r="AS70" i="28"/>
  <c r="AT70" i="28"/>
  <c r="AU70" i="28"/>
  <c r="AV70" i="28"/>
  <c r="AW70" i="28"/>
  <c r="AX70" i="28"/>
  <c r="AN71" i="28"/>
  <c r="AP71" i="28"/>
  <c r="AQ71" i="28"/>
  <c r="AR71" i="28"/>
  <c r="AS71" i="28"/>
  <c r="AT71" i="28"/>
  <c r="AU71" i="28"/>
  <c r="AV71" i="28"/>
  <c r="AW71" i="28"/>
  <c r="AX71" i="28"/>
  <c r="AN72" i="28"/>
  <c r="AP72" i="28"/>
  <c r="AQ72" i="28"/>
  <c r="AR72" i="28"/>
  <c r="AS72" i="28"/>
  <c r="AT72" i="28"/>
  <c r="AU72" i="28"/>
  <c r="AV72" i="28"/>
  <c r="AW72" i="28"/>
  <c r="AX72" i="28"/>
  <c r="AN73" i="28"/>
  <c r="AP73" i="28"/>
  <c r="AQ73" i="28"/>
  <c r="AR73" i="28"/>
  <c r="AS73" i="28"/>
  <c r="AT73" i="28"/>
  <c r="AU73" i="28"/>
  <c r="AV73" i="28"/>
  <c r="AW73" i="28"/>
  <c r="AX73" i="28"/>
  <c r="AN74" i="28"/>
  <c r="AP74" i="28"/>
  <c r="AQ74" i="28"/>
  <c r="AR74" i="28"/>
  <c r="AS74" i="28"/>
  <c r="AT74" i="28"/>
  <c r="AU74" i="28"/>
  <c r="AV74" i="28"/>
  <c r="AW74" i="28"/>
  <c r="AX74" i="28"/>
  <c r="AN75" i="28"/>
  <c r="AP75" i="28"/>
  <c r="AQ75" i="28"/>
  <c r="AR75" i="28"/>
  <c r="AS75" i="28"/>
  <c r="AT75" i="28"/>
  <c r="AU75" i="28"/>
  <c r="AV75" i="28"/>
  <c r="AW75" i="28"/>
  <c r="AX75" i="28"/>
  <c r="AN76" i="28"/>
  <c r="AP76" i="28"/>
  <c r="AQ76" i="28"/>
  <c r="AR76" i="28"/>
  <c r="AS76" i="28"/>
  <c r="AT76" i="28"/>
  <c r="AU76" i="28"/>
  <c r="AV76" i="28"/>
  <c r="AW76" i="28"/>
  <c r="AX76" i="28"/>
  <c r="AN77" i="28"/>
  <c r="AP77" i="28"/>
  <c r="AQ77" i="28"/>
  <c r="AR77" i="28"/>
  <c r="AS77" i="28"/>
  <c r="AT77" i="28"/>
  <c r="AU77" i="28"/>
  <c r="AV77" i="28"/>
  <c r="AW77" i="28"/>
  <c r="AX77" i="28"/>
  <c r="AN78" i="28"/>
  <c r="AP78" i="28"/>
  <c r="AQ78" i="28"/>
  <c r="AR78" i="28"/>
  <c r="AS78" i="28"/>
  <c r="AT78" i="28"/>
  <c r="AU78" i="28"/>
  <c r="AV78" i="28"/>
  <c r="AW78" i="28"/>
  <c r="AX78" i="28"/>
  <c r="AN79" i="28"/>
  <c r="AP79" i="28"/>
  <c r="AQ79" i="28"/>
  <c r="AR79" i="28"/>
  <c r="AS79" i="28"/>
  <c r="AT79" i="28"/>
  <c r="AU79" i="28"/>
  <c r="AV79" i="28"/>
  <c r="AW79" i="28"/>
  <c r="AX79" i="28"/>
  <c r="AN80" i="28"/>
  <c r="AP80" i="28"/>
  <c r="AQ80" i="28"/>
  <c r="AR80" i="28"/>
  <c r="AS80" i="28"/>
  <c r="AT80" i="28"/>
  <c r="AU80" i="28"/>
  <c r="AV80" i="28"/>
  <c r="AW80" i="28"/>
  <c r="AX80" i="28"/>
  <c r="AN81" i="28"/>
  <c r="AP81" i="28"/>
  <c r="AQ81" i="28"/>
  <c r="AR81" i="28"/>
  <c r="AS81" i="28"/>
  <c r="AT81" i="28"/>
  <c r="AU81" i="28"/>
  <c r="AV81" i="28"/>
  <c r="AW81" i="28"/>
  <c r="AX81" i="28"/>
  <c r="AM47" i="28"/>
  <c r="AM65" i="28"/>
  <c r="AM73" i="28"/>
  <c r="AM85" i="28" l="1"/>
  <c r="AY85" i="28" s="1"/>
  <c r="Q85" i="28"/>
  <c r="AM70" i="28"/>
  <c r="AY70" i="28" s="1"/>
  <c r="Q70" i="28"/>
  <c r="AM78" i="28"/>
  <c r="AY78" i="28" s="1"/>
  <c r="Q78" i="28"/>
  <c r="AM71" i="28"/>
  <c r="AY71" i="28" s="1"/>
  <c r="Q71" i="28"/>
  <c r="AM79" i="28"/>
  <c r="AY79" i="28" s="1"/>
  <c r="Q79" i="28"/>
  <c r="Q59" i="28"/>
  <c r="AH59" i="28"/>
  <c r="AS104" i="28"/>
  <c r="AR104" i="28"/>
  <c r="AQ104" i="28"/>
  <c r="AX104" i="28"/>
  <c r="AP104" i="28"/>
  <c r="AW104" i="28"/>
  <c r="AV104" i="28"/>
  <c r="AU104" i="28"/>
  <c r="AT104" i="28"/>
  <c r="AY65" i="28"/>
  <c r="AY47" i="28"/>
  <c r="AY73" i="28"/>
  <c r="F23" i="28" l="1"/>
  <c r="AN104" i="28" l="1"/>
  <c r="AM59" i="28"/>
  <c r="AY59" i="28" l="1"/>
  <c r="AM54" i="28" l="1"/>
  <c r="AY54" i="28" s="1"/>
  <c r="Q54" i="28"/>
  <c r="Q44" i="28"/>
  <c r="Q32" i="28"/>
  <c r="Q82" i="28"/>
  <c r="Q69" i="28"/>
  <c r="Q26" i="28"/>
  <c r="AH82" i="28"/>
  <c r="AH69" i="28"/>
  <c r="Q28" i="28"/>
  <c r="AH44" i="28"/>
  <c r="AH32" i="28"/>
  <c r="AH26" i="28"/>
  <c r="Q39" i="28" l="1"/>
  <c r="Q48" i="28"/>
  <c r="Q63" i="28"/>
  <c r="Q72" i="28"/>
  <c r="Q50" i="28"/>
  <c r="Q81" i="28"/>
  <c r="Q66" i="28"/>
  <c r="Q40" i="28"/>
  <c r="AM26" i="28"/>
  <c r="Q74" i="28"/>
  <c r="AM32" i="28"/>
  <c r="AM44" i="28"/>
  <c r="Q62" i="28"/>
  <c r="Q43" i="28"/>
  <c r="Q67" i="28"/>
  <c r="Q49" i="28"/>
  <c r="Q45" i="28"/>
  <c r="Q76" i="28"/>
  <c r="Q60" i="28"/>
  <c r="Q77" i="28"/>
  <c r="Q46" i="28"/>
  <c r="Q56" i="28"/>
  <c r="Q34" i="28"/>
  <c r="Q68" i="28"/>
  <c r="Q83" i="28"/>
  <c r="Q37" i="28"/>
  <c r="Q58" i="28"/>
  <c r="Q61" i="28"/>
  <c r="Q55" i="28"/>
  <c r="Q35" i="28"/>
  <c r="Q36" i="28"/>
  <c r="Q29" i="28"/>
  <c r="Q80" i="28"/>
  <c r="Q27" i="28"/>
  <c r="Q30" i="28"/>
  <c r="AH28" i="28"/>
  <c r="AH77" i="28"/>
  <c r="AH67" i="28"/>
  <c r="AH60" i="28"/>
  <c r="AH74" i="28"/>
  <c r="AH58" i="28"/>
  <c r="AH48" i="28"/>
  <c r="AH55" i="28"/>
  <c r="AH56" i="28"/>
  <c r="AH83" i="28"/>
  <c r="AH63" i="28"/>
  <c r="AH43" i="28"/>
  <c r="AH37" i="28"/>
  <c r="AH36" i="28"/>
  <c r="AH46" i="28"/>
  <c r="AH49" i="28"/>
  <c r="AH45" i="28"/>
  <c r="AH66" i="28"/>
  <c r="AH72" i="28"/>
  <c r="AH61" i="28"/>
  <c r="AH30" i="28"/>
  <c r="AH29" i="28"/>
  <c r="AH27" i="28"/>
  <c r="AH62" i="28"/>
  <c r="AH39" i="28"/>
  <c r="AH68" i="28"/>
  <c r="AH81" i="28"/>
  <c r="AH80" i="28"/>
  <c r="AH50" i="28"/>
  <c r="AH34" i="28"/>
  <c r="AH40" i="28"/>
  <c r="AH76" i="28"/>
  <c r="AH35" i="28"/>
  <c r="AY32" i="28" l="1"/>
  <c r="AY44" i="28"/>
  <c r="AM63" i="28"/>
  <c r="AM74" i="28"/>
  <c r="AY74" i="28" s="1"/>
  <c r="AM81" i="28"/>
  <c r="AY81" i="28" s="1"/>
  <c r="AM43" i="28"/>
  <c r="AY43" i="28" s="1"/>
  <c r="AM62" i="28"/>
  <c r="AM69" i="28"/>
  <c r="AM72" i="28"/>
  <c r="AY72" i="28" s="1"/>
  <c r="Q51" i="28"/>
  <c r="Q31" i="28"/>
  <c r="AM76" i="28"/>
  <c r="AM82" i="28"/>
  <c r="AM48" i="28"/>
  <c r="Q57" i="28"/>
  <c r="AM46" i="28"/>
  <c r="AM67" i="28"/>
  <c r="AM50" i="28"/>
  <c r="AM49" i="28"/>
  <c r="Q53" i="28"/>
  <c r="AM39" i="28"/>
  <c r="Q42" i="28"/>
  <c r="Q38" i="28"/>
  <c r="Q25" i="28"/>
  <c r="Q52" i="28"/>
  <c r="AM66" i="28"/>
  <c r="Q75" i="28"/>
  <c r="Q41" i="28"/>
  <c r="AY26" i="28"/>
  <c r="Q33" i="28"/>
  <c r="Q64" i="28"/>
  <c r="AH31" i="28"/>
  <c r="AH51" i="28"/>
  <c r="AH41" i="28"/>
  <c r="AH53" i="28"/>
  <c r="AH42" i="28"/>
  <c r="AH75" i="28"/>
  <c r="AH57" i="28"/>
  <c r="AH38" i="28"/>
  <c r="AH33" i="28"/>
  <c r="AH52" i="28"/>
  <c r="Q23" i="28" l="1"/>
  <c r="Q104" i="28"/>
  <c r="T15" i="28" s="1"/>
  <c r="AY39" i="28"/>
  <c r="AY76" i="28"/>
  <c r="AY62" i="28"/>
  <c r="AY46" i="28"/>
  <c r="AY66" i="28"/>
  <c r="AY48" i="28"/>
  <c r="AY82" i="28"/>
  <c r="AY69" i="28"/>
  <c r="AY63" i="28"/>
  <c r="AY49" i="28"/>
  <c r="AY50" i="28"/>
  <c r="AO25" i="28"/>
  <c r="AM61" i="28"/>
  <c r="AY67" i="28"/>
  <c r="AM34" i="28"/>
  <c r="AM58" i="28"/>
  <c r="AM35" i="28"/>
  <c r="AM27" i="28"/>
  <c r="AY27" i="28" s="1"/>
  <c r="AM40" i="28"/>
  <c r="AM52" i="28"/>
  <c r="AM83" i="28"/>
  <c r="AM42" i="28"/>
  <c r="AM60" i="28"/>
  <c r="AM31" i="28"/>
  <c r="AM29" i="28"/>
  <c r="AY29" i="28" s="1"/>
  <c r="AM55" i="28"/>
  <c r="AY55" i="28" s="1"/>
  <c r="AM25" i="28"/>
  <c r="AM37" i="28"/>
  <c r="AM53" i="28"/>
  <c r="AY53" i="28" s="1"/>
  <c r="AM51" i="28"/>
  <c r="AM68" i="28"/>
  <c r="AM30" i="28"/>
  <c r="AY30" i="28" s="1"/>
  <c r="AM77" i="28"/>
  <c r="AY77" i="28" s="1"/>
  <c r="AM56" i="28"/>
  <c r="AH25" i="28"/>
  <c r="AM57" i="28"/>
  <c r="AM28" i="28"/>
  <c r="AY28" i="28" s="1"/>
  <c r="AM45" i="28"/>
  <c r="AM80" i="28"/>
  <c r="AM36" i="28"/>
  <c r="E23" i="28"/>
  <c r="E104" i="28"/>
  <c r="AH64" i="28"/>
  <c r="AY45" i="28" l="1"/>
  <c r="AY37" i="28"/>
  <c r="AY68" i="28"/>
  <c r="AY35" i="28"/>
  <c r="AY60" i="28"/>
  <c r="AY34" i="28"/>
  <c r="AY31" i="28"/>
  <c r="AY57" i="28"/>
  <c r="AY80" i="28"/>
  <c r="AY42" i="28"/>
  <c r="AY61" i="28"/>
  <c r="AY56" i="28"/>
  <c r="AY51" i="28"/>
  <c r="AY58" i="28"/>
  <c r="AY83" i="28"/>
  <c r="X104" i="28"/>
  <c r="AY25" i="28"/>
  <c r="AY52" i="28"/>
  <c r="AY36" i="28"/>
  <c r="AY40" i="28"/>
  <c r="AM33" i="28"/>
  <c r="AY33" i="28" s="1"/>
  <c r="AM41" i="28"/>
  <c r="AM38" i="28"/>
  <c r="AM75" i="28"/>
  <c r="AY41" i="28" l="1"/>
  <c r="AO104" i="28"/>
  <c r="AY38" i="28"/>
  <c r="AY75" i="28"/>
  <c r="AM64" i="28"/>
  <c r="V104" i="28"/>
  <c r="AH104" i="28" l="1"/>
  <c r="AY64" i="28"/>
  <c r="AY104" i="28" s="1"/>
  <c r="T16" i="28" s="1"/>
  <c r="AM104" i="28"/>
  <c r="Q22" i="28" l="1"/>
  <c r="Q21" i="28"/>
  <c r="Q18" i="28" l="1"/>
  <c r="T17" i="28" l="1"/>
  <c r="Q15" i="28" l="1"/>
  <c r="B6" i="18" l="1"/>
  <c r="B7" i="18" s="1"/>
  <c r="B8" i="18" s="1"/>
  <c r="B9" i="18" s="1"/>
  <c r="B10" i="18" s="1"/>
  <c r="B11" i="18" s="1"/>
  <c r="B12" i="18" s="1"/>
  <c r="B13" i="18" s="1"/>
  <c r="B14" i="18" s="1"/>
  <c r="B15" i="18" s="1"/>
  <c r="B16" i="18" s="1"/>
  <c r="B17" i="18" s="1"/>
  <c r="B18" i="18" s="1"/>
  <c r="B19" i="18" s="1"/>
  <c r="B20" i="18" s="1"/>
  <c r="B21" i="18" s="1"/>
  <c r="B22" i="18" s="1"/>
  <c r="B23" i="18" s="1"/>
  <c r="B24" i="18" s="1"/>
  <c r="B25" i="18" s="1"/>
  <c r="B26" i="18" s="1"/>
  <c r="B27" i="18" s="1"/>
  <c r="B28" i="18" s="1"/>
  <c r="B29" i="18" s="1"/>
  <c r="B30" i="18" s="1"/>
  <c r="B31" i="18" s="1"/>
  <c r="B32" i="18" s="1"/>
  <c r="C126" i="6" l="1"/>
  <c r="C135" i="6" s="1"/>
  <c r="F16" i="28" s="1"/>
  <c r="F20" i="28" s="1"/>
  <c r="D126" i="6"/>
  <c r="D135" i="6" s="1"/>
  <c r="G16" i="28" s="1"/>
  <c r="G20" i="28" s="1"/>
  <c r="F48" i="6" l="1"/>
  <c r="B126" i="6" s="1"/>
  <c r="B135" i="6" s="1"/>
  <c r="E16" i="28" s="1"/>
  <c r="E20" i="28" l="1"/>
  <c r="Q16" i="28"/>
  <c r="Q20" i="28" s="1"/>
  <c r="E126" i="6"/>
  <c r="E135"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<sst xmlns="http://schemas.openxmlformats.org/spreadsheetml/2006/main" count="36131" uniqueCount="3423">
  <si>
    <t>RM</t>
  </si>
  <si>
    <t>BDE</t>
  </si>
  <si>
    <t>Designation</t>
  </si>
  <si>
    <t>Zone</t>
  </si>
  <si>
    <t>Target Revenue - NET</t>
  </si>
  <si>
    <t>Achieved Revenue %</t>
  </si>
  <si>
    <t>TOTAL</t>
  </si>
  <si>
    <t xml:space="preserve">Target Revenue </t>
  </si>
  <si>
    <t>MONTH</t>
  </si>
  <si>
    <t>Total</t>
  </si>
  <si>
    <t>Month</t>
  </si>
  <si>
    <t>INCENTIVE (BDE+Sr BDE+TM)</t>
  </si>
  <si>
    <t>RM INCENTIVE</t>
  </si>
  <si>
    <t>Accumulation Above 2lacs</t>
  </si>
  <si>
    <t>% of Revenue</t>
  </si>
  <si>
    <t>Accumulation withdrawn</t>
  </si>
  <si>
    <t>Employee ID</t>
  </si>
  <si>
    <t>Biswadip Sarkar</t>
  </si>
  <si>
    <t>NHP218</t>
  </si>
  <si>
    <t>Sai Srikanth</t>
  </si>
  <si>
    <t>Mudit Raj</t>
  </si>
  <si>
    <t>NHP142</t>
  </si>
  <si>
    <t>NHP146</t>
  </si>
  <si>
    <t>Subash Debnath</t>
  </si>
  <si>
    <t>NHP148</t>
  </si>
  <si>
    <t>Adnan Akhtar</t>
  </si>
  <si>
    <t>NHP170</t>
  </si>
  <si>
    <t>NHP169</t>
  </si>
  <si>
    <t>Divyansh</t>
  </si>
  <si>
    <t>Faiq Khan</t>
  </si>
  <si>
    <t>NHP155</t>
  </si>
  <si>
    <t>Ankit Madan</t>
  </si>
  <si>
    <t>NHP291</t>
  </si>
  <si>
    <t>NHP212</t>
  </si>
  <si>
    <t>NHP151</t>
  </si>
  <si>
    <t>NHP279</t>
  </si>
  <si>
    <t>Ajay Kumar KS</t>
  </si>
  <si>
    <t>NHP138</t>
  </si>
  <si>
    <t>Praveen S</t>
  </si>
  <si>
    <t>NHP158</t>
  </si>
  <si>
    <t>NHP159</t>
  </si>
  <si>
    <t>Srinivasan G</t>
  </si>
  <si>
    <t>NHP248</t>
  </si>
  <si>
    <t>NHP157</t>
  </si>
  <si>
    <t>Vignesh</t>
  </si>
  <si>
    <t>NHP211</t>
  </si>
  <si>
    <t>Abhinav Singh</t>
  </si>
  <si>
    <t>NHP133</t>
  </si>
  <si>
    <t>Anjaney Tripathi</t>
  </si>
  <si>
    <t>NHP144</t>
  </si>
  <si>
    <t>NHP261</t>
  </si>
  <si>
    <t>Anurag Bhargav</t>
  </si>
  <si>
    <t>NHP290</t>
  </si>
  <si>
    <t>Nikhil Dhariwal</t>
  </si>
  <si>
    <t>NHP153</t>
  </si>
  <si>
    <t>Rajat Sharma</t>
  </si>
  <si>
    <t>NHP139</t>
  </si>
  <si>
    <t>Saif Khan</t>
  </si>
  <si>
    <t>NHP147</t>
  </si>
  <si>
    <t>Satyam Tripathi</t>
  </si>
  <si>
    <t>NHP145</t>
  </si>
  <si>
    <t>Sohaib Ahmed</t>
  </si>
  <si>
    <t>NHP173</t>
  </si>
  <si>
    <t>Sufiyan Ansari</t>
  </si>
  <si>
    <t>NHP160</t>
  </si>
  <si>
    <t>Sum of paid_amount</t>
  </si>
  <si>
    <t>Sum of paid_amount_*_100/118</t>
  </si>
  <si>
    <t>Count of payment_id</t>
  </si>
  <si>
    <t>Region</t>
  </si>
  <si>
    <t>Grand Total</t>
  </si>
  <si>
    <t>Vinod Pathania</t>
  </si>
  <si>
    <t>Refunds</t>
  </si>
  <si>
    <t>Sukanthan PK</t>
  </si>
  <si>
    <t>Agent Name</t>
  </si>
  <si>
    <t>PARTICULARS</t>
  </si>
  <si>
    <t>TM/SR BDE</t>
  </si>
  <si>
    <t>ZONE - RM</t>
  </si>
  <si>
    <t>PENALTY FOR UNDERUTILIZING THE SALES COUPONS ( LESS THAN 80% )</t>
  </si>
  <si>
    <t>Penalty Per Employee</t>
  </si>
  <si>
    <t>Name</t>
  </si>
  <si>
    <t>BDE Target Units</t>
  </si>
  <si>
    <t>Winner Units</t>
  </si>
  <si>
    <t>Rule  &gt;80%coupon utilization</t>
  </si>
  <si>
    <t>Achieved Units RM &amp; TM</t>
  </si>
  <si>
    <t>Achieved units % BDE</t>
  </si>
  <si>
    <t>Achieved Revenue - GROSS</t>
  </si>
  <si>
    <t>Achieved Revenue - NET BDE Rue1 Diqualified</t>
  </si>
  <si>
    <t>Achieved Revenue - NET BDE</t>
  </si>
  <si>
    <t>Highest of units and Revenue %</t>
  </si>
  <si>
    <t>BDE Incentive ( slab gone down due to penalty)</t>
  </si>
  <si>
    <t>Zone target (units)</t>
  </si>
  <si>
    <t>Zone Achieved (units)</t>
  </si>
  <si>
    <t>Zone Achieved %</t>
  </si>
  <si>
    <t>RM Incentive - Quaterly Payout</t>
  </si>
  <si>
    <t>Prior Period Adjusments</t>
  </si>
  <si>
    <t>Accumulation Above 2lacs Payable at Year end</t>
  </si>
  <si>
    <t>Net Payable this month</t>
  </si>
  <si>
    <t>Incentive of the Month</t>
  </si>
  <si>
    <t>Gross Incentive</t>
  </si>
  <si>
    <t>Net Incentive ( after penalty )</t>
  </si>
  <si>
    <t>Penalty</t>
  </si>
  <si>
    <t>GRAND TOTAL</t>
  </si>
  <si>
    <t>TM/SR BDE Target (Units)</t>
  </si>
  <si>
    <t>TM/SR BDE Achieved (Units)</t>
  </si>
  <si>
    <t>TM/SR BDE Achieved %</t>
  </si>
  <si>
    <t xml:space="preserve">TM/SR BDE Incentive </t>
  </si>
  <si>
    <t>Sales Counts Target</t>
  </si>
  <si>
    <t>ARPU</t>
  </si>
  <si>
    <t>Payout % and Amount</t>
  </si>
  <si>
    <t>RM's</t>
  </si>
  <si>
    <t>Group Size</t>
  </si>
  <si>
    <t>Akshay Yamsanwar</t>
  </si>
  <si>
    <t>Qualified Sales</t>
  </si>
  <si>
    <t>college_id</t>
  </si>
  <si>
    <t>Spot Incenitve / Half Yearly Performance Incentive</t>
  </si>
  <si>
    <t>Remarks</t>
  </si>
  <si>
    <t>Anuj Dubey</t>
  </si>
  <si>
    <t>Nirmal Raj</t>
  </si>
  <si>
    <t>Loka Phaninndra</t>
  </si>
  <si>
    <t>S.No</t>
  </si>
  <si>
    <t>Headers</t>
  </si>
  <si>
    <t>Explanation</t>
  </si>
  <si>
    <t>Process</t>
  </si>
  <si>
    <t>Contents</t>
  </si>
  <si>
    <t>Context</t>
  </si>
  <si>
    <t>POC Department</t>
  </si>
  <si>
    <t>Input</t>
  </si>
  <si>
    <t>Accounts Team</t>
  </si>
  <si>
    <t>Output</t>
  </si>
  <si>
    <t>Coupon Analysis</t>
  </si>
  <si>
    <t>This is prepared from the Coupon Analysis Report which is approved from accounts team's end</t>
  </si>
  <si>
    <t>Target Achieved</t>
  </si>
  <si>
    <t>Target which are approved from the Management end are incorporated in this sheet. This also includes data related with penalty sales . Data from this sheet is linked to Incentive Report</t>
  </si>
  <si>
    <t>Policy</t>
  </si>
  <si>
    <t xml:space="preserve">This is the policy decided and approved by the Management for the </t>
  </si>
  <si>
    <t xml:space="preserve">Management </t>
  </si>
  <si>
    <t>Incentive Report</t>
  </si>
  <si>
    <t>Incentive Summary</t>
  </si>
  <si>
    <t xml:space="preserve">RM Calculations Pro Rata </t>
  </si>
  <si>
    <t>Incentive Report incorporates all the incentive details for the field sales team and is linked with input files for incentive calculations</t>
  </si>
  <si>
    <t>Incentive Summary is the final output sheet which includes a snapshot view of incentives paid to the employee and their annual incentive accumulations.</t>
  </si>
  <si>
    <t>Name of the employee</t>
  </si>
  <si>
    <t>BDE's Zone.</t>
  </si>
  <si>
    <t>There are five zones namely, North , East , West , South TNKL and South KATS. All BDE along with the colleges are mapped zone wise.</t>
  </si>
  <si>
    <t>BDE targets are decided by the Management using Net Active Student count in the targeted colleges.</t>
  </si>
  <si>
    <t>Decided by the Management</t>
  </si>
  <si>
    <t>80% of the coupon sales count to be utilized</t>
  </si>
  <si>
    <t>Refunds during the current month</t>
  </si>
  <si>
    <t>No incentives are paid on the refunds therefore it is represented in a difference column so that BDE wise refunds can be considered.</t>
  </si>
  <si>
    <t xml:space="preserve">Achieved Sales count by RM and TM in that month </t>
  </si>
  <si>
    <t>This rule is mentioned and logically calculated in the Coupon Analysis Sheet.</t>
  </si>
  <si>
    <t>Achieved Sales count %</t>
  </si>
  <si>
    <t>BDE's target revenue Without GST</t>
  </si>
  <si>
    <t>Disqualified amount amongst the Achieved Revenue amount</t>
  </si>
  <si>
    <t>Coupon Analysis gives the disqualified sales figure ( without GST ) . These figure are then directly linked to the incentive reports to fill out this header</t>
  </si>
  <si>
    <t>Column 9- column 11</t>
  </si>
  <si>
    <t>Revenue % achieved</t>
  </si>
  <si>
    <t xml:space="preserve">BDE Incentive </t>
  </si>
  <si>
    <t>Base Target of the BDE working under that TM to be considered here</t>
  </si>
  <si>
    <t>Achieved Sales count units of the BDE's working under that TM to be considered here</t>
  </si>
  <si>
    <t xml:space="preserve">% of Target Count with that of Achieved Count is considered </t>
  </si>
  <si>
    <t>Zone Targets are for the respective zone's RM performance</t>
  </si>
  <si>
    <t>Zone Achieved units  are for the respective zone's RM performance</t>
  </si>
  <si>
    <t>RM's Incentive</t>
  </si>
  <si>
    <t>As per the incentive policy these incentives are provided to the top performers on monthly and half yearly basis.</t>
  </si>
  <si>
    <t>Above 2 lacs not to be paid</t>
  </si>
  <si>
    <t>Net Payment of Incentive Amount</t>
  </si>
  <si>
    <t>Achieved count is calculated as per the input sheets and incorporated in this column. This columns indicated the BDE achieve count. These sales count are considered for RM's and TM's incentive calculations.</t>
  </si>
  <si>
    <t>BDE targets which are decided as per the input sheet Target sheets are multiplied by Average Rate Per User (ARPU ) of 29000 to arrive at revenue targets. This does not include GST and ARPU is again decided by the Management</t>
  </si>
  <si>
    <t>This part is linked with the Policy Input sheet and the percentages are linked from the input sheet so that incentive can be calculated on the revenue achieved. Highest of the units and Revenue % is the base for this incentive to get calculated.</t>
  </si>
  <si>
    <t>Includes all incentives earned</t>
  </si>
  <si>
    <t>This column includes the total incentives earned for the month. Total amounts comes here without any 2 lacs incentive restrictions.</t>
  </si>
  <si>
    <t>Name of the Business Development Executive.</t>
  </si>
  <si>
    <t>Targets decided by the Management.</t>
  </si>
  <si>
    <t>These units decide the performance incentives like Master Blaster , Half yearly incentive winner and best annual performers amongst the BDE's, TM's and RM's.</t>
  </si>
  <si>
    <t>This is the % of  column "BDE targets Units " to column "Achieved Units RM &amp; TM".</t>
  </si>
  <si>
    <t>Achieved Revenue including GST</t>
  </si>
  <si>
    <t>This is the net revenue generated by the BDE for the month. To calculate this figure we subtract disqualified sales with Gross Sales. All figures are considered w/o GST.</t>
  </si>
  <si>
    <t>Achieved Revenue % is calculated by dividing the Achieved Revenue NET by Target Revenue .</t>
  </si>
  <si>
    <t>Highest amongst the sales count % and Revenue achieved % is considered for incentive calculations.</t>
  </si>
  <si>
    <t>BDE incentive</t>
  </si>
  <si>
    <t>Incentive to be calculated as per the policy input sheet which is linked to this column. Here % achieved column is the base for the incentive calculation</t>
  </si>
  <si>
    <t>Zone Achieved %  is calculated as on the basis of the units sold in that zone for the respective month. Again this is RM's performance Metrics</t>
  </si>
  <si>
    <t>This is mainly derived from the working which are maintained and prepared with the process sheet " RM Calculations Pro Rata ". Policy input sheet is also linked to the Process sheet for incentive calculation</t>
  </si>
  <si>
    <t>Spot Incentive / Half Yearly Performance Incentive</t>
  </si>
  <si>
    <t>Prior Period Adjustments</t>
  </si>
  <si>
    <t>Successful Claim from the BDE for the disqualified sales or other adjustment made during the incentive calculations are covered in this section. BDE's are informed about this and their acknowledgement wrt to these adjustments are taken well in advance.</t>
  </si>
  <si>
    <t>This section includes the BDE 's who have earned more than 2 lacs in incentive for the current month by their outstanding performances. As per policy only 2 lacs can be paid to the respective BDE for the month. Therefore accumulations is done for the amount in excess of 2 lacs, later to be paid at the end of the year.</t>
  </si>
  <si>
    <t>This excludes any amount above 2 lacs and is the net payable amount calculated after applying slab provisions mentioned in the Policy Input Sheet.</t>
  </si>
  <si>
    <t xml:space="preserve">This sheet is created to calculate the quarterly pay-out done to the RM's. </t>
  </si>
  <si>
    <t>Particulars</t>
  </si>
  <si>
    <t>Ajeet Pandey</t>
  </si>
  <si>
    <t>Wayne Camilio</t>
  </si>
  <si>
    <t>NHP373</t>
  </si>
  <si>
    <t>Masud Rana</t>
  </si>
  <si>
    <t>NHP374</t>
  </si>
  <si>
    <t>NHP380</t>
  </si>
  <si>
    <t>NHP377</t>
  </si>
  <si>
    <t>Shrihari Kulkarni</t>
  </si>
  <si>
    <t>NHP386</t>
  </si>
  <si>
    <t>NHP365</t>
  </si>
  <si>
    <t>NHP364</t>
  </si>
  <si>
    <t>Spot Incenitve / Half Yearly Performance Incentive/Penalty/Best RM Reward</t>
  </si>
  <si>
    <t>Total Accumulation</t>
  </si>
  <si>
    <t>Other Incenitves/Penalty</t>
  </si>
  <si>
    <t>NHP309</t>
  </si>
  <si>
    <t>Prakash Kumar Singh</t>
  </si>
  <si>
    <t>Arshad Hussain</t>
  </si>
  <si>
    <t>Praveen</t>
  </si>
  <si>
    <t>Anurag Bhargava</t>
  </si>
  <si>
    <t>Disqaulified Sales Count</t>
  </si>
  <si>
    <t>Achieved Revenue (W/o GST)- NET  BDE</t>
  </si>
  <si>
    <t xml:space="preserve">Achieved Revenue (W/o GST) - NET Disqualified Sales </t>
  </si>
  <si>
    <t>Achieved Revenue (Including GST)- GROSS</t>
  </si>
  <si>
    <t>Disqualified Sales</t>
  </si>
  <si>
    <t>Gross Sales Count</t>
  </si>
  <si>
    <t>Rameez Arman</t>
  </si>
  <si>
    <t>Wayne Camilo</t>
  </si>
  <si>
    <t>Rohit Bharti</t>
  </si>
  <si>
    <t>NHP395</t>
  </si>
  <si>
    <t>NHP092</t>
  </si>
  <si>
    <t>Suresh Kumar Thakur</t>
  </si>
  <si>
    <t>Suraj Singh</t>
  </si>
  <si>
    <t>NHP446</t>
  </si>
  <si>
    <t>Akif Hannan</t>
  </si>
  <si>
    <t>Akar Srivastava</t>
  </si>
  <si>
    <t>Jigar Kastawala</t>
  </si>
  <si>
    <t>Aswath Thangavelli</t>
  </si>
  <si>
    <t>Aswath T</t>
  </si>
  <si>
    <t>Sai Srikant</t>
  </si>
  <si>
    <t>Shrihari R Kulkarni</t>
  </si>
  <si>
    <t>Gross Sales</t>
  </si>
  <si>
    <t>0-49.99%</t>
  </si>
  <si>
    <t>50-79.99%</t>
  </si>
  <si>
    <t>80-99.99%</t>
  </si>
  <si>
    <t>100-129.99%</t>
  </si>
  <si>
    <t xml:space="preserve">130% &amp; Above </t>
  </si>
  <si>
    <t>0-74.99%</t>
  </si>
  <si>
    <t>75-99.99%</t>
  </si>
  <si>
    <t>130% &amp; Above</t>
  </si>
  <si>
    <t>Abhishek Bhat</t>
  </si>
  <si>
    <t>NHP444</t>
  </si>
  <si>
    <t>NHP462</t>
  </si>
  <si>
    <t>Total Incentive</t>
  </si>
  <si>
    <t>Manoj Sharma</t>
  </si>
  <si>
    <t>NHP470</t>
  </si>
  <si>
    <t>Shubham Vyas</t>
  </si>
  <si>
    <t>NHP466</t>
  </si>
  <si>
    <t>Zahid Majeeb</t>
  </si>
  <si>
    <t>Susmita Paul</t>
  </si>
  <si>
    <t>NHP166</t>
  </si>
  <si>
    <t>NHP479</t>
  </si>
  <si>
    <t>Note:-</t>
  </si>
  <si>
    <t>Less than 33000 ARPU</t>
  </si>
  <si>
    <t>More than 33000 ARPU</t>
  </si>
  <si>
    <t>TM/SR BDE Target (Revenue)</t>
  </si>
  <si>
    <t>TM/SR BDE Achieved (Revenue)</t>
  </si>
  <si>
    <t>Unit of Sales</t>
  </si>
  <si>
    <t>Sl No.</t>
  </si>
  <si>
    <t>Incentive working Checklist Points</t>
  </si>
  <si>
    <t>Doc Path</t>
  </si>
  <si>
    <t>Field:-</t>
  </si>
  <si>
    <t>Get specific months Incentive Target sheet from concern department head with approval.</t>
  </si>
  <si>
    <t>Google Sheet</t>
  </si>
  <si>
    <t>Download the Consumption reports from Ikigai backend.</t>
  </si>
  <si>
    <t>Ikigai Report</t>
  </si>
  <si>
    <t>Coupon audit done using the google sheet mentained by Data team with Consumption reports.</t>
  </si>
  <si>
    <t>Google Sheet Mentained by Data team</t>
  </si>
  <si>
    <t>After download the Ikigai report, arrange all sales made by BDE's with proper date format to know the coupon applicable for Incentive or not</t>
  </si>
  <si>
    <t>NA</t>
  </si>
  <si>
    <t>Field coupon Analysis report prepare with use of excel tool and also cross check with manually</t>
  </si>
  <si>
    <t>Follow the Coupon logic to know the applicability the sale is applicable for Incentive or not</t>
  </si>
  <si>
    <t>Coupon Logic SOP</t>
  </si>
  <si>
    <t>All clubing provision should check properly</t>
  </si>
  <si>
    <t>Having the Email Thread</t>
  </si>
  <si>
    <t>Post Approval from Accounts-Manager send to Business Head and Finance Head</t>
  </si>
  <si>
    <t>Cross verify with updated policy before finalising</t>
  </si>
  <si>
    <t>Final coupons</t>
  </si>
  <si>
    <t>Required Sales</t>
  </si>
  <si>
    <t>Check there is any exceptional cases of coupon or Incentive that approved by Management. If there is any case, consider Proper impact in Incentive Calculation and keep the document for future reference.</t>
  </si>
  <si>
    <t>Souvik Das</t>
  </si>
  <si>
    <t>NHP520</t>
  </si>
  <si>
    <t>Rituraj Singh</t>
  </si>
  <si>
    <t>NHP308</t>
  </si>
  <si>
    <t>NHP322</t>
  </si>
  <si>
    <t>Nikhil</t>
  </si>
  <si>
    <t>Ajay Kumar</t>
  </si>
  <si>
    <t>Bindu</t>
  </si>
  <si>
    <t>Sufiyan Shareeq</t>
  </si>
  <si>
    <t>NHP518</t>
  </si>
  <si>
    <t>NHP536</t>
  </si>
  <si>
    <t>Sachin V Nair</t>
  </si>
  <si>
    <t>Phanindra</t>
  </si>
  <si>
    <t>BDE/Individual Incentives (Monthly)</t>
  </si>
  <si>
    <t>TM/BDM/Sr.BDE - Sub Managers Incentives (Monthly)</t>
  </si>
  <si>
    <t>(All sub managers under Team Owners)</t>
  </si>
  <si>
    <t>Team Owner Incentives (Quarterly)</t>
  </si>
  <si>
    <t>Divyansh Pandey</t>
  </si>
  <si>
    <t>Anjaney</t>
  </si>
  <si>
    <t>Nenavath Laxman</t>
  </si>
  <si>
    <t>Anandan K P</t>
  </si>
  <si>
    <t>Paras Doifode</t>
  </si>
  <si>
    <t>NHP551</t>
  </si>
  <si>
    <t>Arshad Khan</t>
  </si>
  <si>
    <t>Hari Haran</t>
  </si>
  <si>
    <t>NHP561</t>
  </si>
  <si>
    <t>NHP552</t>
  </si>
  <si>
    <t>Tauseef Ansari</t>
  </si>
  <si>
    <t>NHP581</t>
  </si>
  <si>
    <t>Rahul Krishna CS</t>
  </si>
  <si>
    <t>NHP562</t>
  </si>
  <si>
    <t>Tauseef Akhtar Mohammed Irfan Ansari</t>
  </si>
  <si>
    <t>NHP591</t>
  </si>
  <si>
    <t>Sriti Jaiswal</t>
  </si>
  <si>
    <t>NHP553</t>
  </si>
  <si>
    <t>Pragya</t>
  </si>
  <si>
    <t>NHP541</t>
  </si>
  <si>
    <t>Sreenath V</t>
  </si>
  <si>
    <t>NHP599</t>
  </si>
  <si>
    <t>Sudarshan R</t>
  </si>
  <si>
    <t>NHP583</t>
  </si>
  <si>
    <t>NHP563</t>
  </si>
  <si>
    <t>Sagolsem Benjamin Singh</t>
  </si>
  <si>
    <t>Suhail</t>
  </si>
  <si>
    <t>NHP602</t>
  </si>
  <si>
    <t>NHP548</t>
  </si>
  <si>
    <t>Penalty If any</t>
  </si>
  <si>
    <t>Rewards ( Trip + Best RM Reward )</t>
  </si>
  <si>
    <t>Employee Name</t>
  </si>
  <si>
    <t>Cumulative Incentive</t>
  </si>
  <si>
    <t>Paid Incentive</t>
  </si>
  <si>
    <t>Total Incentive Amount</t>
  </si>
  <si>
    <t>Total Incentive Paid</t>
  </si>
  <si>
    <t>Nav Nandh Tej</t>
  </si>
  <si>
    <t>Sangram Singh</t>
  </si>
  <si>
    <t>Prajwal Ghodke</t>
  </si>
  <si>
    <t>Saravanan</t>
  </si>
  <si>
    <t>Farhan</t>
  </si>
  <si>
    <t>Grahita</t>
  </si>
  <si>
    <t>Sameer</t>
  </si>
  <si>
    <t>NHP621</t>
  </si>
  <si>
    <t>NHP620</t>
  </si>
  <si>
    <t>NHP608</t>
  </si>
  <si>
    <t>NHP622</t>
  </si>
  <si>
    <t>NHI093</t>
  </si>
  <si>
    <t>NHP547</t>
  </si>
  <si>
    <t>NHP617</t>
  </si>
  <si>
    <t>Total Paid</t>
  </si>
  <si>
    <t>Wasim Khan</t>
  </si>
  <si>
    <t>Rahul Krishna</t>
  </si>
  <si>
    <t>Rituraj</t>
  </si>
  <si>
    <t>Anurag Goel</t>
  </si>
  <si>
    <t>Mohammed Sufian Shareeq</t>
  </si>
  <si>
    <t>Prateek Saraswat</t>
  </si>
  <si>
    <t>Sukanthan K</t>
  </si>
  <si>
    <t>Q1 Sales Split</t>
  </si>
  <si>
    <t>Q1</t>
  </si>
  <si>
    <t>Avadesh Singh</t>
  </si>
  <si>
    <t>58ad3474a2393a143df57ebd</t>
  </si>
  <si>
    <t>58ad3474a2393a143df57ec2</t>
  </si>
  <si>
    <t>58ad3474a2393a143df57ec5</t>
  </si>
  <si>
    <t>58ad3474a2393a143df57ec9</t>
  </si>
  <si>
    <t>5cf63a77d5f2c95193778ad2</t>
  </si>
  <si>
    <t>5fa3fc9a5e75dd4802365282</t>
  </si>
  <si>
    <t>58ad3473a2393a143df57dc7</t>
  </si>
  <si>
    <t>58ad3474a2393a143df57df6</t>
  </si>
  <si>
    <t>5fa3fc9a5e75dd4802365272</t>
  </si>
  <si>
    <t>58ad3474a2393a143df57e7f</t>
  </si>
  <si>
    <t>58ad3474a2393a143df57e81</t>
  </si>
  <si>
    <t>58ad3474a2393a143df57e82</t>
  </si>
  <si>
    <t>58ad3474a2393a143df57e83</t>
  </si>
  <si>
    <t>58ad3474a2393a143df57e84</t>
  </si>
  <si>
    <t>58ad3474a2393a143df57e88</t>
  </si>
  <si>
    <t>58ad3474a2393a143df57e8a</t>
  </si>
  <si>
    <t>5cf63a77d5f2c95193778aca</t>
  </si>
  <si>
    <t>5cf63a77d5f2c95193778acc</t>
  </si>
  <si>
    <t>58ad3473a2393a143df57dc1</t>
  </si>
  <si>
    <t>58ad3474a2393a143df57eef</t>
  </si>
  <si>
    <t>58ad3474a2393a143df57ef4</t>
  </si>
  <si>
    <t>58ad3474a2393a143df57efb</t>
  </si>
  <si>
    <t>58ad3474a2393a143df57f04</t>
  </si>
  <si>
    <t>58ad3474a2393a143df57ee1</t>
  </si>
  <si>
    <t>58ad3474a2393a143df57ee6</t>
  </si>
  <si>
    <t>5cf63a77d5f2c95193778ad4</t>
  </si>
  <si>
    <t>58ad3473a2393a143df57d8c</t>
  </si>
  <si>
    <t>58ad3473a2393a143df57d8d</t>
  </si>
  <si>
    <t>58ad3473a2393a143df57d8f</t>
  </si>
  <si>
    <t>58ad3473a2393a143df57d93</t>
  </si>
  <si>
    <t>58ad3474a2393a143df57ee4</t>
  </si>
  <si>
    <t>58ad3474a2393a143df57ea5</t>
  </si>
  <si>
    <t>58ad3474a2393a143df57eb8</t>
  </si>
  <si>
    <t>58ad3474a2393a143df57eb9</t>
  </si>
  <si>
    <t>58ad3473a2393a143df57db6</t>
  </si>
  <si>
    <t>58ad3473a2393a143df57db7</t>
  </si>
  <si>
    <t>58ad3473a2393a143df57db8</t>
  </si>
  <si>
    <t>5cf63a76d5f2c95193778ab5</t>
  </si>
  <si>
    <t>5cf63a77d5f2c95193778ab8</t>
  </si>
  <si>
    <t>58ad3474a2393a143df57ee5</t>
  </si>
  <si>
    <t>58ad3474a2393a143df57eea</t>
  </si>
  <si>
    <t>58ad3474a2393a143df57eff</t>
  </si>
  <si>
    <t>5e452760c49dd4524decc7ce</t>
  </si>
  <si>
    <t>5ed77174c49dd437a9061dc1</t>
  </si>
  <si>
    <t>58ad3474a2393a143df57e1d</t>
  </si>
  <si>
    <t>58ad3474a2393a143df57e1f</t>
  </si>
  <si>
    <t>58ad3474a2393a143df57e21</t>
  </si>
  <si>
    <t>58ad3474a2393a143df57e29</t>
  </si>
  <si>
    <t>5cf63a77d5f2c95193778abe</t>
  </si>
  <si>
    <t>58ad3474a2393a143df57ecb</t>
  </si>
  <si>
    <t>5cf63a77d5f2c95193778ad3</t>
  </si>
  <si>
    <t>58ad3473a2393a143df57d95</t>
  </si>
  <si>
    <t>58ad3473a2393a143df57d9f</t>
  </si>
  <si>
    <t>58ad3473a2393a143df57da1</t>
  </si>
  <si>
    <t>58ad3474a2393a143df57e0f</t>
  </si>
  <si>
    <t>58ad3473a2393a143df57dca</t>
  </si>
  <si>
    <t>58ad3473a2393a143df57ddc</t>
  </si>
  <si>
    <t>58ad3473a2393a143df57de0</t>
  </si>
  <si>
    <t>58ad3474a2393a143df57de6</t>
  </si>
  <si>
    <t>58ad3474a2393a143df57dea</t>
  </si>
  <si>
    <t>5fa3fc9a5e75dd4802365274</t>
  </si>
  <si>
    <t>58ad3474a2393a143df57ede</t>
  </si>
  <si>
    <t>58ad3474a2393a143df57edf</t>
  </si>
  <si>
    <t>58ad3474a2393a143df57eee</t>
  </si>
  <si>
    <t>58ad3474a2393a143df57ef2</t>
  </si>
  <si>
    <t>58ad3474a2393a143df57e6e</t>
  </si>
  <si>
    <t>58ad3473a2393a143df57d96</t>
  </si>
  <si>
    <t>58ad3473a2393a143df57d9a</t>
  </si>
  <si>
    <t>58ad3473a2393a143df57d9d</t>
  </si>
  <si>
    <t>58ad3473a2393a143df57da2</t>
  </si>
  <si>
    <t>58ad3473a2393a143df57da4</t>
  </si>
  <si>
    <t>5eb6a2eac49dd41df4f12255</t>
  </si>
  <si>
    <t>58ad3473a2393a143df57dab</t>
  </si>
  <si>
    <t>58ad3473a2393a143df57dac</t>
  </si>
  <si>
    <t>58ad3473a2393a143df57daf</t>
  </si>
  <si>
    <t>58ad3473a2393a143df57db1</t>
  </si>
  <si>
    <t>5cf63a76d5f2c95193778ab2</t>
  </si>
  <si>
    <t>5cf63a76d5f2c95193778ab3</t>
  </si>
  <si>
    <t>58ad3474a2393a143df57f08</t>
  </si>
  <si>
    <t>58ad3474a2393a143df57f09</t>
  </si>
  <si>
    <t>58ad3474a2393a143df57f0a</t>
  </si>
  <si>
    <t>58ad3474a2393a143df57f0e</t>
  </si>
  <si>
    <t>58ad3474a2393a143df57f11</t>
  </si>
  <si>
    <t>58ad3474a2393a143df57f15</t>
  </si>
  <si>
    <t>5d8461431576322f4386009d</t>
  </si>
  <si>
    <t>58ad3473a2393a143df57dd3</t>
  </si>
  <si>
    <t>58ad3473a2393a143df57de3</t>
  </si>
  <si>
    <t>58ad3474a2393a143df57dec</t>
  </si>
  <si>
    <t>58ad3473a2393a143df57d77</t>
  </si>
  <si>
    <t>58ad3473a2393a143df57d78</t>
  </si>
  <si>
    <t>58ad3473a2393a143df57d7c</t>
  </si>
  <si>
    <t>58ad3473a2393a143df57d7e</t>
  </si>
  <si>
    <t>58ad3473a2393a143df57d7f</t>
  </si>
  <si>
    <t>593e54685d817274e9b3f4e1</t>
  </si>
  <si>
    <t>5fa3fc9a5e75dd4802365270</t>
  </si>
  <si>
    <t>58ad3473a2393a143df57d5d</t>
  </si>
  <si>
    <t>58ad3474a2393a143df57e69</t>
  </si>
  <si>
    <t>58ad3474a2393a143df57e6a</t>
  </si>
  <si>
    <t>58ad3474a2393a143df57e6b</t>
  </si>
  <si>
    <t>58ad3473a2393a143df57d9b</t>
  </si>
  <si>
    <t>58ad3473a2393a143df57d9e</t>
  </si>
  <si>
    <t>58ad3473a2393a143df57da3</t>
  </si>
  <si>
    <t>58ad3473a2393a143df57da6</t>
  </si>
  <si>
    <t>58ad3473a2393a143df57da9</t>
  </si>
  <si>
    <t>5cf63a76d5f2c95193778aad</t>
  </si>
  <si>
    <t>58ad3474a2393a143df57e98</t>
  </si>
  <si>
    <t>58ad3474a2393a143df57ea0</t>
  </si>
  <si>
    <t>58ad3474a2393a143df57eac</t>
  </si>
  <si>
    <t>58ad3474a2393a143df57eb0</t>
  </si>
  <si>
    <t>58ad3474a2393a143df57e34</t>
  </si>
  <si>
    <t>58ad3474a2393a143df57e38</t>
  </si>
  <si>
    <t>5cf63a77d5f2c95193778ac2</t>
  </si>
  <si>
    <t>58ad3473a2393a143df57d6a</t>
  </si>
  <si>
    <t>58ad3473a2393a143df57d6c</t>
  </si>
  <si>
    <t>58ad3474a2393a143df57e2e</t>
  </si>
  <si>
    <t>58ad3474a2393a143df57e31</t>
  </si>
  <si>
    <t>58ad3474a2393a143df57e39</t>
  </si>
  <si>
    <t>58ad3474a2393a143df57e4b</t>
  </si>
  <si>
    <t>58ad3474a2393a143df57e4e</t>
  </si>
  <si>
    <t>58ad3474a2393a143df57e50</t>
  </si>
  <si>
    <t>58ad3474a2393a143df57e58</t>
  </si>
  <si>
    <t>5fa3fc9a5e75dd480236527a</t>
  </si>
  <si>
    <t>58ad3473a2393a143df57dc0</t>
  </si>
  <si>
    <t>58ad3473a2393a143df57dd5</t>
  </si>
  <si>
    <t>58ad3473a2393a143df57dd7</t>
  </si>
  <si>
    <t>58ad3473a2393a143df57dda</t>
  </si>
  <si>
    <t>58ad3473a2393a143df57ddb</t>
  </si>
  <si>
    <t>58ad3474a2393a143df57e15</t>
  </si>
  <si>
    <t>5cf63a76d5f2c95193778ab0</t>
  </si>
  <si>
    <t>58ad3473a2393a143df57d79</t>
  </si>
  <si>
    <t>58ad3473a2393a143df57d7d</t>
  </si>
  <si>
    <t>58ad3473a2393a143df57dbf</t>
  </si>
  <si>
    <t>58ad3474a2393a143df57e8b</t>
  </si>
  <si>
    <t>58ad3474a2393a143df57f0c</t>
  </si>
  <si>
    <t>58ad3474a2393a143df57ef3</t>
  </si>
  <si>
    <t>58ad3474a2393a143df57efe</t>
  </si>
  <si>
    <t>5fd0c9d05e75dd749319d651</t>
  </si>
  <si>
    <t>58ad3474a2393a143df57e0b</t>
  </si>
  <si>
    <t>58ad3473a2393a143df57d72</t>
  </si>
  <si>
    <t>58ad3474a2393a143df57e5d</t>
  </si>
  <si>
    <t>58ad3474a2393a143df57ed4</t>
  </si>
  <si>
    <t>58ad3473a2393a143df57d4e</t>
  </si>
  <si>
    <t>58ad3473a2393a143df57d5b</t>
  </si>
  <si>
    <t>58ad3474a2393a143df57e3e</t>
  </si>
  <si>
    <t>58ad3474a2393a143df57e42</t>
  </si>
  <si>
    <t>58ad3474a2393a143df57e44</t>
  </si>
  <si>
    <t>58ad3474a2393a143df57ebc</t>
  </si>
  <si>
    <t>58ad3474a2393a143df57ec6</t>
  </si>
  <si>
    <t>58ad3474a2393a143df57ec8</t>
  </si>
  <si>
    <t>58ad3474a2393a143df57e7e</t>
  </si>
  <si>
    <t>5cf63a76d5f2c95193778ab1</t>
  </si>
  <si>
    <t>5cf63a77d5f2c95193778acd</t>
  </si>
  <si>
    <t>58ad3474a2393a143df57e91</t>
  </si>
  <si>
    <t>58ad3474a2393a143df57ea3</t>
  </si>
  <si>
    <t>58ad3474a2393a143df57ea6</t>
  </si>
  <si>
    <t>58ad3473a2393a143df57d94</t>
  </si>
  <si>
    <t>58ad3474a2393a143df57e46</t>
  </si>
  <si>
    <t>58ad3474a2393a143df57e4c</t>
  </si>
  <si>
    <t>58ad3473a2393a143df57dc3</t>
  </si>
  <si>
    <t>58ad3473a2393a143df57dce</t>
  </si>
  <si>
    <t>58ad3473a2393a143df57dd2</t>
  </si>
  <si>
    <t>58ad3474a2393a143df57df5</t>
  </si>
  <si>
    <t>5cf63a77d5f2c95193778abc</t>
  </si>
  <si>
    <t>58ad3474a2393a143df57e7d</t>
  </si>
  <si>
    <t>58ad3474a2393a143df57e86</t>
  </si>
  <si>
    <t>58ad3474a2393a143df57e87</t>
  </si>
  <si>
    <t>5e4528e3c49dd4524decc7d7</t>
  </si>
  <si>
    <t>58ad3474a2393a143df57e1e</t>
  </si>
  <si>
    <t>58ad3474a2393a143df57e20</t>
  </si>
  <si>
    <t>58ad3474a2393a143df57e24</t>
  </si>
  <si>
    <t>58ad3474a2393a143df57f0b</t>
  </si>
  <si>
    <t>58ad3474a2393a143df57f10</t>
  </si>
  <si>
    <t>5cf63a77d5f2c95193778ad8</t>
  </si>
  <si>
    <t>5f37fae2c49dd4484a3bcca5</t>
  </si>
  <si>
    <t>58ad3474a2393a143df57ea1</t>
  </si>
  <si>
    <t>58ad3474a2393a143df57eaa</t>
  </si>
  <si>
    <t>5f4c9952c49dd42f255da986</t>
  </si>
  <si>
    <t>58ad3474a2393a143df57ea2</t>
  </si>
  <si>
    <t>58ad3474a2393a143df57ea4</t>
  </si>
  <si>
    <t>58ad3474a2393a143df57eae</t>
  </si>
  <si>
    <t>58ad3474a2393a143df57eb1</t>
  </si>
  <si>
    <t>58ad3474a2393a143df57eb2</t>
  </si>
  <si>
    <t>58ad3474a2393a143df57eb3</t>
  </si>
  <si>
    <t>5fd0c9d05e75dd749319d64e</t>
  </si>
  <si>
    <t>58ad3473a2393a143df57d53</t>
  </si>
  <si>
    <t>58ad3474a2393a143df57e60</t>
  </si>
  <si>
    <t>58ad3474a2393a143df57e64</t>
  </si>
  <si>
    <t>58ad3474a2393a143df57e66</t>
  </si>
  <si>
    <t>5b83a6f91576323364b49b39</t>
  </si>
  <si>
    <t>58ad3474a2393a143df57e9e</t>
  </si>
  <si>
    <t>58ad3474a2393a143df57e35</t>
  </si>
  <si>
    <t>58ad3474a2393a143df57e3d</t>
  </si>
  <si>
    <t>58ad3474a2393a143df57e41</t>
  </si>
  <si>
    <t>58ad3473a2393a143df57d89</t>
  </si>
  <si>
    <t>58ad3473a2393a143df57d8a</t>
  </si>
  <si>
    <t>593e548a5d817274e9b3f4e3</t>
  </si>
  <si>
    <t>58ad3474a2393a143df57ebe</t>
  </si>
  <si>
    <t>58ad3474a2393a143df57ec1</t>
  </si>
  <si>
    <t>58ad3474a2393a143df57ecd</t>
  </si>
  <si>
    <t>58ad3474a2393a143df57ece</t>
  </si>
  <si>
    <t>58ad3474a2393a143df57e63</t>
  </si>
  <si>
    <t>58ad3474a2393a143df57e67</t>
  </si>
  <si>
    <t>58ad3474a2393a143df57f12</t>
  </si>
  <si>
    <t>58ad3474a2393a143df57f13</t>
  </si>
  <si>
    <t>58ad3474a2393a143df57f14</t>
  </si>
  <si>
    <t>58ad3474a2393a143df57f17</t>
  </si>
  <si>
    <t>58ad3474a2393a143df57f19</t>
  </si>
  <si>
    <t>58ad3474a2393a143df57e2f</t>
  </si>
  <si>
    <t>58ad3474a2393a143df57e32</t>
  </si>
  <si>
    <t>58ad3474a2393a143df57e52</t>
  </si>
  <si>
    <t>58ad3474a2393a143df57e71</t>
  </si>
  <si>
    <t>58ad3474a2393a143df57e74</t>
  </si>
  <si>
    <t>58ad3474a2393a143df57e76</t>
  </si>
  <si>
    <t>58ad3474a2393a143df57e77</t>
  </si>
  <si>
    <t>58ad3474a2393a143df57e78</t>
  </si>
  <si>
    <t>58ad3474a2393a143df57e7a</t>
  </si>
  <si>
    <t>58ad3473a2393a143df57de4</t>
  </si>
  <si>
    <t>58ad3474a2393a143df57e5a</t>
  </si>
  <si>
    <t>58ad3474a2393a143df57e40</t>
  </si>
  <si>
    <t>58ad3474a2393a143df57e47</t>
  </si>
  <si>
    <t>58ad3474a2393a143df57e55</t>
  </si>
  <si>
    <t>58ad3474a2393a143df57e5c</t>
  </si>
  <si>
    <t>58ad3473a2393a143df57dba</t>
  </si>
  <si>
    <t>58ad3473a2393a143df57d99</t>
  </si>
  <si>
    <t>5e452842c49dd4524decc7d3</t>
  </si>
  <si>
    <t>AK06MMC</t>
  </si>
  <si>
    <t>MT30MMA</t>
  </si>
  <si>
    <t>MT32MMD</t>
  </si>
  <si>
    <t>PJG08MMB</t>
  </si>
  <si>
    <t>SBK15MMG</t>
  </si>
  <si>
    <t>SBK20MMC</t>
  </si>
  <si>
    <t>SD07MMG</t>
  </si>
  <si>
    <t>SD10MME</t>
  </si>
  <si>
    <t>SMP27MMC</t>
  </si>
  <si>
    <t>Yes</t>
  </si>
  <si>
    <t>No</t>
  </si>
  <si>
    <t>NHP624</t>
  </si>
  <si>
    <t>Bindhu Shree</t>
  </si>
  <si>
    <t>Paras Prabhudas</t>
  </si>
  <si>
    <t>Sachin Nair</t>
  </si>
  <si>
    <t>Wasim</t>
  </si>
  <si>
    <t>Zahid</t>
  </si>
  <si>
    <t>5fa3fc9a5e75dd480236527e</t>
  </si>
  <si>
    <t>58ad3474a2393a143df57eba</t>
  </si>
  <si>
    <t>58ad3473a2393a143df57d81</t>
  </si>
  <si>
    <t>58ad3474a2393a143df57e23</t>
  </si>
  <si>
    <t>58ad3474a2393a143df57e2a</t>
  </si>
  <si>
    <t>5cf63a77d5f2c95193778ac0</t>
  </si>
  <si>
    <t>5fa3fc9a5e75dd4802365277</t>
  </si>
  <si>
    <t>58ad3474a2393a143df57e01</t>
  </si>
  <si>
    <t>58ad3473a2393a143df57d5c</t>
  </si>
  <si>
    <t>58ad3473a2393a143df57d76</t>
  </si>
  <si>
    <t>58ad3474a2393a143df57e96</t>
  </si>
  <si>
    <t>58ad3474a2393a143df57df9</t>
  </si>
  <si>
    <t>58ad3474a2393a143df57e11</t>
  </si>
  <si>
    <t>5fd0c9d05e75dd749319d64a</t>
  </si>
  <si>
    <t>58ad3474a2393a143df57ebb</t>
  </si>
  <si>
    <t>63ac7624c4256458ac245f09</t>
  </si>
  <si>
    <t>5cf63a77d5f2c95193778ac1</t>
  </si>
  <si>
    <t>5fa3fc9a5e75dd4802365275</t>
  </si>
  <si>
    <t>5fa3fc9a5e75dd4802365276</t>
  </si>
  <si>
    <t>58ad3474a2393a143df57f0d</t>
  </si>
  <si>
    <t>5fa3fc9a5e75dd480236527c</t>
  </si>
  <si>
    <t>5fa3fc9a5e75dd4802365280</t>
  </si>
  <si>
    <t>58ad3474a2393a143df57f16</t>
  </si>
  <si>
    <t>58ad3474a2393a143df57e2d</t>
  </si>
  <si>
    <t>58ad3473a2393a143df57de1</t>
  </si>
  <si>
    <t>58ad3474a2393a143df57e53</t>
  </si>
  <si>
    <t>ABB17MMI</t>
  </si>
  <si>
    <t>SBK16MMA</t>
  </si>
  <si>
    <t>G10</t>
  </si>
  <si>
    <t>REVENUE (Marrow)</t>
  </si>
  <si>
    <t>REVENUE (E-gurukul)</t>
  </si>
  <si>
    <t>58ad3474a2393a143df57ed1</t>
  </si>
  <si>
    <t>5f8d2034c49dd47c6b80fdd5</t>
  </si>
  <si>
    <t>58ad3474a2393a143df57e17</t>
  </si>
  <si>
    <t>58ad3474a2393a143df57e9d</t>
  </si>
  <si>
    <t>58ad3473a2393a143df57dbb</t>
  </si>
  <si>
    <t>ADK01MMF</t>
  </si>
  <si>
    <t>MT27MME</t>
  </si>
  <si>
    <t>No such Cases</t>
  </si>
  <si>
    <t>Ajeet-R1</t>
  </si>
  <si>
    <t>R1-Ajeet</t>
  </si>
  <si>
    <t>NHP665</t>
  </si>
  <si>
    <t>Sukhnoor Singh</t>
  </si>
  <si>
    <t>NHP664</t>
  </si>
  <si>
    <t>R2-Akar</t>
  </si>
  <si>
    <t>Akar-R2</t>
  </si>
  <si>
    <t>R3-Anjaney</t>
  </si>
  <si>
    <t>Anjaney-R3</t>
  </si>
  <si>
    <t>Susmita-R4</t>
  </si>
  <si>
    <t>R5-Rameez</t>
  </si>
  <si>
    <t>Rameez-R5</t>
  </si>
  <si>
    <t>Suresh-R6</t>
  </si>
  <si>
    <t>R4-Susmita</t>
  </si>
  <si>
    <t>Rajat-R7</t>
  </si>
  <si>
    <t>Sukanthan-R8</t>
  </si>
  <si>
    <t>Dinesh Kumar</t>
  </si>
  <si>
    <t>NHP647</t>
  </si>
  <si>
    <t>Praveen Raj</t>
  </si>
  <si>
    <t>Srinivasan-R9</t>
  </si>
  <si>
    <t>Jeyaganesh Balaji</t>
  </si>
  <si>
    <t>NHP545</t>
  </si>
  <si>
    <t>Vinod-R10</t>
  </si>
  <si>
    <t>Saif-R11</t>
  </si>
  <si>
    <t>R1</t>
  </si>
  <si>
    <t>NHI101</t>
  </si>
  <si>
    <t>NHI100</t>
  </si>
  <si>
    <t>R2</t>
  </si>
  <si>
    <t>R3</t>
  </si>
  <si>
    <t>R4</t>
  </si>
  <si>
    <t>R5</t>
  </si>
  <si>
    <t>R6</t>
  </si>
  <si>
    <t>Loka Phanindra</t>
  </si>
  <si>
    <t>R7</t>
  </si>
  <si>
    <t>R8</t>
  </si>
  <si>
    <t>R9</t>
  </si>
  <si>
    <t>R10</t>
  </si>
  <si>
    <t>(Individual)</t>
  </si>
  <si>
    <t>(11 Team Owners)</t>
  </si>
  <si>
    <t>5fd0c9d05e75dd749319d650</t>
  </si>
  <si>
    <t>58ad3474a2393a143df57e9f</t>
  </si>
  <si>
    <t>58ad3473a2393a143df57d54</t>
  </si>
  <si>
    <t>58ad3473a2393a143df57d63</t>
  </si>
  <si>
    <t>58ad3473a2393a143df57dd9</t>
  </si>
  <si>
    <t>PJG18MMB</t>
  </si>
  <si>
    <t>SFR47MMA</t>
  </si>
  <si>
    <t xml:space="preserve">Shariq </t>
  </si>
  <si>
    <t>NHP679</t>
  </si>
  <si>
    <t xml:space="preserve">Ankit KumarJ ha </t>
  </si>
  <si>
    <t>NHP672</t>
  </si>
  <si>
    <t>Adarsh Kumar</t>
  </si>
  <si>
    <t>NHP670</t>
  </si>
  <si>
    <t>Sumit Gupta</t>
  </si>
  <si>
    <t>NHP680</t>
  </si>
  <si>
    <t>Rishika Jain</t>
  </si>
  <si>
    <t>NHP677</t>
  </si>
  <si>
    <t>Nilotpal Gautam Sharma</t>
  </si>
  <si>
    <t>NHP675</t>
  </si>
  <si>
    <t>Saswati Mohapatra</t>
  </si>
  <si>
    <t>NHP678</t>
  </si>
  <si>
    <t>Prashant Vaibhav</t>
  </si>
  <si>
    <t>NHP676</t>
  </si>
  <si>
    <t>Amey Jadhav</t>
  </si>
  <si>
    <t>NHP671</t>
  </si>
  <si>
    <t>Rakesh TK</t>
  </si>
  <si>
    <t>NHP682</t>
  </si>
  <si>
    <t>Shariq Bhat</t>
  </si>
  <si>
    <t>Ankit Jha</t>
  </si>
  <si>
    <t>Nilotpal Sharma</t>
  </si>
  <si>
    <t>58ad3473a2393a143df57d61</t>
  </si>
  <si>
    <t>58ad3474a2393a143df57e99</t>
  </si>
  <si>
    <t>58ad3473a2393a143df57d55</t>
  </si>
  <si>
    <t>58ad3474a2393a143df57e48</t>
  </si>
  <si>
    <t>5fd0c9bf5e75dd749319d647</t>
  </si>
  <si>
    <t>5de512636166ff5c379f0626</t>
  </si>
  <si>
    <t>5fd0c9d05e75dd749319d652</t>
  </si>
  <si>
    <t>58ad3473a2393a143df57dd0</t>
  </si>
  <si>
    <t>AMD36MMC</t>
  </si>
  <si>
    <t>AMD43MMG</t>
  </si>
  <si>
    <t>ADK14MMC</t>
  </si>
  <si>
    <t>NMR27MME</t>
  </si>
  <si>
    <t>PJG16MME</t>
  </si>
  <si>
    <t>SGS07MMC</t>
  </si>
  <si>
    <t>SBK27MMZ</t>
  </si>
  <si>
    <t>TSF23MMC</t>
  </si>
  <si>
    <t>Dakshesh Sood</t>
  </si>
  <si>
    <t>NHP673</t>
  </si>
  <si>
    <t>Ajmal Shan</t>
  </si>
  <si>
    <t>NHP683</t>
  </si>
  <si>
    <t>Anupam Rai</t>
  </si>
  <si>
    <t>NHP684</t>
  </si>
  <si>
    <t>5fd0c9d05e75dd749319d648</t>
  </si>
  <si>
    <t>6230634323462985f8794d73</t>
  </si>
  <si>
    <t>58ad3474a2393a143df57f01</t>
  </si>
  <si>
    <t>ARK01MMC</t>
  </si>
  <si>
    <t>ARK02MMD</t>
  </si>
  <si>
    <t>ALS06MMI</t>
  </si>
  <si>
    <t>ANG21MMY</t>
  </si>
  <si>
    <t>MT43MMA</t>
  </si>
  <si>
    <t>RMZ49MMF</t>
  </si>
  <si>
    <t>SRT04MME</t>
  </si>
  <si>
    <t>SRT04FCE</t>
  </si>
  <si>
    <t>SRT15MMA</t>
  </si>
  <si>
    <t>SFR42MMD</t>
  </si>
  <si>
    <t>WLC21MMF</t>
  </si>
  <si>
    <t>58ad3474a2393a143df57e12</t>
  </si>
  <si>
    <t>SD07FCG</t>
  </si>
  <si>
    <t>MT32FCD</t>
  </si>
  <si>
    <t>PS04MMH</t>
  </si>
  <si>
    <t>ARK05MMA</t>
  </si>
  <si>
    <t>PJG08FCB</t>
  </si>
  <si>
    <t>Q3</t>
  </si>
  <si>
    <t>Q3 FY24-25</t>
  </si>
  <si>
    <t>Q3 Sales Split</t>
  </si>
  <si>
    <t>Oct24 ProRata Incentive</t>
  </si>
  <si>
    <t>Nov24 ProRata Incentive</t>
  </si>
  <si>
    <t>Dec24 ProRata Incentive</t>
  </si>
  <si>
    <t>Sachin Sharma</t>
  </si>
  <si>
    <t>NHP698</t>
  </si>
  <si>
    <t>Anoof M</t>
  </si>
  <si>
    <t>NHP668</t>
  </si>
  <si>
    <t>58ad3473a2393a143df57d67</t>
  </si>
  <si>
    <t>SMP26MMG</t>
  </si>
  <si>
    <t>SMP26FCG</t>
  </si>
  <si>
    <t>TSF25MMB</t>
  </si>
  <si>
    <t>NHP681</t>
  </si>
  <si>
    <t>Santhosh G</t>
  </si>
  <si>
    <t>NHP719</t>
  </si>
  <si>
    <t>58ad3473a2393a143df57d91</t>
  </si>
  <si>
    <t>63ac78e0c4256458ac245f18</t>
  </si>
  <si>
    <t>PND53MMF</t>
  </si>
  <si>
    <t>KH28MMI</t>
  </si>
  <si>
    <t>SMP27FCC</t>
  </si>
  <si>
    <t>ZM</t>
  </si>
  <si>
    <t>Q4 Sales Split</t>
  </si>
  <si>
    <t>AKS47MMJ</t>
  </si>
  <si>
    <t>AJ62MMI</t>
  </si>
  <si>
    <t>KH08MMJ</t>
  </si>
  <si>
    <t>MSH42MML</t>
  </si>
  <si>
    <t>MSH42FCL</t>
  </si>
  <si>
    <t>USH07MMH</t>
  </si>
  <si>
    <t>Sumit Kumar Singh</t>
  </si>
  <si>
    <t>NHP709</t>
  </si>
  <si>
    <t>Sumit Kumar</t>
  </si>
  <si>
    <t>PND52MMC</t>
  </si>
  <si>
    <t>JGB09MMF</t>
  </si>
  <si>
    <t>VBH02MMB</t>
  </si>
  <si>
    <t>63ac77cbc4256458ac245f12</t>
  </si>
  <si>
    <t>Ayush Choubey</t>
  </si>
  <si>
    <t>NHP727</t>
  </si>
  <si>
    <t>FY24-25</t>
  </si>
  <si>
    <t>Total Achieved</t>
  </si>
  <si>
    <t>ZM INCENTIVE</t>
  </si>
  <si>
    <t>ACB01MMA</t>
  </si>
  <si>
    <t>PND55MML</t>
  </si>
  <si>
    <t>MKH24MMI</t>
  </si>
  <si>
    <t>NK04MMG</t>
  </si>
  <si>
    <t>SGS09MME</t>
  </si>
  <si>
    <t>STR33MMQ</t>
  </si>
  <si>
    <t>USH05MMH</t>
  </si>
  <si>
    <t>Troopers</t>
  </si>
  <si>
    <t>Employee IDs</t>
  </si>
  <si>
    <t>Submanagers</t>
  </si>
  <si>
    <t>April Base</t>
  </si>
  <si>
    <t>April WC</t>
  </si>
  <si>
    <t>Sambit Kumar</t>
  </si>
  <si>
    <t>NHP717</t>
  </si>
  <si>
    <t>Manasvi Dhoke</t>
  </si>
  <si>
    <t>NHP674</t>
  </si>
  <si>
    <t>593e54a55d817274e9b3f4e4</t>
  </si>
  <si>
    <t>5e452868c49dd4524decc7d5</t>
  </si>
  <si>
    <t>621362a39a4dba8b66406a1e</t>
  </si>
  <si>
    <t>649aa7004b65be6684b91d3b</t>
  </si>
  <si>
    <t>58ad3473a2393a143df57dbd</t>
  </si>
  <si>
    <t>PND58MMC</t>
  </si>
  <si>
    <t>SNS02MMC</t>
  </si>
  <si>
    <t>PND56MMH</t>
  </si>
  <si>
    <t>PND56FCH</t>
  </si>
  <si>
    <t>ARK05FCA</t>
  </si>
  <si>
    <t>ACB04MMD</t>
  </si>
  <si>
    <t>SBK19MMB</t>
  </si>
  <si>
    <t>KH12MMG</t>
  </si>
  <si>
    <t>ARK01FCC</t>
  </si>
  <si>
    <t>NK39MMZ</t>
  </si>
  <si>
    <t>NK40MMC</t>
  </si>
  <si>
    <t>PJG24MMD</t>
  </si>
  <si>
    <t>STR33MMR</t>
  </si>
  <si>
    <t>SSH39MMF</t>
  </si>
  <si>
    <t>JGB09FCF</t>
  </si>
  <si>
    <t>MSR02MMD</t>
  </si>
  <si>
    <t>MSR02FCD</t>
  </si>
  <si>
    <t>MBK04MMA</t>
  </si>
  <si>
    <t>SMP31MME</t>
  </si>
  <si>
    <t>SMP31FCE</t>
  </si>
  <si>
    <t>SMP29FCF</t>
  </si>
  <si>
    <t>SMP29MMF</t>
  </si>
  <si>
    <t>G5</t>
  </si>
  <si>
    <t>Done</t>
  </si>
  <si>
    <t>Shaktinandan Akhilesh</t>
  </si>
  <si>
    <t>NHP736</t>
  </si>
  <si>
    <t>JAS</t>
  </si>
  <si>
    <t>OND</t>
  </si>
  <si>
    <t>JFM</t>
  </si>
  <si>
    <t>Base Revenue</t>
  </si>
  <si>
    <t>Base for April-June</t>
  </si>
  <si>
    <t>58ad3473a2393a143df57db9</t>
  </si>
  <si>
    <t>AMD47MMK</t>
  </si>
  <si>
    <t>58ad3473a2393a143df57d70</t>
  </si>
  <si>
    <t>58ad3474a2393a143df57ed3</t>
  </si>
  <si>
    <t>5fa3fc9a5e75dd4802365273</t>
  </si>
  <si>
    <t>ABB06MMY</t>
  </si>
  <si>
    <t>58ad3474a2393a143df57e75</t>
  </si>
  <si>
    <t>MT27FCE</t>
  </si>
  <si>
    <t>PS16MMG</t>
  </si>
  <si>
    <t>58ad3473a2393a143df57d6e</t>
  </si>
  <si>
    <t>58ad3474a2393a143df57e5e</t>
  </si>
  <si>
    <t>58ad3474a2393a143df57e16</t>
  </si>
  <si>
    <t>ALS09MMH</t>
  </si>
  <si>
    <t>5cf63a77d5f2c95193778ac9</t>
  </si>
  <si>
    <t>58ad3474a2393a143df57e95</t>
  </si>
  <si>
    <t>SNG20MMG</t>
  </si>
  <si>
    <t>58ad3474a2393a143df57ee0</t>
  </si>
  <si>
    <t>SMP27MMF</t>
  </si>
  <si>
    <t>AMD41MMB</t>
  </si>
  <si>
    <t>HDN38MMA</t>
  </si>
  <si>
    <t>NK12MMF</t>
  </si>
  <si>
    <t>TSF09MMA</t>
  </si>
  <si>
    <t>5e45281cc49dd4524decc7d2</t>
  </si>
  <si>
    <t>58ad3474a2393a143df57e94</t>
  </si>
  <si>
    <t>5dd64fe46166ff06e6f45707</t>
  </si>
  <si>
    <t>58ad3473a2393a143df57dcb</t>
  </si>
  <si>
    <t>AKJ07MMA</t>
  </si>
  <si>
    <t>58ad3473a2393a143df57d7a</t>
  </si>
  <si>
    <t>MT39MMY</t>
  </si>
  <si>
    <t>58ad3473a2393a143df57d73</t>
  </si>
  <si>
    <t>NGS09MMG</t>
  </si>
  <si>
    <t>58ad3473a2393a143df57d62</t>
  </si>
  <si>
    <t>NNT02MMF</t>
  </si>
  <si>
    <t>5cf63a76d5f2c95193778aae</t>
  </si>
  <si>
    <t>PS05MMF</t>
  </si>
  <si>
    <t>58ad3474a2393a143df57e0d</t>
  </si>
  <si>
    <t>58ad3474a2393a143df57e54</t>
  </si>
  <si>
    <t>WLC22MMG</t>
  </si>
  <si>
    <t>623064a423462985f8794d7f</t>
  </si>
  <si>
    <t>ADN46MMY</t>
  </si>
  <si>
    <t>63aeec63463cae3db37ddb33</t>
  </si>
  <si>
    <t>ZMB10MMX</t>
  </si>
  <si>
    <t>58ad3473a2393a143df57daa</t>
  </si>
  <si>
    <t>ABB06MMA</t>
  </si>
  <si>
    <t>58ad3474a2393a143df57df8</t>
  </si>
  <si>
    <t>PS12MMI</t>
  </si>
  <si>
    <t>ADK18MMH</t>
  </si>
  <si>
    <t>ZMB02MMZ</t>
  </si>
  <si>
    <t>63ac7574c4256458ac245f05</t>
  </si>
  <si>
    <t>58ad3474a2393a143df57e2c</t>
  </si>
  <si>
    <t>58ad3474a2393a143df57df0</t>
  </si>
  <si>
    <t>58ad3474a2393a143df57eb5</t>
  </si>
  <si>
    <t>58ad3474a2393a143df57e8e</t>
  </si>
  <si>
    <t>5d95debb15763268e33696ad</t>
  </si>
  <si>
    <t>58ad3473a2393a143df57dd1</t>
  </si>
  <si>
    <t>AKJ03MMI</t>
  </si>
  <si>
    <t>ANG18MMG</t>
  </si>
  <si>
    <t>ANG18FCG</t>
  </si>
  <si>
    <t>NK35MMH</t>
  </si>
  <si>
    <t>SVS12MML</t>
  </si>
  <si>
    <t>HDN37MMB</t>
  </si>
  <si>
    <t>PS22MMB</t>
  </si>
  <si>
    <t>SFR18MMD</t>
  </si>
  <si>
    <t>WLC01MMF</t>
  </si>
  <si>
    <t>LPV04MME</t>
  </si>
  <si>
    <t>JGB12MMI</t>
  </si>
  <si>
    <t>NMR27FCE</t>
  </si>
  <si>
    <t>SOS09MMG</t>
  </si>
  <si>
    <t>ABB03MMB</t>
  </si>
  <si>
    <t>USH12MMB</t>
  </si>
  <si>
    <t>USH06MMZ</t>
  </si>
  <si>
    <t>AK06FCC</t>
  </si>
  <si>
    <t>FY 25-26</t>
  </si>
  <si>
    <t>AMJ</t>
  </si>
  <si>
    <t>AMJ - Q1</t>
  </si>
  <si>
    <t>ZM Incentives (Quarterly)</t>
  </si>
  <si>
    <t>R2-Independent(Divyansh)</t>
  </si>
  <si>
    <t>R6-Saif</t>
  </si>
  <si>
    <t>R8-Independent(Rajat)</t>
  </si>
  <si>
    <t>R7-Independent MH (Rajat)</t>
  </si>
  <si>
    <t>R11-Independent(Akshay)</t>
  </si>
  <si>
    <t>Ushaswini K</t>
  </si>
  <si>
    <t>R9-Sukanthan</t>
  </si>
  <si>
    <t>R10-Srinivasan</t>
  </si>
  <si>
    <t>Anoof</t>
  </si>
  <si>
    <t>R1-Ajeet Total</t>
  </si>
  <si>
    <t>R3-Anjaney Total</t>
  </si>
  <si>
    <t>R11</t>
  </si>
  <si>
    <t>Q2</t>
  </si>
  <si>
    <t>Q2 FY25-26</t>
  </si>
  <si>
    <t>Q2 Sales Split</t>
  </si>
  <si>
    <t>Jul25 ProRata Incentive</t>
  </si>
  <si>
    <t>Aug25 ProRata Incentive</t>
  </si>
  <si>
    <t>Sep25 ProRata Incentive</t>
  </si>
  <si>
    <t>JAS Revenue</t>
  </si>
  <si>
    <t>OND Revenue</t>
  </si>
  <si>
    <t>JFM Revenue</t>
  </si>
  <si>
    <t>Base Units</t>
  </si>
  <si>
    <t>Biswadip</t>
  </si>
  <si>
    <t>Rajat</t>
  </si>
  <si>
    <t>Akshay</t>
  </si>
  <si>
    <t>Rohit</t>
  </si>
  <si>
    <t>Foundation Sales</t>
  </si>
  <si>
    <t>First year MBBS units</t>
  </si>
  <si>
    <t>Incremental slab</t>
  </si>
  <si>
    <t>Foundation Sales Count</t>
  </si>
  <si>
    <t>Incremental slab %</t>
  </si>
  <si>
    <t>ZM's</t>
  </si>
  <si>
    <t>JAS - Q2 (July)</t>
  </si>
  <si>
    <t>JAS - Q2 (Aug)</t>
  </si>
  <si>
    <t>58ad3474a2393a143df57e10</t>
  </si>
  <si>
    <t>58ad3474a2393a143df57eb6</t>
  </si>
  <si>
    <t>5fa3faf95e75dd452de75061</t>
  </si>
  <si>
    <t>5fd0c9d05e75dd749319d64d</t>
  </si>
  <si>
    <t>58ad3474a2393a143df57e61</t>
  </si>
  <si>
    <t>62306a6023462985f8794da6</t>
  </si>
  <si>
    <t>6230698c23462985f8794d9e</t>
  </si>
  <si>
    <t>58ad3473a2393a143df57db5</t>
  </si>
  <si>
    <t>ABB20MMK</t>
  </si>
  <si>
    <t>ADN53MMA</t>
  </si>
  <si>
    <t>ALS06FCI</t>
  </si>
  <si>
    <t>ALS16MME</t>
  </si>
  <si>
    <t>MKH48MMD</t>
  </si>
  <si>
    <t>AMY12MMG</t>
  </si>
  <si>
    <t>AJ66MMZ</t>
  </si>
  <si>
    <t>ANG17MMB</t>
  </si>
  <si>
    <t>ANG24MMC</t>
  </si>
  <si>
    <t>ANG24MMD</t>
  </si>
  <si>
    <t>ANG18MMH</t>
  </si>
  <si>
    <t>KH28FCI</t>
  </si>
  <si>
    <t>JGB08MME</t>
  </si>
  <si>
    <t>LPV07MMF</t>
  </si>
  <si>
    <t>MNS11MME</t>
  </si>
  <si>
    <t>MNS15MMZ</t>
  </si>
  <si>
    <t>MNS15FCZ</t>
  </si>
  <si>
    <t>MSR05MMF</t>
  </si>
  <si>
    <t>MSS11MMB</t>
  </si>
  <si>
    <t>NVL31MMA</t>
  </si>
  <si>
    <t>NK35MMG</t>
  </si>
  <si>
    <t>NK10MME</t>
  </si>
  <si>
    <t>NGS01MMA</t>
  </si>
  <si>
    <t>PJG19MMB</t>
  </si>
  <si>
    <t>RBT02MMK</t>
  </si>
  <si>
    <t>SNS04MMD</t>
  </si>
  <si>
    <t>SNS10MMH</t>
  </si>
  <si>
    <t>MBK11MMG</t>
  </si>
  <si>
    <t>MBK11FCG</t>
  </si>
  <si>
    <t>SOS17MMI</t>
  </si>
  <si>
    <t>SOS16MMF</t>
  </si>
  <si>
    <t>SQB01MMI</t>
  </si>
  <si>
    <t>SQB04MMF</t>
  </si>
  <si>
    <t>SVS27MMD</t>
  </si>
  <si>
    <t>SBK26MMH</t>
  </si>
  <si>
    <t>SNG28MME</t>
  </si>
  <si>
    <t>SRT18MMC</t>
  </si>
  <si>
    <t>SRT06MMD</t>
  </si>
  <si>
    <t>SFR43MMD</t>
  </si>
  <si>
    <t>SMK04MME</t>
  </si>
  <si>
    <t>SMP50MMC</t>
  </si>
  <si>
    <t>SMP46MMF</t>
  </si>
  <si>
    <t>TSF15MMD</t>
  </si>
  <si>
    <t>ZMB08MMH</t>
  </si>
  <si>
    <t>ZMB04MMO</t>
  </si>
  <si>
    <t>ZMB01MMA</t>
  </si>
  <si>
    <t xml:space="preserve">BDE/Individual Incentives (Monthly)	</t>
  </si>
  <si>
    <t>JAS - Q2 (Sept)</t>
  </si>
  <si>
    <t>63ac7a00c4256458ac245f1d</t>
  </si>
  <si>
    <t>623067aa23462985f8794d90</t>
  </si>
  <si>
    <t>62306a4023462985f8794da5</t>
  </si>
  <si>
    <t>ADN51MMB</t>
  </si>
  <si>
    <t>AK30MMC</t>
  </si>
  <si>
    <t>AK37MMX</t>
  </si>
  <si>
    <t>AMD51MMD</t>
  </si>
  <si>
    <t>AMD44MME</t>
  </si>
  <si>
    <t>AMD41FCB</t>
  </si>
  <si>
    <t>HDN38FCA</t>
  </si>
  <si>
    <t>ACB08MMH</t>
  </si>
  <si>
    <t>KH08FCJ</t>
  </si>
  <si>
    <t>JGB11MMF</t>
  </si>
  <si>
    <t>MSS05MMC</t>
  </si>
  <si>
    <t>NVL35MMO</t>
  </si>
  <si>
    <t>NVL32MME</t>
  </si>
  <si>
    <t>NK19MMA</t>
  </si>
  <si>
    <t>NGS07MMM</t>
  </si>
  <si>
    <t>NGS01FCA</t>
  </si>
  <si>
    <t>PJG20MMA</t>
  </si>
  <si>
    <t>MBK04FCA</t>
  </si>
  <si>
    <t>SGS04MMD</t>
  </si>
  <si>
    <t>SQB02MMZ</t>
  </si>
  <si>
    <t>SRT18FCC</t>
  </si>
  <si>
    <t>SRT05MML</t>
  </si>
  <si>
    <t>SSN10MME</t>
  </si>
  <si>
    <t>WLC09MMD</t>
  </si>
  <si>
    <t>Slab</t>
  </si>
  <si>
    <t xml:space="preserve">TM/BDM/Sr.BDE - Sub Managers Incentives (Monthly)	</t>
  </si>
  <si>
    <t>Zonal Managers Incentives (9 Months)</t>
  </si>
  <si>
    <t>Arundas Aravind</t>
  </si>
  <si>
    <t>Aattreya Ravindran</t>
  </si>
  <si>
    <t>NHP785</t>
  </si>
  <si>
    <t>NHP782</t>
  </si>
  <si>
    <t>Q3 FY25-26</t>
  </si>
  <si>
    <t>Oct25 ProRata Incentive</t>
  </si>
  <si>
    <t>Nov25 ProRata Incentive</t>
  </si>
  <si>
    <t>Dec25 ProRata Incentive</t>
  </si>
  <si>
    <t>OND - Q3 (Oct)</t>
  </si>
  <si>
    <t>623065b823462985f8794d86</t>
  </si>
  <si>
    <t>ATR05MMC</t>
  </si>
  <si>
    <t>ATR03MMC</t>
  </si>
  <si>
    <t>ATR02MMZ</t>
  </si>
  <si>
    <t>ARK18MMA</t>
  </si>
  <si>
    <t>ADK17MMB</t>
  </si>
  <si>
    <t>MT39FCY</t>
  </si>
  <si>
    <t>NNT02FCF</t>
  </si>
  <si>
    <t>NGS07FCM</t>
  </si>
  <si>
    <t>RBT19MML</t>
  </si>
  <si>
    <t>SNS01MMF</t>
  </si>
  <si>
    <t>SNS10FCH</t>
  </si>
  <si>
    <t>SK50MMC</t>
  </si>
  <si>
    <t>SGS03MMM</t>
  </si>
  <si>
    <t>SBK15FCG</t>
  </si>
  <si>
    <t>SBK20FCC</t>
  </si>
  <si>
    <t>SRT15FCA</t>
  </si>
  <si>
    <t>SFR18FCD</t>
  </si>
  <si>
    <t>WLC06MMG</t>
  </si>
  <si>
    <t>WLC22FCG</t>
  </si>
  <si>
    <t>ZMB04FCO</t>
  </si>
  <si>
    <t>ZMB07FCB</t>
  </si>
  <si>
    <t>ZMB07MMB</t>
  </si>
  <si>
    <t>ZMB10FCX</t>
  </si>
  <si>
    <t>Sudharsan Raja R</t>
  </si>
  <si>
    <t>NHP744</t>
  </si>
  <si>
    <t>OND - Q3 (Nov)</t>
  </si>
  <si>
    <t>Emp ID</t>
  </si>
  <si>
    <t>BDE Name</t>
  </si>
  <si>
    <t>SNS02FCC</t>
  </si>
  <si>
    <t>ACB04FCD</t>
  </si>
  <si>
    <t>ABB20MMY</t>
  </si>
  <si>
    <t>DHR01MMG</t>
  </si>
  <si>
    <t>AUN07MMI</t>
  </si>
  <si>
    <t>AUN07FCI</t>
  </si>
  <si>
    <t>ZMB08FCH</t>
  </si>
  <si>
    <t>ANG18FCH</t>
  </si>
  <si>
    <t>PJG16FCE</t>
  </si>
  <si>
    <t>PS12FCI</t>
  </si>
  <si>
    <t>ATR05FCC</t>
  </si>
  <si>
    <t>AK37FCX</t>
  </si>
  <si>
    <t>RBT19FCL</t>
  </si>
  <si>
    <t>VBH02FCB</t>
  </si>
  <si>
    <t>KH08MML</t>
  </si>
  <si>
    <t>ATR02FCZ</t>
  </si>
  <si>
    <t>SNG14MMD</t>
  </si>
  <si>
    <t>ALS06FCQ</t>
  </si>
  <si>
    <t>ALS06MMQ</t>
  </si>
  <si>
    <t>AKS01MMW</t>
  </si>
  <si>
    <t>AKJ03FCI</t>
  </si>
  <si>
    <t>AKS03MME</t>
  </si>
  <si>
    <t>OND - Q3 (Dec)</t>
  </si>
  <si>
    <t>Jul'25-Mar'26</t>
  </si>
  <si>
    <t>Q4 FY25-26</t>
  </si>
  <si>
    <t>Q4</t>
  </si>
  <si>
    <t>Jan26 ProRata Incentive</t>
  </si>
  <si>
    <t>Feb26 ProRata Incentive</t>
  </si>
  <si>
    <t>Mar26 ProRata Incentive</t>
  </si>
  <si>
    <t>Nildeep Dasgupta</t>
  </si>
  <si>
    <t>NHP807</t>
  </si>
  <si>
    <t>Abhishek Sinha</t>
  </si>
  <si>
    <t>NHP815</t>
  </si>
  <si>
    <t>6925250935c0fd48df1b35da</t>
  </si>
  <si>
    <t>DGP08MMG</t>
  </si>
  <si>
    <t>SK52MMK</t>
  </si>
  <si>
    <t>NK01BURNOUT26</t>
  </si>
  <si>
    <t>SRT03MMD</t>
  </si>
  <si>
    <t>SRT03FCD</t>
  </si>
  <si>
    <t>SDZ233226</t>
  </si>
  <si>
    <t>RMZ55MME</t>
  </si>
  <si>
    <t>MKH04MMJ</t>
  </si>
  <si>
    <t>SD10MMJ</t>
  </si>
  <si>
    <t>SD10FCJ</t>
  </si>
  <si>
    <t>LPV01MMO</t>
  </si>
  <si>
    <t>LPV01FCO</t>
  </si>
  <si>
    <t>LPV01BALAJI26</t>
  </si>
  <si>
    <t>NGS16MMA</t>
  </si>
  <si>
    <t>ATR08MMC</t>
  </si>
  <si>
    <t>USH15MME</t>
  </si>
  <si>
    <t>USH05MMI</t>
  </si>
  <si>
    <t>RBT01SHARANG26</t>
  </si>
  <si>
    <t>ZMB16MMK</t>
  </si>
  <si>
    <t>ACB01FCA</t>
  </si>
  <si>
    <t>SK52MMT</t>
  </si>
  <si>
    <t>MNS01ELYSIAN26</t>
  </si>
  <si>
    <t>PND50MMM</t>
  </si>
  <si>
    <t>SOS01WISSENDURST26</t>
  </si>
  <si>
    <t>SOSFC01WISSENDURST26</t>
  </si>
  <si>
    <t>SMK04FCE</t>
  </si>
  <si>
    <t>AUN04MMJ</t>
  </si>
  <si>
    <t>Final Incentives Apr 2026</t>
  </si>
  <si>
    <t>Field Sales Targets Arpil 2026-27</t>
  </si>
  <si>
    <t>R2-Akif</t>
  </si>
  <si>
    <t>Nikhil D</t>
  </si>
  <si>
    <t>R4-Sohaib</t>
  </si>
  <si>
    <t>R5-Susmita</t>
  </si>
  <si>
    <t>Satyaki Acharjee</t>
  </si>
  <si>
    <t>NHP826</t>
  </si>
  <si>
    <t>R6-Independent(Biswadip)</t>
  </si>
  <si>
    <t>Manasvi D</t>
  </si>
  <si>
    <t>R7-Sufiyan</t>
  </si>
  <si>
    <t>Shivani Chauhan</t>
  </si>
  <si>
    <t>NHP825</t>
  </si>
  <si>
    <t>Akshay Grover</t>
  </si>
  <si>
    <t>NHP818</t>
  </si>
  <si>
    <t>R8-Tauseef</t>
  </si>
  <si>
    <t>R9-Ajay</t>
  </si>
  <si>
    <t>Shreekrishna Kulkarni</t>
  </si>
  <si>
    <t>NHP827</t>
  </si>
  <si>
    <t>R10-Sukanthan</t>
  </si>
  <si>
    <t>Sachin V</t>
  </si>
  <si>
    <t>Sudharsan Raja</t>
  </si>
  <si>
    <t>R11-Srinivasan</t>
  </si>
  <si>
    <t>R12-Independent(Akshay)</t>
  </si>
  <si>
    <t>R13-Saif</t>
  </si>
  <si>
    <t>Independent(APTS)</t>
  </si>
  <si>
    <t>Ranjith D</t>
  </si>
  <si>
    <t>NHP610</t>
  </si>
  <si>
    <t>Suresh Kumar</t>
  </si>
  <si>
    <t>Amey jadhav</t>
  </si>
  <si>
    <t>R14-Rameez</t>
  </si>
  <si>
    <t>R2-Akif Total</t>
  </si>
  <si>
    <t>R4-Sohaib Total</t>
  </si>
  <si>
    <t>R5-Susmita Total</t>
  </si>
  <si>
    <t>R6-Independent(Biswadip) Total</t>
  </si>
  <si>
    <t>R7-Sufiyan Total</t>
  </si>
  <si>
    <t>R8-Tauseef Total</t>
  </si>
  <si>
    <t>R9-Ajay Total</t>
  </si>
  <si>
    <t>R10-Sukanthan Total</t>
  </si>
  <si>
    <t>R11-Srinivasan Total</t>
  </si>
  <si>
    <t>R12-Independent(Akshay) Total</t>
  </si>
  <si>
    <t>R13-Saif Total</t>
  </si>
  <si>
    <t>R14-Rameez Total</t>
  </si>
  <si>
    <t>R12</t>
  </si>
  <si>
    <t>R13</t>
  </si>
  <si>
    <t>R14</t>
  </si>
  <si>
    <t>SBM</t>
  </si>
  <si>
    <t>Prajwal Hubballi</t>
  </si>
  <si>
    <t>NHP829</t>
  </si>
  <si>
    <t>Apr'26</t>
  </si>
  <si>
    <t>April-26</t>
  </si>
  <si>
    <t>Overall FY 26-27</t>
  </si>
  <si>
    <t>With Effective from Sep 2025 onward Field Incentive calculation,for calculating we should check the ARPU individual wise if it is more than 33000 then that case we will consider which ever is maxmium (Unit or Revenue) if ARPU less than 33000 then we will consider the Revenue achievement to calculate the Incentive.</t>
  </si>
  <si>
    <t>MSS05FCC</t>
  </si>
  <si>
    <t>ANG01STETHO26</t>
  </si>
  <si>
    <t>ANGFC01STETHO26</t>
  </si>
  <si>
    <t>SGS04FCD</t>
  </si>
  <si>
    <t>DGP08FCG</t>
  </si>
  <si>
    <t>PRP01CONVO26</t>
  </si>
  <si>
    <t>PRPFC01CONVO26</t>
  </si>
  <si>
    <t>ADN16MMN</t>
  </si>
  <si>
    <t>ADN16FCN</t>
  </si>
  <si>
    <t>VBH03FCD</t>
  </si>
  <si>
    <t>VBH03MMD</t>
  </si>
  <si>
    <t>HDN37FCB</t>
  </si>
  <si>
    <t>SSNFC01CUREION26</t>
  </si>
  <si>
    <t>SSN01CUREION26</t>
  </si>
  <si>
    <t>DHR01INTELL26</t>
  </si>
  <si>
    <t>SMP01ASYDOC26</t>
  </si>
  <si>
    <t>SDFCZ233226</t>
  </si>
  <si>
    <t>DRN01MMP</t>
  </si>
  <si>
    <t>DRN01FCP</t>
  </si>
  <si>
    <t>RMZ50MMC</t>
  </si>
  <si>
    <t>RMZ50FCC</t>
  </si>
  <si>
    <t>MSR33FCC</t>
  </si>
  <si>
    <t>MSR33MMC</t>
  </si>
  <si>
    <t>STR43MMF</t>
  </si>
  <si>
    <t>SHN14MMH</t>
  </si>
  <si>
    <t>NK12FCF</t>
  </si>
  <si>
    <t>AK30FCC</t>
  </si>
  <si>
    <t>RBT01FRESHER26</t>
  </si>
  <si>
    <t>RBTFC01FRESHER26</t>
  </si>
  <si>
    <t>VK94MMB</t>
  </si>
  <si>
    <t>SQB14MMG</t>
  </si>
  <si>
    <t>SQB14FCG</t>
  </si>
  <si>
    <t>SSH01SMARC26</t>
  </si>
  <si>
    <t>SA144MML</t>
  </si>
  <si>
    <t>SA144FCL</t>
  </si>
  <si>
    <t>HHN13MMI</t>
  </si>
  <si>
    <t>HHN13FCI</t>
  </si>
  <si>
    <t>MSR36FCB</t>
  </si>
  <si>
    <t>MSR36MMB</t>
  </si>
  <si>
    <t>SRT31MMD</t>
  </si>
  <si>
    <t>ABS15MMH</t>
  </si>
  <si>
    <t>ABS19MMB</t>
  </si>
  <si>
    <t>VBH22MMD</t>
  </si>
  <si>
    <t>ADN56MMD</t>
  </si>
  <si>
    <t>SVS27FCD</t>
  </si>
  <si>
    <t>SRN27MME</t>
  </si>
  <si>
    <t>SRN31MMI</t>
  </si>
  <si>
    <t>SRN30MMY</t>
  </si>
  <si>
    <t>SRN29MMH</t>
  </si>
  <si>
    <t>SNG15MML</t>
  </si>
  <si>
    <t>SNG15FCL</t>
  </si>
  <si>
    <t>HHN19MMI</t>
  </si>
  <si>
    <t>HHN19FCI</t>
  </si>
  <si>
    <t>SOS09MMK</t>
  </si>
  <si>
    <t>SOS09FCK</t>
  </si>
  <si>
    <t>JGB06MMJ</t>
  </si>
  <si>
    <t>NMR08MMO</t>
  </si>
  <si>
    <t>AFM24FCJ</t>
  </si>
  <si>
    <t>AFM24MMJ</t>
  </si>
  <si>
    <t>SYK06MMK</t>
  </si>
  <si>
    <t>SA143MME</t>
  </si>
  <si>
    <t>AKS12MMP</t>
  </si>
  <si>
    <t>AKS03FCE</t>
  </si>
  <si>
    <t>SOS19MMF</t>
  </si>
  <si>
    <t>SOS19FCF</t>
  </si>
  <si>
    <t>AKJ17MMC</t>
  </si>
  <si>
    <t>AKJ17FCC</t>
  </si>
  <si>
    <t>AJ58MMG</t>
  </si>
  <si>
    <t>NMR28MME</t>
  </si>
  <si>
    <t>DRN03MMK</t>
  </si>
  <si>
    <t>DRN05MME</t>
  </si>
  <si>
    <t>AUN12MMF</t>
  </si>
  <si>
    <t>ARR03MMC</t>
  </si>
  <si>
    <t>TSF31MMF</t>
  </si>
  <si>
    <t>ARR03FCC</t>
  </si>
  <si>
    <t>ARR09MME</t>
  </si>
  <si>
    <t>WLC01FCF</t>
  </si>
  <si>
    <t>MNS17MMB</t>
  </si>
  <si>
    <t>SCH01MME</t>
  </si>
  <si>
    <t>SCH03MMD</t>
  </si>
  <si>
    <t>VN67MMG</t>
  </si>
  <si>
    <t>VNZ47026</t>
  </si>
  <si>
    <t>SMP52MMC</t>
  </si>
  <si>
    <t>SMP52FCC</t>
  </si>
  <si>
    <t>SRK10MMX</t>
  </si>
  <si>
    <t>SRK01MMG</t>
  </si>
  <si>
    <t>DHR12MMO</t>
  </si>
  <si>
    <t>SK70MMX</t>
  </si>
  <si>
    <t>SHN11MMM</t>
  </si>
  <si>
    <t>SK68MMJ</t>
  </si>
  <si>
    <t>VBH24MMG</t>
  </si>
  <si>
    <t>NNTZ50126</t>
  </si>
  <si>
    <t>MSH59MMB</t>
  </si>
  <si>
    <t>MSH59FCB</t>
  </si>
  <si>
    <t>SNS01FCF</t>
  </si>
  <si>
    <t>SMK21MMI</t>
  </si>
  <si>
    <t>SMK21FCI</t>
  </si>
  <si>
    <t>SRN35MMB</t>
  </si>
  <si>
    <t>ARR06MMM</t>
  </si>
  <si>
    <t>ARR06FCM</t>
  </si>
  <si>
    <t>MTFC01OCULUS26</t>
  </si>
  <si>
    <t>MT01OCULUS26</t>
  </si>
  <si>
    <t>VBH14MMF</t>
  </si>
  <si>
    <t>MSS11FCB</t>
  </si>
  <si>
    <t>MKH44MMP</t>
  </si>
  <si>
    <t>NKFC01BURNOUT26</t>
  </si>
  <si>
    <t>ACB11MMF</t>
  </si>
  <si>
    <t>ACB11FCF</t>
  </si>
  <si>
    <t>PS22FCB</t>
  </si>
  <si>
    <t>PRP19MMB</t>
  </si>
  <si>
    <t>SNS13MMD</t>
  </si>
  <si>
    <t>SNS13FCD</t>
  </si>
  <si>
    <t>SRT32MMZ</t>
  </si>
  <si>
    <t>ADN64MMF</t>
  </si>
  <si>
    <t>SRT32FCZ</t>
  </si>
  <si>
    <t>NGS16FCA</t>
  </si>
  <si>
    <t>SMPZ25026</t>
  </si>
  <si>
    <t>SK67MMG</t>
  </si>
  <si>
    <t>SQB09MMG</t>
  </si>
  <si>
    <t>ABS21MMA</t>
  </si>
  <si>
    <t>SGS13MMI</t>
  </si>
  <si>
    <t>SGS01MMJ</t>
  </si>
  <si>
    <t>SGS01FCJ</t>
  </si>
  <si>
    <t>ADK17FCB</t>
  </si>
  <si>
    <t>RBT05MMO</t>
  </si>
  <si>
    <t>SA01GEMFEST26</t>
  </si>
  <si>
    <t>RBT05FCO</t>
  </si>
  <si>
    <t>AMD48MMF</t>
  </si>
  <si>
    <t>NVL31FCA</t>
  </si>
  <si>
    <t>MSS01ADVAYA26</t>
  </si>
  <si>
    <t>RMZ55MMD</t>
  </si>
  <si>
    <t>SRK08MME</t>
  </si>
  <si>
    <t>SBK16FCA</t>
  </si>
  <si>
    <t>SYK07MMI</t>
  </si>
  <si>
    <t>SK71MMX</t>
  </si>
  <si>
    <t>SMK20MMY</t>
  </si>
  <si>
    <t>SOS19MMJ</t>
  </si>
  <si>
    <t>LPV06MMG</t>
  </si>
  <si>
    <t>ANG17FCB</t>
  </si>
  <si>
    <t>SMPFC01ASYDOC26</t>
  </si>
  <si>
    <t>DGP10FCH</t>
  </si>
  <si>
    <t>DGP10MMH</t>
  </si>
  <si>
    <t>AFM25MMH</t>
  </si>
  <si>
    <t>TSF21MMD</t>
  </si>
  <si>
    <t>SBK27FCZ</t>
  </si>
  <si>
    <t>ARK20MMZ</t>
  </si>
  <si>
    <t>ARK20FCZ</t>
  </si>
  <si>
    <t>HHN02MMF</t>
  </si>
  <si>
    <t>SMP54MMH</t>
  </si>
  <si>
    <t>SMP54FCH</t>
  </si>
  <si>
    <t>MSH58MMG</t>
  </si>
  <si>
    <t>MSH58FCG</t>
  </si>
  <si>
    <t>STR01AARAMBH26</t>
  </si>
  <si>
    <t>NMR08MMP</t>
  </si>
  <si>
    <t>NMR29MMD</t>
  </si>
  <si>
    <t>NMR29FCD</t>
  </si>
  <si>
    <t>KH08FCL</t>
  </si>
  <si>
    <t>MNS11FCE</t>
  </si>
  <si>
    <t>VK95MMZ</t>
  </si>
  <si>
    <t>MT34MMF</t>
  </si>
  <si>
    <t>MT34FCF</t>
  </si>
  <si>
    <t>MSS15FCC</t>
  </si>
  <si>
    <t>MSS04MMJ</t>
  </si>
  <si>
    <t>MSS04FCJ</t>
  </si>
  <si>
    <t>LPV07FCF</t>
  </si>
  <si>
    <t>HHN20MMX</t>
  </si>
  <si>
    <t>SOS09FCG</t>
  </si>
  <si>
    <t>SRT31MME</t>
  </si>
  <si>
    <t>SRT31FCE</t>
  </si>
  <si>
    <t>SSN15MMD</t>
  </si>
  <si>
    <t>ANG15MMH</t>
  </si>
  <si>
    <t>MSR29MMC</t>
  </si>
  <si>
    <t>MSR29FCC</t>
  </si>
  <si>
    <t>DRN01SCRUB26</t>
  </si>
  <si>
    <t>SHN14MMG</t>
  </si>
  <si>
    <t>SHN15MME</t>
  </si>
  <si>
    <t>SHN12MML</t>
  </si>
  <si>
    <t>SD01PLEXUS26</t>
  </si>
  <si>
    <t>SDFC01PLEXUS26</t>
  </si>
  <si>
    <t>SMP01DIKSHA26</t>
  </si>
  <si>
    <t>SMPFC01DIKSHA26</t>
  </si>
  <si>
    <t>MSR31MMZ</t>
  </si>
  <si>
    <t>ZMB09MMI</t>
  </si>
  <si>
    <t>RBTFC01SHARANG26</t>
  </si>
  <si>
    <t>AMD42MMM</t>
  </si>
  <si>
    <t>AMD42FCM</t>
  </si>
  <si>
    <t>USH01GMCTM26</t>
  </si>
  <si>
    <t>USHFC01GMCTM26</t>
  </si>
  <si>
    <t>ACB07MMB</t>
  </si>
  <si>
    <t>SRN26MMK</t>
  </si>
  <si>
    <t>SRN28MMX</t>
  </si>
  <si>
    <t>NNT14MME</t>
  </si>
  <si>
    <t>NNT14FCE</t>
  </si>
  <si>
    <t>ABS22MMZ</t>
  </si>
  <si>
    <t>PS13MMF</t>
  </si>
  <si>
    <t>PS13FCF</t>
  </si>
  <si>
    <t>SHC05MMZ</t>
  </si>
  <si>
    <t>SHC03MMD</t>
  </si>
  <si>
    <t>SYK04MMB</t>
  </si>
  <si>
    <t>SYK04FCB</t>
  </si>
  <si>
    <t>DRN01MMN</t>
  </si>
  <si>
    <t>DRN05MMF</t>
  </si>
  <si>
    <t>MBKZ20326</t>
  </si>
  <si>
    <t>SHN16MMX</t>
  </si>
  <si>
    <t>TSF23FCC</t>
  </si>
  <si>
    <t>PJG12MMC</t>
  </si>
  <si>
    <t>ARR05MMD</t>
  </si>
  <si>
    <t>ARR05FCD</t>
  </si>
  <si>
    <t>ADK01SYNAPSE26</t>
  </si>
  <si>
    <t>ARR07MMJ</t>
  </si>
  <si>
    <t>SHC04MMB</t>
  </si>
  <si>
    <t>SHC01MME</t>
  </si>
  <si>
    <t>VBH03MMF</t>
  </si>
  <si>
    <t>VBH26MMX</t>
  </si>
  <si>
    <t>VBH26FCX</t>
  </si>
  <si>
    <t>AFM21MMH</t>
  </si>
  <si>
    <t>VN01YUGA26</t>
  </si>
  <si>
    <t>AUN09MMG</t>
  </si>
  <si>
    <t>AUN04MMI</t>
  </si>
  <si>
    <t>PJG06MMG</t>
  </si>
  <si>
    <t>AMD30MMM</t>
  </si>
  <si>
    <t>SNS10FCK</t>
  </si>
  <si>
    <t>SNS10MMK</t>
  </si>
  <si>
    <t>PND50MMN</t>
  </si>
  <si>
    <t>SRK03MMB</t>
  </si>
  <si>
    <t>ABS19MMG</t>
  </si>
  <si>
    <t>USH07MMM</t>
  </si>
  <si>
    <t>SNG18MMJ</t>
  </si>
  <si>
    <t>SMPZ25226</t>
  </si>
  <si>
    <t>SA141MMJ</t>
  </si>
  <si>
    <t>DGP07MML</t>
  </si>
  <si>
    <t>DGP07FCL</t>
  </si>
  <si>
    <t>SBK33MMF</t>
  </si>
  <si>
    <t>FY26-27 APJ QTR</t>
  </si>
  <si>
    <t xml:space="preserve"> </t>
  </si>
  <si>
    <t>Field Sales Targets May 2026-27</t>
  </si>
  <si>
    <t>May Base</t>
  </si>
  <si>
    <t>May WC</t>
  </si>
  <si>
    <t>Jaffer Basha</t>
  </si>
  <si>
    <t>NHP831</t>
  </si>
  <si>
    <t>Zaffer Basha</t>
  </si>
  <si>
    <t>Final Incentives May 2026</t>
  </si>
  <si>
    <t>May'26</t>
  </si>
  <si>
    <t>SNS13MMC</t>
  </si>
  <si>
    <t>SNS13FCC</t>
  </si>
  <si>
    <t>SNS04MMF</t>
  </si>
  <si>
    <t>SA141MMI</t>
  </si>
  <si>
    <t>USH07FCH</t>
  </si>
  <si>
    <t>MSH34MMJ</t>
  </si>
  <si>
    <t>58ad3474a2393a143df57ed5</t>
  </si>
  <si>
    <t>SRT03MMZ</t>
  </si>
  <si>
    <t>SRT03FCZ</t>
  </si>
  <si>
    <t>SMP51MMG</t>
  </si>
  <si>
    <t>SMP51FCG</t>
  </si>
  <si>
    <t>SRN30FCY</t>
  </si>
  <si>
    <t>DRN06MMD</t>
  </si>
  <si>
    <t>58ad3474a2393a143df57ec0</t>
  </si>
  <si>
    <t>ZMB15MMC</t>
  </si>
  <si>
    <t>5cf63a77d5f2c95193778ab6</t>
  </si>
  <si>
    <t>MKH23MMH</t>
  </si>
  <si>
    <t>58ad3473a2393a143df57d8b</t>
  </si>
  <si>
    <t>MKH23FCH</t>
  </si>
  <si>
    <t>PJG01ANUBHUTI26</t>
  </si>
  <si>
    <t>PJG06MME</t>
  </si>
  <si>
    <t>SMK11FCE</t>
  </si>
  <si>
    <t>58ad3474a2393a143df57eec</t>
  </si>
  <si>
    <t>SMK11MME</t>
  </si>
  <si>
    <t>AUN12FCF</t>
  </si>
  <si>
    <t>PRP07MMC</t>
  </si>
  <si>
    <t>58ad3474a2393a143df57e4d</t>
  </si>
  <si>
    <t>PRP07FCC</t>
  </si>
  <si>
    <t>PRP08MMB</t>
  </si>
  <si>
    <t>58ad3474a2393a143df57e56</t>
  </si>
  <si>
    <t>ABB06FCA</t>
  </si>
  <si>
    <t>RBT15MMD</t>
  </si>
  <si>
    <t>58ad3474a2393a143df57efc</t>
  </si>
  <si>
    <t>MSS01MML</t>
  </si>
  <si>
    <t>58ad3473a2393a143df57dc4</t>
  </si>
  <si>
    <t>SGS09MMB</t>
  </si>
  <si>
    <t>NGS01MMZ</t>
  </si>
  <si>
    <t>VK93MML</t>
  </si>
  <si>
    <t>58ad3474a2393a143df57ed7</t>
  </si>
  <si>
    <t>SQB07MMH</t>
  </si>
  <si>
    <t>58ad3474a2393a143df57f07</t>
  </si>
  <si>
    <t>SQB07FCH</t>
  </si>
  <si>
    <t>WLC01MMH</t>
  </si>
  <si>
    <t>RBT02MMJ</t>
  </si>
  <si>
    <t>NK25MMZ</t>
  </si>
  <si>
    <t>58ad3473a2393a143df57da8</t>
  </si>
  <si>
    <t>SFR46MMB</t>
  </si>
  <si>
    <t>58ad3474a2393a143df57e49</t>
  </si>
  <si>
    <t>SMP31MMD</t>
  </si>
  <si>
    <t>MSR38MMC</t>
  </si>
  <si>
    <t>MSR38FCC</t>
  </si>
  <si>
    <t>SMP46FCF</t>
  </si>
  <si>
    <t>SRT05MMN</t>
  </si>
  <si>
    <t>SRT05FCN</t>
  </si>
  <si>
    <t>VBH24FCG</t>
  </si>
  <si>
    <t>AFM21FCH</t>
  </si>
  <si>
    <t>ALS06MMO</t>
  </si>
  <si>
    <t>ALS06FCO</t>
  </si>
  <si>
    <t>SK68MME</t>
  </si>
  <si>
    <t>STR01ADVITEEY26</t>
  </si>
  <si>
    <t>HDN52MMA</t>
  </si>
  <si>
    <t>5fa3fc9a5e75dd4802365281</t>
  </si>
  <si>
    <t>SK67MMH</t>
  </si>
  <si>
    <t>AK32MME</t>
  </si>
  <si>
    <t>58ad3473a2393a143df57de2</t>
  </si>
  <si>
    <t>PJG22MMC</t>
  </si>
  <si>
    <t>58ad3474a2393a143df57e3c</t>
  </si>
  <si>
    <t>ARR09MMD</t>
  </si>
  <si>
    <t>MNS10MMB</t>
  </si>
  <si>
    <t>58ad3474a2393a143df57e3b</t>
  </si>
  <si>
    <t>ARK16MMA</t>
  </si>
  <si>
    <t>58ad3474a2393a143df57e1b</t>
  </si>
  <si>
    <t>AKJ07MMD</t>
  </si>
  <si>
    <t>ARK16FCA</t>
  </si>
  <si>
    <t>SHC05FCZ</t>
  </si>
  <si>
    <t>PRP19FCB</t>
  </si>
  <si>
    <t>AK08MME</t>
  </si>
  <si>
    <t>58ad3473a2393a143df57dd4</t>
  </si>
  <si>
    <t>TSF21MMC</t>
  </si>
  <si>
    <t>ANG25MMD</t>
  </si>
  <si>
    <t>58ad3473a2393a143df57da7</t>
  </si>
  <si>
    <t>SMP50MMA</t>
  </si>
  <si>
    <t>HHN12MMD</t>
  </si>
  <si>
    <t>58ad3474a2393a143df57e68</t>
  </si>
  <si>
    <t>NMR27MMF</t>
  </si>
  <si>
    <t>JGB06FCH</t>
  </si>
  <si>
    <t>MT51MMG</t>
  </si>
  <si>
    <t>58ad3473a2393a143df57d74</t>
  </si>
  <si>
    <t>DHR01MMI</t>
  </si>
  <si>
    <t>SYK01AARADHYAM26</t>
  </si>
  <si>
    <t>61c59dd60218e3fe8a165a63</t>
  </si>
  <si>
    <t>SYKFC01AARADHYAM26</t>
  </si>
  <si>
    <t>PND54MMH</t>
  </si>
  <si>
    <t>58ad3474a2393a143df57e79</t>
  </si>
  <si>
    <t>PND54FCH</t>
  </si>
  <si>
    <t>SNS05MME</t>
  </si>
  <si>
    <t>5cf63a76d5f2c95193778ab4</t>
  </si>
  <si>
    <t>AKS01MMXX</t>
  </si>
  <si>
    <t>ANG24MMB</t>
  </si>
  <si>
    <t>ADK13MMY</t>
  </si>
  <si>
    <t>5fe4a41f5e75dd08b0824c77</t>
  </si>
  <si>
    <t>ANG17MMD</t>
  </si>
  <si>
    <t>SRK07MMD</t>
  </si>
  <si>
    <t>58ad3474a2393a143df57deb</t>
  </si>
  <si>
    <t>DRN01MMR</t>
  </si>
  <si>
    <t>ADK18FCH</t>
  </si>
  <si>
    <t>ADN56MMF</t>
  </si>
  <si>
    <t>SVS28MMC</t>
  </si>
  <si>
    <t>58ad3474a2393a143df57e7c</t>
  </si>
  <si>
    <t>SGS12MMC</t>
  </si>
  <si>
    <t>58ad3473a2393a143df57d9c</t>
  </si>
  <si>
    <t>AMDZ13026</t>
  </si>
  <si>
    <t>KH60MMC</t>
  </si>
  <si>
    <t>6230667a23462985f8794d8a</t>
  </si>
  <si>
    <t>SFR42MME</t>
  </si>
  <si>
    <t>SQB13MMJ</t>
  </si>
  <si>
    <t>58ad3474a2393a143df57f02</t>
  </si>
  <si>
    <t>SSN15FCD</t>
  </si>
  <si>
    <t>PS16MMD</t>
  </si>
  <si>
    <t>NVL35MMG</t>
  </si>
  <si>
    <t>NVL35FCG</t>
  </si>
  <si>
    <t>WLC05MMA</t>
  </si>
  <si>
    <t>58ad3474a2393a143df57e3f</t>
  </si>
  <si>
    <t>WLC05FCA</t>
  </si>
  <si>
    <t>DRN04MMJ</t>
  </si>
  <si>
    <t>58ad3473a2393a143df57d5f</t>
  </si>
  <si>
    <t>DRN02MMI</t>
  </si>
  <si>
    <t>5fa3fc9a5e75dd4802365283</t>
  </si>
  <si>
    <t>SMP29MMC</t>
  </si>
  <si>
    <t>SMP29FCC</t>
  </si>
  <si>
    <t>HDN21MMF</t>
  </si>
  <si>
    <t>58ad3474a2393a143df57ec3</t>
  </si>
  <si>
    <t>NVL32MMF</t>
  </si>
  <si>
    <t>NVL01ECSTACY26</t>
  </si>
  <si>
    <t>58ad3474a2393a143df57eca</t>
  </si>
  <si>
    <t>NVLFC01ECSTACY26</t>
  </si>
  <si>
    <t>STR73MMB</t>
  </si>
  <si>
    <t>58ad3474a2393a143df57ec7</t>
  </si>
  <si>
    <t>TSF22MMD</t>
  </si>
  <si>
    <t>58ad3474a2393a143df57e30</t>
  </si>
  <si>
    <t>TSF22FCD</t>
  </si>
  <si>
    <t>SBK15MMI</t>
  </si>
  <si>
    <t>SHNFC01EKAGRA26</t>
  </si>
  <si>
    <t>SHN01EKAGRA26</t>
  </si>
  <si>
    <t>NNT01MMG</t>
  </si>
  <si>
    <t>ACB04MME</t>
  </si>
  <si>
    <t>NK10MMC</t>
  </si>
  <si>
    <t>ACB04FCE</t>
  </si>
  <si>
    <t>USH01MMJ</t>
  </si>
  <si>
    <t>58ad3474a2393a143df57e93</t>
  </si>
  <si>
    <t>KH12MMI</t>
  </si>
  <si>
    <t>MSR36MME</t>
  </si>
  <si>
    <t>MSR36FCE</t>
  </si>
  <si>
    <t>ARK17MME</t>
  </si>
  <si>
    <t>58ad3474a2393a143df57e28</t>
  </si>
  <si>
    <t>MKH48FCC</t>
  </si>
  <si>
    <t>MKH48MMC</t>
  </si>
  <si>
    <t>SNS06MMD</t>
  </si>
  <si>
    <t>58ad3473a2393a143df57dae</t>
  </si>
  <si>
    <t>ZMB16MMH</t>
  </si>
  <si>
    <t>ZMB16FCH</t>
  </si>
  <si>
    <t>ACB03MMG</t>
  </si>
  <si>
    <t>5cf63a77d5f2c95193778ad5</t>
  </si>
  <si>
    <t>SGS13MMH</t>
  </si>
  <si>
    <t>STR33MMXX</t>
  </si>
  <si>
    <t>SK50MMD</t>
  </si>
  <si>
    <t>MSS17MMF</t>
  </si>
  <si>
    <t>MSS17FCF</t>
  </si>
  <si>
    <t>MBK10MME</t>
  </si>
  <si>
    <t>593e541c5d817274e9b3f4df</t>
  </si>
  <si>
    <t>MBK10FCE</t>
  </si>
  <si>
    <t>DHRZ41026</t>
  </si>
  <si>
    <t>621362459a4dba8b66406a1c</t>
  </si>
  <si>
    <t>SHN11MMQ</t>
  </si>
  <si>
    <t>DHR04MMY</t>
  </si>
  <si>
    <t>621db8d4a782ca70ccb683da</t>
  </si>
  <si>
    <t>HDN49MMH</t>
  </si>
  <si>
    <t>58ad3474a2393a143df57ed2</t>
  </si>
  <si>
    <t>HDN49FCH</t>
  </si>
  <si>
    <t>HDN53MMG</t>
  </si>
  <si>
    <t>58ad3474a2393a143df57ebf</t>
  </si>
  <si>
    <t>LPV04FCE</t>
  </si>
  <si>
    <t>MKH01SPLASH26</t>
  </si>
  <si>
    <t>MKHFC01SPLASH26</t>
  </si>
  <si>
    <t>SSN08MMD</t>
  </si>
  <si>
    <t>58ad3473a2393a143df57d88</t>
  </si>
  <si>
    <t>WLC29FCD</t>
  </si>
  <si>
    <t>58ad3474a2393a143df57e4f</t>
  </si>
  <si>
    <t>TSF30MMD</t>
  </si>
  <si>
    <t>5cf63a77d5f2c95193778ac4</t>
  </si>
  <si>
    <t>WLC29MMD</t>
  </si>
  <si>
    <t>MSS01AURORA26</t>
  </si>
  <si>
    <t>PND61MMC</t>
  </si>
  <si>
    <t>58ad3474a2393a143df57ef1</t>
  </si>
  <si>
    <t>PND61FCC</t>
  </si>
  <si>
    <t>PS01EREVNA26</t>
  </si>
  <si>
    <t>HHN19MMD</t>
  </si>
  <si>
    <t>PRP05MMC</t>
  </si>
  <si>
    <t>58ad3474a2393a143df57e3a</t>
  </si>
  <si>
    <t>VK90MMB</t>
  </si>
  <si>
    <t>5ed76eb2c49dd437a9061dbe</t>
  </si>
  <si>
    <t>VK90FCB</t>
  </si>
  <si>
    <t>ABB01MMB</t>
  </si>
  <si>
    <t>58ad3474a2393a143df57def</t>
  </si>
  <si>
    <t>ABB01FCB</t>
  </si>
  <si>
    <t>SQB03MMI</t>
  </si>
  <si>
    <t>58ad3474a2393a143df57f03</t>
  </si>
  <si>
    <t>ACB06MML</t>
  </si>
  <si>
    <t>58ad3474a2393a143df57ef7</t>
  </si>
  <si>
    <t>STR75MMD</t>
  </si>
  <si>
    <t>58ad3473a2393a143df57d5e</t>
  </si>
  <si>
    <t>JGB12MMK</t>
  </si>
  <si>
    <t>SMK23MMF</t>
  </si>
  <si>
    <t>5e423d0fc49dd4524decc0f3</t>
  </si>
  <si>
    <t>ALS05MMC</t>
  </si>
  <si>
    <t>5cf63a77d5f2c95193778abd</t>
  </si>
  <si>
    <t>MNS19MME</t>
  </si>
  <si>
    <t>5cf63a77d5f2c95193778ac3</t>
  </si>
  <si>
    <t>SSN11MMD</t>
  </si>
  <si>
    <t>SFR57MMA</t>
  </si>
  <si>
    <t>58ad3474a2393a143df57e37</t>
  </si>
  <si>
    <t>SD12MMC</t>
  </si>
  <si>
    <t>5cf63a77d5f2c95193778ac6</t>
  </si>
  <si>
    <t>VBH14FCF</t>
  </si>
  <si>
    <t>ARK15MMD</t>
  </si>
  <si>
    <t>58ad3474a2393a143df57e25</t>
  </si>
  <si>
    <t>ARK01MMH</t>
  </si>
  <si>
    <t>MSR05MME</t>
  </si>
  <si>
    <t>MSR29MMB</t>
  </si>
  <si>
    <t>AKJ03MMD</t>
  </si>
  <si>
    <t>MKH34MMK</t>
  </si>
  <si>
    <t>58ad3473a2393a143df57d8e</t>
  </si>
  <si>
    <t>SYK06MMJ</t>
  </si>
  <si>
    <t>MKH37MMC</t>
  </si>
  <si>
    <t>58ad3473a2393a143df57d92</t>
  </si>
  <si>
    <t>NVL25MMF</t>
  </si>
  <si>
    <t>58ad3474a2393a143df57ecc</t>
  </si>
  <si>
    <t>NVL25FCF</t>
  </si>
  <si>
    <t>SRN26MMH</t>
  </si>
  <si>
    <t>JGB09MME</t>
  </si>
  <si>
    <t>MSS01FCL</t>
  </si>
  <si>
    <t>RBT05MML</t>
  </si>
  <si>
    <t>RBT13MMB</t>
  </si>
  <si>
    <t>RBT13FCB</t>
  </si>
  <si>
    <t>SMP54MMF</t>
  </si>
  <si>
    <t>SMP54FCF</t>
  </si>
  <si>
    <t>MSH60MMZ</t>
  </si>
  <si>
    <t>5ed7728cc49dd437a9061dc6</t>
  </si>
  <si>
    <t>MSH60FCZ</t>
  </si>
  <si>
    <t>SOS17MMG</t>
  </si>
  <si>
    <t>ZFR03MMJ</t>
  </si>
  <si>
    <t>KH08MMF</t>
  </si>
  <si>
    <t>RBT01NUCLEUS25</t>
  </si>
  <si>
    <t>5ea7c44ec49dd46b33c563bd</t>
  </si>
  <si>
    <t>MNS14MMD</t>
  </si>
  <si>
    <t>58ad3474a2393a143df57e4a</t>
  </si>
  <si>
    <t>PJGFC01ANUBHUTI26</t>
  </si>
  <si>
    <t>ZFR06MMC</t>
  </si>
  <si>
    <t>ALS03MMF</t>
  </si>
  <si>
    <t>58ad3474a2393a143df57dff</t>
  </si>
  <si>
    <t>ALS03FCF</t>
  </si>
  <si>
    <t>PND57MMA</t>
  </si>
  <si>
    <t>5f37fb60c49dd4484a3bcca6</t>
  </si>
  <si>
    <t>ANG19MMC</t>
  </si>
  <si>
    <t>5f6c3003c49dd46ef446dc68</t>
  </si>
  <si>
    <t>AUN06MMF</t>
  </si>
  <si>
    <t>58ad3474a2393a143df57e0e</t>
  </si>
  <si>
    <t>AUN06FCF</t>
  </si>
  <si>
    <t>SNS10MMJ</t>
  </si>
  <si>
    <t>SNS10FCJ</t>
  </si>
  <si>
    <t>SNG28MMH</t>
  </si>
  <si>
    <t>SMK12MMH</t>
  </si>
  <si>
    <t>58ad3474a2393a143df57edd</t>
  </si>
  <si>
    <t>SVS27MMB</t>
  </si>
  <si>
    <t>AUN09MMF</t>
  </si>
  <si>
    <t>SFR56MMB</t>
  </si>
  <si>
    <t>58ad3474a2393a143df57e57</t>
  </si>
  <si>
    <t>ANG15MMD</t>
  </si>
  <si>
    <t>ANG26MME</t>
  </si>
  <si>
    <t>58ad3473a2393a143df57d98</t>
  </si>
  <si>
    <t>SBK26MMF</t>
  </si>
  <si>
    <t>MSS04MMB</t>
  </si>
  <si>
    <t>AK01TATVAM26</t>
  </si>
  <si>
    <t>AKFC01TATVAM26</t>
  </si>
  <si>
    <t>SRK08MMC</t>
  </si>
  <si>
    <t>SRK08FCC</t>
  </si>
  <si>
    <t>AJ58MMH</t>
  </si>
  <si>
    <t>MSR31FCZ</t>
  </si>
  <si>
    <t>VN71MMC</t>
  </si>
  <si>
    <t>58ad3474a2393a143df57dfb</t>
  </si>
  <si>
    <t>DHR01CELESTRA26</t>
  </si>
  <si>
    <t>5d8460f01576322f4386009c</t>
  </si>
  <si>
    <t>DHR11MME</t>
  </si>
  <si>
    <t>58ad3474a2393a143df57eab</t>
  </si>
  <si>
    <t>USH05MMF</t>
  </si>
  <si>
    <t>ALS08MMC</t>
  </si>
  <si>
    <t>58ad3474a2393a143df57e14</t>
  </si>
  <si>
    <t>SRK09MMX</t>
  </si>
  <si>
    <t>623068a223462985f8794d97</t>
  </si>
  <si>
    <t>ABS15MMG</t>
  </si>
  <si>
    <t>ABS01WAVE26</t>
  </si>
  <si>
    <t>58ad3474a2393a143df57e89</t>
  </si>
  <si>
    <t>ABS16MMX</t>
  </si>
  <si>
    <t>623064d323462985f8794d81</t>
  </si>
  <si>
    <t>ABS23MMA</t>
  </si>
  <si>
    <t>58ad3474a2393a143df57e80</t>
  </si>
  <si>
    <t>VK91MMF</t>
  </si>
  <si>
    <t>58ad3474a2393a143df57ef8</t>
  </si>
  <si>
    <t>PS13MME</t>
  </si>
  <si>
    <t>PS17MMB</t>
  </si>
  <si>
    <t>58ad3474a2393a143df57df1</t>
  </si>
  <si>
    <t>NMR28MMG</t>
  </si>
  <si>
    <t>NMR08MMK</t>
  </si>
  <si>
    <t>NMR08FCK</t>
  </si>
  <si>
    <t>SOS07MMZ</t>
  </si>
  <si>
    <t>5fa3fc9a5e75dd480236527d</t>
  </si>
  <si>
    <t>SOS07FCZ</t>
  </si>
  <si>
    <t>SOS05FCK</t>
  </si>
  <si>
    <t>SOS05MMK</t>
  </si>
  <si>
    <t>PND50MML</t>
  </si>
  <si>
    <t>PND53MMG</t>
  </si>
  <si>
    <t>AMD42MMN</t>
  </si>
  <si>
    <t>AMD33MMB</t>
  </si>
  <si>
    <t>58ad3473a2393a143df57db0</t>
  </si>
  <si>
    <t>SQB02MMA</t>
  </si>
  <si>
    <t>SQB01FCI</t>
  </si>
  <si>
    <t>ZMB04MMN</t>
  </si>
  <si>
    <t>ZMB04FCN</t>
  </si>
  <si>
    <t>SMK20MMA</t>
  </si>
  <si>
    <t>SMK20FCA</t>
  </si>
  <si>
    <t>SMK07MML</t>
  </si>
  <si>
    <t>58ad3474a2393a143df57ef5</t>
  </si>
  <si>
    <t>ACB12MMA</t>
  </si>
  <si>
    <t>58ad3474a2393a143df57ee7</t>
  </si>
  <si>
    <t>SVS30MMZ</t>
  </si>
  <si>
    <t>5cf63a77d5f2c95193778acb</t>
  </si>
  <si>
    <t>SGS08MMB</t>
  </si>
  <si>
    <t>5cf63a76d5f2c95193778aaf</t>
  </si>
  <si>
    <t>ADK19MME</t>
  </si>
  <si>
    <t>58ad3473a2393a143df57da5</t>
  </si>
  <si>
    <t>ARK20MMB</t>
  </si>
  <si>
    <t>SAZ414226</t>
  </si>
  <si>
    <t>5cf63a77d5f2c95193778ad0</t>
  </si>
  <si>
    <t>SNG53MMH</t>
  </si>
  <si>
    <t>58ad3474a2393a143df57e8c</t>
  </si>
  <si>
    <t>SNG14MMC</t>
  </si>
  <si>
    <t>SOS21MMC</t>
  </si>
  <si>
    <t>58ad3474a2393a143df57e92</t>
  </si>
  <si>
    <t>ABB03MMC</t>
  </si>
  <si>
    <t>ABB03FCC</t>
  </si>
  <si>
    <t>ABB05MMC</t>
  </si>
  <si>
    <t>58ad3474a2393a143df57df4</t>
  </si>
  <si>
    <t>VBH18MMG</t>
  </si>
  <si>
    <t>5e4527f7c49dd4524decc7d1</t>
  </si>
  <si>
    <t>VBH26MMA</t>
  </si>
  <si>
    <t>VBH26FCA</t>
  </si>
  <si>
    <t>KH02MMG</t>
  </si>
  <si>
    <t>58ad3474a2393a143df57edb</t>
  </si>
  <si>
    <t>KH35MMB</t>
  </si>
  <si>
    <t>621362ea9a4dba8b66406a1f</t>
  </si>
  <si>
    <t>VK93MMI</t>
  </si>
  <si>
    <t>SNS02MME</t>
  </si>
  <si>
    <t>MKH22MMN</t>
  </si>
  <si>
    <t>58ad3473a2393a143df57d90</t>
  </si>
  <si>
    <t>NK12MMG</t>
  </si>
  <si>
    <t>NK12FCG</t>
  </si>
  <si>
    <t>SVS17MMC</t>
  </si>
  <si>
    <t>5cf63a77d5f2c95193778ace</t>
  </si>
  <si>
    <t>ADN46MMZ</t>
  </si>
  <si>
    <t>ADN53MMC</t>
  </si>
  <si>
    <t>SGS06MMC</t>
  </si>
  <si>
    <t>5cf63a76d5f2c95193778aac</t>
  </si>
  <si>
    <t>SGS07MMB</t>
  </si>
  <si>
    <t>ABS21MMB</t>
  </si>
  <si>
    <t>AJ72MMC</t>
  </si>
  <si>
    <t>58ad3473a2393a143df57d97</t>
  </si>
  <si>
    <t>AKJ05MMG</t>
  </si>
  <si>
    <t>58ad3474a2393a143df57e26</t>
  </si>
  <si>
    <t>SRT28MMD</t>
  </si>
  <si>
    <t>58ad3474a2393a143df57f0f</t>
  </si>
  <si>
    <t>NGS22MMI</t>
  </si>
  <si>
    <t>MSR30MMX</t>
  </si>
  <si>
    <t>6230642b23462985f8794d7b</t>
  </si>
  <si>
    <t>SRT05FCL</t>
  </si>
  <si>
    <t>SRTZ23226</t>
  </si>
  <si>
    <t>SRTFCZ23226</t>
  </si>
  <si>
    <t>SMP27FCF</t>
  </si>
  <si>
    <t>SDZ202226</t>
  </si>
  <si>
    <t>58ad3474a2393a143df57e62</t>
  </si>
  <si>
    <t>SDFCZ202226</t>
  </si>
  <si>
    <t>AKS61MMJ</t>
  </si>
  <si>
    <t>58ad3474a2393a143df57ee3</t>
  </si>
  <si>
    <t>MT30FCA</t>
  </si>
  <si>
    <t>MT37MMJ</t>
  </si>
  <si>
    <t>58ad3473a2393a143df57d80</t>
  </si>
  <si>
    <t>MT37FCJ</t>
  </si>
  <si>
    <t>AK01SAMSCR26</t>
  </si>
  <si>
    <t>58ad3473a2393a143df57dcf</t>
  </si>
  <si>
    <t>AKFC01SAMSCR26</t>
  </si>
  <si>
    <t>SRK01NAVADH26</t>
  </si>
  <si>
    <t>58ad3473a2393a143df57dd8</t>
  </si>
  <si>
    <t>SRN27MMF</t>
  </si>
  <si>
    <t>SRN29MMI</t>
  </si>
  <si>
    <t>AKS47FCJ</t>
  </si>
  <si>
    <t>AKS62MMI</t>
  </si>
  <si>
    <t>58ad3474a2393a143df57efd</t>
  </si>
  <si>
    <t>PND51MME</t>
  </si>
  <si>
    <t>58ad3474a2393a143df57e73</t>
  </si>
  <si>
    <t>PND58MMH</t>
  </si>
  <si>
    <t>AMD48MMC</t>
  </si>
  <si>
    <t>SMK17MMA</t>
  </si>
  <si>
    <t>623066d023462985f8794d8c</t>
  </si>
  <si>
    <t>SMK17FCA</t>
  </si>
  <si>
    <t>MSR01MMA</t>
  </si>
  <si>
    <t>5fa3fc9a5e75dd4802365284</t>
  </si>
  <si>
    <t>MSR01FCA</t>
  </si>
  <si>
    <t>RMZ52MMI</t>
  </si>
  <si>
    <t>58ad3473a2393a143df57d4f</t>
  </si>
  <si>
    <t>RMZ59MMA</t>
  </si>
  <si>
    <t>58ad3473a2393a143df57d56</t>
  </si>
  <si>
    <t>LPV07MMG</t>
  </si>
  <si>
    <t>SSH01EREVNA26</t>
  </si>
  <si>
    <t>58ad3473a2393a143df57d68</t>
  </si>
  <si>
    <t>SSN03MMI</t>
  </si>
  <si>
    <t>58ad3473a2393a143df57d83</t>
  </si>
  <si>
    <t>JGB06MMI</t>
  </si>
  <si>
    <t>ARR04MMB</t>
  </si>
  <si>
    <t>58ad3473a2393a143df57de5</t>
  </si>
  <si>
    <t>ARR02MME</t>
  </si>
  <si>
    <t>58ad3473a2393a143df57dcc</t>
  </si>
  <si>
    <t>ARR02FCE</t>
  </si>
  <si>
    <t>ARR11MMY</t>
  </si>
  <si>
    <t>63ac7656c4256458ac245f0a</t>
  </si>
  <si>
    <t>PJG01MPLS726</t>
  </si>
  <si>
    <t>WLC06MMF</t>
  </si>
  <si>
    <t>WLC10MMA</t>
  </si>
  <si>
    <t>58ad3474a2393a143df57e45</t>
  </si>
  <si>
    <t>TSF15FCD</t>
  </si>
  <si>
    <t>TSF22MMB</t>
  </si>
  <si>
    <t>AUN05MME</t>
  </si>
  <si>
    <t>58ad3474a2393a143df57e00</t>
  </si>
  <si>
    <t>SSN08FCD</t>
  </si>
  <si>
    <t>ACB11MMH</t>
  </si>
  <si>
    <t>USH15MMH</t>
  </si>
  <si>
    <t>SVS34MMB</t>
  </si>
  <si>
    <t>58ad3474a2393a143df57e7b</t>
  </si>
  <si>
    <t>AMD52MMA</t>
  </si>
  <si>
    <t>6230646023462985f8794d7e</t>
  </si>
  <si>
    <t>SQB14MMI</t>
  </si>
  <si>
    <t>VN72MMK</t>
  </si>
  <si>
    <t>58ad3474a2393a143df57e05</t>
  </si>
  <si>
    <t>AMD47MMJ</t>
  </si>
  <si>
    <t>SNS01MME</t>
  </si>
  <si>
    <t>SHN14MMF</t>
  </si>
  <si>
    <t>SHN12MMI</t>
  </si>
  <si>
    <t>SHN17MMG</t>
  </si>
  <si>
    <t>58ad3474a2393a143df57ed0</t>
  </si>
  <si>
    <t>SHN15FCE</t>
  </si>
  <si>
    <t>HDN55MMX</t>
  </si>
  <si>
    <t>649aa6e24b65be6684b91d3a</t>
  </si>
  <si>
    <t>SK52MMV</t>
  </si>
  <si>
    <t>NK25MMC</t>
  </si>
  <si>
    <t>NK25FCC</t>
  </si>
  <si>
    <t>RMZ58MME</t>
  </si>
  <si>
    <t>58ad3473a2393a143df57d58</t>
  </si>
  <si>
    <t>PS20MME</t>
  </si>
  <si>
    <t>58ad3473a2393a143df57dd6</t>
  </si>
  <si>
    <t>NK04MMI</t>
  </si>
  <si>
    <t>ADK23MMZ</t>
  </si>
  <si>
    <t>58ad3473a2393a143df57da0</t>
  </si>
  <si>
    <t>ADK18MMD</t>
  </si>
  <si>
    <t>NMR35MMF</t>
  </si>
  <si>
    <t>58ad3474a2393a143df57e8f</t>
  </si>
  <si>
    <t>SMP55MMY</t>
  </si>
  <si>
    <t>5fd0c9d05e75dd749319d654</t>
  </si>
  <si>
    <t>SMP55FCY</t>
  </si>
  <si>
    <t>ZFR04MMA</t>
  </si>
  <si>
    <t>58ad3474a2393a143df57e9a</t>
  </si>
  <si>
    <t>SA148MMG</t>
  </si>
  <si>
    <t>58ad3474a2393a143df57e07</t>
  </si>
  <si>
    <t>SA148FCG</t>
  </si>
  <si>
    <t>AKS30MME</t>
  </si>
  <si>
    <t>58ad3474a2393a143df57ef0</t>
  </si>
  <si>
    <t>SMP46MMG</t>
  </si>
  <si>
    <t>SMP50MMF</t>
  </si>
  <si>
    <t>SBK19MMA</t>
  </si>
  <si>
    <t>SFR01MIRAGE26</t>
  </si>
  <si>
    <t>DHR09MMG</t>
  </si>
  <si>
    <t>58ad3474a2393a143df57eb7</t>
  </si>
  <si>
    <t>SA144MMK</t>
  </si>
  <si>
    <t>SRN36MMA</t>
  </si>
  <si>
    <t>623069eb23462985f8794da3</t>
  </si>
  <si>
    <t>RBT19MMK</t>
  </si>
  <si>
    <t>WLC09MMB</t>
  </si>
  <si>
    <t>SNG55MMH</t>
  </si>
  <si>
    <t>58ad3474a2393a143df57ead</t>
  </si>
  <si>
    <t>MSS15MMH</t>
  </si>
  <si>
    <t>MSS02MMF</t>
  </si>
  <si>
    <t>58ad3473a2393a143df57dc5</t>
  </si>
  <si>
    <t>ABB01IATRIKOS26</t>
  </si>
  <si>
    <t>SHN11MMO</t>
  </si>
  <si>
    <t>SHN13MMD</t>
  </si>
  <si>
    <t>5cf63a77d5f2c95193778ad1</t>
  </si>
  <si>
    <t>SGS03MMG</t>
  </si>
  <si>
    <t>MSR35MMF</t>
  </si>
  <si>
    <t>58ad3473a2393a143df57d7b</t>
  </si>
  <si>
    <t>MKH55MME</t>
  </si>
  <si>
    <t>5fa3fc9a5e75dd4802365271</t>
  </si>
  <si>
    <t>STR33MMW</t>
  </si>
  <si>
    <t>STR33FCW</t>
  </si>
  <si>
    <t>RMZ53MMD</t>
  </si>
  <si>
    <t>58ad3473a2393a143df57d4d</t>
  </si>
  <si>
    <t>MSH40MME</t>
  </si>
  <si>
    <t>58ad3474a2393a143df57ee9</t>
  </si>
  <si>
    <t>MSH43MMZ</t>
  </si>
  <si>
    <t>5fd0c9d05e75dd749319d653</t>
  </si>
  <si>
    <t>MT27MMF</t>
  </si>
  <si>
    <t>SNS09MMX</t>
  </si>
  <si>
    <t>58ad3473a2393a143df57db4</t>
  </si>
  <si>
    <t>NGS08MMX</t>
  </si>
  <si>
    <t>58ad3473a2393a143df57d71</t>
  </si>
  <si>
    <t>SSN05MME</t>
  </si>
  <si>
    <t>58ad3473a2393a143df57d85</t>
  </si>
  <si>
    <t>SSN06MMI</t>
  </si>
  <si>
    <t>58ad3473a2393a143df57d86</t>
  </si>
  <si>
    <t>ZMB06MMC</t>
  </si>
  <si>
    <t>5e452857c49dd4524decc7d4</t>
  </si>
  <si>
    <t>ZMB03MMZ</t>
  </si>
  <si>
    <t>5fd0c9d05e75dd749319d649</t>
  </si>
  <si>
    <t>SQB05MMG</t>
  </si>
  <si>
    <t>58ad3474a2393a143df57f05</t>
  </si>
  <si>
    <t>ABS19MMF</t>
  </si>
  <si>
    <t>ADN54MMA</t>
  </si>
  <si>
    <t>593e543b5d817274e9b3f4e0</t>
  </si>
  <si>
    <t>SVS29MMH</t>
  </si>
  <si>
    <t>58ad3474a2393a143df57e85</t>
  </si>
  <si>
    <t>SVS12MMK</t>
  </si>
  <si>
    <t>SVS12FCK</t>
  </si>
  <si>
    <t>KH10MMI</t>
  </si>
  <si>
    <t>58ad3474a2393a143df57ee2</t>
  </si>
  <si>
    <t>ARK02MMB</t>
  </si>
  <si>
    <t>SRN35MME</t>
  </si>
  <si>
    <t>AKS01FCXX</t>
  </si>
  <si>
    <t>AKJ03MML</t>
  </si>
  <si>
    <t>ACB05MMG</t>
  </si>
  <si>
    <t>58ad3474a2393a143df57ef6</t>
  </si>
  <si>
    <t>SK52MMS</t>
  </si>
  <si>
    <t>SMP54FCD</t>
  </si>
  <si>
    <t>SMP54MMD</t>
  </si>
  <si>
    <t>RBT15MMG</t>
  </si>
  <si>
    <t>MKH04FCJ</t>
  </si>
  <si>
    <t>VBH23MMZ</t>
  </si>
  <si>
    <t>5e4527a0c49dd4524decc7d0</t>
  </si>
  <si>
    <t>MSR33MMD</t>
  </si>
  <si>
    <t>MSR33FCD</t>
  </si>
  <si>
    <t>ANG26MMC</t>
  </si>
  <si>
    <t>NGS06MMF</t>
  </si>
  <si>
    <t>58ad3473a2393a143df57d6f</t>
  </si>
  <si>
    <t>NGS06FCF</t>
  </si>
  <si>
    <t>SMP01RHAPSODY26</t>
  </si>
  <si>
    <t>SSN04MMB</t>
  </si>
  <si>
    <t>58ad3473a2393a143df57d84</t>
  </si>
  <si>
    <t>VBH03MMB</t>
  </si>
  <si>
    <t>SYK03MMY</t>
  </si>
  <si>
    <t>621362069a4dba8b66406a1b</t>
  </si>
  <si>
    <t>SYK03FCY</t>
  </si>
  <si>
    <t>SHN12MMJ</t>
  </si>
  <si>
    <t>STR74MMM</t>
  </si>
  <si>
    <t>58ad3474a2393a143df57ec4</t>
  </si>
  <si>
    <t>SD02MMC</t>
  </si>
  <si>
    <t>VK89MMZ</t>
  </si>
  <si>
    <t>5fa3fc9a5e75dd480236526f</t>
  </si>
  <si>
    <t>SNG18MMG</t>
  </si>
  <si>
    <t>SOS07MMC</t>
  </si>
  <si>
    <t>SMP27MMH</t>
  </si>
  <si>
    <t>ZFR08MMC</t>
  </si>
  <si>
    <t>ZFR01MMG</t>
  </si>
  <si>
    <t>58ad3474a2393a143df57eb4</t>
  </si>
  <si>
    <t>SNS05MMG</t>
  </si>
  <si>
    <t>MSS14FCZ</t>
  </si>
  <si>
    <t>62306b3223462985f8794dae</t>
  </si>
  <si>
    <t>MSS14MMZ</t>
  </si>
  <si>
    <t>SGS12MME</t>
  </si>
  <si>
    <t>SHCZ30526</t>
  </si>
  <si>
    <t>NVL31MMZ</t>
  </si>
  <si>
    <t>PND51MMC</t>
  </si>
  <si>
    <t>SD08MMB</t>
  </si>
  <si>
    <t>5cf63a77d5f2c95193778ac8</t>
  </si>
  <si>
    <t>SMP46FCG</t>
  </si>
  <si>
    <t>SHN15MMM</t>
  </si>
  <si>
    <t>ANG17MMG</t>
  </si>
  <si>
    <t>SRT05MMG</t>
  </si>
  <si>
    <t>PRP12MMH</t>
  </si>
  <si>
    <t>PRP19MMD</t>
  </si>
  <si>
    <t>PRP23MMX</t>
  </si>
  <si>
    <t>5fd0c9d05e75dd749319d64c</t>
  </si>
  <si>
    <t>PRP22MMC</t>
  </si>
  <si>
    <t>58ad3474a2393a143df57e2b</t>
  </si>
  <si>
    <t>SOS03MMC</t>
  </si>
  <si>
    <t>58ad3474a2393a143df57e9c</t>
  </si>
  <si>
    <t>SOS03FCC</t>
  </si>
  <si>
    <t>ADK01FCF</t>
  </si>
  <si>
    <t>ADK19MMB</t>
  </si>
  <si>
    <t>ARK17MMD</t>
  </si>
  <si>
    <t>SHC06MMX</t>
  </si>
  <si>
    <t>63917661186a08eaf4cf78ad</t>
  </si>
  <si>
    <t>SNG55MMG</t>
  </si>
  <si>
    <t>SRN26MMJ</t>
  </si>
  <si>
    <t>SRN31MMG</t>
  </si>
  <si>
    <t>WLC28MMY</t>
  </si>
  <si>
    <t>5fa3fc9a5e75dd4802365279</t>
  </si>
  <si>
    <t>PJG19MMA</t>
  </si>
  <si>
    <t>PJG21MMZ</t>
  </si>
  <si>
    <t>5f1ae5dcc49dd4537c8de6f7</t>
  </si>
  <si>
    <t>PJG24MMB</t>
  </si>
  <si>
    <t>SFR56MMC</t>
  </si>
  <si>
    <t>SFR43FCD</t>
  </si>
  <si>
    <t>MNS17MMA</t>
  </si>
  <si>
    <t>SFR57MMD</t>
  </si>
  <si>
    <t>ALS16MMH</t>
  </si>
  <si>
    <t>ALS08FCC</t>
  </si>
  <si>
    <t>VN71MMD</t>
  </si>
  <si>
    <t>VN71FCD</t>
  </si>
  <si>
    <t>PND52FCC</t>
  </si>
  <si>
    <t>ZMB17MMF</t>
  </si>
  <si>
    <t>5cf63a77d5f2c95193778ab7</t>
  </si>
  <si>
    <t>ZMB09FCI</t>
  </si>
  <si>
    <t>SNS07MMH</t>
  </si>
  <si>
    <t>58ad3473a2393a143df57db2</t>
  </si>
  <si>
    <t>USH01MMH</t>
  </si>
  <si>
    <t>DHR09MMI</t>
  </si>
  <si>
    <t>AMY10MME</t>
  </si>
  <si>
    <t>58ad3473a2393a143df57d50</t>
  </si>
  <si>
    <t>AJ62MMF</t>
  </si>
  <si>
    <t>AJ58MME</t>
  </si>
  <si>
    <t>SRN26FCJ</t>
  </si>
  <si>
    <t>SSN10MMF</t>
  </si>
  <si>
    <t>RMZ55MMH</t>
  </si>
  <si>
    <t>MKH44FCH</t>
  </si>
  <si>
    <t>MKH44MMH</t>
  </si>
  <si>
    <t>AKJ01MMD</t>
  </si>
  <si>
    <t>58ad3474a2393a143df57e1a</t>
  </si>
  <si>
    <t>DRN04MMG</t>
  </si>
  <si>
    <t>DRN02MMK</t>
  </si>
  <si>
    <t>SNG15MMC</t>
  </si>
  <si>
    <t>MSS01MMU</t>
  </si>
  <si>
    <t>SK69MMC</t>
  </si>
  <si>
    <t>5fa3fc9a5e75dd480236527f</t>
  </si>
  <si>
    <t>AUN03MMG</t>
  </si>
  <si>
    <t>58ad3474a2393a143df57dfd</t>
  </si>
  <si>
    <t>AUN03FCG</t>
  </si>
  <si>
    <t>SK72MMX</t>
  </si>
  <si>
    <t>63ac77aec4256458ac245f11</t>
  </si>
  <si>
    <t>Field Sales Targets June 2026-27</t>
  </si>
  <si>
    <t>June Base</t>
  </si>
  <si>
    <t>June WC</t>
  </si>
  <si>
    <t>Mohammad Umar Farroq</t>
  </si>
  <si>
    <t>NHP840</t>
  </si>
  <si>
    <t>Final Incentives Jun 2026</t>
  </si>
  <si>
    <t>Jun'26</t>
  </si>
  <si>
    <t>Apr26 ProRata Incentive</t>
  </si>
  <si>
    <t>May26 ProRata Incentive</t>
  </si>
  <si>
    <t>Jun26 ProRata Incentive</t>
  </si>
  <si>
    <t>Q1 FY26-27</t>
  </si>
  <si>
    <t>Inside Sales</t>
  </si>
  <si>
    <t>NMR27FCF</t>
  </si>
  <si>
    <t>SSH25MMJ</t>
  </si>
  <si>
    <t>SSH34MMF</t>
  </si>
  <si>
    <t>Shivam Sourab</t>
  </si>
  <si>
    <t>URVT11FC0325</t>
  </si>
  <si>
    <t>URVT11MM0325</t>
  </si>
  <si>
    <t>Pragya Singh</t>
  </si>
  <si>
    <t>PRJT1MM18426</t>
  </si>
  <si>
    <t>RMZ58FCE</t>
  </si>
  <si>
    <t>Sagata Chatterjee</t>
  </si>
  <si>
    <t>CTRT10MM4225</t>
  </si>
  <si>
    <t>CTRT10FC4225</t>
  </si>
  <si>
    <t>Shilpa Venkatesh</t>
  </si>
  <si>
    <t>ILPT9MM2826</t>
  </si>
  <si>
    <t>ILPT9FC2826</t>
  </si>
  <si>
    <t>RMZ53MMH</t>
  </si>
  <si>
    <t>SYK06MMN</t>
  </si>
  <si>
    <t>Rachana Kumari</t>
  </si>
  <si>
    <t>RKRT13MM2426</t>
  </si>
  <si>
    <t>RKRT13FC2426</t>
  </si>
  <si>
    <t>SQB05MME</t>
  </si>
  <si>
    <t>RRST2MM24726</t>
  </si>
  <si>
    <t>SSN03MMF</t>
  </si>
  <si>
    <t>AKS01ESPERAN25</t>
  </si>
  <si>
    <t>ARK20MMC</t>
  </si>
  <si>
    <t>SRT06FCD</t>
  </si>
  <si>
    <t>MKH34MMJ</t>
  </si>
  <si>
    <t>MKH38MMK</t>
  </si>
  <si>
    <t>SMP50FCC</t>
  </si>
  <si>
    <t>PRP12MMA</t>
  </si>
  <si>
    <t>AMD43MMI</t>
  </si>
  <si>
    <t>AMD43FCI</t>
  </si>
  <si>
    <t>KH28MMJ</t>
  </si>
  <si>
    <t>TSF25MMC</t>
  </si>
  <si>
    <t>MSS01FCU</t>
  </si>
  <si>
    <t>MT34MMH</t>
  </si>
  <si>
    <t>RBT33MMF</t>
  </si>
  <si>
    <t>ADK14MMD</t>
  </si>
  <si>
    <t>RBT12MMN</t>
  </si>
  <si>
    <t>ZFR07MMC</t>
  </si>
  <si>
    <t>AFM21MMG</t>
  </si>
  <si>
    <t>AFM21FCG</t>
  </si>
  <si>
    <t>USH07FCM</t>
  </si>
  <si>
    <t>JGB09MMH</t>
  </si>
  <si>
    <t>Anshul Mehta</t>
  </si>
  <si>
    <t>ASMT12MM5326</t>
  </si>
  <si>
    <t>ASMT12FC5326</t>
  </si>
  <si>
    <t>SYK10MMM</t>
  </si>
  <si>
    <t>NGS24MMI</t>
  </si>
  <si>
    <t>NGS07MMN</t>
  </si>
  <si>
    <t>VK91MMC</t>
  </si>
  <si>
    <t>ARR04MMC</t>
  </si>
  <si>
    <t>HHN14MMC</t>
  </si>
  <si>
    <t>ZFR02MMZ</t>
  </si>
  <si>
    <t>ZFR02FCZ</t>
  </si>
  <si>
    <t>USHFC01CELESTRAA26</t>
  </si>
  <si>
    <t>AUN03MMH</t>
  </si>
  <si>
    <t>AUN11MMJ</t>
  </si>
  <si>
    <t>SRT04MMF</t>
  </si>
  <si>
    <t>VNZ47526</t>
  </si>
  <si>
    <t>VN76MMP</t>
  </si>
  <si>
    <t>ACB01AMNESIA26</t>
  </si>
  <si>
    <t>MNS19MMF</t>
  </si>
  <si>
    <t>MSS04MMA</t>
  </si>
  <si>
    <t>KH34MMZ</t>
  </si>
  <si>
    <t>SMPZ22726</t>
  </si>
  <si>
    <t>NGS23MMA</t>
  </si>
  <si>
    <t>KH33MMZ</t>
  </si>
  <si>
    <t>TSF09MMF</t>
  </si>
  <si>
    <t>HDN49MMI</t>
  </si>
  <si>
    <t>HDN49FCI</t>
  </si>
  <si>
    <t>ADK17MME</t>
  </si>
  <si>
    <t>MSS17MME</t>
  </si>
  <si>
    <t>SRN28MMC</t>
  </si>
  <si>
    <t>VK01FRESHER26</t>
  </si>
  <si>
    <t>RBT05MMN</t>
  </si>
  <si>
    <t>SBK15FCI</t>
  </si>
  <si>
    <t>SMK11MMD</t>
  </si>
  <si>
    <t>SVS27MME</t>
  </si>
  <si>
    <t>SGS01MMI</t>
  </si>
  <si>
    <t>SGS01FCI</t>
  </si>
  <si>
    <t>AJ58MMC</t>
  </si>
  <si>
    <t>ZMB09MMG</t>
  </si>
  <si>
    <t>ADK23MMC</t>
  </si>
  <si>
    <t>SGS06MMB</t>
  </si>
  <si>
    <t>ARK17MMF</t>
  </si>
  <si>
    <t>SRT28MMC</t>
  </si>
  <si>
    <t>PND51FCC</t>
  </si>
  <si>
    <t>AMD44MML</t>
  </si>
  <si>
    <t>SBK14MME</t>
  </si>
  <si>
    <t>MSS06MMB</t>
  </si>
  <si>
    <t>USH13MMH</t>
  </si>
  <si>
    <t>SNG18MMH</t>
  </si>
  <si>
    <t>PRJT1MM18326</t>
  </si>
  <si>
    <t>ACB07MMI</t>
  </si>
  <si>
    <t>SNG28MMJ</t>
  </si>
  <si>
    <t>SNG28FCJ</t>
  </si>
  <si>
    <t>SA155MMF</t>
  </si>
  <si>
    <t>VN68MMI</t>
  </si>
  <si>
    <t>KH08MMM</t>
  </si>
  <si>
    <t>NMR01CHARM26</t>
  </si>
  <si>
    <t>NMR36MMY</t>
  </si>
  <si>
    <t>HDN21FCG</t>
  </si>
  <si>
    <t>HDN21MMG</t>
  </si>
  <si>
    <t>SOS07MMB</t>
  </si>
  <si>
    <t>SOS06MME</t>
  </si>
  <si>
    <t>ZFR05MMX</t>
  </si>
  <si>
    <t>ABB16MMY</t>
  </si>
  <si>
    <t>ABB03MMD</t>
  </si>
  <si>
    <t>SOS16FCB</t>
  </si>
  <si>
    <t>SOS16MMB</t>
  </si>
  <si>
    <t>SD12MMD</t>
  </si>
  <si>
    <t>ZFR03MMK</t>
  </si>
  <si>
    <t>MBKZ21126</t>
  </si>
  <si>
    <t>VKFC01FRESHER26</t>
  </si>
  <si>
    <t>MT51FCG</t>
  </si>
  <si>
    <t>MSH55MMY</t>
  </si>
  <si>
    <t>LPV06MMD</t>
  </si>
  <si>
    <t>URVT11MM4625</t>
  </si>
  <si>
    <t>URVT11FC4625</t>
  </si>
  <si>
    <t>URVFMJN26</t>
  </si>
  <si>
    <t>ACB04MMF</t>
  </si>
  <si>
    <t>RRST2MM24826</t>
  </si>
  <si>
    <t>CTRT10MM5126</t>
  </si>
  <si>
    <t>SSN01MMX</t>
  </si>
  <si>
    <t>SRK04MMC</t>
  </si>
  <si>
    <t>ZFR01MMI</t>
  </si>
  <si>
    <t>AKS10MMG</t>
  </si>
  <si>
    <t>AKS10FCG</t>
  </si>
  <si>
    <t>PRJFMJN26</t>
  </si>
  <si>
    <t>SVS29MME</t>
  </si>
  <si>
    <t>PRP21MMC</t>
  </si>
  <si>
    <t>DGP18MMY</t>
  </si>
  <si>
    <t>DGP18FCY</t>
  </si>
  <si>
    <t>SYK08MMC</t>
  </si>
  <si>
    <t>PRP02MMZ</t>
  </si>
  <si>
    <t>SMP56MMI</t>
  </si>
  <si>
    <t>SMP56FCI</t>
  </si>
  <si>
    <t>MKH24MMK</t>
  </si>
  <si>
    <t>SRN36MMX</t>
  </si>
  <si>
    <t>SMK23MMI</t>
  </si>
  <si>
    <t>VK94FCB</t>
  </si>
  <si>
    <t>WLC05MMC</t>
  </si>
  <si>
    <t>RKRT13MM2026</t>
  </si>
  <si>
    <t>ANG25MME</t>
  </si>
  <si>
    <t>ILPFMJN26</t>
  </si>
  <si>
    <t>ILPT9MM2026</t>
  </si>
  <si>
    <t>MNS09MME</t>
  </si>
  <si>
    <t>MKH38MMP</t>
  </si>
  <si>
    <t>NGS06MMG</t>
  </si>
  <si>
    <t>MSS14MMY</t>
  </si>
  <si>
    <t>AKS47MMG</t>
  </si>
  <si>
    <t>ACB08MMM</t>
  </si>
  <si>
    <t>SA144MMM</t>
  </si>
  <si>
    <t>PS09MME</t>
  </si>
  <si>
    <t>SYK05MMA</t>
  </si>
  <si>
    <t>SYK05FCA</t>
  </si>
  <si>
    <t>MKH44MMR</t>
  </si>
  <si>
    <t>NVL35FCO</t>
  </si>
  <si>
    <t>SSN12MMZ</t>
  </si>
  <si>
    <t>PRJT1MM18526</t>
  </si>
  <si>
    <t>DRN06MMC</t>
  </si>
  <si>
    <t>SGS03MMN</t>
  </si>
  <si>
    <t>PS14MMG</t>
  </si>
  <si>
    <t>SHC01MMD</t>
  </si>
  <si>
    <t>WLC29MME</t>
  </si>
  <si>
    <t>NVL31MMB</t>
  </si>
  <si>
    <t>SOS03MMF</t>
  </si>
  <si>
    <t>ARK02MMG</t>
  </si>
  <si>
    <t>ADN16MMJ</t>
  </si>
  <si>
    <t>ADN56MME</t>
  </si>
  <si>
    <t>PND57MMC</t>
  </si>
  <si>
    <t>ZMB04FCP</t>
  </si>
  <si>
    <t>ZMB04MMP</t>
  </si>
  <si>
    <t>PND57FCC</t>
  </si>
  <si>
    <t>SNS13MME</t>
  </si>
  <si>
    <t>ACB06MMJ</t>
  </si>
  <si>
    <t>ABS23MMC</t>
  </si>
  <si>
    <t>ADK19MMD</t>
  </si>
  <si>
    <t>MNS18MME</t>
  </si>
  <si>
    <t>TSF05MMC</t>
  </si>
  <si>
    <t>TSF23MME</t>
  </si>
  <si>
    <t>ARR01MME</t>
  </si>
  <si>
    <t>AFM25FCH</t>
  </si>
  <si>
    <t>SFR51MMB</t>
  </si>
  <si>
    <t>SFR47MMB</t>
  </si>
  <si>
    <t>ZMB08MMJ</t>
  </si>
  <si>
    <t>RBT02FCJ</t>
  </si>
  <si>
    <t>NGS09MMH</t>
  </si>
  <si>
    <t>SBKZ11226</t>
  </si>
  <si>
    <t>SVS28MMI</t>
  </si>
  <si>
    <t>TSF08MMB</t>
  </si>
  <si>
    <t>AKS12MMQ</t>
  </si>
  <si>
    <t>STR70MMB</t>
  </si>
  <si>
    <t>SRN35MMC</t>
  </si>
  <si>
    <t>ASMT12MM4126</t>
  </si>
  <si>
    <t>NMR31FCA</t>
  </si>
  <si>
    <t>NMR31MMA</t>
  </si>
  <si>
    <t>JGB11MME</t>
  </si>
  <si>
    <t>NMR07MMC</t>
  </si>
  <si>
    <t>SSN04MMA</t>
  </si>
  <si>
    <t>USH01EPHEDRA26</t>
  </si>
  <si>
    <t>AUN13MMJ</t>
  </si>
  <si>
    <t>ACB01MMD</t>
  </si>
  <si>
    <t>AFM17MMH</t>
  </si>
  <si>
    <t>ALS08MMF</t>
  </si>
  <si>
    <t>SA01INTELL26</t>
  </si>
  <si>
    <t>ILPT9MM4326</t>
  </si>
  <si>
    <t>MSS01MMQ</t>
  </si>
  <si>
    <t>SSH27MMN</t>
  </si>
  <si>
    <t>SSN11MMF</t>
  </si>
  <si>
    <t>MSH36MME</t>
  </si>
  <si>
    <t>MKH22MMM</t>
  </si>
  <si>
    <t>ZFR06MMD</t>
  </si>
  <si>
    <t>ZFR05MMA</t>
  </si>
  <si>
    <t>SNS06MMF</t>
  </si>
  <si>
    <t>SMP50FCA</t>
  </si>
  <si>
    <t>ASMFMJN26</t>
  </si>
  <si>
    <t>URVT11MM6525</t>
  </si>
  <si>
    <t>MUF02MMJ</t>
  </si>
  <si>
    <t>CTRT10MM5826</t>
  </si>
  <si>
    <t>SMP27MMD</t>
  </si>
  <si>
    <t>ABB15MMZ</t>
  </si>
  <si>
    <t>ANG15MMF</t>
  </si>
  <si>
    <t>NGS13MMC</t>
  </si>
  <si>
    <t>ABB01MMD</t>
  </si>
  <si>
    <t>PRJT1MM9024</t>
  </si>
  <si>
    <t>PRJT1FC9024</t>
  </si>
  <si>
    <t>LPV01SYNERVA26</t>
  </si>
  <si>
    <t>STR33MMXY</t>
  </si>
  <si>
    <t>ZFR07MMD</t>
  </si>
  <si>
    <t>AMD44MMC</t>
  </si>
  <si>
    <t>RKRT13MM0126</t>
  </si>
  <si>
    <t>RKRT13FC0126</t>
  </si>
  <si>
    <t>SVS12MMM</t>
  </si>
  <si>
    <t>NVL12MMM</t>
  </si>
  <si>
    <t>NVL12FCM</t>
  </si>
  <si>
    <t>VBH14MME</t>
  </si>
  <si>
    <t>SRK06MMD</t>
  </si>
  <si>
    <t>CTRT10MM5526</t>
  </si>
  <si>
    <t>SRT32MMB</t>
  </si>
  <si>
    <t>SRT32FCB</t>
  </si>
  <si>
    <t>SNG20MMI</t>
  </si>
  <si>
    <t>SGS08MMD</t>
  </si>
  <si>
    <t>SGS13MMG</t>
  </si>
  <si>
    <t>ADN53MMF</t>
  </si>
  <si>
    <t>SSN06MMG</t>
  </si>
  <si>
    <t>SGS04MMF</t>
  </si>
  <si>
    <t>SSH05MMD</t>
  </si>
  <si>
    <t>SRN29MMK</t>
  </si>
  <si>
    <t>ABB01UTSAVA26</t>
  </si>
  <si>
    <t>ASMT12MM5826</t>
  </si>
  <si>
    <t>NVL25MMH</t>
  </si>
  <si>
    <t>CTRFMJN26</t>
  </si>
  <si>
    <t>ILPT9MM5526</t>
  </si>
  <si>
    <t>SRT28FCD</t>
  </si>
  <si>
    <t>MSS01MMV</t>
  </si>
  <si>
    <t>SMK07MMN</t>
  </si>
  <si>
    <t>KH08MMO</t>
  </si>
  <si>
    <t>SMPFC01RHAPSODY26</t>
  </si>
  <si>
    <t>VBH17MMZ</t>
  </si>
  <si>
    <t>ACB03MMF</t>
  </si>
  <si>
    <t>MT30MMG</t>
  </si>
  <si>
    <t>PS17MMC</t>
  </si>
  <si>
    <t>SRN27MMH</t>
  </si>
  <si>
    <t>SRN34MMF</t>
  </si>
  <si>
    <t>MSS04MMK</t>
  </si>
  <si>
    <t>AMY16MMX</t>
  </si>
  <si>
    <t>SYK11MMG</t>
  </si>
  <si>
    <t>MSR30MMZ</t>
  </si>
  <si>
    <t>MSR30FCZ</t>
  </si>
  <si>
    <t>STR74MMN</t>
  </si>
  <si>
    <t>MSS11MMC</t>
  </si>
  <si>
    <t>MKH24MMS</t>
  </si>
  <si>
    <t>SMK10MMA</t>
  </si>
  <si>
    <t>HDN37MMD</t>
  </si>
  <si>
    <t>NMR27MMH</t>
  </si>
  <si>
    <t>NMR27MMG</t>
  </si>
  <si>
    <t>NMR28MMK</t>
  </si>
  <si>
    <t>HHN02MMB</t>
  </si>
  <si>
    <t>JGB08MMD</t>
  </si>
  <si>
    <t>SOS05MMI</t>
  </si>
  <si>
    <t>SOS19MMI</t>
  </si>
  <si>
    <t>SOS09MMF</t>
  </si>
  <si>
    <t>PND50MMJ</t>
  </si>
  <si>
    <t>SNG15MMH</t>
  </si>
  <si>
    <t>SNG53MME</t>
  </si>
  <si>
    <t>SNG14MMF</t>
  </si>
  <si>
    <t>USH13MMD</t>
  </si>
  <si>
    <t>USH01CELESTRA26</t>
  </si>
  <si>
    <t>SA149MMH</t>
  </si>
  <si>
    <t>SA145MMY</t>
  </si>
  <si>
    <t>AUN13FCJ</t>
  </si>
  <si>
    <t>SMP31MMI</t>
  </si>
  <si>
    <t>VN01CMCART26</t>
  </si>
  <si>
    <t>PRP23MMY</t>
  </si>
  <si>
    <t>URVT11MM7026</t>
  </si>
  <si>
    <t>PND55MMJ</t>
  </si>
  <si>
    <t>HDN38MMB</t>
  </si>
  <si>
    <t>VBH19MMA</t>
  </si>
  <si>
    <t>VBH19FCA</t>
  </si>
  <si>
    <t>VN01OCULOFEST26</t>
  </si>
  <si>
    <t>ASMT12MM7526</t>
  </si>
  <si>
    <t>MSR38MME</t>
  </si>
  <si>
    <t>AMD30MMN</t>
  </si>
  <si>
    <t>AMD30FCN</t>
  </si>
  <si>
    <t>PRP12MMI</t>
  </si>
  <si>
    <t>SYK06FCK</t>
  </si>
  <si>
    <t>SMK21MMJ</t>
  </si>
  <si>
    <t>AUN11MMK</t>
  </si>
  <si>
    <t>AK02FCC</t>
  </si>
  <si>
    <t>AK02MMC</t>
  </si>
  <si>
    <t>SBKZ11526</t>
  </si>
  <si>
    <t>AKJ16MMY</t>
  </si>
  <si>
    <t>MNS18MMF</t>
  </si>
  <si>
    <t>DGP18MMZ</t>
  </si>
  <si>
    <t>DGP18FCZ</t>
  </si>
  <si>
    <t>SMP29MMH</t>
  </si>
  <si>
    <t>SHC05MMA</t>
  </si>
  <si>
    <t>VK92MMA</t>
  </si>
  <si>
    <t>ARK01MMG</t>
  </si>
  <si>
    <t>PRJT1MM7024</t>
  </si>
  <si>
    <t>PRJT1FC7024</t>
  </si>
  <si>
    <t>SRK07FCD</t>
  </si>
  <si>
    <t>PJG18MMD</t>
  </si>
  <si>
    <t>RBT13MMG</t>
  </si>
  <si>
    <t>RBT34MME</t>
  </si>
  <si>
    <t>PND54MMN</t>
  </si>
  <si>
    <t>SVS17MMD</t>
  </si>
  <si>
    <t>AKJ02MMC</t>
  </si>
  <si>
    <t>RKRT13MM1526</t>
  </si>
  <si>
    <t>RKRT13FC1526</t>
  </si>
  <si>
    <t>ABS19FCG</t>
  </si>
  <si>
    <t>CTRT10MM5926</t>
  </si>
  <si>
    <t>SRK08FCE</t>
  </si>
  <si>
    <t>WLC27MMZ</t>
  </si>
  <si>
    <t>WLC27FCZ</t>
  </si>
  <si>
    <t>SVS34MMD</t>
  </si>
  <si>
    <t>RBT05MMD</t>
  </si>
  <si>
    <t>NGS22MMJ</t>
  </si>
  <si>
    <t>SOS21MMD</t>
  </si>
  <si>
    <t>AJ58MMF</t>
  </si>
  <si>
    <t>SD13MMA</t>
  </si>
  <si>
    <t>AFM27MME</t>
  </si>
  <si>
    <t>MSH36MMA</t>
  </si>
  <si>
    <t>USH15MMI</t>
  </si>
  <si>
    <t>MSH40MMG</t>
  </si>
  <si>
    <t>RKRFMJN26</t>
  </si>
  <si>
    <t>RRSFMJN26</t>
  </si>
  <si>
    <t>58ad3473a2393a143df57d59</t>
  </si>
  <si>
    <t>5cf639ffd5f2c95193778aa9</t>
  </si>
  <si>
    <t>5ff6997b5e75dd697c2bd0e9,64074534a42ee1f0652371f2,5fa2afa85e75dd640ddf31db,5fa2afa85e75dd640ddf325c,5fa2afa85e75dd640ddf3256,5fa2afa85e75dd640ddf3260,5fa2afa85e75dd640ddf31df,5ff6997b5e75dd697c2bd0f0,5fa2afa85e75dd640ddf323a,683843289bb6da7ddce96f6c,5ff6997b5e75dd697c2bd0f3,5ff6997b5e75dd697c2bd0f1,5fa2afa85e75dd640ddf3264,5fa2afa85e75dd640ddf31de,5fa2afa85e75dd640ddf323b,5fa2afa85e75dd640ddf3252,5fa2afa85e75dd640ddf3245,657999f2c05e4a2396cc133f,5ff6997b5e75dd697c2bd0f8,611b69755e75dd298f044eef,5ff6997b5e75dd697c2bd0f6,5fa2afa85e75dd640ddf3237,674ef452c6b4259201b9ac79,5ff6997b5e75dd697c2bd0f5,5fa2afa85e75dd640ddf325d,5fa2afa85e75dd640ddf3233,5fa2afa85e75dd640ddf3254,5fa2afa85e75dd640ddf31c3,60c2cf1ac49dd4033e2a567b,5fa2afa85e75dd640ddf325f,5fa2afa85e75dd640ddf31c0,5fa2afa85e75dd640ddf3248,5ff6997b5e75dd697c2bd0f4,615aabaa5e75dd3996e8453b,5fa2afa85e75dd640ddf324a,5fa2afa85e75dd640ddf3242,5fa2afa85e75dd640ddf324c,5fa2afa85e75dd640ddf324d,5fa2afa85e75dd640ddf3258,5fa2afa85e75dd640ddf31dd,5ff6997b5e75dd697c2bd0eb,5ff6997b5e75dd697c2bd0f7,5fa2afa85e75dd640ddf3268,5fa2afa85e75dd640ddf325a,5fa2afa85e75dd640ddf3250,5ff6997b5e75dd697c2bd0ea,5fa2afa85e75dd640ddf3263,68b8309a135ede7bc80e371c,5ff6997b5e75dd697c2bd0ee,5ff6997b5e75dd697c2bd0f2,5fa2afa85e75dd640ddf3257,5fa2afa85e75dd640ddf323d,5ff6997b5e75dd697c2bd0ef,5fa2afa85e75dd640ddf323e,5fa2afa85e75dd640ddf324f,5ff6997b5e75dd697c2bd0ec,5fa2afa85e75dd640ddf3236,5fa2afa85e75dd640ddf3241,5fa2afa85e75dd640ddf325e,68b83074135ede7bc80e371a,5ff6997b5e75dd697c2bd0ed,5fa2afa85e75dd640ddf31dc,5fa2afa85e75dd640ddf324e</t>
  </si>
  <si>
    <t>5fa2afa85e75dd640ddf32b6,5fa2afa85e75dd640ddf3181,5fa2afa85e75dd640ddf32ab,5fa2afa85e75dd640ddf3182,5fa2afa85e75dd640ddf318c,619f38df5e75dd681fcc4920,5fa2afa85e75dd640ddf318b,5fe4a4265e75dd08b0824c78,5fa2afa85e75dd640ddf318a,5fa2afa85e75dd640ddf317c,6448dfa498120c5addf7c096,5fa2afa85e75dd640ddf32b1,5fa2afa85e75dd640ddf32b7,5fa2afa85e75dd640ddf317b,5fa2afa85e75dd640ddf318e,5fa2afa85e75dd640ddf3187,5fa2afa85e75dd640ddf32b5,5fa2afa85e75dd640ddf3191,650a7e1865d8e510b282a63e,5fa2afa85e75dd640ddf32af,5fa2afa85e75dd640ddf318f,5fa2afa85e75dd640ddf3188,5fa2afa85e75dd640ddf317a,5fa2afa85e75dd640ddf3186,5fa2afa85e75dd640ddf3179,5fa2afa85e75dd640ddf3189,5fa2afa85e75dd640ddf32b4,5fa2afa85e75dd640ddf32b2,5fa2afa85e75dd640ddf32aa,5fa2afa85e75dd640ddf3183,5fa2afa85e75dd640ddf32b0,5fa2afa85e75dd640ddf32b3,5fa2afa85e75dd640ddf317f,5fa2afa85e75dd640ddf317d,5fa2afa85e75dd640ddf3190,5fa2afa85e75dd640ddf32a8,5fa2afa85e75dd640ddf32ac,5fa2afa85e75dd640ddf318d,5fa2afa85e75dd640ddf32ad,6023a8fd5e75dd772239dc75,5fa2afa85e75dd640ddf317e,5fa2afa85e75dd640ddf32ae,5fa2afa85e75dd640ddf32a9,5fa2afa85e75dd640ddf3184,5fa2afa85e75dd640ddf3180,5fa2afa85e75dd640ddf3185</t>
  </si>
  <si>
    <t>5fa2afa85e75dd640ddf3297,5fa2afa85e75dd640ddf321c,5fa2afa85e75dd640ddf31d8,5ff6997b5e75dd697c2bd0d5,5fa2afa85e75dd640ddf31c7,5fa2afa85e75dd640ddf315d,5ff6997b5e75dd697c2bd0b8,5ff6997b5e75dd697c2bd0c9,5fd0ccb95e75dd78adcb72a1,5fd0ccb95e75dd78adcb72a8,5fd0ccb95e75dd78adcb72a3,5fa2afa85e75dd640ddf3175,5fd0ccb85e75dd78adcb7274,5fd0ccb95e75dd78adcb7284,5fa2afa85e75dd640ddf3171,65d5c848f10023ec4ddb1f80,5fd0ccb85e75dd78adcb7270,5fa2afa85e75dd640ddf31d9,5fa2afa85e75dd640ddf328c,5fa2afa85e75dd640ddf3296,5fa2afa85e75dd640ddf3164,61de67584e1f77c3dfb9bb29,61f3d4d5259522d0fab55208,5fa2afa85e75dd640ddf31c8,6281f2b96cd937dc3719927c,5fa2afa85e75dd640ddf32a7,5fa2afa85e75dd640ddf328e,5ff6997b5e75dd697c2bd0b1,5fd0ccb95e75dd78adcb727f,5fa2afa85e75dd640ddf3144,5fa2afa85e75dd640ddf31a2,5ff6997b5e75dd697c2bd0bf,5fa2afa85e75dd640ddf3280,5fa2afa85e75dd640ddf3292,5ff6997b5e75dd697c2bd0bc,68f1d5051fcda105d4db7e5b,5ff6997b5e75dd697c2bd0d1,5fa2afa85e75dd640ddf32d5,5fd0ccb95e75dd78adcb728c,619f38df5e75dd681fcc4921,5fd0ccb85e75dd78adcb7278,5ff6997b5e75dd697c2bd0d8,5fa2afa85e75dd640ddf3158,5fa2afa85e75dd640ddf315e,5fa2afa85e75dd640ddf31f4,5fa2afa85e75dd640ddf31a5,5ff6997b5e75dd697c2bd0e2,5fa2afa85e75dd640ddf3221,5fa2afa85e75dd640ddf3148,5fd0ccb95e75dd78adcb72b7,5fa2afa85e75dd640ddf3149,611b69775e75dd298f044ef0,5fa2afa85e75dd640ddf322d,5fa2afa85e75dd640ddf3166,5ff6997b5e75dd697c2bd0ae,5fa2afa85e75dd640ddf329c,5fa2afa85e75dd640ddf3151,5ff6997b5e75dd697c2bd0e3,5fa2afa85e75dd640ddf31a3,5fa2afa85e75dd640ddf31c6,5fa2afa85e75dd640ddf31a8,5fa2afa85e75dd640ddf315b,5fa2afa85e75dd640ddf3153,5ff6997b5e75dd697c2bd0e6,5fa2afa85e75dd640ddf313c,5fd0ccb85e75dd78adcb7271,5ff6997b5e75dd697c2bd0ac,5fd0ccb95e75dd78adcb72b6,5fa2afa85e75dd640ddf314a,5fd0ccb95e75dd78adcb7283,5fa2afa85e75dd640ddf316f,5fa2afa85e75dd640ddf3220,5ff6997b5e75dd697c2bd0b9,5fd0ccb95e75dd78adcb72aa,5fa2afa85e75dd640ddf3284,5fd0ccb95e75dd78adcb72a5,5fd0ccb95e75dd78adcb729f,5fa2afa85e75dd640ddf31d6,5fd0ccb95e75dd78adcb7282,5fa2afa85e75dd640ddf3159,6202026a4a404cfa2021309d,611b69775e75dd298f044ef1,5fa2afa85e75dd640ddf31f2,5fd0ccb95e75dd78adcb729d,5fd0ccb85e75dd78adcb726b,6229ad884fa0c90c86d79e82,615aaba85e75dd3996e8453a,5ff6997b5e75dd697c2bd0c2,5fa2afa85e75dd640ddf3194,5fa2afa85e75dd640ddf3198,611b69775e75dd298f044ef2,5fa2afa85e75dd640ddf314e,5fd0ccb85e75dd78adcb726c,5ff6997b5e75dd697c2bd0a9,5fa2afa85e75dd640ddf3197,5fa2afa85e75dd640ddf32d7,5fa2afa85e75dd640ddf326d,5fa2afa85e75dd640ddf315c,5fa2afa85e75dd640ddf326c,5fa2afa85e75dd640ddf3230,5fa2afa85e75dd640ddf32c9,5fa2afa85e75dd640ddf321d,5fa2afa85e75dd640ddf326b,5fd0ccb95e75dd78adcb728a,5fa2afa85e75dd640ddf321e,5fa2afa85e75dd640ddf32a6,5fa2afa85e75dd640ddf3168,5ff6997b5e75dd697c2bd0da,5fa2afa85e75dd640ddf3275,5fa2afa85e75dd640ddf326e,5fa2afa85e75dd640ddf32d8,5fd0ccb85e75dd78adcb727b,5fa2afa85e75dd640ddf31ac,5fa2afa85e75dd640ddf31eb,5fa2afa85e75dd640ddf3232,5fa2afa85e75dd640ddf3150,5fa2afa85e75dd640ddf327f,5fa2afa85e75dd640ddf3281,5ff6997b5e75dd697c2bd0d2,5fd0ccb95e75dd78adcb72b1,5fa2afa85e75dd640ddf316c,5fa2afa85e75dd640ddf3231,5fa2afa85e75dd640ddf316e,5ff6997b5e75dd697c2bd0ba,5fa2afa85e75dd640ddf3147,5ff6997b5e75dd697c2bd0e7,5fa2afa85e75dd640ddf3143,5fa2afa85e75dd640ddf3229,5fa2afa85e75dd640ddf3146,5ff6997b5e75dd697c2bd0b0,5fa2afa85e75dd640ddf328a,5fa2afa85e75dd640ddf3177,61f7da9b259522d0fab5553e,5fa2afa85e75dd640ddf328b,5fd0ccb85e75dd78adcb727d,5fa2afa85e75dd640ddf32cb,5ff6997b5e75dd697c2bd0af,5fa2afa85e75dd640ddf327e,5fd0ccb85e75dd78adcb726e,5fd0ccb95e75dd78adcb728b,635a2d521f7cd11dce4cc145,5fd0ccb95e75dd78adcb72b3,5fa2afa85e75dd640ddf32b8,5fd0ccb95e75dd78adcb728d,5ff6997b5e75dd697c2bd0fa,5ff6997b5e75dd697c2bd0c1,5fa2afa85e75dd640ddf3289,5ff6997b5e75dd697c2bd0cf,5fa2afa85e75dd640ddf32bd,66d16340a7141ec6d08c3bce,5fd0ccb95e75dd78adcb7290,5ff6997b5e75dd697c2bd0dc,5fd0ccb95e75dd78adcb72a6,5fa2afa85e75dd640ddf3156,5fa2afa85e75dd640ddf3141,5fd0ccb85e75dd78adcb7267,5ff6997b5e75dd697c2bd0d6,5fa2afa85e75dd640ddf31d7,5fa2afa85e75dd640ddf3145,6023a8fe5e75dd772239dc76,5fa2afa85e75dd640ddf3299,5fa2afa85e75dd640ddf319a,5fa2afa85e75dd640ddf31af,5ff6997b5e75dd697c2bd0c8,5fa2afa85e75dd640ddf32db,5fa2afa85e75dd640ddf32a5,5fa2afa85e75dd640ddf3170,5fa2afa85e75dd640ddf3269,5fd0ccb95e75dd78adcb72a4,5fa2afa85e75dd640ddf315a,5fa2afa85e75dd640ddf31e5,5fa2afa85e75dd640ddf32bf,5fd0ccb95e75dd78adcb7297,5ff6997b5e75dd697c2bd0db,5fa2afa85e75dd640ddf31e7,5ff6997b5e75dd697c2bd0cd,5fa2afa85e75dd640ddf32d6,5ff6997b5e75dd697c2bd0cc,5fa2afa85e75dd640ddf3270,5ff6997b5e75dd697c2bd0b2,5fa2afa85e75dd640ddf314c,5fd0ccb85e75dd78adcb727c,5ff6997b5e75dd697c2bd0dd,5fa2afa85e75dd640ddf3282,5fd0ccb85e75dd78adcb727e,5fd0ccb95e75dd78adcb72ab,5fd0ccb95e75dd78adcb72a9,5fd0ccb95e75dd78adcb72b5,5ff6997b5e75dd697c2bd0ad,5fa2afa85e75dd640ddf31ab,6435413cdd4f75c60df475ca,5ff6997b5e75dd697c2bd0df,5fa2afa85e75dd640ddf322b,5fa2afa85e75dd640ddf31ad,5fa2afa85e75dd640ddf31d2,5fa2afa85e75dd640ddf326f,5fa2afa85e75dd640ddf3167,5fa2afa85e75dd640ddf3290,5fa2afa85e75dd640ddf32cf,5fa2afa85e75dd640ddf3173,5fa2afa85e75dd640ddf3277,5fd0ccb95e75dd78adcb7293,611b69665e75dd298f044eee,5ff6997b5e75dd697c2bd0aa,5fa2afa85e75dd640ddf31ce,5fa2afa85e75dd640ddf3195,5fa2afa85e75dd640ddf322e,5fd0ccb95e75dd78adcb7292,5fd0ccb95e75dd78adcb72a0,5ff6997b5e75dd697c2bd0b5,5fa2afa85e75dd640ddf3278,5fd0ccb95e75dd78adcb729e,5fa2afa85e75dd640ddf32da,65e175eec7acc8d65f046917,5ff6997b5e75dd697c2bd0d3,5fa2afa85e75dd640ddf316d,5fd0ccb85e75dd78adcb726d,5fa2afa85e75dd640ddf32a3,5fa2afa85e75dd640ddf327a,5fa2afa85e75dd640ddf32be,5fa2afa85e75dd640ddf31f3,5ff6997b5e75dd697c2bd0a7,5fa2afa85e75dd640ddf31d1,5ff6997b5e75dd697c2bd0d9,61de67a74e1f77c3dfb9bb2a,5ff6997b5e75dd697c2bd0e0,64e787391b37a880a770aa1e,5fa2afa85e75dd640ddf31cf,5ff6997b5e75dd697c2bd0bd,5fa2afa85e75dd640ddf3142,5fd0ccb85e75dd78adcb7277,5fd0ccb95e75dd78adcb72b9,5ff6997b5e75dd697c2bd0ce,5fa2afa85e75dd640ddf313b,5fa2afa85e75dd640ddf3161,5fa2afa85e75dd640ddf31e4,5ff6997b5e75dd697c2bd0ab,619f38df5e75dd681fcc491f,5fa2afa85e75dd640ddf3162,5ff6997b5e75dd697c2bd0b3,5fa2afa85e75dd640ddf32cc,5fa2afa85e75dd640ddf329a,5fa2afa85e75dd640ddf31cc,6023a8fe5e75dd772239dc79,5fa2afa85e75dd640ddf31c5,5fa2afa85e75dd640ddf31ec,63c64c301131201a3448197b,5ff6997b5e75dd697c2bd0c7,5fd0ccb85e75dd78adcb7272,5fa2afa85e75dd640ddf319c,5fa2afa85e75dd640ddf327c,5fa2afa85e75dd640ddf31e9,5fa2afa85e75dd640ddf3285,5fa2afa85e75dd640ddf32bc,6023a8fc5e75dd772239dc74,5fa2afa85e75dd640ddf32ce,5fa2afa85e75dd640ddf319f,5fd0ccb95e75dd78adcb72b4,5fa2afa85e75dd640ddf31f0,5fd0ccb95e75dd78adcb72b8,5fa2afa85e75dd640ddf31d5,5fa2afa85e75dd640ddf3169,5fa2afa85e75dd640ddf31f1,5fa2afa85e75dd640ddf32ca,68f1d48ad6441dd785881f25,5fd0ccb85e75dd78adcb7276,5fa2afa85e75dd640ddf313d,5fd0ccb95e75dd78adcb7295,5fd0ccb85e75dd78adcb7269,5fa2afa85e75dd640ddf31c9,5fa2afa85e75dd640ddf32a2,5fa2afa85e75dd640ddf3293,5fd0ccb95e75dd78adcb7299,5fa2afa85e75dd640ddf32ba,5fa2afa85e75dd640ddf3160,5fa2afa85e75dd640ddf3163,5fa2afa85e75dd640ddf31da,5fd0ccb95e75dd78adcb7294,5fd0ccb95e75dd78adcb7289,5fa2afa85e75dd640ddf326a,5fa2afa85e75dd640ddf314d,62b555887ff9814b36212d59,5ff6997b5e75dd697c2bd0d0,5fa2afa85e75dd640ddf3283,5fd0ccb95e75dd78adcb7281,5fd0ccb95e75dd78adcb72ba,5fa2afa85e75dd640ddf3227,5fd0ccb95e75dd78adcb729c,5ff6997b5e75dd697c2bd0c5,5fd0ccb85e75dd78adcb727a,68f1d4bd1fcda105d4db7e59,5fe4a42b5e75dd08b0824c79,5fa2afa85e75dd640ddf32c7,5fa2afa85e75dd640ddf319b,68f5b09f569b969e02bdac6c,5fa2afa85e75dd640ddf3276,5ff6997b5e75dd697c2bd0d4,6480206c2c07346a833ac6a5,5fa2afa85e75dd640ddf31ae,5ff6997b5e75dd697c2bd0e8,5ff6997b5e75dd697c2bd0bb,5fa2afa85e75dd640ddf31d4,5ff6997b5e75dd697c2bd0a8,5fa2afa85e75dd640ddf31bc,5fd0ccb85e75dd78adcb726a,5ff6997b5e75dd697c2bd0cb,5fa2afa85e75dd640ddf313e,5fa2afa85e75dd640ddf322f,5fa2afa85e75dd640ddf31ef,5fd0ccb95e75dd78adcb729a,5fa2afa85e75dd640ddf3298,5fa389b4c49dd43832ee2362,5fd0ccb85e75dd78adcb7268,5fa2afa85e75dd640ddf31e6,5fa2afa85e75dd640ddf31cb,5fd0ccb95e75dd78adcb728e,5ff6997b5e75dd697c2bd0de,5fa2afa85e75dd640ddf3222,5ff6997b5e75dd697c2bd0c6,5fa2afa85e75dd640ddf31d0,5fa2afa85e75dd640ddf31a1,5fa2afa85e75dd640ddf3294,5fd0ccb95e75dd78adcb72ad,5fd0ccb95e75dd78adcb72a7,637b535f96441d0ff9f22681,5fa2afa85e75dd640ddf3172,5fd0ccb95e75dd78adcb7280,5fa2afa85e75dd640ddf3286,5fa2afa85e75dd640ddf3223,5fa2afa85e75dd640ddf313f,5fa2afa85e75dd640ddf31a4,5fa2afa85e75dd640ddf327d,5fd0ccb95e75dd78adcb72b2,6232b21a23462985f879523d,5fd0ccb95e75dd78adcb7291,5fa2afa85e75dd640ddf3295,5fa2afa85e75dd640ddf31a9,5fd0ccb85e75dd78adcb7275,5fd0ccb95e75dd78adcb7287,5fa2afa85e75dd640ddf31cd,62cfe05ed957aeaa9156c29d,5ff6997b5e75dd697c2bd0ca,60c2cfa7c49dd4033e2a567c,5fa2afa85e75dd640ddf314f,68f1d4601fcda105d4db7e57,5ff6997b5e75dd697c2bd0b6,5fd0ccb85e75dd78adcb726f,5fa2afa85e75dd640ddf32a0,5ff6997b5e75dd697c2bd0d7,5fa2afa85e75dd640ddf3271,5fa2afa85e75dd640ddf316b,5fa2afa85e75dd640ddf3140,5fd0ccb95e75dd78adcb7285,5fa2afa85e75dd640ddf3155,5fa2afa85e75dd640ddf31ed,5fa2afa85e75dd640ddf3225,64af9f4f8a722f6ff7215f98,5fa2afa85e75dd640ddf327b,5fa2afa85e75dd640ddf3226,5ff6997b5e75dd697c2bd0e1,5fd0ccb95e75dd78adcb7286,5ff6997b5e75dd697c2bd0c0,5fa2afa85e75dd640ddf328f,6229ad694fa0c90c86d79e81,5fa2afa85e75dd640ddf32a4,5fd0ccb95e75dd78adcb72ae,5fa2afa85e75dd640ddf31c4,5fa2afa85e75dd640ddf31ca,5fa2afa85e75dd640ddf3288,5ff6997b5e75dd697c2bd0c4,5fa2afa85e75dd640ddf3224,5fa2afa85e75dd640ddf315f,6229ad394fa0c90c86d79e80,6023a8fe5e75dd772239dc78,5fa2afa85e75dd640ddf32d4,5fa2afa85e75dd640ddf329f,5fd0ccb95e75dd78adcb72af,5fa2afa85e75dd640ddf3291,5ff6997b5e75dd697c2bd0b4,5fa2afa85e75dd640ddf329d,5fa2afa85e75dd640ddf3196,5fa2afa85e75dd640ddf31a7,5fa2afa85e75dd640ddf3279,5fa2afa85e75dd640ddf32a1,6336a31817156cbab0ca275b,5fd0ccb95e75dd78adcb728f,5fa2afa85e75dd640ddf32d9,5fa2afa85e75dd640ddf31e3,5fa2afa85e75dd640ddf3152,5fa2afa85e75dd640ddf321f,5fa2afa85e75dd640ddf3174,5fa2afa85e75dd640ddf3178,6232ad8823462985f8795234,5fd0ccb85e75dd78adcb7273,5fa2afa85e75dd640ddf32d3,68f1d4351fcda105d4db7e55,5fa2afa85e75dd640ddf319e,5fa2afa85e75dd640ddf3193,5ff6997b5e75dd697c2bd0be,61f7dab0259522d0fab5553f,6023a8fe5e75dd772239dc77,5fa2afa85e75dd640ddf314b,5ff6997b5e75dd697c2bd0c3,5fa2afa85e75dd640ddf322c,68f1d4e61fcda105d4db7e5a,5fa2afa85e75dd640ddf3176,5fa2afa85e75dd640ddf31d3,5fa2afa85e75dd640ddf328d,5fd0ccb95e75dd78adcb72a2,5ff6997b5e75dd697c2bd0a6,5fa2afa85e75dd640ddf31e8,60c2d04ec49dd4033e2a567d,5fa2afa85e75dd640ddf3165,615aabaa5e75dd3996e8453c,6232b24123462985f879523e,5fa2afa85e75dd640ddf32d2,5fd0ccb95e75dd78adcb7288,5fa2afa85e75dd640ddf319d,5fa2afa85e75dd640ddf3287,64ee201b55d9a0598180ccb6,5fa2afa85e75dd640ddf31e0,5fa2afa85e75dd640ddf3157,5fd0ccb95e75dd78adcb72ac,5fa2afa85e75dd640ddf3199,5fa2afa85e75dd640ddf316a,5fa2afa85e75dd640ddf3228,5fa2afa85e75dd640ddf31a0,5fa2afa85e75dd640ddf32b9,5fa2afa85e75dd640ddf32c8,5fa2afa85e75dd640ddf32d1,5fa2afa85e75dd640ddf31ea,5fa2afa85e75dd640ddf329b,5ff6997b5e75dd697c2bd0b7,5fa2afa85e75dd640ddf329e,5fd0ccb85e75dd78adcb7279,5fa2afa85e75dd640ddf32bb,620202434a404cfa2021309b,5fa2afa85e75dd640ddf32cd,5fa2afa85e75dd640ddf313a,5fd0ccb95e75dd78adcb729b,5fa2afa85e75dd640ddf31aa,5fa2afa85e75dd640ddf31a6,5fa2afa85e75dd640ddf31e2,5ff6997b5e75dd697c2bd0e4,5fa2afa85e75dd640ddf322a,5fa2afa85e75dd640ddf3192,5fa2afa85e75dd640ddf32d0,5fa2afa85e75dd640ddf31ee,5fd0ccb95e75dd78adcb7298,5ff6997b5e75dd697c2bd0e5,5fa2afa85e75dd640ddf3154,5fa2afa85e75dd640ddf31e1,5fd0ccb95e75dd78adcb7296,5fd0ccb95e75dd78adcb72b0</t>
  </si>
  <si>
    <t>5fa2afa85e75dd640ddf3205,5fa2afa85e75dd640ddf3218,5fa2afa85e75dd640ddf3208,5fa2afa85e75dd640ddf3212,5fa2afa85e75dd640ddf31fd,5fa2afa85e75dd640ddf3202,5fa2afa85e75dd640ddf31fa,5fa2afa85e75dd640ddf3219,5fa2afa85e75dd640ddf3216,5fa2afa85e75dd640ddf31f9,5fa2afa85e75dd640ddf31fe,5fa2afa85e75dd640ddf320a,5fa2afa85e75dd640ddf3204,5fa2afa85e75dd640ddf31fc,5fa2afa85e75dd640ddf3217,5ff6997b5e75dd697c2bd0f9,5fa2afa85e75dd640ddf320e,5fa2afa85e75dd640ddf3200,5fa2afa85e75dd640ddf3210,5fa2afa85e75dd640ddf3214,5fa2afa85e75dd640ddf320c,5fa2afa85e75dd640ddf3207,5fa2afa85e75dd640ddf31f7,5fa2afa85e75dd640ddf3213,5fa2afa85e75dd640ddf3209,5fa2afa85e75dd640ddf3211,5fa2afa85e75dd640ddf3215,5fa2afa85e75dd640ddf320d,5fa2afa85e75dd640ddf3206,5fa2afa85e75dd640ddf321b,5fa2afa85e75dd640ddf31fb,5fa2afa85e75dd640ddf321a,5fa2afa85e75dd640ddf320b,5fa2afa85e75dd640ddf320f,674ef5eac6b4259201b9ac84,5fa2afa85e75dd640ddf31f8,5fa2afa85e75dd640ddf3201,5fa2afa85e75dd640ddf3203,5fa2afa85e75dd640ddf31f5,5fa2afa85e75dd640ddf31f6,5fa2afa85e75dd640ddf31ff</t>
  </si>
  <si>
    <t>5fa2afa85e75dd640ddf32c3,5fa2afa85e75dd640ddf32c0,5fa2afa85e75dd640ddf32c5,5fa2afa85e75dd640ddf32c6,650a7da965d8e510b282a63c,5fa2afa85e75dd640ddf32c2,5fa2afa85e75dd640ddf32c1,5fa2afa85e75dd640ddf32c4,650a7dd665d8e510b282a63d</t>
  </si>
  <si>
    <t>5fa2afa85e75dd640ddf3251,5fa2afa85e75dd640ddf3249,6343cf233435fffe9bc5515c,5fa2afa85e75dd640ddf3265,5fa2afa85e75dd640ddf3261,5fa2afa85e75dd640ddf3255,65f2c0d5136afecb0f1239cd,5fa2afa85e75dd640ddf3267,5fa2afa85e75dd640ddf323f,63c660b51131201a344819ad,5fa2afa85e75dd640ddf3259,5fa2afa85e75dd640ddf3243,5fa2afa85e75dd640ddf3240,5fa2afa85e75dd640ddf324b,5fa2afa85e75dd640ddf3272,5fa2afa85e75dd640ddf3244,5fa2afa85e75dd640ddf325b,5fa2afa85e75dd640ddf3274,5fa2afa85e75dd640ddf3262,64af9e4fbe77ff1f44072aac,5fa2afa85e75dd640ddf3266,678a2c1949a0f85e1e3ef3b7,5fa2afa85e75dd640ddf3239,5fa2afa85e75dd640ddf3235,5fa2afa85e75dd640ddf3273,5fa2afa85e75dd640ddf3238,5fa2afa85e75dd640ddf3246,5fa2afa85e75dd640ddf3234,5fa2afa85e75dd640ddf3253,5fa2afa85e75dd640ddf3247,5fa2afa85e75dd640ddf323c</t>
  </si>
  <si>
    <t>58ad3474a2393a143df57ef9</t>
  </si>
  <si>
    <t>58ad3474a2393a143df57efa</t>
  </si>
  <si>
    <t>58ad3474a2393a143df57ee8</t>
  </si>
  <si>
    <t>5fa2afa85e75dd640ddf31bd,5fa2afa85e75dd640ddf31b5,5fa2afa85e75dd640ddf31bb,64e787ce1b37a880a770aa1f,6256fb905eb28dff08ab9da5,5fa2afa85e75dd640ddf31be,5fa2afa85e75dd640ddf31b0,5fa2afa85e75dd640ddf31b2,5fa2afa85e75dd640ddf31b7,5fa2afa85e75dd640ddf31b6,6409b6e2a42ee1f0652372c3,654e13a28d18f1a8b9dc55ea,620202974a404cfa2021309e,5fa2afa85e75dd640ddf31c1,5fa2afa85e75dd640ddf31bf,621363519a4dba8b66406a20,5fa2afa85e75dd640ddf31b9,6320730bd1b35ed2eeee6ac5,5fa2afa85e75dd640ddf31b4,62b554c77ff9814b36212d58,5fa2afa85e75dd640ddf31c2,5fa2afa85e75dd640ddf31b8,5fa2afa85e75dd640ddf31ba,5fa2afa85e75dd640ddf31b3,5fa2afa85e75dd640ddf31b1,63328a74ca8d78f186a2a27b</t>
  </si>
  <si>
    <t>58ad3474a2393a143df57e6c</t>
  </si>
  <si>
    <t>6230692123462985f8794d9a</t>
  </si>
  <si>
    <t>58ad3474a2393a143df57dfe</t>
  </si>
  <si>
    <t>623066ec23462985f8794d8d</t>
  </si>
  <si>
    <t>6230669923462985f8794d8b</t>
  </si>
  <si>
    <t>58ad3474a2393a143df57e1c</t>
  </si>
  <si>
    <t>58ad3474a2393a143df57de7</t>
  </si>
  <si>
    <t>58ad3474a2393a143df57ea8</t>
  </si>
  <si>
    <t>58ad3474a2393a143df57e09</t>
  </si>
  <si>
    <t>58ad3474a2393a143df57e9b</t>
  </si>
  <si>
    <t>5fd0c9d05e75dd749319d64f</t>
  </si>
  <si>
    <t>63ac79e2c4256458ac245f1c</t>
  </si>
  <si>
    <t>6230655d23462985f8794d84</t>
  </si>
  <si>
    <t>62306b9b23462985f8794db0</t>
  </si>
  <si>
    <t>58ad3474a2393a143df57de8</t>
  </si>
  <si>
    <t>58ad3474a2393a143df57eed</t>
  </si>
  <si>
    <t>58ad3474a2393a143df57e59</t>
  </si>
  <si>
    <t>58ad3474a2393a143df57e5f</t>
  </si>
  <si>
    <t>5fa3fc9a5e75dd4802365278</t>
  </si>
  <si>
    <t>58ad3474a2393a143df57f18</t>
  </si>
  <si>
    <t>5cf63a77d5f2c95193778aba</t>
  </si>
  <si>
    <t>621db8fca782ca70ccb683db</t>
  </si>
  <si>
    <t>58ad3474a2393a143df57df7</t>
  </si>
  <si>
    <t>58ad3474a2393a143df57e36</t>
  </si>
  <si>
    <t>58ad3474a2393a143df57e33</t>
  </si>
  <si>
    <t>5cf63a77d5f2c95193778abb</t>
  </si>
  <si>
    <t>58ad3474a2393a143df57e5b</t>
  </si>
  <si>
    <t>5927bf8c5d8172303cc1ca1c</t>
  </si>
  <si>
    <t>58ad3474a2393a143df57e51</t>
  </si>
  <si>
    <t>62306b5a23462985f8794daf</t>
  </si>
  <si>
    <t>58ad3474a2393a143df57ea7</t>
  </si>
  <si>
    <t>58ad3474a2393a143df57e97</t>
  </si>
  <si>
    <t>58ad3474a2393a143df57e03</t>
  </si>
  <si>
    <t>58ad3473a2393a143df57d60</t>
  </si>
  <si>
    <t>5ed7720dc49dd437a9061dc4</t>
  </si>
  <si>
    <t>58ad3473a2393a143df57d66</t>
  </si>
  <si>
    <t>58ad3474a2393a143df57dee</t>
  </si>
  <si>
    <t>5fa3fc9a5e75dd480236527b</t>
  </si>
  <si>
    <t>6499a3e84b65be6684b91c27</t>
  </si>
  <si>
    <t>5cf63a77d5f2c95193778ab9</t>
  </si>
  <si>
    <t>5e2ea791c49dd46597cbc90d</t>
  </si>
  <si>
    <t>58ad3473a2393a143df57dc2</t>
  </si>
  <si>
    <t>6499a4234b65be6684b91c28</t>
  </si>
  <si>
    <t>6230662f23462985f8794d88</t>
  </si>
  <si>
    <t>6232ac5b23462985f8795232</t>
  </si>
  <si>
    <t>58ad3474a2393a143df57e02</t>
  </si>
  <si>
    <t>5e452781c49dd4524decc7cf</t>
  </si>
  <si>
    <t>58ad3473a2393a143df57dde</t>
  </si>
  <si>
    <t>62306be323462985f8794db2</t>
  </si>
  <si>
    <t>58ad3474a2393a143df57ed6</t>
  </si>
  <si>
    <t>5cf63a77d5f2c95193778abf</t>
  </si>
  <si>
    <t>62306c9f23462985f8794db9</t>
  </si>
  <si>
    <t>5cf63a77d5f2c95193778ac7</t>
  </si>
  <si>
    <t>G3</t>
  </si>
  <si>
    <t>Final Incentives Jul 2026</t>
  </si>
  <si>
    <t>Field Sales Targets July 2026-27</t>
  </si>
  <si>
    <t>July Base</t>
  </si>
  <si>
    <t>July WC</t>
  </si>
  <si>
    <t>Z5-Independent(Anjaney)</t>
  </si>
  <si>
    <t>Reshav Sharma</t>
  </si>
  <si>
    <t>NHP842</t>
  </si>
  <si>
    <t>Monish V</t>
  </si>
  <si>
    <t>NHP851</t>
  </si>
  <si>
    <t>Monish Venugopalraja</t>
  </si>
  <si>
    <t>Jul'26</t>
  </si>
  <si>
    <t>5fa2afa85e75dd640ddf31b3,5fa2afa85e75dd640ddf31b9,5fa2afa85e75dd640ddf31b2,621363519a4dba8b66406a20,6256fb905eb28dff08ab9da5,5fa2afa85e75dd640ddf31b6,620202974a404cfa2021309e,5fa2afa85e75dd640ddf31be,62b554c77ff9814b36212d58,5fa2afa85e75dd640ddf31b1,5fa2afa85e75dd640ddf31b0,5fa2afa85e75dd640ddf31b5,5fa2afa85e75dd640ddf31b4,64e787ce1b37a880a770aa1f,5fa2afa85e75dd640ddf31c2,5fa2afa85e75dd640ddf31c1,5fa2afa85e75dd640ddf31b8,63328a74ca8d78f186a2a27b,6409b6e2a42ee1f0652372c3,5fa2afa85e75dd640ddf31ba,5fa2afa85e75dd640ddf31bb,654e13a28d18f1a8b9dc55ea,5fa2afa85e75dd640ddf31b7,5fa2afa85e75dd640ddf31bd,6320730bd1b35ed2eeee6ac5,5fa2afa85e75dd640ddf31bf</t>
  </si>
  <si>
    <t>5fa2afa85e75dd640ddf3217,5fa2afa85e75dd640ddf3200,5fa2afa85e75dd640ddf321a,5fa2afa85e75dd640ddf3206,5fa2afa85e75dd640ddf3209,5fa2afa85e75dd640ddf320a,5fa2afa85e75dd640ddf3214,5fa2afa85e75dd640ddf3212,5fa2afa85e75dd640ddf3215,5fa2afa85e75dd640ddf31ff,5fa2afa85e75dd640ddf3207,5fa2afa85e75dd640ddf31f5,5ff6997b5e75dd697c2bd0f9,5fa2afa85e75dd640ddf31f7,674ef5eac6b4259201b9ac84,5fa2afa85e75dd640ddf3210,5fa2afa85e75dd640ddf3204,5fa2afa85e75dd640ddf321b,5fa2afa85e75dd640ddf31fd,5fa2afa85e75dd640ddf3211,5fa2afa85e75dd640ddf3213,5fa2afa85e75dd640ddf320b,5fa2afa85e75dd640ddf320e,5fa2afa85e75dd640ddf31f9,5fa2afa85e75dd640ddf320d,5fa2afa85e75dd640ddf31f6,5fa2afa85e75dd640ddf3208,5fa2afa85e75dd640ddf3219,5fa2afa85e75dd640ddf3202,5fa2afa85e75dd640ddf31fa,5fa2afa85e75dd640ddf3216,5fa2afa85e75dd640ddf3203,5fa2afa85e75dd640ddf31fe,5fa2afa85e75dd640ddf3201,5fa2afa85e75dd640ddf31fc,5fa2afa85e75dd640ddf31fb,5fa2afa85e75dd640ddf3218,5fa2afa85e75dd640ddf3205,5fa2afa85e75dd640ddf320c,5fa2afa85e75dd640ddf31f8,5fa2afa85e75dd640ddf320f</t>
  </si>
  <si>
    <t>5fa2afa85e75dd640ddf324b,5fa2afa85e75dd640ddf3244,6343cf233435fffe9bc5515c,5fa2afa85e75dd640ddf3239,5fa2afa85e75dd640ddf3243,5fa2afa85e75dd640ddf3259,5fa2afa85e75dd640ddf3273,5fa2afa85e75dd640ddf3249,5fa2afa85e75dd640ddf3272,5fa2afa85e75dd640ddf3255,5fa2afa85e75dd640ddf3234,5fa2afa85e75dd640ddf3265,5fa2afa85e75dd640ddf3253,678a2c1949a0f85e1e3ef3b7,5fa2afa85e75dd640ddf3240,63c660b51131201a344819ad,5fa2afa85e75dd640ddf323f,5fa2afa85e75dd640ddf3247,65f2c0d5136afecb0f1239cd,5fa2afa85e75dd640ddf3261,5fa2afa85e75dd640ddf3251,5fa2afa85e75dd640ddf3267,5fa2afa85e75dd640ddf3262,5fa2afa85e75dd640ddf3274,5fa2afa85e75dd640ddf3235,5fa2afa85e75dd640ddf3246,5fa2afa85e75dd640ddf323c,5fa2afa85e75dd640ddf325b,5fa2afa85e75dd640ddf3266,64af9e4fbe77ff1f44072aac,5fa2afa85e75dd640ddf3238</t>
  </si>
  <si>
    <t>58ad3473a2393a143df57d57</t>
  </si>
  <si>
    <t>5fa2afa85e75dd640ddf32c1,5fa2afa85e75dd640ddf32c3,650a7da965d8e510b282a63c,5fa2afa85e75dd640ddf32c2,5fa2afa85e75dd640ddf32c0,5fa2afa85e75dd640ddf32c4,5fa2afa85e75dd640ddf32c6,5fa2afa85e75dd640ddf32c5,650a7dd665d8e510b282a63d</t>
  </si>
  <si>
    <t>5fa2afa85e75dd640ddf318f,5fa2afa85e75dd640ddf32ac,6448dfa498120c5addf7c096,5fa2afa85e75dd640ddf3191,5fa2afa85e75dd640ddf317d,5fa2afa85e75dd640ddf3181,5fa2afa85e75dd640ddf32b5,5fa2afa85e75dd640ddf32af,5fa2afa85e75dd640ddf32b4,5fa2afa85e75dd640ddf3184,5fa2afa85e75dd640ddf3190,5fa2afa85e75dd640ddf3186,5fe4a4265e75dd08b0824c78,5fa2afa85e75dd640ddf32aa,5fa2afa85e75dd640ddf32b7,5fa2afa85e75dd640ddf3185,650a7e1865d8e510b282a63e,619f38df5e75dd681fcc4920,5fa2afa85e75dd640ddf318b,5fa2afa85e75dd640ddf32b3,5fa2afa85e75dd640ddf318e,5fa2afa85e75dd640ddf318d,5fa2afa85e75dd640ddf32b2,5fa2afa85e75dd640ddf3187,5fa2afa85e75dd640ddf317a,5fa2afa85e75dd640ddf317c,5fa2afa85e75dd640ddf318a,5fa2afa85e75dd640ddf32a8,5fa2afa85e75dd640ddf3183,5fa2afa85e75dd640ddf318c,5fa2afa85e75dd640ddf32b6,5fa2afa85e75dd640ddf32ae,5fa2afa85e75dd640ddf32ab,5fa2afa85e75dd640ddf3179,5fa2afa85e75dd640ddf317f,5fa2afa85e75dd640ddf32ad,5fa2afa85e75dd640ddf3189,5fa2afa85e75dd640ddf317b,6023a8fd5e75dd772239dc75,5fa2afa85e75dd640ddf32a9,5fa2afa85e75dd640ddf3180,5fa2afa85e75dd640ddf317e,5fa2afa85e75dd640ddf32b0,5fa2afa85e75dd640ddf3182,5fa2afa85e75dd640ddf3188,5fa2afa85e75dd640ddf32b1</t>
  </si>
  <si>
    <t>5fd0ccb95e75dd78adcb72a8,5fa2afa85e75dd640ddf3294,5fa2afa85e75dd640ddf3225,5ff6997b5e75dd697c2bd0ce,5fa2afa85e75dd640ddf31a4,5ff6997b5e75dd697c2bd0b5,5fa2afa85e75dd640ddf31d9,5fa2afa85e75dd640ddf3147,68f1d4351fcda105d4db7e55,5fa2afa85e75dd640ddf3192,5fd0ccb95e75dd78adcb72b7,5fa2afa85e75dd640ddf316c,5fa2afa85e75dd640ddf31ad,62cfe05ed957aeaa9156c29d,5fa2afa85e75dd640ddf3298,5fa2afa85e75dd640ddf3197,5fd0ccb95e75dd78adcb7283,5ff6997b5e75dd697c2bd0cb,5fa2afa85e75dd640ddf3172,62b555887ff9814b36212d59,5ff6997b5e75dd697c2bd0ac,5ff6997b5e75dd697c2bd0af,5fa2afa85e75dd640ddf3275,5fa2afa85e75dd640ddf319f,5fa2afa85e75dd640ddf329c,5ff6997b5e75dd697c2bd0c8,5ff6997b5e75dd697c2bd0c1,5fd0ccb85e75dd78adcb726c,5fa2afa85e75dd640ddf32a6,68f1d4bd1fcda105d4db7e59,5fd0ccb95e75dd78adcb7290,5ff6997b5e75dd697c2bd0b9,68f1d5051fcda105d4db7e5b,5ff6997b5e75dd697c2bd0c2,5fd0ccb85e75dd78adcb7274,5fa2afa85e75dd640ddf315a,5fd0ccb95e75dd78adcb72ba,5fd0ccb95e75dd78adcb72b1,5fd0ccb95e75dd78adcb7281,6023a8fe5e75dd772239dc76,5ff6997b5e75dd697c2bd0bf,5fa2afa85e75dd640ddf32ca,5fa2afa85e75dd640ddf326b,5fd0ccb95e75dd78adcb7284,5fa2afa85e75dd640ddf31a8,5fd0ccb95e75dd78adcb7288,5fd0ccb95e75dd78adcb7287,5fa2afa85e75dd640ddf3199,5fa2afa85e75dd640ddf327c,5fa2afa85e75dd640ddf319d,5fa2afa85e75dd640ddf32a0,611b69665e75dd298f044eee,611b69775e75dd298f044ef1,5fa2afa85e75dd640ddf3291,6229ad884fa0c90c86d79e82,5fa2afa85e75dd640ddf327e,5fa2afa85e75dd640ddf3198,5fa2afa85e75dd640ddf31a9,5ff6997b5e75dd697c2bd0b7,5fa2afa85e75dd640ddf313f,5ff6997b5e75dd697c2bd0d4,5fa2afa85e75dd640ddf3278,5fd0ccb95e75dd78adcb7282,5ff6997b5e75dd697c2bd0e6,5fa2afa85e75dd640ddf315d,6229ad394fa0c90c86d79e80,5fa2afa85e75dd640ddf327a,6480206c2c07346a833ac6a5,5fa2afa85e75dd640ddf31d8,5ff6997b5e75dd697c2bd0e7,5fd0ccb95e75dd78adcb729e,5fa2afa85e75dd640ddf3163,5ff6997b5e75dd697c2bd0b4,5fa2afa85e75dd640ddf3144,6336a31817156cbab0ca275b,5fa2afa85e75dd640ddf3169,5fa2afa85e75dd640ddf3285,5fa2afa85e75dd640ddf3145,5ff6997b5e75dd697c2bd0d2,5ff6997b5e75dd697c2bd0a6,68f1d48ad6441dd785881f25,5fa2afa85e75dd640ddf3277,5fd0ccb95e75dd78adcb7280,5fa2afa85e75dd640ddf3152,5fa2afa85e75dd640ddf31a5,5fd0ccb95e75dd78adcb7289,5fa2afa85e75dd640ddf3161,5fa2afa85e75dd640ddf3148,5fd0ccb95e75dd78adcb72a5,5fd0ccb85e75dd78adcb726b,5fd0ccb85e75dd78adcb7273,5fd0ccb85e75dd78adcb7269,5fa2afa85e75dd640ddf31f1,5fd0ccb85e75dd78adcb726d,615aaba85e75dd3996e8453a,5fa2afa85e75dd640ddf316a,5ff6997b5e75dd697c2bd0c4,5fa2afa85e75dd640ddf319a,5fa2afa85e75dd640ddf31c7,5fa2afa85e75dd640ddf3271,5fa2afa85e75dd640ddf32be,5fa2afa85e75dd640ddf3269,5fa2afa85e75dd640ddf327d,5fa2afa85e75dd640ddf315e,5fa2afa85e75dd640ddf32d2,5fa2afa85e75dd640ddf3227,68f5b09f569b969e02bdac6c,5fd0ccb95e75dd78adcb728a,5fd0ccb95e75dd78adcb7299,5fa2afa85e75dd640ddf329e,5fa2afa85e75dd640ddf3220,5fd0ccb95e75dd78adcb729f,5fa2afa85e75dd640ddf313a,5ff6997b5e75dd697c2bd0db,5fa2afa85e75dd640ddf3193,65e175eec7acc8d65f046917,5fd0ccb95e75dd78adcb72a4,5fd0ccb95e75dd78adcb72a0,5fa2afa85e75dd640ddf31f0,5fa2afa85e75dd640ddf31d7,5fa2afa85e75dd640ddf328f,5fa2afa85e75dd640ddf32bc,5fd0ccb95e75dd78adcb729b,5fa2afa85e75dd640ddf3232,5fa2afa85e75dd640ddf3171,5fa2afa85e75dd640ddf32c7,5fa2afa85e75dd640ddf32a3,5fa2afa85e75dd640ddf31c4,5fa2afa85e75dd640ddf3170,5fa2afa85e75dd640ddf32a2,5fa2afa85e75dd640ddf3223,5fa2afa85e75dd640ddf3292,5fa2afa85e75dd640ddf31d5,6232b24123462985f879523e,5fd0ccb85e75dd78adcb7267,5fd0ccb95e75dd78adcb729d,5fa2afa85e75dd640ddf32da,5fd0ccb95e75dd78adcb7295,5fa2afa85e75dd640ddf3286,5fa2afa85e75dd640ddf314c,5fa2afa85e75dd640ddf327b,5fa2afa85e75dd640ddf3283,615aabaa5e75dd3996e8453c,5fd0ccb85e75dd78adcb727e,5fa2afa85e75dd640ddf31c8,5fa2afa85e75dd640ddf3270,5fa2afa85e75dd640ddf3158,5ff6997b5e75dd697c2bd0e8,5fa2afa85e75dd640ddf314e,5fa2afa85e75dd640ddf326f,5fa2afa85e75dd640ddf3176,5fa2afa85e75dd640ddf3288,5fa2afa85e75dd640ddf313d,6229ad694fa0c90c86d79e81,5fa2afa85e75dd640ddf328b,5fd0ccb95e75dd78adcb729c,5fa2afa85e75dd640ddf326e,5ff6997b5e75dd697c2bd0b3,5fa2afa85e75dd640ddf3162,5fa2afa85e75dd640ddf3196,637b535f96441d0ff9f22681,5ff6997b5e75dd697c2bd0a8,5fa2afa85e75dd640ddf32c8,5fa2afa85e75dd640ddf313c,5fa2afa85e75dd640ddf322b,5fa2afa85e75dd640ddf31c5,5ff6997b5e75dd697c2bd0e4,5fa2afa85e75dd640ddf3151,5fa2afa85e75dd640ddf31f4,5fd0ccb85e75dd78adcb727b,5fa2afa85e75dd640ddf3221,5fd0ccb95e75dd78adcb7298,5fa2afa85e75dd640ddf329d,5fd0ccb85e75dd78adcb7272,5fa2afa85e75dd640ddf3230,6023a8fe5e75dd772239dc78,61f7da9b259522d0fab5553e,5fa2afa85e75dd640ddf328d,5ff6997b5e75dd697c2bd0fa,5fd0ccb95e75dd78adcb72ab,5fa2afa85e75dd640ddf3156,5ff6997b5e75dd697c2bd0e5,5fa2afa85e75dd640ddf316e,5fa2afa85e75dd640ddf31cd,5fa2afa85e75dd640ddf31a6,5fa2afa85e75dd640ddf327f,5fa2afa85e75dd640ddf322a,5fa2afa85e75dd640ddf322d,5fa2afa85e75dd640ddf3276,5fa2afa85e75dd640ddf3287,5fd0ccb95e75dd78adcb72a3,5ff6997b5e75dd697c2bd0bb,5fd0ccb95e75dd78adcb7297,5fa2afa85e75dd640ddf3289,5fa2afa85e75dd640ddf3157,5fd0ccb85e75dd78adcb7277,5ff6997b5e75dd697c2bd0d9,5fd0ccb95e75dd78adcb728f,5fa2afa85e75dd640ddf31e0,5ff6997b5e75dd697c2bd0dd,5fa2afa85e75dd640ddf3173,5ff6997b5e75dd697c2bd0c9,5ff6997b5e75dd697c2bd0dc,5fa2afa85e75dd640ddf3150,5fa2afa85e75dd640ddf31e1,5fa2afa85e75dd640ddf316b,5fa2afa85e75dd640ddf329f,5fa2afa85e75dd640ddf3166,5fa2afa85e75dd640ddf316d,5fa2afa85e75dd640ddf3279,5ff6997b5e75dd697c2bd0d0,619f38df5e75dd681fcc4921,6232ad8823462985f8795234,5fa2afa85e75dd640ddf32c9,5fa2afa85e75dd640ddf326d,5fa2afa85e75dd640ddf32b9,5fa2afa85e75dd640ddf31a3,6023a8fe5e75dd772239dc77,5fa2afa85e75dd640ddf3159,5fa2afa85e75dd640ddf31da,5fa2afa85e75dd640ddf31d4,5fd0ccb85e75dd78adcb7271,5fd0ccb95e75dd78adcb72a9,5fa2afa85e75dd640ddf31e9,5fa2afa85e75dd640ddf3160,5fa2afa85e75dd640ddf32a1,5ff6997b5e75dd697c2bd0cf,5fa2afa85e75dd640ddf314a,5fd0ccb95e75dd78adcb72b9,5fa2afa85e75dd640ddf32d5,5fd0ccb85e75dd78adcb726e,5fd0ccb95e75dd78adcb72b4,5fd0ccb95e75dd78adcb72af,5fa2afa85e75dd640ddf3299,5fa2afa85e75dd640ddf32bf,5ff6997b5e75dd697c2bd0ab,5ff6997b5e75dd697c2bd0ae,5fa2afa85e75dd640ddf32bb,620202434a404cfa2021309b,5fd0ccb95e75dd78adcb72ad,5fa2afa85e75dd640ddf3224,5fa2afa85e75dd640ddf3146,5ff6997b5e75dd697c2bd0c5,5fd0ccb85e75dd78adcb7278,5ff6997b5e75dd697c2bd0b1,5fa389b4c49dd43832ee2362,5fa2afa85e75dd640ddf3143,5fa2afa85e75dd640ddf322f,5fa2afa85e75dd640ddf3222,63c64c301131201a3448197b,5fa2afa85e75dd640ddf3175,5ff6997b5e75dd697c2bd0cc,611b69775e75dd298f044ef2,5fa2afa85e75dd640ddf3284,5fa2afa85e75dd640ddf31bc,5fa2afa85e75dd640ddf3281,5fa2afa85e75dd640ddf321e,5fd0ccb95e75dd78adcb72b3,5fa2afa85e75dd640ddf31ce,5fa2afa85e75dd640ddf328c,5fd0ccb95e75dd78adcb7291,5fd0ccb85e75dd78adcb7276,5fa2afa85e75dd640ddf31ef,5fa2afa85e75dd640ddf31a2,6435413cdd4f75c60df475ca,5fa2afa85e75dd640ddf32db,68f1d4601fcda105d4db7e57,5fa2afa85e75dd640ddf31cb,5fa2afa85e75dd640ddf31ab,68f1d4e61fcda105d4db7e5a,5ff6997b5e75dd697c2bd0be,5ff6997b5e75dd697c2bd0d3,5fa2afa85e75dd640ddf3155,5fa2afa85e75dd640ddf321f,5fd0ccb85e75dd78adcb727d,5fa2afa85e75dd640ddf31e3,5fa2afa85e75dd640ddf3140,5fd0ccb95e75dd78adcb728e,5fa2afa85e75dd640ddf31af,5fa2afa85e75dd640ddf3153,5ff6997b5e75dd697c2bd0e0,5fa2afa85e75dd640ddf3290,5fa2afa85e75dd640ddf3194,5fd0ccb85e75dd78adcb726a,5fa2afa85e75dd640ddf31d2,5ff6997b5e75dd697c2bd0aa,5fa2afa85e75dd640ddf31ca,5fa2afa85e75dd640ddf31a7,5fa2afa85e75dd640ddf322c,5fa2afa85e75dd640ddf31cf,5fd0ccb95e75dd78adcb72aa,5fa2afa85e75dd640ddf32d3,5fa2afa85e75dd640ddf3296,5fa2afa85e75dd640ddf32bd,5fa2afa85e75dd640ddf321c,5ff6997b5e75dd697c2bd0b8,5fa2afa85e75dd640ddf31a1,5fa2afa85e75dd640ddf31d3,5ff6997b5e75dd697c2bd0a9,61f3d4d5259522d0fab55208,5fd0ccb95e75dd78adcb7286,5fa2afa85e75dd640ddf31d6,5fd0ccb85e75dd78adcb7279,5ff6997b5e75dd697c2bd0b0,5fa2afa85e75dd640ddf329b,5ff6997b5e75dd697c2bd0da,5fa2afa85e75dd640ddf31e8,5fa2afa85e75dd640ddf3165,611b69775e75dd298f044ef0,5fa2afa85e75dd640ddf326c,5fa2afa85e75dd640ddf31ac,5fa2afa85e75dd640ddf3177,5fa2afa85e75dd640ddf31aa,5ff6997b5e75dd697c2bd0ad,5fa2afa85e75dd640ddf32d6,5fa2afa85e75dd640ddf313e,5ff6997b5e75dd697c2bd0d1,5ff6997b5e75dd697c2bd0d6,5fa2afa85e75dd640ddf31ee,619f38df5e75dd681fcc491f,5fa2afa85e75dd640ddf31c6,5fd0ccb85e75dd78adcb7268,5fe4a42b5e75dd08b0824c79,5ff6997b5e75dd697c2bd0e2,5fd0ccb85e75dd78adcb7275,5fa2afa85e75dd640ddf31d0,5fd0ccb95e75dd78adcb72b0,5fa2afa85e75dd640ddf321d,5fa2afa85e75dd640ddf32ba,5fd0ccb95e75dd78adcb7285,5fa2afa85e75dd640ddf31a0,5fa2afa85e75dd640ddf32a5,5fd0ccb95e75dd78adcb72b2,5ff6997b5e75dd697c2bd0bc,5fd0ccb95e75dd78adcb72b5,5fa2afa85e75dd640ddf329a,64e787391b37a880a770aa1e,61f7dab0259522d0fab5553f,5fa2afa85e75dd640ddf32c5,5fa2afa85e75dd640ddf32cd,5fa2afa85e75dd640ddf3154,5fa2afa85e75dd640ddf3167,5fa2afa85e75dd640ddf31ec,5fa2afa85e75dd640ddf3149,5fa2afa85e75dd640ddf32a7,5fa2afa85e75dd640ddf31f3,5fa2afa85e75dd640ddf32a4,5fa2afa85e75dd640ddf31e4,5fa2afa85e75dd640ddf3226,5fa2afa85e75dd640ddf3178,5fd0ccb95e75dd78adcb7292,5ff6997b5e75dd697c2bd0df,6281f2b96cd937dc3719927c,5ff6997b5e75dd697c2bd0d8,5ff6997b5e75dd697c2bd0bd,5ff6997b5e75dd697c2bd0ca,5fa2afa85e75dd640ddf328e,5fa2afa85e75dd640ddf31e6,5fa2afa85e75dd640ddf315b,5fa2afa85e75dd640ddf319b,5fa2afa85e75dd640ddf316f,5fa2afa85e75dd640ddf3282,5fa2afa85e75dd640ddf3297,5fd0ccb95e75dd78adcb7296,5fa2afa85e75dd640ddf3231,61de67584e1f77c3dfb9bb29,5fa2afa85e75dd640ddf32cf,5fd0ccb95e75dd78adcb72a6,5fa2afa85e75dd640ddf319e,5ff6997b5e75dd697c2bd0d7,5ff6997b5e75dd697c2bd0e3,5ff6997b5e75dd697c2bd0c6,5fa2afa85e75dd640ddf31e7,5fa2afa85e75dd640ddf32d9,5fd0ccb95e75dd78adcb7293,5fa2afa85e75dd640ddf31c9,5ff6997b5e75dd697c2bd0de,5fd0ccb95e75dd78adcb72a2,5ff6997b5e75dd697c2bd0b6,5fa2afa85e75dd640ddf32cb,65d5c848f10023ec4ddb1f80,6232b21a23462985f879523d,5ff6997b5e75dd697c2bd0c3,5fd0ccb95e75dd78adcb72b6,61de67a74e1f77c3dfb9bb2a,5fa2afa85e75dd640ddf31eb,5fd0ccb85e75dd78adcb727a,5fa2afa85e75dd640ddf3174,5fd0ccb95e75dd78adcb729a,6023a8fe5e75dd772239dc79,5fa2afa85e75dd640ddf314b,5fd0ccb95e75dd78adcb72a1,5fa2afa85e75dd640ddf315f,5fa2afa85e75dd640ddf32d1,5fa2afa85e75dd640ddf32d8,6202026a4a404cfa2021309d,5fa2afa85e75dd640ddf31ae,5fd0ccb95e75dd78adcb7294,5fa2afa85e75dd640ddf3168,5fd0ccb95e75dd78adcb72a7,5fd0ccb95e75dd78adcb728d,5fd0ccb85e75dd78adcb7270,64af9f4f8a722f6ff7215f98,5fa2afa85e75dd640ddf326a,5fa2afa85e75dd640ddf3142,5fa2afa85e75dd640ddf314f,5fd0ccb95e75dd78adcb728c,5fa2afa85e75dd640ddf32ce,5ff6997b5e75dd697c2bd0a7,5fa2afa85e75dd640ddf31f2,5fa2afa85e75dd640ddf31cc,5fd0ccb95e75dd78adcb72b8,5ff6997b5e75dd697c2bd0e1,5fa2afa85e75dd640ddf3229,5ff6997b5e75dd697c2bd0c0,5fa2afa85e75dd640ddf32d4,5fd0ccb95e75dd78adcb72ae,5fa2afa85e75dd640ddf319c,5fa2afa85e75dd640ddf3195,5fa2afa85e75dd640ddf31e5,5fd0ccb95e75dd78adcb728b,5fa2afa85e75dd640ddf315c,6023a8fc5e75dd772239dc74,5ff6997b5e75dd697c2bd0b2,5fa2afa85e75dd640ddf32b8,60c2d04ec49dd4033e2a567d,66d16340a7141ec6d08c3bce,5fa2afa85e75dd640ddf314d,5fa2afa85e75dd640ddf3295,5fa2afa85e75dd640ddf328a,5fa2afa85e75dd640ddf3164,5ff6997b5e75dd697c2bd0cd,5ff6997b5e75dd697c2bd0c7,5fd0ccb95e75dd78adcb727f,5ff6997b5e75dd697c2bd0ba,5fa2afa85e75dd640ddf313b,5fa2afa85e75dd640ddf32d7,5fa2afa85e75dd640ddf31e2,5fd0ccb85e75dd78adcb727c,5fa2afa85e75dd640ddf3293,5fa2afa85e75dd640ddf3141,5fa2afa85e75dd640ddf31ea,5fa2afa85e75dd640ddf32cc,5ff6997b5e75dd697c2bd0d5,5fa2afa85e75dd640ddf31ed,5fd0ccb85e75dd78adcb726f,64ee201b55d9a0598180ccb6,5fa2afa85e75dd640ddf322e,5fd0ccb95e75dd78adcb72ac,5fa2afa85e75dd640ddf3280,635a2d521f7cd11dce4cc145,60c2cfa7c49dd4033e2a567c,5fa2afa85e75dd640ddf32d0,5fa2afa85e75dd640ddf31d1,5fa2afa85e75dd640ddf3228</t>
  </si>
  <si>
    <t>5fa2afa85e75dd640ddf325f,5ff6997b5e75dd697c2bd0f0,5ff6997b5e75dd697c2bd0ef,5fa2afa85e75dd640ddf31c3,5fa2afa85e75dd640ddf3245,5fa2afa85e75dd640ddf31dd,5fa2afa85e75dd640ddf3263,5fa2afa85e75dd640ddf323b,5fa2afa85e75dd640ddf324d,5ff6997b5e75dd697c2bd0f6,60c2cf1ac49dd4033e2a567b,5fa2afa85e75dd640ddf3254,5ff6997b5e75dd697c2bd0f1,5fa2afa85e75dd640ddf3242,5ff6997b5e75dd697c2bd0f7,5fa2afa85e75dd640ddf323a,5fa2afa85e75dd640ddf31df,615aabaa5e75dd3996e8453b,5fa2afa85e75dd640ddf3258,5fa2afa85e75dd640ddf31de,5fa2afa85e75dd640ddf324e,5ff6997b5e75dd697c2bd0ec,5fa2afa85e75dd640ddf325a,68b83074135ede7bc80e371a,5fa2afa85e75dd640ddf3260,5fa2afa85e75dd640ddf3268,5ff6997b5e75dd697c2bd0ed,5ff6997b5e75dd697c2bd0e9,5ff6997b5e75dd697c2bd0eb,5fa2afa85e75dd640ddf323e,5fa2afa85e75dd640ddf325d,5ff6997b5e75dd697c2bd0f2,5fa2afa85e75dd640ddf31c0,5fa2afa85e75dd640ddf3257,5fa2afa85e75dd640ddf3264,64074534a42ee1f0652371f2,674ef452c6b4259201b9ac79,683843289bb6da7ddce96f6c,5fa2afa85e75dd640ddf3252,5ff6997b5e75dd697c2bd0f8,5ff6997b5e75dd697c2bd0f5,5fa2afa85e75dd640ddf325c,5fa2afa85e75dd640ddf324a,5fa2afa85e75dd640ddf3250,5fa2afa85e75dd640ddf3256,5ff6997b5e75dd697c2bd0f4,5fa2afa85e75dd640ddf3237,68b8309a135ede7bc80e371c,5fa2afa85e75dd640ddf324f,5fa2afa85e75dd640ddf31dc,657999f2c05e4a2396cc133f,5ff6997b5e75dd697c2bd0f3,5fa2afa85e75dd640ddf323d,5fa2afa85e75dd640ddf3248,5fa2afa85e75dd640ddf31db,5ff6997b5e75dd697c2bd0ee,5fa2afa85e75dd640ddf3241,611b69755e75dd298f044eef,5fa2afa85e75dd640ddf3236,5fa2afa85e75dd640ddf3233,5ff6997b5e75dd697c2bd0ea,5fa2afa85e75dd640ddf325e,5fa2afa85e75dd640ddf324c</t>
  </si>
  <si>
    <t>63ac7907c4256458ac245f19</t>
  </si>
  <si>
    <t>58ad3474a2393a143df57f00</t>
  </si>
  <si>
    <t>58ad3473a2393a143df57dc9</t>
  </si>
  <si>
    <t>58ad3474a2393a143df57e6d</t>
  </si>
  <si>
    <t>58ad3474a2393a143df57df2</t>
  </si>
  <si>
    <t>63ac772fc4256458ac245f0f</t>
  </si>
  <si>
    <t>62306c0a23462985f8794db3</t>
  </si>
  <si>
    <t>6232acc023462985f8795233</t>
  </si>
  <si>
    <t>62306acd23462985f8794daa</t>
  </si>
  <si>
    <t>58ad3473a2393a143df57dc6</t>
  </si>
  <si>
    <t>62306c7223462985f8794db6</t>
  </si>
  <si>
    <t>5fd0ccb95e75dd78adcb72a8,5fa2afa85e75dd640ddf3294,5fa2afa85e75dd640ddf3225,5ff6997b5e75dd697c2bd0ce,5fa2afa85e75dd640ddf31a4,5ff6997b5e75dd697c2bd0b5,5fa2afa85e75dd640ddf31d9,5fa2afa85e75dd640ddf3147,68f1d4351fcda105d4db7e55,5fa2afa85e75dd640ddf3192,5fd0ccb95e75dd78adcb72b7,5fa2afa85e75dd640ddf316c,5fa2afa85e75dd640ddf31ad,62cfe05ed957aeaa9156c29d,5fa2afa85e75dd640ddf3298,5fa2afa85e75dd640ddf3197,5fd0ccb95e75dd78adcb7283,5ff6997b5e75dd697c2bd0cb,5fa2afa85e75dd640ddf3172,62b555887ff9814b36212d59,5ff6997b5e75dd697c2bd0ac,5ff6997b5e75dd697c2bd0af,5fa2afa85e75dd640ddf3275,5fa2afa85e75dd640ddf319f,5fa2afa85e75dd640ddf329c,5ff6997b5e75dd697c2bd0c8,5ff6997b5e75dd697c2bd0c1,5fd0ccb85e75dd78adcb726c,5fa2afa85e75dd640ddf32a6,68f1d4bd1fcda105d4db7e59,5fd0ccb95e75dd78adcb7290,5ff6997b5e75dd697c2bd0b9,68f1d5051fcda105d4db7e5b,5ff6997b5e75dd697c2bd0c2,5fd0ccb85e75dd78adcb7274,5fa2afa85e75dd640ddf315a,5fd0ccb95e75dd78adcb72ba,5fd0ccb95e75dd78adcb72b1,5fd0ccb95e75dd78adcb7281,6023a8fe5e75dd772239dc76,5ff6997b5e75dd697c2bd0bf,5fa2afa85e75dd640ddf32ca,5fa2afa85e75dd640ddf326b,5fd0ccb95e75dd78adcb7284,5fa2afa85e75dd640ddf31a8,5fd0ccb95e75dd78adcb7288,5fd0ccb95e75dd78adcb7287,5fa2afa85e75dd640ddf3199,5fa2afa85e75dd640ddf327c,5fa2afa85e75dd640ddf319d,5fa2afa85e75dd640ddf32a0,611b69665e75dd298f044eee,611b69775e75dd298f044ef1,5fa2afa85e75dd640ddf3291,6229ad884fa0c90c86d79e82,5fa2afa85e75dd640ddf327e,5fa2afa85e75dd640ddf3198,5fa2afa85e75dd640ddf31a9,5ff6997b5e75dd697c2bd0b7,5fa2afa85e75dd640ddf313f,5ff6997b5e75dd697c2bd0d4,5fa2afa85e75dd640ddf3278,5fd0ccb95e75dd78adcb7282,5ff6997b5e75dd697c2bd0e6,5fa2afa85e75dd640ddf315d,6229ad394fa0c90c86d79e80,5fa2afa85e75dd640ddf327a,6480206c2c07346a833ac6a5,5fa2afa85e75dd640ddf31d8,5ff6997b5e75dd697c2bd0e7,5fd0ccb95e75dd78adcb729e,5fa2afa85e75dd640ddf3163,5ff6997b5e75dd697c2bd0b4,5fa2afa85e75dd640ddf3144,6336a31817156cbab0ca275b,5fa2afa85e75dd640ddf3169,5fa2afa85e75dd640ddf3285,5fa2afa85e75dd640ddf3145,5ff6997b5e75dd697c2bd0d2,5ff6997b5e75dd697c2bd0a6,68f1d48ad6441dd785881f25,5fa2afa85e75dd640ddf3277,5fd0ccb95e75dd78adcb7280,5fa2afa85e75dd640ddf3152,5fa2afa85e75dd640ddf31a5,5fd0ccb95e75dd78adcb7289,5fa2afa85e75dd640ddf3161,5fa2afa85e75dd640ddf3148,5fd0ccb95e75dd78adcb72a5,5fd0ccb85e75dd78adcb726b,5fd0ccb85e75dd78adcb7273,5fd0ccb85e75dd78adcb7269,5fa2afa85e75dd640ddf31f1,5fd0ccb85e75dd78adcb726d,615aaba85e75dd3996e8453a,5fa2afa85e75dd640ddf316a,5ff6997b5e75dd697c2bd0c4,5fa2afa85e75dd640ddf319a,5fa2afa85e75dd640ddf31c7,5fa2afa85e75dd640ddf3271,5fa2afa85e75dd640ddf32be,5fa2afa85e75dd640ddf3269,5fa2afa85e75dd640ddf327d,5fa2afa85e75dd640ddf315e,5fa2afa85e75dd640ddf32d2,5fa2afa85e75dd640ddf3227,68f5b09f569b969e02bdac6c,5fd0ccb95e75dd78adcb728a,5fd0ccb95e75dd78adcb7299,5fa2afa85e75dd640ddf329e,5fa2afa85e75dd640ddf3220,5fd0ccb95e75dd78adcb729f,5fa2afa85e75dd640ddf313a,5ff6997b5e75dd697c2bd0db,5fa2afa85e75dd640ddf3193,65e175eec7acc8d65f046917,5fd0ccb95e75dd78adcb72a4,5fd0ccb95e75dd78adcb72a0,5fa2afa85e75dd640ddf31f0,5fa2afa85e75dd640ddf31d7,5fa2afa85e75dd640ddf328f,5fa2afa85e75dd640ddf32bc,5fd0ccb95e75dd78adcb729b,5fa2afa85e75dd640ddf3232,5fa2afa85e75dd640ddf3171,5fa2afa85e75dd640ddf32c7,5fa2afa85e75dd640ddf32a3,5fa2afa85e75dd640ddf31c4,5fa2afa85e75dd640ddf3170,5fa2afa85e75dd640ddf32a2,5fa2afa85e75dd640ddf3223,5fa2afa85e75dd640ddf3292,5fa2afa85e75dd640ddf31d5,6232b24123462985f879523e,5fd0ccb85e75dd78adcb7267,5fd0ccb95e75dd78adcb729d,5fa2afa85e75dd640ddf32da,5fd0ccb95e75dd78adcb7295,5fa2afa85e75dd640ddf3286,5fa2afa85e75dd640ddf314c,5fa2afa85e75dd640ddf327b,5fa2afa85e75dd640ddf3283,615aabaa5e75dd3996e8453c,5fd0ccb85e75dd78adcb727e,5fa2afa85e75dd640ddf31c8,5fa2afa85e75dd640ddf3270,5fa2afa85e75dd640ddf3158,5ff6997b5e75dd697c2bd0e8,5fa2afa85e75dd640ddf314e,5fa2afa85e75dd640ddf326f,5fa2afa85e75dd640ddf3176,5fa2afa85e75dd640ddf3288,5fa2afa85e75dd640ddf313d,6229ad694fa0c90c86d79e81,5fa2afa85e75dd640ddf328b,5fd0ccb95e75dd78adcb729c,5fa2afa85e75dd640ddf326e,5ff6997b5e75dd697c2bd0b3,5fa2afa85e75dd640ddf3162,5fa2afa85e75dd640ddf3196,637b535f96441d0ff9f22681,5ff6997b5e75dd697c2bd0a8,5fa2afa85e75dd640ddf32c8,5fa2afa85e75dd640ddf313c,5fa2afa85e75dd640ddf322b,5fa2afa85e75dd640ddf31c5,5ff6997b5e75dd697c2bd0e4,5fa2afa85e75dd640ddf3151,5fa2afa85e75dd640ddf31f4,5fd0ccb85e75dd78adcb727b,5fa2afa85e75dd640ddf3221,5fd0ccb95e75dd78adcb7298,5fa2afa85e75dd640ddf329d,5fd0ccb85e75dd78adcb7272,5fa2afa85e75dd640ddf3230,6023a8fe5e75dd772239dc78,61f7da9b259522d0fab5553e,5fa2afa85e75dd640ddf328d,5ff6997b5e75dd697c2bd0fa,5fd0ccb95e75dd78adcb72ab,5fa2afa85e75dd640ddf3156,5ff6997b5e75dd697c2bd0e5,5fa2afa85e75dd640ddf316e,5fa2afa85e75dd640ddf31cd,5fa2afa85e75dd640ddf31a6,5fa2afa85e75dd640ddf327f,5fa2afa85e75dd640ddf322a,5fa2afa85e75dd640ddf322d,5fa2afa85e75dd640ddf3276,5fa2afa85e75dd640ddf3287,5fd0ccb95e75dd78adcb72a3,5ff6997b5e75dd697c2bd0bb,5fd0ccb95e75dd78adcb7297,5fa2afa85e75dd640ddf3289,5fa2afa85e75dd640ddf3157,5fd0ccb85e75dd78adcb7277,5ff6997b5e75dd697c2bd0d9,5fd0ccb95e75dd78adcb728f,5fa2afa85e75dd640ddf31e0,5ff6997b5e75dd697c2bd0dd,5fa2afa85e75dd640ddf3173,5ff6997b5e75dd697c2bd0c9,5ff6997b5e75dd697c2bd0dc,5fa2afa85e75dd640ddf3150,5fa2afa85e75dd640ddf31e1,5fa2afa85e75dd640ddf316b,5fa2afa85e75dd640ddf329f,5fa2afa85e75dd640ddf3166,5fa2afa85e75dd640ddf316d,5fa2afa85e75dd640ddf3279,5ff6997b5e75dd697c2bd0d0,619f38df5e75dd681fcc4921,6232ad8823462985f8795234,5fa2afa85e75dd640ddf32c9,5fa2afa85e75dd640ddf326d,5fa2afa85e75dd640ddf32b9,5fa2afa85e75dd640ddf31a3,6023a8fe5e75dd772239dc77,5fa2afa85e75dd640ddf3159,5fa2afa85e75dd640ddf31da,5fa2afa85e75dd640ddf31d4,5fd0ccb85e75dd78adcb7271,5fd0ccb95e75dd78adcb72a9,5fa2afa85e75dd640ddf31e9,5fa2afa85e75dd640ddf3160,5fa2afa85e75dd640ddf32a1,5ff6997b5e75dd697c2bd0cf,5fa2afa85e75dd640ddf314a,5fd0ccb95e75dd78adcb72b9,5fa2afa85e75dd640ddf32d5,5fd0ccb85e75dd78adcb726e,5fd0ccb95e75dd78adcb72b4,5fd0ccb95e75dd78adcb72af,5fa2afa85e75dd640ddf3299,5fa2afa85e75dd640ddf32bf,5ff6997b5e75dd697c2bd0ab,5ff6997b5e75dd697c2bd0ae,5fa2afa85e75dd640ddf32bb,620202434a404cfa2021309b,5fd0ccb95e75dd78adcb72ad,5fa2afa85e75dd640ddf3224,5fa2afa85e75dd640ddf3146,5ff6997b5e75dd697c2bd0c5,5fd0ccb85e75dd78adcb7278,5ff6997b5e75dd697c2bd0b1,5fa389b4c49dd43832ee2362,5fa2afa85e75dd640ddf3143,5fa2afa85e75dd640ddf322f,5fa2afa85e75dd640ddf3222,63c64c301131201a3448197b,5fa2afa85e75dd640ddf3175,5ff6997b5e75dd697c2bd0cc,611b69775e75dd298f044ef2,5fa2afa85e75dd640ddf3284,5fa2afa85e75dd640ddf31bc,5fa2afa85e75dd640ddf3281,5fa2afa85e75dd640ddf321e,5fd0ccb95e75dd78adcb72b3,5fa2afa85e75dd640ddf31ce,5fa2afa85e75dd640ddf328c,5fd0ccb95e75dd78adcb7291,5fd0ccb85e75dd78adcb7276,5fa2afa85e75dd640ddf31ef,5fa2afa85e75dd640ddf31a2,6435413cdd4f75c60df475ca,5fa2afa85e75dd640ddf32db,68f1d4601fcda105d4db7e57,5fa2afa85e75dd640ddf31cb,5fa2afa85e75dd640ddf31ab,68f1d4e61fcda105d4db7e5a,5ff6997b5e75dd697c2bd0be,5ff6997b5e75dd697c2bd0d3,5fa2afa85e75dd640ddf3155,5fa2afa85e75dd640ddf321f,5fd0ccb85e75dd78adcb727d,5fa2afa85e75dd640ddf31e3,5fa2afa85e75dd640ddf3140,5fd0ccb95e75dd78adcb728e,5fa2afa85e75dd640ddf31af,5fa2afa85e75dd640ddf3153,5ff6997b5e75dd697c2bd0e0,5fa2afa85e75dd640ddf3290,5fa2afa85e75dd640ddf3194,5fd0ccb85e75dd78adcb726a,5fa2afa85e75dd640ddf31d2,5ff6997b5e75dd697c2bd0aa,5fa2afa85e75dd640ddf31ca,5fa2afa85e75dd640ddf31a7,5fa2afa85e75dd640ddf322c,5fa2afa85e75dd640ddf31cf,5fd0ccb95e75dd78adcb72aa,5fa2afa85e75dd640ddf32d3,5fa2afa85e75dd640ddf3296,5fa2afa85e75dd640ddf32bd,5fa2afa85e75dd640ddf321c,5ff6997b5e75dd697c2bd0b8,5fa2afa85e75dd640ddf31a1,5fa2afa85e75dd640ddf31d3,5ff6997b5e75dd697c2bd0a9,61f3d4d5259522d0fab55208,5fd0ccb95e75dd78adcb7286,5fa2afa85e75dd640ddf31d6,5fd0ccb85e75dd78adcb7279,5ff6997b5e75dd697c2bd0b0,5fa2afa85e75dd640ddf329b,5ff6997b5e75dd697c2bd0da,5fa2afa85e75dd640ddf31e8,5fa2afa85e75dd640ddf3165,611b69775e75dd298f044ef0,5fa2afa85e75dd640ddf326c,5fa2afa85e75dd640ddf31ac,5fa2afa85e75dd640ddf3177,5fa2afa85e75dd640ddf31aa,5ff6997b5e75dd697c2bd0ad,5fa2afa85e75dd640ddf32d6,5fa2afa85e75dd640ddf313e,5ff6997b5e75dd697c2bd0d1,5ff6997b5e75dd697c2bd0d6,5fa2afa85e75dd640ddf31ee,619f38df5e75dd681fcc491f,5fa2afa85e75dd640ddf31c6,5fd0ccb85e75dd78adcb7268,5fe4a42b5e75dd08b0824c79,5ff6997b5e75dd697c2bd0e2,5fd0ccb85e75dd78adcb7275,5fa2afa85e75dd640ddf31d0,5fd0ccb95e75dd78adcb72b0,5fa2afa85e75dd640ddf321d,5fa2afa85e75dd640ddf32ba,5fd0ccb95e75dd78adcb7285,5fa2afa85e75dd640ddf31a0,5fa2afa85e75dd640ddf32a5,5fd0ccb95e75dd78adcb72b2,5ff6997b5e75dd697c2bd0bc,5fd0ccb95e75dd78adcb72b5,5fa2afa85e75dd640ddf329a,64e787391b37a880a770aa1e,61f7dab0259522d0fab5553f,5fa2afa85e75dd640ddf32cd,5fa2afa85e75dd640ddf3154,5fa2afa85e75dd640ddf3167,5fa2afa85e75dd640ddf31ec,5fa2afa85e75dd640ddf3149,5fa2afa85e75dd640ddf32a7,5fa2afa85e75dd640ddf31f3,5fa2afa85e75dd640ddf32a4,5fa2afa85e75dd640ddf31e4,5fa2afa85e75dd640ddf3226,5fa2afa85e75dd640ddf3178,5fd0ccb95e75dd78adcb7292,5ff6997b5e75dd697c2bd0df,6281f2b96cd937dc3719927c,5ff6997b5e75dd697c2bd0d8,5ff6997b5e75dd697c2bd0bd,5ff6997b5e75dd697c2bd0ca,5fa2afa85e75dd640ddf328e,5fa2afa85e75dd640ddf31e6,5fa2afa85e75dd640ddf315b,5fa2afa85e75dd640ddf319b,5fa2afa85e75dd640ddf316f,5fa2afa85e75dd640ddf3282,5fa2afa85e75dd640ddf3297,5fd0ccb95e75dd78adcb7296,5fa2afa85e75dd640ddf3231,61de67584e1f77c3dfb9bb29,5fa2afa85e75dd640ddf32cf,5fd0ccb95e75dd78adcb72a6,5fa2afa85e75dd640ddf319e,5ff6997b5e75dd697c2bd0d7,5ff6997b5e75dd697c2bd0e3,5ff6997b5e75dd697c2bd0c6,5fa2afa85e75dd640ddf31e7,5fa2afa85e75dd640ddf32d9,5fd0ccb95e75dd78adcb7293,5fa2afa85e75dd640ddf31c9,5ff6997b5e75dd697c2bd0de,5fd0ccb95e75dd78adcb72a2,5ff6997b5e75dd697c2bd0b6,5fa2afa85e75dd640ddf32cb,65d5c848f10023ec4ddb1f80,6232b21a23462985f879523d,5ff6997b5e75dd697c2bd0c3,5fd0ccb95e75dd78adcb72b6,61de67a74e1f77c3dfb9bb2a,5fa2afa85e75dd640ddf31eb,5fd0ccb85e75dd78adcb727a,5fa2afa85e75dd640ddf3174,5fd0ccb95e75dd78adcb729a,6023a8fe5e75dd772239dc79,5fa2afa85e75dd640ddf314b,5fd0ccb95e75dd78adcb72a1,5fa2afa85e75dd640ddf315f,5fa2afa85e75dd640ddf32d1,5fa2afa85e75dd640ddf32d8,6202026a4a404cfa2021309d,5fa2afa85e75dd640ddf31ae,5fd0ccb95e75dd78adcb7294,5fa2afa85e75dd640ddf3168,5fd0ccb95e75dd78adcb72a7,5fd0ccb95e75dd78adcb728d,5fd0ccb85e75dd78adcb7270,64af9f4f8a722f6ff7215f98,5fa2afa85e75dd640ddf326a,5fa2afa85e75dd640ddf3142,5fa2afa85e75dd640ddf314f,5fd0ccb95e75dd78adcb728c,5fa2afa85e75dd640ddf32ce,5ff6997b5e75dd697c2bd0a7,5fa2afa85e75dd640ddf31f2,5fa2afa85e75dd640ddf31cc,5fd0ccb95e75dd78adcb72b8,5ff6997b5e75dd697c2bd0e1,5fa2afa85e75dd640ddf3229,5ff6997b5e75dd697c2bd0c0,5fa2afa85e75dd640ddf32d4,5fd0ccb95e75dd78adcb72ae,5fa2afa85e75dd640ddf319c,5fa2afa85e75dd640ddf3195,5fa2afa85e75dd640ddf31e5,5fd0ccb95e75dd78adcb728b,5fa2afa85e75dd640ddf315c,6023a8fc5e75dd772239dc74,5ff6997b5e75dd697c2bd0b2,5fa2afa85e75dd640ddf32b8,60c2d04ec49dd4033e2a567d,66d16340a7141ec6d08c3bce,5fa2afa85e75dd640ddf314d,5fa2afa85e75dd640ddf3295,5fa2afa85e75dd640ddf328a,5fa2afa85e75dd640ddf3164,5ff6997b5e75dd697c2bd0cd,5ff6997b5e75dd697c2bd0c7,5fd0ccb95e75dd78adcb727f,5ff6997b5e75dd697c2bd0ba,5fa2afa85e75dd640ddf313b,5fa2afa85e75dd640ddf32d7,5fa2afa85e75dd640ddf31e2,5fd0ccb85e75dd78adcb727c,5fa2afa85e75dd640ddf3293,5fa2afa85e75dd640ddf3141,5fa2afa85e75dd640ddf31ea,5fa2afa85e75dd640ddf32cc,5ff6997b5e75dd697c2bd0d5,5fa2afa85e75dd640ddf31ed,5fd0ccb85e75dd78adcb726f,64ee201b55d9a0598180ccb6,5fa2afa85e75dd640ddf322e,5fd0ccb95e75dd78adcb72ac,5fa2afa85e75dd640ddf3280,635a2d521f7cd11dce4cc145,60c2cfa7c49dd4033e2a567c,5fa2afa85e75dd640ddf32d0,5fa2afa85e75dd640ddf31d1,5fa2afa85e75dd640ddf3228</t>
  </si>
  <si>
    <t>6230671923462985f8794d8e</t>
  </si>
  <si>
    <t>5fd0c9d05e75dd749319d64b</t>
  </si>
  <si>
    <t>621db89fa782ca70ccb683d9</t>
  </si>
  <si>
    <t>6499b97d4b65be6684b91c36</t>
  </si>
  <si>
    <t>678a2be949a0f85e1e3ef3b6</t>
  </si>
  <si>
    <t>6499b9b64b65be6684b91c38</t>
  </si>
  <si>
    <t>58ad3473a2393a143df57dc8</t>
  </si>
  <si>
    <t>58ad3473a2393a143df57d75</t>
  </si>
  <si>
    <t>62cfe0a0d957aeaa9156c2a6</t>
  </si>
  <si>
    <t>58ad3473a2393a143df57d64</t>
  </si>
  <si>
    <t>58ad3473a2393a143df57d6b</t>
  </si>
  <si>
    <t>6230673723462985f8794d8f</t>
  </si>
  <si>
    <t>5fa2afa85e75dd640ddf324b,5fa2afa85e75dd640ddf3244,6343cf233435fffe9bc5515c,5fa2afa85e75dd640ddf3239,5fa2afa85e75dd640ddf3243,5fa2afa85e75dd640ddf3259,5fa2afa85e75dd640ddf3273,688b6eb3db03917fb920fbdd,5fa2afa85e75dd640ddf3249,5fa2afa85e75dd640ddf3272,5fa2afa85e75dd640ddf3255,5fa2afa85e75dd640ddf3234,5fa2afa85e75dd640ddf3265,5fa2afa85e75dd640ddf3253,678a2c1949a0f85e1e3ef3b7,5fa2afa85e75dd640ddf3240,63c660b51131201a344819ad,5fa2afa85e75dd640ddf323f,5fa2afa85e75dd640ddf3247,65f2c0d5136afecb0f1239cd,5fa2afa85e75dd640ddf3261,5fa2afa85e75dd640ddf3251,5fa2afa85e75dd640ddf3267,5fa2afa85e75dd640ddf3262,5fa2afa85e75dd640ddf3274,5fa2afa85e75dd640ddf3235,5fa2afa85e75dd640ddf3246,5fa2afa85e75dd640ddf323c,5fa2afa85e75dd640ddf325b,5fa2afa85e75dd640ddf3266,64af9e4fbe77ff1f44072aac,5fa2afa85e75dd640ddf3238</t>
  </si>
  <si>
    <t>5cf639ffd5f2c95193778aaa</t>
  </si>
  <si>
    <t>5e4528bfc49dd4524decc7d6</t>
  </si>
  <si>
    <t>58ad3473a2393a143df57ddf</t>
  </si>
  <si>
    <t>623067ca23462985f8794d93</t>
  </si>
  <si>
    <t>5fa2afa85e75dd640ddf31b3,5fa2afa85e75dd640ddf31b9,5fa2afa85e75dd640ddf31b2,621363519a4dba8b66406a20,6256fb905eb28dff08ab9da5,5fa2afa85e75dd640ddf31b6,620202974a404cfa2021309e,5fa2afa85e75dd640ddf31be,62b554c77ff9814b36212d58,5fa2afa85e75dd640ddf31b1,5fa2afa85e75dd640ddf31b0,5fa2afa85e75dd640ddf31b5,5fa2afa85e75dd640ddf31b4,64e787ce1b37a880a770aa1f,5fa2afa85e75dd640ddf31c2,5fa2afa85e75dd640ddf31c1,674ee612c6b4259201b9ac64,5fa2afa85e75dd640ddf31b8,63328a74ca8d78f186a2a27b,688b6f09db03917fb920fbde,6409b6e2a42ee1f0652372c3,5fa2afa85e75dd640ddf31ba,5fa2afa85e75dd640ddf31bb,654e13a28d18f1a8b9dc55ea,5fa2afa85e75dd640ddf31b7,5fa2afa85e75dd640ddf31bd,6320730bd1b35ed2eeee6ac5,5fa2afa85e75dd640ddf31bf</t>
  </si>
  <si>
    <t>ASMT12MM7326</t>
  </si>
  <si>
    <t>ASMT12FC7326</t>
  </si>
  <si>
    <t>ILPT9MM6126</t>
  </si>
  <si>
    <t>RRST2MM15624</t>
  </si>
  <si>
    <t>AUN12MMG</t>
  </si>
  <si>
    <t>AUN06MMC</t>
  </si>
  <si>
    <t>AFM21MMI</t>
  </si>
  <si>
    <t>MUF04MMF</t>
  </si>
  <si>
    <t>SGS12MMD</t>
  </si>
  <si>
    <t>ALS01TMCQLF26</t>
  </si>
  <si>
    <t>RKRT13MM1726</t>
  </si>
  <si>
    <t>RKRT13FC1726</t>
  </si>
  <si>
    <t>CTRT10MM1125</t>
  </si>
  <si>
    <t>NGS13MMA</t>
  </si>
  <si>
    <t>SRT06MMF</t>
  </si>
  <si>
    <t>USH01MML</t>
  </si>
  <si>
    <t>SVS28MMG</t>
  </si>
  <si>
    <t>URVFMJL26</t>
  </si>
  <si>
    <t>ZFR05MMB</t>
  </si>
  <si>
    <t>MSR01AGON26</t>
  </si>
  <si>
    <t>MSS11MMA</t>
  </si>
  <si>
    <t>STR01SYNCYTIA26</t>
  </si>
  <si>
    <t>ZMB16MMJ</t>
  </si>
  <si>
    <t>SMK22MMB</t>
  </si>
  <si>
    <t>AMD36MMF</t>
  </si>
  <si>
    <t>VK94MMD</t>
  </si>
  <si>
    <t>VK94FCD</t>
  </si>
  <si>
    <t>MSS01GRADDAY26</t>
  </si>
  <si>
    <t>URVT11MM7226</t>
  </si>
  <si>
    <t>SD03MMD</t>
  </si>
  <si>
    <t>NVL35MMQ</t>
  </si>
  <si>
    <t>AKS10MMI</t>
  </si>
  <si>
    <t>SOS09MME</t>
  </si>
  <si>
    <t>MKH23MMI</t>
  </si>
  <si>
    <t>ACB07MMJ</t>
  </si>
  <si>
    <t>ZMB09MMH</t>
  </si>
  <si>
    <t>SHN12MMF</t>
  </si>
  <si>
    <t>JGB06MMH</t>
  </si>
  <si>
    <t>SRN28MMD</t>
  </si>
  <si>
    <t>SNG15MMJ</t>
  </si>
  <si>
    <t>AK29MMD</t>
  </si>
  <si>
    <t>VK88MMA</t>
  </si>
  <si>
    <t>VK93MMF</t>
  </si>
  <si>
    <t>AMD44MMM</t>
  </si>
  <si>
    <t>ASMT12MM6526</t>
  </si>
  <si>
    <t>RSH01MMH</t>
  </si>
  <si>
    <t>MNVZ40526</t>
  </si>
  <si>
    <t>MNV06MMC</t>
  </si>
  <si>
    <t>AMD52MMB</t>
  </si>
  <si>
    <t>ARK20MMF</t>
  </si>
  <si>
    <t>RSH04MMC</t>
  </si>
  <si>
    <t>MSS07MMG</t>
  </si>
  <si>
    <t>PND61MMF</t>
  </si>
  <si>
    <t>VBH03FCB</t>
  </si>
  <si>
    <t>ADN63MMX</t>
  </si>
  <si>
    <t>MUF03MMF</t>
  </si>
  <si>
    <t>ABS17MMH</t>
  </si>
  <si>
    <t>PJG22MMA</t>
  </si>
  <si>
    <t>WLC21MMH</t>
  </si>
  <si>
    <t>RRST2MM11324</t>
  </si>
  <si>
    <t>ADK17MMD</t>
  </si>
  <si>
    <t>TSF09FCA</t>
  </si>
  <si>
    <t>TSF16MMZ</t>
  </si>
  <si>
    <t>AJ72MMG</t>
  </si>
  <si>
    <t>RMZ49FCF</t>
  </si>
  <si>
    <t>AJ66MMC</t>
  </si>
  <si>
    <t>PS16FCG</t>
  </si>
  <si>
    <t>MSS06MMD</t>
  </si>
  <si>
    <t>MKH37MME</t>
  </si>
  <si>
    <t>ARR02MMC</t>
  </si>
  <si>
    <t>NK19MMY</t>
  </si>
  <si>
    <t>MBK03MMC</t>
  </si>
  <si>
    <t>NK40MMD</t>
  </si>
  <si>
    <t>MUF06MME</t>
  </si>
  <si>
    <t>SNG57MMX</t>
  </si>
  <si>
    <t>SOS05MMG</t>
  </si>
  <si>
    <t>JGB12MML</t>
  </si>
  <si>
    <t>JGB11MMG</t>
  </si>
  <si>
    <t>JGB03MMY</t>
  </si>
  <si>
    <t>MT51MMH</t>
  </si>
  <si>
    <t>MSR38FCE</t>
  </si>
  <si>
    <t>AKS30MMF</t>
  </si>
  <si>
    <t>SRK05MMD</t>
  </si>
  <si>
    <t>SA151MMZ</t>
  </si>
  <si>
    <t>WLC30MMZ</t>
  </si>
  <si>
    <t>SA149MMK</t>
  </si>
  <si>
    <t>ILPT9MM6426</t>
  </si>
  <si>
    <t>USH12MMD</t>
  </si>
  <si>
    <t>ASMFMJL26</t>
  </si>
  <si>
    <t>ILPJFMJL26</t>
  </si>
  <si>
    <t>PRJFMJL26</t>
  </si>
  <si>
    <t>MKH44MMS</t>
  </si>
  <si>
    <t>RKRFMJL26</t>
  </si>
  <si>
    <t>MSH41MMX</t>
  </si>
  <si>
    <t>ACB08MMK</t>
  </si>
  <si>
    <t>ACB06MMK</t>
  </si>
  <si>
    <t>AK30MMB</t>
  </si>
  <si>
    <t>RKRT13MM2526</t>
  </si>
  <si>
    <t>PS22MMC</t>
  </si>
  <si>
    <t>LPV06MMC</t>
  </si>
  <si>
    <t>AKJ16MMZ</t>
  </si>
  <si>
    <t>AKJ07MMF</t>
  </si>
  <si>
    <t>SA144MMN</t>
  </si>
  <si>
    <t>SBK21MMA</t>
  </si>
  <si>
    <t>ASMT12MM0626</t>
  </si>
  <si>
    <t>RRSFMJL26</t>
  </si>
  <si>
    <t>NGSZ20926</t>
  </si>
  <si>
    <t>SBK12MMC</t>
  </si>
  <si>
    <t>CTRFMJL26</t>
  </si>
  <si>
    <t>KH60MMD</t>
  </si>
  <si>
    <t>PS20MMF</t>
  </si>
  <si>
    <t>MNV01INTELL26</t>
  </si>
  <si>
    <t>MKH34MMA</t>
  </si>
  <si>
    <t>ILPT9MM3226</t>
  </si>
  <si>
    <t>AMD47FCJ</t>
  </si>
  <si>
    <t>MSS13MMD</t>
  </si>
  <si>
    <t>USH07MMJ</t>
  </si>
  <si>
    <t>SNS03MMY</t>
  </si>
  <si>
    <t>MSS15MMI</t>
  </si>
  <si>
    <t>ADK01MMH</t>
  </si>
  <si>
    <t>SQB11MMX</t>
  </si>
  <si>
    <t>HDN21MMH</t>
  </si>
  <si>
    <t>CTRT10MM1625</t>
  </si>
  <si>
    <t>PRP22MMB</t>
  </si>
  <si>
    <t>PRP08MMC</t>
  </si>
  <si>
    <t>PRP12MMF</t>
  </si>
  <si>
    <t>SVS12MMI</t>
  </si>
  <si>
    <t>ZMB12MMX</t>
  </si>
  <si>
    <t>ARR08MME</t>
  </si>
  <si>
    <t>SQB13MMM</t>
  </si>
  <si>
    <t>MT31MMK</t>
  </si>
  <si>
    <t>ASMT12MM6726</t>
  </si>
  <si>
    <t>MNV03MMI</t>
  </si>
  <si>
    <t>JGB01MMZ</t>
  </si>
  <si>
    <t>AMY02MMC</t>
  </si>
  <si>
    <t>AKS03MMF</t>
  </si>
  <si>
    <t>WLC01MMI</t>
  </si>
  <si>
    <t>RRST2MM24926</t>
  </si>
  <si>
    <t>TSF23MMF</t>
  </si>
  <si>
    <t>NVL12MML</t>
  </si>
  <si>
    <t>SRN26FCH</t>
  </si>
  <si>
    <t>LPV19MMB</t>
  </si>
  <si>
    <t>URVT11MM3325</t>
  </si>
  <si>
    <t>URVT11FC3325</t>
  </si>
  <si>
    <t>STR75MME</t>
  </si>
  <si>
    <t>SQB07MMG</t>
  </si>
  <si>
    <t>SNG28MMF</t>
  </si>
  <si>
    <t>KH58MMX</t>
  </si>
  <si>
    <t>SYK03MMX</t>
  </si>
  <si>
    <t>SHN11MMK</t>
  </si>
  <si>
    <t>DRN02MML</t>
  </si>
  <si>
    <t>RRST2MM24426</t>
  </si>
  <si>
    <t>SA156MMC</t>
  </si>
  <si>
    <t>SA156FCC</t>
  </si>
  <si>
    <t>ARK02MMF</t>
  </si>
  <si>
    <t>ASMT12MM6826</t>
  </si>
  <si>
    <t>MUF04MME</t>
  </si>
  <si>
    <t>ILPT9MM4026</t>
  </si>
  <si>
    <t>SYK05MMZ</t>
  </si>
  <si>
    <t>CTRT10MM1525</t>
  </si>
  <si>
    <t>SVS30MME</t>
  </si>
  <si>
    <t>ADN54MMB</t>
  </si>
  <si>
    <t>RRST2MM22925</t>
  </si>
  <si>
    <t>RRST2FC22925</t>
  </si>
  <si>
    <t>SHN15MMN</t>
  </si>
  <si>
    <t>RSH01MMG</t>
  </si>
  <si>
    <t>MSS07MMF</t>
  </si>
  <si>
    <t>VK93MMM</t>
  </si>
  <si>
    <t>SMK17MMY</t>
  </si>
  <si>
    <t>RSH02MMB</t>
  </si>
  <si>
    <t>MSH42MMK</t>
  </si>
  <si>
    <t>ILPT9MM3726</t>
  </si>
  <si>
    <t>PRJT1MM11525</t>
  </si>
  <si>
    <t>NMR40MMC</t>
  </si>
  <si>
    <t>ASMT12MM5526</t>
  </si>
  <si>
    <t>NGS24MMJ</t>
  </si>
  <si>
    <t>MSRFC01AGON26</t>
  </si>
  <si>
    <t>SYK15MMA</t>
  </si>
  <si>
    <t>ADK20MMB</t>
  </si>
  <si>
    <t>RKRT13FC2026</t>
  </si>
  <si>
    <t>ILPT9MM3026</t>
  </si>
  <si>
    <t>SMK19MMH</t>
  </si>
  <si>
    <t>ABS22MMA</t>
  </si>
  <si>
    <t>SSN05MMC</t>
  </si>
  <si>
    <t>SRK02MME</t>
  </si>
  <si>
    <t>SVS34MMC</t>
  </si>
  <si>
    <t>NK12MMH</t>
  </si>
  <si>
    <t>NK35MMI</t>
  </si>
  <si>
    <t>PRJT1MM8724</t>
  </si>
  <si>
    <t>KH02MMF</t>
  </si>
  <si>
    <t>MSS01MMX</t>
  </si>
  <si>
    <t>AKS61MMI</t>
  </si>
  <si>
    <t>ILPT9MM6526</t>
  </si>
  <si>
    <t>NGS22MMH</t>
  </si>
  <si>
    <t>SMP56MMJ</t>
  </si>
  <si>
    <t>SMP56FCJ</t>
  </si>
  <si>
    <t>MT37MMK</t>
  </si>
  <si>
    <t>SMP31FCI</t>
  </si>
  <si>
    <t>ILPT9MM5426</t>
  </si>
  <si>
    <t>SQB06MMZ</t>
  </si>
  <si>
    <t>ASMT12FC0626</t>
  </si>
  <si>
    <t>CTRT10MM2925</t>
  </si>
  <si>
    <t>MNV01OCULOFEST26</t>
  </si>
  <si>
    <t>RSH01MMD</t>
  </si>
  <si>
    <t>ZFR04MMC</t>
  </si>
  <si>
    <t>VK91MMG</t>
  </si>
  <si>
    <t>PRJT1MM14425</t>
  </si>
  <si>
    <t>MKH44MMN</t>
  </si>
  <si>
    <t>RBT19MMM</t>
  </si>
  <si>
    <t>SMK19FCH</t>
  </si>
  <si>
    <t>ILPT9FC2026</t>
  </si>
  <si>
    <t>Action Jul 2026</t>
  </si>
  <si>
    <t>Final Incentives Aug 2026</t>
  </si>
  <si>
    <t>Field Sales Targets Aug 2026-27</t>
  </si>
  <si>
    <t>Aug Base</t>
  </si>
  <si>
    <t>Aug WC</t>
  </si>
  <si>
    <t>S Adityan</t>
  </si>
  <si>
    <t>NHP775</t>
  </si>
  <si>
    <t>649aa24a4b65be6684b91d0d</t>
  </si>
  <si>
    <t>58ad3473a2393a143df57d4c</t>
  </si>
  <si>
    <t>678a19a749a0f85e1e3ef343</t>
  </si>
  <si>
    <t>63ac79b0c4256458ac245f1b</t>
  </si>
  <si>
    <t>66f3bbcc85bac5a628cb3780</t>
  </si>
  <si>
    <t>649aa2f64b65be6684b91d14</t>
  </si>
  <si>
    <t>678a1a6e49a0f85e1e3ef34b</t>
  </si>
  <si>
    <t>678a06ae49a0f85e1e3ef312</t>
  </si>
  <si>
    <t>674ef5a6c6b4259201b9ac81</t>
  </si>
  <si>
    <t>649aa2d34b65be6684b91d12</t>
  </si>
  <si>
    <t>62306c8723462985f8794db7</t>
  </si>
  <si>
    <t>672c8d7c9a87e77be8d20409</t>
  </si>
  <si>
    <t>672c8d5f9a87e77be8d20408</t>
  </si>
  <si>
    <t>678a1a0f49a0f85e1e3ef347</t>
  </si>
  <si>
    <t>649aa3114b65be6684b91d15</t>
  </si>
  <si>
    <t>678a07c549a0f85e1e3ef319</t>
  </si>
  <si>
    <t>678a07dc49a0f85e1e3ef31b</t>
  </si>
  <si>
    <t>678a1a3849a0f85e1e3ef349</t>
  </si>
  <si>
    <t>649aa2b94b65be6684b91d11</t>
  </si>
  <si>
    <t>58ad3473a2393a143df57d82</t>
  </si>
  <si>
    <t>674ef289c6b4259201b9ac74</t>
  </si>
  <si>
    <t>58ad3473a2393a143df57d87</t>
  </si>
  <si>
    <t>6230639223462985f8794d75</t>
  </si>
  <si>
    <t>6230636823462985f8794d74</t>
  </si>
  <si>
    <t>678a2b7d49a0f85e1e3ef3b3</t>
  </si>
  <si>
    <t>678a2afa49a0f85e1e3ef3ab</t>
  </si>
  <si>
    <t>63ac1773c4256458ac245ec8</t>
  </si>
  <si>
    <t>678a2b1849a0f85e1e3ef3ac</t>
  </si>
  <si>
    <t>58ad3473a2393a143df57dbe</t>
  </si>
  <si>
    <t>672c8cb39a87e77be8d20400</t>
  </si>
  <si>
    <t>6838438a9bb6da7ddce96f74</t>
  </si>
  <si>
    <t>5ed76ef4c49dd437a9061dbf</t>
  </si>
  <si>
    <t>649aa4674b65be6684b91d20</t>
  </si>
  <si>
    <t>649aa42f4b65be6684b91d1e</t>
  </si>
  <si>
    <t>63875f5f5d955fbd5f2b0de8</t>
  </si>
  <si>
    <t>623063f023462985f8794d79</t>
  </si>
  <si>
    <t>63875ef55d955fbd5f2b0de7</t>
  </si>
  <si>
    <t>6499a5044b65be6684b91c2d</t>
  </si>
  <si>
    <t>621334fd9a4dba8b664069d6</t>
  </si>
  <si>
    <t>6380ccf496441d0ff9f22bcd</t>
  </si>
  <si>
    <t>6380cd0f96441d0ff9f22bce</t>
  </si>
  <si>
    <t>649aa75a4b65be6684b91d3f</t>
  </si>
  <si>
    <t>649aa76e4b65be6684b91d40</t>
  </si>
  <si>
    <t>6380cc6396441d0ff9f22bca</t>
  </si>
  <si>
    <t>6380ccac96441d0ff9f22bcc</t>
  </si>
  <si>
    <t>674ef30fc6b4259201b9ac78</t>
  </si>
  <si>
    <t>6380cb6096441d0ff9f22bc8</t>
  </si>
  <si>
    <t>6499a5384b65be6684b91c2f</t>
  </si>
  <si>
    <t>674ef231c6b4259201b9ac71</t>
  </si>
  <si>
    <t>649aa26c4b65be6684b91d0e</t>
  </si>
  <si>
    <t>6499b9184b65be6684b91c33</t>
  </si>
  <si>
    <t>674ef50ac6b4259201b9ac7c</t>
  </si>
  <si>
    <t>63ac76f8c4256458ac245f0e</t>
  </si>
  <si>
    <t>649aa4c34b65be6684b91d23</t>
  </si>
  <si>
    <t>678a1ced49a0f85e1e3ef358</t>
  </si>
  <si>
    <t>63ac75a9c4256458ac245f06</t>
  </si>
  <si>
    <t>63aeebe6463cae3db37ddb32</t>
  </si>
  <si>
    <t>63ac75c8c4256458ac245f07</t>
  </si>
  <si>
    <t>63ac75f2c4256458ac245f08</t>
  </si>
  <si>
    <t>6499b93f4b65be6684b91c34</t>
  </si>
  <si>
    <t>6499b9004b65be6684b91c32</t>
  </si>
  <si>
    <t>66f3e88a85bac5a628cb3857</t>
  </si>
  <si>
    <t>649aa4d84b65be6684b91d24</t>
  </si>
  <si>
    <t>649aa4a84b65be6684b91d22</t>
  </si>
  <si>
    <t>649aa4ec4b65be6684b91d25</t>
  </si>
  <si>
    <t>678a1c1049a0f85e1e3ef355</t>
  </si>
  <si>
    <t>678a1bef49a0f85e1e3ef354</t>
  </si>
  <si>
    <t>63ac76d6c4256458ac245f0d</t>
  </si>
  <si>
    <t>649aa5004b65be6684b91d26</t>
  </si>
  <si>
    <t>649aa7374b65be6684b91d3d</t>
  </si>
  <si>
    <t>672c8bfb9a87e77be8d203f8</t>
  </si>
  <si>
    <t>678a2b3749a0f85e1e3ef3af</t>
  </si>
  <si>
    <t>674eacfac6b4259201b9ab49</t>
  </si>
  <si>
    <t>58ad3473a2393a143df57d5a</t>
  </si>
  <si>
    <t>58ad3473a2393a143df57d6d</t>
  </si>
  <si>
    <t>6499a4864b65be6684b91c2a</t>
  </si>
  <si>
    <t>58ad3473a2393a143df57d65</t>
  </si>
  <si>
    <t>58ad3473a2393a143df57d51</t>
  </si>
  <si>
    <t>649aa6b34b65be6684b91d38</t>
  </si>
  <si>
    <t>63ac7855c4256458ac245f14</t>
  </si>
  <si>
    <t>649aa6644b65be6684b91d33</t>
  </si>
  <si>
    <t>63ac78a1c4256458ac245f16</t>
  </si>
  <si>
    <t>649aa5df4b65be6684b91d2d</t>
  </si>
  <si>
    <t>651e560ef8ea0f620002edec</t>
  </si>
  <si>
    <t>651e5635f8ea0f620002eded</t>
  </si>
  <si>
    <t>672c8c329a87e77be8d203f9</t>
  </si>
  <si>
    <t>678a2ac249a0f85e1e3ef3a8</t>
  </si>
  <si>
    <t>649aa7194b65be6684b91d3c</t>
  </si>
  <si>
    <t>649aa6254b65be6684b91d30</t>
  </si>
  <si>
    <t>649aa67b4b65be6684b91d34</t>
  </si>
  <si>
    <t>63ac78c0c4256458ac245f17</t>
  </si>
  <si>
    <t>649aa68f4b65be6684b91d35</t>
  </si>
  <si>
    <t>649aa64c4b65be6684b91d32</t>
  </si>
  <si>
    <t>678a063849a0f85e1e3ef30d</t>
  </si>
  <si>
    <t>6230683823462985f8794d95</t>
  </si>
  <si>
    <t>58ad3474a2393a143df57df3</t>
  </si>
  <si>
    <t>649aa1de4b65be6684b91d0b</t>
  </si>
  <si>
    <t>678a24e249a0f85e1e3ef37c</t>
  </si>
  <si>
    <t>62306a2023462985f8794da4</t>
  </si>
  <si>
    <t>63ac776fc4256458ac245f10</t>
  </si>
  <si>
    <t>623069cb23462985f8794da0</t>
  </si>
  <si>
    <t>58ad3474a2393a143df57e6f</t>
  </si>
  <si>
    <t>6230696c23462985f8794d9b</t>
  </si>
  <si>
    <t>62306a8c23462985f8794da8</t>
  </si>
  <si>
    <t>63ac7681c4256458ac245f0b</t>
  </si>
  <si>
    <t>58ad3474a2393a143df57dfa</t>
  </si>
  <si>
    <t>672c8cf19a87e77be8d20406</t>
  </si>
  <si>
    <t>58ad3474a2393a143df57e04</t>
  </si>
  <si>
    <t>58ad3474a2393a143df57e0c</t>
  </si>
  <si>
    <t>649aa5444b65be6684b91d29</t>
  </si>
  <si>
    <t>63ac7981c4256458ac245f1a</t>
  </si>
  <si>
    <t>58ad3473a2393a143df57dbc</t>
  </si>
  <si>
    <t>6499b99e4b65be6684b91c37</t>
  </si>
  <si>
    <t>674ef473c6b4259201b9ac7a</t>
  </si>
  <si>
    <t>678a2bc949a0f85e1e3ef3b5</t>
  </si>
  <si>
    <t>5fa2afa85e75dd640ddf320f,5fa2afa85e75dd640ddf31fb,5fa2afa85e75dd640ddf31f6,5fa2afa85e75dd640ddf3201,674ef5eac6b4259201b9ac84,5fa2afa85e75dd640ddf3216,5fa2afa85e75dd640ddf3217,5fa2afa85e75dd640ddf320a,5fa2afa85e75dd640ddf31f8,5fa2afa85e75dd640ddf31fa,5fa2afa85e75dd640ddf31fd,5fa2afa85e75dd640ddf321b,5fa2afa85e75dd640ddf3209,5fa2afa85e75dd640ddf321a,5fa2afa85e75dd640ddf3205,5fa2afa85e75dd640ddf3203,5fa2afa85e75dd640ddf320c,5fa2afa85e75dd640ddf3200,5fa2afa85e75dd640ddf3215,5fa2afa85e75dd640ddf31ff,5ff6997b5e75dd697c2bd0f9,5fa2afa85e75dd640ddf3208,5fa2afa85e75dd640ddf3206,5fa2afa85e75dd640ddf3204,5fa2afa85e75dd640ddf31f5,5fa2afa85e75dd640ddf320d,5fa2afa85e75dd640ddf3211,5fa2afa85e75dd640ddf3207,5fa2afa85e75dd640ddf3219,5fa2afa85e75dd640ddf3202,5fa2afa85e75dd640ddf3213,5fa2afa85e75dd640ddf3210,5fa2afa85e75dd640ddf3218,5fa2afa85e75dd640ddf3212,5fa2afa85e75dd640ddf320b,5fa2afa85e75dd640ddf31fc,5fa2afa85e75dd640ddf31f9,5fa2afa85e75dd640ddf3214,5fa2afa85e75dd640ddf31f7,5fa2afa85e75dd640ddf31fe,5fa2afa85e75dd640ddf320e</t>
  </si>
  <si>
    <t>5fa2afa85e75dd640ddf31b4,674ee612c6b4259201b9ac64,5fa2afa85e75dd640ddf31bd,620202974a404cfa2021309e,5fa2afa85e75dd640ddf31bb,63328a74ca8d78f186a2a27b,5fa2afa85e75dd640ddf31c2,5fa2afa85e75dd640ddf31b7,6409b6e2a42ee1f0652372c3,5fa2afa85e75dd640ddf31b8,6320730bd1b35ed2eeee6ac5,621363519a4dba8b66406a20,5fa2afa85e75dd640ddf31b5,5fa2afa85e75dd640ddf31bf,62b554c77ff9814b36212d58,5fa2afa85e75dd640ddf31b2,654e13a28d18f1a8b9dc55ea,5fa2afa85e75dd640ddf31c1,64e787ce1b37a880a770aa1f,688b6f09db03917fb920fbde,5fa2afa85e75dd640ddf31ba,5fa2afa85e75dd640ddf31b1,5fa2afa85e75dd640ddf31b9,5fa2afa85e75dd640ddf31b6,5fa2afa85e75dd640ddf31b3,5fa2afa85e75dd640ddf31be,5fa2afa85e75dd640ddf31b0,6256fb905eb28dff08ab9da5</t>
  </si>
  <si>
    <t>6023a8fd5e75dd772239dc75,5fa2afa85e75dd640ddf3191,5fa2afa85e75dd640ddf3181,5fa2afa85e75dd640ddf32a9,5fa2afa85e75dd640ddf32b6,5fa2afa85e75dd640ddf32b1,5fa2afa85e75dd640ddf32b3,5fa2afa85e75dd640ddf317a,5fa2afa85e75dd640ddf318b,5fa2afa85e75dd640ddf32ab,5fa2afa85e75dd640ddf32aa,5fa2afa85e75dd640ddf32ac,5fa2afa85e75dd640ddf3179,5fa2afa85e75dd640ddf3185,650a7e1865d8e510b282a63e,5fa2afa85e75dd640ddf32ad,5fa2afa85e75dd640ddf32af,5fa2afa85e75dd640ddf317c,619f38df5e75dd681fcc4920,6448dfa498120c5addf7c096,5fa2afa85e75dd640ddf3182,5fa2afa85e75dd640ddf318d,5fa2afa85e75dd640ddf318a,5fa2afa85e75dd640ddf317e,5fa2afa85e75dd640ddf32b7,5fa2afa85e75dd640ddf3184,5fa2afa85e75dd640ddf3188,5fa2afa85e75dd640ddf318c,5fa2afa85e75dd640ddf3186,5fa2afa85e75dd640ddf317b,5fa2afa85e75dd640ddf32b2,5fa2afa85e75dd640ddf3189,5fa2afa85e75dd640ddf3187,5fa2afa85e75dd640ddf3190,5fa2afa85e75dd640ddf3180,5fa2afa85e75dd640ddf318e,5fa2afa85e75dd640ddf32b0,5fa2afa85e75dd640ddf317d,5fa2afa85e75dd640ddf317f,5fa2afa85e75dd640ddf32a8,5fa2afa85e75dd640ddf3183,5fa2afa85e75dd640ddf32ae,5fa2afa85e75dd640ddf32b4,5fe4a4265e75dd08b0824c78,5fa2afa85e75dd640ddf318f,5fa2afa85e75dd640ddf32b5</t>
  </si>
  <si>
    <t>5fa2afa85e75dd640ddf3262,5fa2afa85e75dd640ddf3261,65f2c0d5136afecb0f1239cd,63c660b51131201a344819ad,5fa2afa85e75dd640ddf3239,5fa2afa85e75dd640ddf3267,6343cf233435fffe9bc5515c,5fa2afa85e75dd640ddf323c,678a2c1949a0f85e1e3ef3b7,5fa2afa85e75dd640ddf3274,5fa2afa85e75dd640ddf324b,5fa2afa85e75dd640ddf3246,5fa2afa85e75dd640ddf323f,5fa2afa85e75dd640ddf3235,5fa2afa85e75dd640ddf3266,5fa2afa85e75dd640ddf3265,5fa2afa85e75dd640ddf3253,5fa2afa85e75dd640ddf3255,5fa2afa85e75dd640ddf3234,5fa2afa85e75dd640ddf3238,5fa2afa85e75dd640ddf3243,5fa2afa85e75dd640ddf3273,5fa2afa85e75dd640ddf3259,5fa2afa85e75dd640ddf325b,5fa2afa85e75dd640ddf3251,5fa2afa85e75dd640ddf3249,5fa2afa85e75dd640ddf3247,5fa2afa85e75dd640ddf3272,688b6eb3db03917fb920fbdd,5fa2afa85e75dd640ddf3244,5fa2afa85e75dd640ddf3240,64af9e4fbe77ff1f44072aac</t>
  </si>
  <si>
    <t>5fa2afa85e75dd640ddf3245,5fa2afa85e75dd640ddf3257,68b8309a135ede7bc80e371c,5fa2afa85e75dd640ddf31de,683843289bb6da7ddce96f6c,5fa2afa85e75dd640ddf325e,5fa2afa85e75dd640ddf323a,5fa2afa85e75dd640ddf3233,5fa2afa85e75dd640ddf31db,615aabaa5e75dd3996e8453b,5fa2afa85e75dd640ddf3254,5fa2afa85e75dd640ddf324a,5fa2afa85e75dd640ddf3237,5ff6997b5e75dd697c2bd0f7,5fa2afa85e75dd640ddf3264,5fa2afa85e75dd640ddf31dc,64074534a42ee1f0652371f2,5fa2afa85e75dd640ddf3241,5fa2afa85e75dd640ddf31c3,5ff6997b5e75dd697c2bd0ee,5ff6997b5e75dd697c2bd0f5,5fa2afa85e75dd640ddf3250,5fa2afa85e75dd640ddf324c,5fa2afa85e75dd640ddf325d,611b69755e75dd298f044eef,5fa2afa85e75dd640ddf3258,5fa2afa85e75dd640ddf3260,5ff6997b5e75dd697c2bd0f4,5fa2afa85e75dd640ddf325f,5ff6997b5e75dd697c2bd0ed,5fa2afa85e75dd640ddf3252,5fa2afa85e75dd640ddf325c,5ff6997b5e75dd697c2bd0f1,5fa2afa85e75dd640ddf324f,5fa2afa85e75dd640ddf31dd,5fa2afa85e75dd640ddf31df,5ff6997b5e75dd697c2bd0ef,5ff6997b5e75dd697c2bd0eb,5fa2afa85e75dd640ddf3256,5fa2afa85e75dd640ddf3248,5fa2afa85e75dd640ddf324d,5ff6997b5e75dd697c2bd0f3,5ff6997b5e75dd697c2bd0e9,5fa2afa85e75dd640ddf3268,5fa2afa85e75dd640ddf325a,657999f2c05e4a2396cc133f,68b83074135ede7bc80e371a,674ef452c6b4259201b9ac79,5ff6997b5e75dd697c2bd0f8,5ff6997b5e75dd697c2bd0ec,5ff6997b5e75dd697c2bd0ea,60c2cf1ac49dd4033e2a567b,5ff6997b5e75dd697c2bd0f2,5fa2afa85e75dd640ddf3242,5fa2afa85e75dd640ddf324e,5ff6997b5e75dd697c2bd0f0,5fa2afa85e75dd640ddf31c0,5fa2afa85e75dd640ddf3236,5fa2afa85e75dd640ddf323e,5fa2afa85e75dd640ddf323b,5fa2afa85e75dd640ddf323d,5fa2afa85e75dd640ddf3263,5ff6997b5e75dd697c2bd0f6</t>
  </si>
  <si>
    <t>5fa2afa85e75dd640ddf32c4,5fa2afa85e75dd640ddf32c5,5fa2afa85e75dd640ddf32c2,5fa2afa85e75dd640ddf32c0,650a7da965d8e510b282a63c,650a7dd665d8e510b282a63d,5fa2afa85e75dd640ddf32c3,5fa2afa85e75dd640ddf32c1,5fa2afa85e75dd640ddf32c6</t>
  </si>
  <si>
    <t>5ff6997b5e75dd697c2bd0c7,5fa2afa85e75dd640ddf31e4,5fd0ccb95e75dd78adcb7297,5fd0ccb85e75dd78adcb727e,6023a8fc5e75dd772239dc74,68f1d4601fcda105d4db7e57,5fd0ccb85e75dd78adcb7272,5fa2afa85e75dd640ddf31e7,5fa2afa85e75dd640ddf327b,5ff6997b5e75dd697c2bd0af,5ff6997b5e75dd697c2bd0a9,5fa2afa85e75dd640ddf3173,5ff6997b5e75dd697c2bd0aa,5fa2afa85e75dd640ddf31e1,5ff6997b5e75dd697c2bd0d9,5fa2afa85e75dd640ddf31d4,60c2cfa7c49dd4033e2a567c,5ff6997b5e75dd697c2bd0d3,5fa2afa85e75dd640ddf32be,5fd0ccb95e75dd78adcb7292,5fa2afa85e75dd640ddf3193,5fd0ccb85e75dd78adcb7275,619f38df5e75dd681fcc4921,5fa2afa85e75dd640ddf31a8,5fd0ccb85e75dd78adcb7271,5fa2afa85e75dd640ddf3196,5fa2afa85e75dd640ddf316a,5fa2afa85e75dd640ddf314d,5fa2afa85e75dd640ddf31ce,5fa2afa85e75dd640ddf3228,5ff6997b5e75dd697c2bd0c4,5fa2afa85e75dd640ddf31c7,5fa2afa85e75dd640ddf32bc,5ff6997b5e75dd697c2bd0b5,5fa2afa85e75dd640ddf32d6,5fa2afa85e75dd640ddf31cb,5fa2afa85e75dd640ddf31a9,5fa2afa85e75dd640ddf31d1,5fa2afa85e75dd640ddf328f,5fa2afa85e75dd640ddf3231,5fa2afa85e75dd640ddf3195,5fd0ccb95e75dd78adcb728b,5fa2afa85e75dd640ddf313d,5fe4a42b5e75dd08b0824c79,5fa2afa85e75dd640ddf31e9,5fd0ccb85e75dd78adcb727b,5ff6997b5e75dd697c2bd0b8,5fa2afa85e75dd640ddf326c,5fa2afa85e75dd640ddf32bd,5fa2afa85e75dd640ddf328a,5fa2afa85e75dd640ddf3151,61f7da9b259522d0fab5553e,5fa2afa85e75dd640ddf32d2,5fa2afa85e75dd640ddf31ed,5fa2afa85e75dd640ddf329c,5fd0ccb85e75dd78adcb726e,5ff6997b5e75dd697c2bd0e0,5ff6997b5e75dd697c2bd0ac,5fa2afa85e75dd640ddf315d,5fa2afa85e75dd640ddf3227,5ff6997b5e75dd697c2bd0c8,5fd0ccb95e75dd78adcb72b7,5fa2afa85e75dd640ddf3176,5ff6997b5e75dd697c2bd0be,5fa2afa85e75dd640ddf32d7,5fa2afa85e75dd640ddf31f0,5ff6997b5e75dd697c2bd0cc,5fa2afa85e75dd640ddf31ae,5fa2afa85e75dd640ddf3292,5fa2afa85e75dd640ddf3281,68f1d4351fcda105d4db7e55,5fa2afa85e75dd640ddf321d,5fa2afa85e75dd640ddf328d,5fd0ccb95e75dd78adcb72a3,5fa2afa85e75dd640ddf32a5,5ff6997b5e75dd697c2bd0b7,68f1d4e61fcda105d4db7e5a,5ff6997b5e75dd697c2bd0bc,5fa2afa85e75dd640ddf31d8,6229ad884fa0c90c86d79e82,5ff6997b5e75dd697c2bd0c5,5fa2afa85e75dd640ddf32b9,5fa2afa85e75dd640ddf3141,619f38df5e75dd681fcc491f,5ff6997b5e75dd697c2bd0b6,5fa2afa85e75dd640ddf3175,5fa2afa85e75dd640ddf3271,5fa2afa85e75dd640ddf314a,5fa2afa85e75dd640ddf32c8,5fa2afa85e75dd640ddf319a,68f1d5051fcda105d4db7e5b,5fa2afa85e75dd640ddf31a5,5fa2afa85e75dd640ddf3166,5fa2afa85e75dd640ddf32cc,5fa2afa85e75dd640ddf31d0,5fd0ccb95e75dd78adcb7288,5fa2afa85e75dd640ddf3156,5fd0ccb85e75dd78adcb726d,5fd0ccb95e75dd78adcb72b6,5fa2afa85e75dd640ddf3223,5fa2afa85e75dd640ddf3163,5fd0ccb95e75dd78adcb728f,5fa2afa85e75dd640ddf3299,5fa2afa85e75dd640ddf3169,6023a8fe5e75dd772239dc79,5ff6997b5e75dd697c2bd0cb,5fa2afa85e75dd640ddf3140,5fa2afa85e75dd640ddf3288,5fa2afa85e75dd640ddf316e,5fd0ccb95e75dd78adcb7296,5ff6997b5e75dd697c2bd0ca,5fa2afa85e75dd640ddf328b,5fa2afa85e75dd640ddf327e,5ff6997b5e75dd697c2bd0b4,5fd0ccb85e75dd78adcb7269,5fd0ccb95e75dd78adcb729d,5fa2afa85e75dd640ddf31cd,5ff6997b5e75dd697c2bd0da,5fa2afa85e75dd640ddf3172,5fa2afa85e75dd640ddf3283,5fa2afa85e75dd640ddf3145,5fa2afa85e75dd640ddf31bc,65d5c848f10023ec4ddb1f80,5ff6997b5e75dd697c2bd0e8,5fd0ccb95e75dd78adcb729f,5fd0ccb95e75dd78adcb72b5,5fa2afa85e75dd640ddf3289,5fa2afa85e75dd640ddf3142,5fa2afa85e75dd640ddf314b,5fa2afa85e75dd640ddf3224,615aabaa5e75dd3996e8453c,5ff6997b5e75dd697c2bd0d8,5fa2afa85e75dd640ddf3280,6202026a4a404cfa2021309d,5ff6997b5e75dd697c2bd0d2,5ff6997b5e75dd697c2bd0e7,5fa2afa85e75dd640ddf31c5,5fd0ccb95e75dd78adcb7299,5fa2afa85e75dd640ddf3171,5fa2afa85e75dd640ddf31cf,5fa2afa85e75dd640ddf316b,5fa2afa85e75dd640ddf31d6,5ff6997b5e75dd697c2bd0c1,5ff6997b5e75dd697c2bd0ad,66d16340a7141ec6d08c3bce,5fd0ccb95e75dd78adcb7286,6232b24123462985f879523e,5fa2afa85e75dd640ddf3286,611b69775e75dd298f044ef0,5fa389b4c49dd43832ee2362,5fa2afa85e75dd640ddf31d3,5fa2afa85e75dd640ddf31ad,5ff6997b5e75dd697c2bd0ce,5fd0ccb95e75dd78adcb7283,68f5b09f569b969e02bdac6c,5fa2afa85e75dd640ddf329a,5fd0ccb95e75dd78adcb729a,5fa2afa85e75dd640ddf3177,5ff6997b5e75dd697c2bd0cd,62b555887ff9814b36212d59,5fd0ccb95e75dd78adcb728a,5fa2afa85e75dd640ddf3148,5fa2afa85e75dd640ddf3226,615aaba85e75dd3996e8453a,5ff6997b5e75dd697c2bd0a6,5fa2afa85e75dd640ddf31c4,5fa2afa85e75dd640ddf322c,5fa2afa85e75dd640ddf3155,5fd0ccb95e75dd78adcb7298,5fa2afa85e75dd640ddf329e,5fd0ccb95e75dd78adcb72b0,5fa2afa85e75dd640ddf3220,5fa2afa85e75dd640ddf3165,5fa2afa85e75dd640ddf31e6,5fa2afa85e75dd640ddf32d1,5fd0ccb95e75dd78adcb7282,5fd0ccb85e75dd78adcb7273,60c2d04ec49dd4033e2a567d,5fa2afa85e75dd640ddf3170,65e175eec7acc8d65f046917,5fd0ccb85e75dd78adcb7279,5fa2afa85e75dd640ddf329b,5fa2afa85e75dd640ddf321c,61f3d4d5259522d0fab55208,5fa2afa85e75dd640ddf3282,5fa2afa85e75dd640ddf319b,5fd0ccb85e75dd78adcb7277,5fa2afa85e75dd640ddf3153,5fa2afa85e75dd640ddf32cb,5fa2afa85e75dd640ddf321e,5fa2afa85e75dd640ddf328e,5fa2afa85e75dd640ddf3291,5fd0ccb95e75dd78adcb7294,5ff6997b5e75dd697c2bd0e5,5fa2afa85e75dd640ddf315f,635a2d521f7cd11dce4cc145,64e787391b37a880a770aa1e,5fa2afa85e75dd640ddf31ee,5fa2afa85e75dd640ddf31ca,5fd0ccb95e75dd78adcb72a0,5fa2afa85e75dd640ddf32ca,5fd0ccb95e75dd78adcb729b,5fd0ccb95e75dd78adcb7289,5ff6997b5e75dd697c2bd0bd,5fa2afa85e75dd640ddf31ef,5fa2afa85e75dd640ddf3152,5fd0ccb85e75dd78adcb7270,5fa2afa85e75dd640ddf3293,5fd0ccb95e75dd78adcb7295,5fa2afa85e75dd640ddf31d9,68f1d48ad6441dd785881f25,5fa2afa85e75dd640ddf32cf,5fa2afa85e75dd640ddf32bf,5fa2afa85e75dd640ddf3154,5ff6997b5e75dd697c2bd0db,637b535f96441d0ff9f22681,5fa2afa85e75dd640ddf326e,5ff6997b5e75dd697c2bd0c0,5fa2afa85e75dd640ddf322a,5fd0ccb85e75dd78adcb7276,5ff6997b5e75dd697c2bd0de,5ff6997b5e75dd697c2bd0d5,5fa2afa85e75dd640ddf321f,5fa2afa85e75dd640ddf3158,5fa2afa85e75dd640ddf316d,5fd0ccb95e75dd78adcb72a2,5ff6997b5e75dd697c2bd0ba,5ff6997b5e75dd697c2bd0c3,5fa2afa85e75dd640ddf32d4,620202434a404cfa2021309b,5fa2afa85e75dd640ddf3297,5fd0ccb95e75dd78adcb72ae,5ff6997b5e75dd697c2bd0b1,5fa2afa85e75dd640ddf327c,5ff6997b5e75dd697c2bd0d4,5fa2afa85e75dd640ddf3296,5ff6997b5e75dd697c2bd0c2,6480206c2c07346a833ac6a5,5fd0ccb85e75dd78adcb7278,64ee201b55d9a0598180ccb6,5fd0ccb95e75dd78adcb72aa,5fd0ccb95e75dd78adcb72a6,5fd0ccb95e75dd78adcb72ac,5fd0ccb85e75dd78adcb727c,5fa2afa85e75dd640ddf31e8,5fa2afa85e75dd640ddf3285,5fa2afa85e75dd640ddf32a6,5fa2afa85e75dd640ddf315c,5fa2afa85e75dd640ddf315a,5fa2afa85e75dd640ddf3294,62cfe05ed957aeaa9156c29d,5fd0ccb95e75dd78adcb72af,5ff6997b5e75dd697c2bd0e2,5fa2afa85e75dd640ddf322e,5ff6997b5e75dd697c2bd0b3,5fa2afa85e75dd640ddf326d,6232ad8823462985f8795234,5fa2afa85e75dd640ddf31a2,5fa2afa85e75dd640ddf319f,5fd0ccb95e75dd78adcb72ab,5ff6997b5e75dd697c2bd0fa,5fa2afa85e75dd640ddf31ea,68f1d4bd1fcda105d4db7e59,5ff6997b5e75dd697c2bd0e3,5ff6997b5e75dd697c2bd0d6,5fa2afa85e75dd640ddf3149,5ff6997b5e75dd697c2bd0e4,5fd0ccb95e75dd78adcb72a8,5ff6997b5e75dd697c2bd0ab,5fa2afa85e75dd640ddf31eb,5fa2afa85e75dd640ddf3144,5fa2afa85e75dd640ddf322d,5fa2afa85e75dd640ddf3178,5fa2afa85e75dd640ddf31f4,5fa2afa85e75dd640ddf313c,5fa2afa85e75dd640ddf31a7,5fa2afa85e75dd640ddf314e,61de67a74e1f77c3dfb9bb2a,5fd0ccb95e75dd78adcb72a7,5ff6997b5e75dd697c2bd0ae,5fa2afa85e75dd640ddf327f,5fa2afa85e75dd640ddf319e,5fa2afa85e75dd640ddf31ac,5fa2afa85e75dd640ddf3230,5fa2afa85e75dd640ddf329f,5fa2afa85e75dd640ddf322f,5fa2afa85e75dd640ddf31e3,5fa2afa85e75dd640ddf3229,5fa2afa85e75dd640ddf32ba,5fd0ccb95e75dd78adcb7290,5fa2afa85e75dd640ddf315e,5fd0ccb85e75dd78adcb7268,5fa2afa85e75dd640ddf32a0,5fa2afa85e75dd640ddf31a1,5fa2afa85e75dd640ddf31e5,5fd0ccb95e75dd78adcb72b8,5fa2afa85e75dd640ddf326b,5ff6997b5e75dd697c2bd0dd,5fa2afa85e75dd640ddf32cd,5fd0ccb95e75dd78adcb7280,6229ad394fa0c90c86d79e80,5fa2afa85e75dd640ddf31cc,61f7dab0259522d0fab5553f,5ff6997b5e75dd697c2bd0bf,6229ad694fa0c90c86d79e81,5fd0ccb95e75dd78adcb72ba,5fa2afa85e75dd640ddf32b8,5fa2afa85e75dd640ddf32a3,5fa2afa85e75dd640ddf31ab,5ff6997b5e75dd697c2bd0dc,5fd0ccb95e75dd78adcb72b1,611b69775e75dd298f044ef1,5fa2afa85e75dd640ddf3198,5fa2afa85e75dd640ddf314c,64af9f4f8a722f6ff7215f98,5fd0ccb85e75dd78adcb726f,5fa2afa85e75dd640ddf31ec,5fd0ccb95e75dd78adcb72a5,5fa2afa85e75dd640ddf3157,5fa2afa85e75dd640ddf3192,5fa2afa85e75dd640ddf3222,5fa2afa85e75dd640ddf3277,5fd0ccb95e75dd78adcb7287,5fa2afa85e75dd640ddf32db,5ff6997b5e75dd697c2bd0e6,5fd0ccb85e75dd78adcb726c,5fa2afa85e75dd640ddf31a3,5fa2afa85e75dd640ddf3221,5fa2afa85e75dd640ddf313a,6023a8fe5e75dd772239dc78,5fa2afa85e75dd640ddf322b,5fa2afa85e75dd640ddf32a4,5fa2afa85e75dd640ddf3276,5fd0ccb95e75dd78adcb7293,5fa2afa85e75dd640ddf31af,5fa2afa85e75dd640ddf31d5,5fa2afa85e75dd640ddf3298,5fa2afa85e75dd640ddf32d8,5fa2afa85e75dd640ddf32d5,5fa2afa85e75dd640ddf31c6,5fd0ccb95e75dd78adcb72a9,5fa2afa85e75dd640ddf3290,5fa2afa85e75dd640ddf3143,5fa2afa85e75dd640ddf3279,5fa2afa85e75dd640ddf3147,5fa2afa85e75dd640ddf3150,5fd0ccb95e75dd78adcb729c,5fa2afa85e75dd640ddf32d9,5fa2afa85e75dd640ddf31a0,5fd0ccb95e75dd78adcb72b2,5fa2afa85e75dd640ddf327a,6023a8fe5e75dd772239dc76,5fd0ccb95e75dd78adcb72b3,5fa2afa85e75dd640ddf31aa,5fa2afa85e75dd640ddf3284,5fa2afa85e75dd640ddf3275,5fd0ccb95e75dd78adcb72a1,6281f2b96cd937dc3719927c,5fa2afa85e75dd640ddf329d,5fa2afa85e75dd640ddf3162,5fd0ccb85e75dd78adcb7267,5ff6997b5e75dd697c2bd0b0,5fa2afa85e75dd640ddf3287,5ff6997b5e75dd697c2bd0e1,5ff6997b5e75dd697c2bd0b9,5fa2afa85e75dd640ddf3168,5fa2afa85e75dd640ddf316f,5ff6997b5e75dd697c2bd0bb,5fa2afa85e75dd640ddf31a4,611b69665e75dd298f044eee,5fa2afa85e75dd640ddf3225,5fd0ccb95e75dd78adcb727f,5fa2afa85e75dd640ddf326a,5fa2afa85e75dd640ddf31d7,5fa2afa85e75dd640ddf31da,5fa2afa85e75dd640ddf315b,5fa2afa85e75dd640ddf32d0,5fa2afa85e75dd640ddf31f3,5fa2afa85e75dd640ddf32c7,5fa2afa85e75dd640ddf326f,5fa2afa85e75dd640ddf32ce,5ff6997b5e75dd697c2bd0df,5fa2afa85e75dd640ddf3194,5fd0ccb95e75dd78adcb72a4,5fa2afa85e75dd640ddf328c,5fd0ccb95e75dd78adcb7284,5fa2afa85e75dd640ddf31e0,5fa2afa85e75dd640ddf31d2,5fa2afa85e75dd640ddf32a2,5fa2afa85e75dd640ddf3146,5fd0ccb95e75dd78adcb7285,5fd0ccb85e75dd78adcb726a,5fa2afa85e75dd640ddf31e2,5fd0ccb85e75dd78adcb727a,5fd0ccb95e75dd78adcb729e,5fa2afa85e75dd640ddf3161,5fd0ccb95e75dd78adcb72ad,63c64c301131201a3448197b,6336a31817156cbab0ca275b,5fd0ccb95e75dd78adcb7291,5fa2afa85e75dd640ddf31f2,5fa2afa85e75dd640ddf31f1,5fd0ccb95e75dd78adcb728e,5fa2afa85e75dd640ddf32d3,5fa2afa85e75dd640ddf3159,5ff6997b5e75dd697c2bd0b2,5fa2afa85e75dd640ddf32da,5fa2afa85e75dd640ddf3295,5fa2afa85e75dd640ddf32a7,5fa2afa85e75dd640ddf32bb,5fd0ccb85e75dd78adcb727d,5fa2afa85e75dd640ddf313b,5ff6997b5e75dd697c2bd0d1,5fa2afa85e75dd640ddf319d,5fa2afa85e75dd640ddf3160,5fa2afa85e75dd640ddf3232,5fa2afa85e75dd640ddf3270,5fa2afa85e75dd640ddf32c9,5fa2afa85e75dd640ddf3167,5fd0ccb85e75dd78adcb7274,5fa2afa85e75dd640ddf314f,5ff6997b5e75dd697c2bd0cf,5fa2afa85e75dd640ddf31a6,5fa2afa85e75dd640ddf327d,5fa2afa85e75dd640ddf3174,5ff6997b5e75dd697c2bd0a7,5fa2afa85e75dd640ddf3278,61de67584e1f77c3dfb9bb29,5fd0ccb85e75dd78adcb726b,5fa2afa85e75dd640ddf32a1,5fa2afa85e75dd640ddf313f,5ff6997b5e75dd697c2bd0c6,611b69775e75dd298f044ef2,5fa2afa85e75dd640ddf31c9,5fa2afa85e75dd640ddf316c,5fa2afa85e75dd640ddf3199,5fa2afa85e75dd640ddf3164,5fd0ccb95e75dd78adcb728d,5fa2afa85e75dd640ddf313e,5fd0ccb95e75dd78adcb72b9,6232b21a23462985f879523d,5fa2afa85e75dd640ddf31c8,5ff6997b5e75dd697c2bd0d7,5fa2afa85e75dd640ddf319c,5fd0ccb95e75dd78adcb728c,5fd0ccb95e75dd78adcb72b4,5ff6997b5e75dd697c2bd0a8,6435413cdd4f75c60df475ca,5fa2afa85e75dd640ddf3269,5ff6997b5e75dd697c2bd0c9,6023a8fe5e75dd772239dc77,5fd0ccb95e75dd78adcb7281,5ff6997b5e75dd697c2bd0d0,5fa2afa85e75dd640ddf3197</t>
  </si>
  <si>
    <t>PS14MMH</t>
  </si>
  <si>
    <t>PS09MMD</t>
  </si>
  <si>
    <t>PS16MMI</t>
  </si>
  <si>
    <t>SRK07MME</t>
  </si>
  <si>
    <t>SRK09MMA</t>
  </si>
  <si>
    <t>SRK03MMC</t>
  </si>
  <si>
    <t>AK32MMF</t>
  </si>
  <si>
    <t>AK03MME</t>
  </si>
  <si>
    <t>AK34MMX</t>
  </si>
  <si>
    <t>AK40MMA</t>
  </si>
  <si>
    <t>SRK08MMF</t>
  </si>
  <si>
    <t>TSF23FCE</t>
  </si>
  <si>
    <t>PJG12MMD</t>
  </si>
  <si>
    <t>PJG21MMA</t>
  </si>
  <si>
    <t>PJG06MMF</t>
  </si>
  <si>
    <t>PJG29MMX</t>
  </si>
  <si>
    <t>PJG23MMZ</t>
  </si>
  <si>
    <t>PJG28MMX</t>
  </si>
  <si>
    <t>PJG24MMC</t>
  </si>
  <si>
    <t>PJG08MMD</t>
  </si>
  <si>
    <t>PJG17MMY</t>
  </si>
  <si>
    <t>PJG30MMX</t>
  </si>
  <si>
    <t>WLC05MMD</t>
  </si>
  <si>
    <t>WLC25MMX</t>
  </si>
  <si>
    <t>ARR02MMF</t>
  </si>
  <si>
    <t>ARR07MMN</t>
  </si>
  <si>
    <t>ARR05MMH</t>
  </si>
  <si>
    <t>ARR01MMF</t>
  </si>
  <si>
    <t>WLC22MMH</t>
  </si>
  <si>
    <t>ARR10MMX</t>
  </si>
  <si>
    <t>PJG16MMF</t>
  </si>
  <si>
    <t>TSF09MME</t>
  </si>
  <si>
    <t>TSF21MME</t>
  </si>
  <si>
    <t>TSF08MMD</t>
  </si>
  <si>
    <t>TSF16MMY</t>
  </si>
  <si>
    <t>PJG24MME</t>
  </si>
  <si>
    <t>TSF14MMX</t>
  </si>
  <si>
    <t>WLC30FCZ</t>
  </si>
  <si>
    <t>SHC02MMZ</t>
  </si>
  <si>
    <t>SHC04MMC</t>
  </si>
  <si>
    <t>PRP07MMD</t>
  </si>
  <si>
    <t>PRP18MMX</t>
  </si>
  <si>
    <t>PRP17MMX</t>
  </si>
  <si>
    <t>PRP24MMX</t>
  </si>
  <si>
    <t>MNS12MMX</t>
  </si>
  <si>
    <t>MNS13MMX</t>
  </si>
  <si>
    <t>MNS16MMX</t>
  </si>
  <si>
    <t>SFR55MMX</t>
  </si>
  <si>
    <t>MNS17MMD</t>
  </si>
  <si>
    <t>MNS10MMC</t>
  </si>
  <si>
    <t>MNS11MMF</t>
  </si>
  <si>
    <t>SFR46MMD</t>
  </si>
  <si>
    <t>SFR54MMX</t>
  </si>
  <si>
    <t>PRP21MMA</t>
  </si>
  <si>
    <t>SFR43MME</t>
  </si>
  <si>
    <t>SHC01EKANT26</t>
  </si>
  <si>
    <t>SSN05MMF</t>
  </si>
  <si>
    <t>SSN02MMB</t>
  </si>
  <si>
    <t>SSN01MMA</t>
  </si>
  <si>
    <t>SSN16MMX</t>
  </si>
  <si>
    <t>SSN04MMC</t>
  </si>
  <si>
    <t>SSN07MMC</t>
  </si>
  <si>
    <t>KH35MMC</t>
  </si>
  <si>
    <t>KH58MMY</t>
  </si>
  <si>
    <t>KH08MMP</t>
  </si>
  <si>
    <t>KH33MMA</t>
  </si>
  <si>
    <t>MT30MMD</t>
  </si>
  <si>
    <t>VK94MMC</t>
  </si>
  <si>
    <t>MT31MMJ</t>
  </si>
  <si>
    <t>MT40MMC</t>
  </si>
  <si>
    <t>MT52MMA</t>
  </si>
  <si>
    <t>MT46MMC</t>
  </si>
  <si>
    <t>MSH60MMB</t>
  </si>
  <si>
    <t>MSH40MMH</t>
  </si>
  <si>
    <t>MSH43MMC</t>
  </si>
  <si>
    <t>MSH53MMX</t>
  </si>
  <si>
    <t>MSH54MMX</t>
  </si>
  <si>
    <t>SSN18MMA</t>
  </si>
  <si>
    <t>KH08MMQ</t>
  </si>
  <si>
    <t>AKS12MMN</t>
  </si>
  <si>
    <t>AKS12MMR</t>
  </si>
  <si>
    <t>AKS57MMX</t>
  </si>
  <si>
    <t>AKS30MMG</t>
  </si>
  <si>
    <t>AKS10MMH</t>
  </si>
  <si>
    <t>VBH20MMA</t>
  </si>
  <si>
    <t>KH52MMY</t>
  </si>
  <si>
    <t>KH61MMX</t>
  </si>
  <si>
    <t>AKS29MMA</t>
  </si>
  <si>
    <t>KH28MMK</t>
  </si>
  <si>
    <t>VK90MMF</t>
  </si>
  <si>
    <t>MSH55MMX</t>
  </si>
  <si>
    <t>SSN01MMZ</t>
  </si>
  <si>
    <t>AKS61MMK</t>
  </si>
  <si>
    <t>SYK10MMN</t>
  </si>
  <si>
    <t>SYK11MMI</t>
  </si>
  <si>
    <t>MBK11MMJ</t>
  </si>
  <si>
    <t>MBK07MMX</t>
  </si>
  <si>
    <t>MBK06MMY</t>
  </si>
  <si>
    <t>MBK02MMY</t>
  </si>
  <si>
    <t>MBK03MMD</t>
  </si>
  <si>
    <t>MBK02FCY</t>
  </si>
  <si>
    <t>MBK03FCD</t>
  </si>
  <si>
    <t>MBK05MMZ</t>
  </si>
  <si>
    <t>MBK01MMZ</t>
  </si>
  <si>
    <t>SYK15MMB</t>
  </si>
  <si>
    <t>NGS24MMK</t>
  </si>
  <si>
    <t>NGS08MMI</t>
  </si>
  <si>
    <t>NGS10MMX</t>
  </si>
  <si>
    <t>NGS17MMX</t>
  </si>
  <si>
    <t>DGPZ21426</t>
  </si>
  <si>
    <t>SRT03MME</t>
  </si>
  <si>
    <t>SRT29MMA</t>
  </si>
  <si>
    <t>SRT28MME</t>
  </si>
  <si>
    <t>SRT30MMX</t>
  </si>
  <si>
    <t>SRT30FCX</t>
  </si>
  <si>
    <t>SRT09MMY</t>
  </si>
  <si>
    <t>SRT09FCY</t>
  </si>
  <si>
    <t>SRT05MMO</t>
  </si>
  <si>
    <t>SRT06MMI</t>
  </si>
  <si>
    <t>SRT31MMF</t>
  </si>
  <si>
    <t>MSR17MMX</t>
  </si>
  <si>
    <t>SMP29MMI</t>
  </si>
  <si>
    <t>SMP27MMI</t>
  </si>
  <si>
    <t>SMP29FCI</t>
  </si>
  <si>
    <t>DGP15MMY</t>
  </si>
  <si>
    <t>DGP03MMX</t>
  </si>
  <si>
    <t>SD33MMF</t>
  </si>
  <si>
    <t>SYK08MMD</t>
  </si>
  <si>
    <t>SMP56MMH</t>
  </si>
  <si>
    <t>DGP16MMY</t>
  </si>
  <si>
    <t>SRT05FCG</t>
  </si>
  <si>
    <t>SRT31MMC</t>
  </si>
  <si>
    <t>SYK15FCB</t>
  </si>
  <si>
    <t>NGS11MMX</t>
  </si>
  <si>
    <t>SBK12MMD</t>
  </si>
  <si>
    <t>SBK26MMJ</t>
  </si>
  <si>
    <t>SBK14MMG</t>
  </si>
  <si>
    <t>SBK14MMF</t>
  </si>
  <si>
    <t>ARK20MME</t>
  </si>
  <si>
    <t>ARK16MMB</t>
  </si>
  <si>
    <t>ARK01MMI</t>
  </si>
  <si>
    <t>AKJ17MMI</t>
  </si>
  <si>
    <t>AKJ05MMH</t>
  </si>
  <si>
    <t>AKJ03MMK</t>
  </si>
  <si>
    <t>AKJ02MMB</t>
  </si>
  <si>
    <t>AKJ02MMD</t>
  </si>
  <si>
    <t>AKJ01MMF</t>
  </si>
  <si>
    <t>AKJ15MMX</t>
  </si>
  <si>
    <t>SBK01DDR26</t>
  </si>
  <si>
    <t>SBKZ11626</t>
  </si>
  <si>
    <t>SBK33MMH</t>
  </si>
  <si>
    <t>ARK04MMY</t>
  </si>
  <si>
    <t>SBK20MME</t>
  </si>
  <si>
    <t>SBK27MMB</t>
  </si>
  <si>
    <t>ARKZ12026</t>
  </si>
  <si>
    <t>AJ58MMI</t>
  </si>
  <si>
    <t>AJ74MMY</t>
  </si>
  <si>
    <t>SGS07MMG</t>
  </si>
  <si>
    <t>SGS08MMF</t>
  </si>
  <si>
    <t>SGS01MMG</t>
  </si>
  <si>
    <t>SGS15MMX</t>
  </si>
  <si>
    <t>SVS27MMH</t>
  </si>
  <si>
    <t>SVS09MMX</t>
  </si>
  <si>
    <t>SVS17MMF</t>
  </si>
  <si>
    <t>SVS35MMY</t>
  </si>
  <si>
    <t>ANG24MMF</t>
  </si>
  <si>
    <t>ADN16MMO</t>
  </si>
  <si>
    <t>ANG21MMA</t>
  </si>
  <si>
    <t>ANG15MME</t>
  </si>
  <si>
    <t>ADN54MMC</t>
  </si>
  <si>
    <t>ANG19MMB</t>
  </si>
  <si>
    <t>ADN63MMY</t>
  </si>
  <si>
    <t>ADN54MMD</t>
  </si>
  <si>
    <t>ADN62MMX</t>
  </si>
  <si>
    <t>NK04MMF</t>
  </si>
  <si>
    <t>NK04FCF</t>
  </si>
  <si>
    <t>ANG18MMK</t>
  </si>
  <si>
    <t>ANG20MMZ</t>
  </si>
  <si>
    <t>NK28MMX</t>
  </si>
  <si>
    <t>ANG25MMF</t>
  </si>
  <si>
    <t>ADK16MMZ</t>
  </si>
  <si>
    <t>ADK15MMZ</t>
  </si>
  <si>
    <t>ADK08MMX</t>
  </si>
  <si>
    <t>ADK08MMY</t>
  </si>
  <si>
    <t>ADK01MME</t>
  </si>
  <si>
    <t>ADK19MMC</t>
  </si>
  <si>
    <t>ANG27MMA</t>
  </si>
  <si>
    <t>ANG27MMZ</t>
  </si>
  <si>
    <t>ADK14MMF</t>
  </si>
  <si>
    <t>ANG22MMZ</t>
  </si>
  <si>
    <t>ABS16MMY</t>
  </si>
  <si>
    <t>ABS18MMX</t>
  </si>
  <si>
    <t>SVS26MMY</t>
  </si>
  <si>
    <t>ANG14MMX</t>
  </si>
  <si>
    <t>ABS20MMX</t>
  </si>
  <si>
    <t>ANG27MMX</t>
  </si>
  <si>
    <t>ABS21MMC</t>
  </si>
  <si>
    <t>ABS22MMB</t>
  </si>
  <si>
    <t>ADNZ56126</t>
  </si>
  <si>
    <t>ABS07MMX</t>
  </si>
  <si>
    <t>NK10MMF</t>
  </si>
  <si>
    <t>NK39MMA</t>
  </si>
  <si>
    <t>ADN53MMI</t>
  </si>
  <si>
    <t>SVS36MMY</t>
  </si>
  <si>
    <t>ADN51MMC</t>
  </si>
  <si>
    <t>ADN64MMH</t>
  </si>
  <si>
    <t>ADN53MMH</t>
  </si>
  <si>
    <t>SGS04MMG</t>
  </si>
  <si>
    <t>SGS06MMF</t>
  </si>
  <si>
    <t>AJ58MMJ</t>
  </si>
  <si>
    <t>ADN47MMX</t>
  </si>
  <si>
    <t>SGS07MME</t>
  </si>
  <si>
    <t>SVS28MML</t>
  </si>
  <si>
    <t>SGS12MMF</t>
  </si>
  <si>
    <t>ANG24MME</t>
  </si>
  <si>
    <t>NK04MMH</t>
  </si>
  <si>
    <t>SVS12MMN</t>
  </si>
  <si>
    <t>SGS03MMO</t>
  </si>
  <si>
    <t>SVS27MMI</t>
  </si>
  <si>
    <t>RBT24MMH</t>
  </si>
  <si>
    <t>RBT19MMQ</t>
  </si>
  <si>
    <t>RBT19MMR</t>
  </si>
  <si>
    <t>RBT19MMJ</t>
  </si>
  <si>
    <t>RBT15MMJ</t>
  </si>
  <si>
    <t>RBT02MMN</t>
  </si>
  <si>
    <t>RBT15MMH</t>
  </si>
  <si>
    <t>RBT05MMQ</t>
  </si>
  <si>
    <t>RBT12MML</t>
  </si>
  <si>
    <t>RBT12MMJ</t>
  </si>
  <si>
    <t>MKH22MMO</t>
  </si>
  <si>
    <t>MKH24MMR</t>
  </si>
  <si>
    <t>MKH24MMN</t>
  </si>
  <si>
    <t>MKH38MMO</t>
  </si>
  <si>
    <t>MKH37MMH</t>
  </si>
  <si>
    <t>MKH38MML</t>
  </si>
  <si>
    <t>MKH04MMI</t>
  </si>
  <si>
    <t>MKH04MMF</t>
  </si>
  <si>
    <t>ACB06MMH</t>
  </si>
  <si>
    <t>ACB07MMC</t>
  </si>
  <si>
    <t>ACB12MME</t>
  </si>
  <si>
    <t>ACB13MMX</t>
  </si>
  <si>
    <t>SMK13MMX</t>
  </si>
  <si>
    <t>SMK18MMX</t>
  </si>
  <si>
    <t>SMK21MMK</t>
  </si>
  <si>
    <t>RBT34MMG</t>
  </si>
  <si>
    <t>ACB03MMI</t>
  </si>
  <si>
    <t>RBT05MMR</t>
  </si>
  <si>
    <t>RBT31MMX</t>
  </si>
  <si>
    <t>ACB01MMB</t>
  </si>
  <si>
    <t>MKH55MMF</t>
  </si>
  <si>
    <t>SMK23MMH</t>
  </si>
  <si>
    <t>ACB01MME</t>
  </si>
  <si>
    <t>MKH44MMQ</t>
  </si>
  <si>
    <t>MKH55MMG</t>
  </si>
  <si>
    <t>SMK04MMF</t>
  </si>
  <si>
    <t>SMK17MMB</t>
  </si>
  <si>
    <t>AMY13MMC</t>
  </si>
  <si>
    <t>AMY14MMC</t>
  </si>
  <si>
    <t>AMY14MME</t>
  </si>
  <si>
    <t>AMY10MMG</t>
  </si>
  <si>
    <t>AMY15MMZ</t>
  </si>
  <si>
    <t>SSH42MMH</t>
  </si>
  <si>
    <t>SSH27MMO</t>
  </si>
  <si>
    <t>LPV01MMP</t>
  </si>
  <si>
    <t>LPV04MMI</t>
  </si>
  <si>
    <t>LPV06MME</t>
  </si>
  <si>
    <t>LPV07MMD</t>
  </si>
  <si>
    <t>LPV16MMX</t>
  </si>
  <si>
    <t>LPV16MMY</t>
  </si>
  <si>
    <t>MUF02MMH</t>
  </si>
  <si>
    <t>RMZ57MMF</t>
  </si>
  <si>
    <t>RMZ59MMI</t>
  </si>
  <si>
    <t>MUF01MMH</t>
  </si>
  <si>
    <t>MUF07MMF</t>
  </si>
  <si>
    <t>MUF01MMZ</t>
  </si>
  <si>
    <t>HDN53MML</t>
  </si>
  <si>
    <t>HDN44MMX</t>
  </si>
  <si>
    <t>HDN47MMX</t>
  </si>
  <si>
    <t>HDN49MMJ</t>
  </si>
  <si>
    <t>NVL20MMX</t>
  </si>
  <si>
    <t>NVL30MMA</t>
  </si>
  <si>
    <t>NVL38MMY</t>
  </si>
  <si>
    <t>NVL12MMN</t>
  </si>
  <si>
    <t>NVL35MMJ</t>
  </si>
  <si>
    <t>DRN06MMF</t>
  </si>
  <si>
    <t>DRN08MMZ</t>
  </si>
  <si>
    <t>DRN01MMQ</t>
  </si>
  <si>
    <t>DRN07MMY</t>
  </si>
  <si>
    <t>SK01GMCFEST26</t>
  </si>
  <si>
    <t>SKZ57226</t>
  </si>
  <si>
    <t>SKZ56526</t>
  </si>
  <si>
    <t>SKZ56626</t>
  </si>
  <si>
    <t>SHN18MMY</t>
  </si>
  <si>
    <t>SK70MMY</t>
  </si>
  <si>
    <t>SK69MMB</t>
  </si>
  <si>
    <t>SK67MML</t>
  </si>
  <si>
    <t>SHN15MMH</t>
  </si>
  <si>
    <t>SHN20MMX</t>
  </si>
  <si>
    <t>SHN19MMY</t>
  </si>
  <si>
    <t>STR01NEXUS26</t>
  </si>
  <si>
    <t>STR76MMX</t>
  </si>
  <si>
    <t>STR47MMB</t>
  </si>
  <si>
    <t>STR43MME</t>
  </si>
  <si>
    <t>STR56MMZ</t>
  </si>
  <si>
    <t>STR01UDBHAVA26</t>
  </si>
  <si>
    <t>STR33MMXZ</t>
  </si>
  <si>
    <t>HDN52MMC</t>
  </si>
  <si>
    <t>STR01ELIXIR26</t>
  </si>
  <si>
    <t>SHN11MMS</t>
  </si>
  <si>
    <t>DRN08MMY</t>
  </si>
  <si>
    <t>DRN02FCK</t>
  </si>
  <si>
    <t>SK69MME</t>
  </si>
  <si>
    <t>HDN21MML</t>
  </si>
  <si>
    <t>HDN21FCL</t>
  </si>
  <si>
    <t>SHN16MMY</t>
  </si>
  <si>
    <t>NVL12MMI</t>
  </si>
  <si>
    <t>MSS15MMG</t>
  </si>
  <si>
    <t>ABB16MMX</t>
  </si>
  <si>
    <t>ABB06MMC</t>
  </si>
  <si>
    <t>SRNZ43226</t>
  </si>
  <si>
    <t>SRN27MMG</t>
  </si>
  <si>
    <t>SRN29FCI</t>
  </si>
  <si>
    <t>SRN33MMB</t>
  </si>
  <si>
    <t>ABB13MME</t>
  </si>
  <si>
    <t>SRN34MMD</t>
  </si>
  <si>
    <t>MSS01MMS</t>
  </si>
  <si>
    <t>MSS07MMI</t>
  </si>
  <si>
    <t>MSS01MMT</t>
  </si>
  <si>
    <t>MSS15MME</t>
  </si>
  <si>
    <t>MSS16MMX</t>
  </si>
  <si>
    <t>MSS05MMD</t>
  </si>
  <si>
    <t>MSS02MME</t>
  </si>
  <si>
    <t>SRN30MMZ</t>
  </si>
  <si>
    <t>MSS13MMB</t>
  </si>
  <si>
    <t>MSS04MML</t>
  </si>
  <si>
    <t>SRN36MMB</t>
  </si>
  <si>
    <t>SNG20MMF</t>
  </si>
  <si>
    <t>NMR36MMZ</t>
  </si>
  <si>
    <t>NMR37MMX</t>
  </si>
  <si>
    <t>JGB06MMG</t>
  </si>
  <si>
    <t>JGB06MMK</t>
  </si>
  <si>
    <t>JGB02MMZ</t>
  </si>
  <si>
    <t>JGB09MMI</t>
  </si>
  <si>
    <t>JGB11MMH</t>
  </si>
  <si>
    <t>SOS22MMX</t>
  </si>
  <si>
    <t>RSH01MMJ</t>
  </si>
  <si>
    <t>SOS22MMA</t>
  </si>
  <si>
    <t>ZFR10MMZ</t>
  </si>
  <si>
    <t>NMR38MMA</t>
  </si>
  <si>
    <t>NMR39MMC</t>
  </si>
  <si>
    <t>ZFR07MMG</t>
  </si>
  <si>
    <t>ZFR09MMA</t>
  </si>
  <si>
    <t>NMR35MMI</t>
  </si>
  <si>
    <t>NMR08MMQ</t>
  </si>
  <si>
    <t>ZFR02MMX</t>
  </si>
  <si>
    <t>NMR08MMR</t>
  </si>
  <si>
    <t>ZFR05MMD</t>
  </si>
  <si>
    <t>SOS17MMK</t>
  </si>
  <si>
    <t>ZFR08MMD</t>
  </si>
  <si>
    <t>SOS16MMH</t>
  </si>
  <si>
    <t>SOS16MMI</t>
  </si>
  <si>
    <t>RSH03MMF</t>
  </si>
  <si>
    <t>JGB09MMG</t>
  </si>
  <si>
    <t>SOS05MMH</t>
  </si>
  <si>
    <t>NMR38MMZ</t>
  </si>
  <si>
    <t>SNG20MMJ</t>
  </si>
  <si>
    <t>SOS09MMH</t>
  </si>
  <si>
    <t>JGB12MMH</t>
  </si>
  <si>
    <t>NMR28MMH</t>
  </si>
  <si>
    <t>RSH05MMH</t>
  </si>
  <si>
    <t>SNG20MMK</t>
  </si>
  <si>
    <t>MNVZ40726</t>
  </si>
  <si>
    <t>AUN04MMK</t>
  </si>
  <si>
    <t>MNV03MMG</t>
  </si>
  <si>
    <t>USH01MMK</t>
  </si>
  <si>
    <t>USH01PYREXIA26</t>
  </si>
  <si>
    <t>USH06MMA</t>
  </si>
  <si>
    <t>USH13MMG</t>
  </si>
  <si>
    <t>SA01CELESTRA26</t>
  </si>
  <si>
    <t>SA01CME26</t>
  </si>
  <si>
    <t>MNV02MMQ</t>
  </si>
  <si>
    <t>MNV02MMP</t>
  </si>
  <si>
    <t>SA155MMG</t>
  </si>
  <si>
    <t>MNV04MMZ</t>
  </si>
  <si>
    <t>SA149MMI</t>
  </si>
  <si>
    <t>ALS03MMG</t>
  </si>
  <si>
    <t>ALS06MMJ</t>
  </si>
  <si>
    <t>ALS08MME</t>
  </si>
  <si>
    <t>ALS09MMI</t>
  </si>
  <si>
    <t>ALS04MMX</t>
  </si>
  <si>
    <t>AUN13MMI</t>
  </si>
  <si>
    <t>AUN06MME</t>
  </si>
  <si>
    <t>VN73MMI</t>
  </si>
  <si>
    <t>VN65MML</t>
  </si>
  <si>
    <t>VN73MMJ</t>
  </si>
  <si>
    <t>VN65MMM</t>
  </si>
  <si>
    <t>VN69MMX</t>
  </si>
  <si>
    <t>VN69FCX</t>
  </si>
  <si>
    <t>VN70MMH</t>
  </si>
  <si>
    <t>ADS01SLIPNSIP26</t>
  </si>
  <si>
    <t>ADS02MMH</t>
  </si>
  <si>
    <t>ADS05MMI</t>
  </si>
  <si>
    <t>ADS03MMG</t>
  </si>
  <si>
    <t>ADS07MME</t>
  </si>
  <si>
    <t>MNV05MMJ</t>
  </si>
  <si>
    <t>USH07MML</t>
  </si>
  <si>
    <t>SA145MMZ</t>
  </si>
  <si>
    <t>SA147MMX</t>
  </si>
  <si>
    <t>SA157MME</t>
  </si>
  <si>
    <t>VN74MMI</t>
  </si>
  <si>
    <t>SNS03MMX</t>
  </si>
  <si>
    <t>SNS04MMG</t>
  </si>
  <si>
    <t>SNS01MMD</t>
  </si>
  <si>
    <t>SNS02MMD</t>
  </si>
  <si>
    <t>SNS07MMG</t>
  </si>
  <si>
    <t>SNS08MMX</t>
  </si>
  <si>
    <t>PND54MMI</t>
  </si>
  <si>
    <t>PND54MML</t>
  </si>
  <si>
    <t>PND56MMM</t>
  </si>
  <si>
    <t>PND58MMF</t>
  </si>
  <si>
    <t>AMD47MMP</t>
  </si>
  <si>
    <t>AMD30MMO</t>
  </si>
  <si>
    <t>AMD42MMO</t>
  </si>
  <si>
    <t>AMD41MMD</t>
  </si>
  <si>
    <t>AMD52MMC</t>
  </si>
  <si>
    <t>AMD44MMI</t>
  </si>
  <si>
    <t>SNS10MMI</t>
  </si>
  <si>
    <t>ZMB05MMJ</t>
  </si>
  <si>
    <t>ZMB07MME</t>
  </si>
  <si>
    <t>ZMB07FCE</t>
  </si>
  <si>
    <t>ZMB02MMB</t>
  </si>
  <si>
    <t>ZMB01MMC</t>
  </si>
  <si>
    <t>ZMBZ11126</t>
  </si>
  <si>
    <t>ZMB15MMD</t>
  </si>
  <si>
    <t>SQB09MMF</t>
  </si>
  <si>
    <t>SQB03MMK</t>
  </si>
  <si>
    <t>SQB14MMF</t>
  </si>
  <si>
    <t>SQB14MME</t>
  </si>
  <si>
    <t>ZMB03MMA</t>
  </si>
  <si>
    <t>ZMB06MME</t>
  </si>
  <si>
    <t>AMD36MMG</t>
  </si>
  <si>
    <t>SQB15MMX</t>
  </si>
  <si>
    <t>SQB04MMG</t>
  </si>
  <si>
    <t>SQB05MMI</t>
  </si>
  <si>
    <t>SQB07MMI</t>
  </si>
  <si>
    <t>SQB01MMJ</t>
  </si>
  <si>
    <t>SQBZ11226</t>
  </si>
  <si>
    <t>ZMB06MMF</t>
  </si>
  <si>
    <t>SNS05MMH</t>
  </si>
  <si>
    <t>ZMB08MMK</t>
  </si>
  <si>
    <t>AMD42MMK</t>
  </si>
  <si>
    <t>PND55MMN</t>
  </si>
  <si>
    <t>PND54MMO</t>
  </si>
  <si>
    <t>ZMB12MMY</t>
  </si>
  <si>
    <t>PND52MMG</t>
  </si>
  <si>
    <t>ILPFMAG26</t>
  </si>
  <si>
    <t>ASMFMAG26</t>
  </si>
  <si>
    <t>PRJFMAG26</t>
  </si>
  <si>
    <t>RRSFMAG26</t>
  </si>
  <si>
    <t>ASMT12MM7226</t>
  </si>
  <si>
    <t>URVFMAG26</t>
  </si>
  <si>
    <t>RKRFMAG26</t>
  </si>
  <si>
    <t>CTRFMAG26</t>
  </si>
  <si>
    <t>RRST2MM14824</t>
  </si>
  <si>
    <t>RRST2MM22525</t>
  </si>
  <si>
    <t>PRJT1MM18926</t>
  </si>
  <si>
    <t>PRJT1MM18726</t>
  </si>
  <si>
    <t>PRJT1MM19126</t>
  </si>
  <si>
    <t>PRJT1MM9124</t>
  </si>
  <si>
    <t>PRJT1FC18826</t>
  </si>
  <si>
    <t>PRJT1MM18826</t>
  </si>
  <si>
    <t>PRJT1MM8624</t>
  </si>
  <si>
    <t>ILPT9MM4826</t>
  </si>
  <si>
    <t>ILPT9MM5726</t>
  </si>
  <si>
    <t>ASMT12MM3226</t>
  </si>
  <si>
    <t>URVT11MM2125</t>
  </si>
  <si>
    <t>URVT11MM6325</t>
  </si>
  <si>
    <t>RKRT13MM2726</t>
  </si>
  <si>
    <t>RKRT13FC2726</t>
  </si>
  <si>
    <t>RKRT13MM0626</t>
  </si>
  <si>
    <t>RKRT13FC0626</t>
  </si>
  <si>
    <t>RKRT13FC2226</t>
  </si>
  <si>
    <t>RKRT13MM2226</t>
  </si>
  <si>
    <t>PRJT1MM18626</t>
  </si>
  <si>
    <t>PRJT1FC18626</t>
  </si>
  <si>
    <t>PRJT1MM11825</t>
  </si>
  <si>
    <t>ASMT12MM7626</t>
  </si>
  <si>
    <t>CTRT10MM2025</t>
  </si>
  <si>
    <t>ASMT12MM7726</t>
  </si>
  <si>
    <t>ASMT12FC2126</t>
  </si>
  <si>
    <t>ASMT12MM2126</t>
  </si>
  <si>
    <t>PRJT1MM19226</t>
  </si>
  <si>
    <t>RRST2FC9524</t>
  </si>
  <si>
    <t>RRST2MM9524</t>
  </si>
  <si>
    <t>RKRT13FC2326</t>
  </si>
  <si>
    <t>RKRT13MM2326</t>
  </si>
  <si>
    <t>RRST2MM11524</t>
  </si>
  <si>
    <t>PRJT1MM6724</t>
  </si>
  <si>
    <t>PRJT1MM19026</t>
  </si>
  <si>
    <t>RKRT13MM2626</t>
  </si>
  <si>
    <t>RKRT13FC2626</t>
  </si>
  <si>
    <t>Jul26 ProRata Incentive</t>
  </si>
  <si>
    <t>Aug26 ProRata Incentive</t>
  </si>
  <si>
    <t>Sep26 ProRata Incentive</t>
  </si>
  <si>
    <t>Annual Target 26-27 (AMJ Achievement+July to March)</t>
  </si>
  <si>
    <t>Z2-Biswadip</t>
  </si>
  <si>
    <t>R6-Vinod</t>
  </si>
  <si>
    <t>Z3-Rajat</t>
  </si>
  <si>
    <t>Z4-Akshay</t>
  </si>
  <si>
    <t>Z1-Divyansh</t>
  </si>
  <si>
    <t>R12-Sufian Shareeq</t>
  </si>
  <si>
    <t>9 Months Base</t>
  </si>
  <si>
    <t>9 Months Revenue</t>
  </si>
  <si>
    <t>AMJ achivement</t>
  </si>
  <si>
    <t>Annual Revenue Target</t>
  </si>
  <si>
    <t>Sufian Shareeq</t>
  </si>
  <si>
    <t>JAS Base</t>
  </si>
  <si>
    <t>OND Base</t>
  </si>
  <si>
    <t>JFM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</si>
</sst>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 * #,##0.00_ ;_ * \-#,##0.00_ ;_ * &quot;-&quot;??_ ;_ @_ "/>
    <numFmt numFmtId="165" formatCode="mmmm\ yyyy"/>
    <numFmt numFmtId="166" formatCode="_ * #,##0_ ;_ * \-#,##0_ ;_ * &quot;-&quot;??_ ;_ @_ "/>
    <numFmt numFmtId="167" formatCode="0.0%"/>
  </numFmts>
  <fonts count="37" x14ac:knownFonts="1">
    <font>
      <sz val="10"/>
      <color rgb="FF000000"/>
      <name val="Arial"/>
    </font>
    <font>
      <sz val="11"/>
      <color theme="1"/>
      <name val="Arial"/>
      <family val="2"/>
      <scheme val="minor"/>
    </font>
    <font>
      <sz val="11"/>
      <color theme="1"/>
      <name val="Arial"/>
      <family val="2"/>
      <scheme val="minor"/>
    </font>
    <font>
      <sz val="11"/>
      <color theme="1"/>
      <name val="Arial"/>
      <family val="2"/>
      <scheme val="minor"/>
    </font>
    <font>
      <sz val="10"/>
      <color rgb="FF000000"/>
      <name val="Arial"/>
      <family val="2"/>
    </font>
    <font>
      <sz val="10"/>
      <color rgb="FF000000"/>
      <name val="Arial"/>
      <family val="2"/>
    </font>
    <font>
      <sz val="11"/>
      <color theme="1"/>
      <name val="Arial"/>
      <family val="2"/>
    </font>
    <font>
      <u/>
      <sz val="10"/>
      <color theme="10"/>
      <name val="Arial"/>
      <family val="2"/>
    </font>
    <font>
      <sz val="10"/>
      <color rgb="FF000000"/>
      <name val="Arial"/>
      <family val="2"/>
    </font>
    <font>
      <sz val="10"/>
      <color rgb="FF000000"/>
      <name val="Arial"/>
      <family val="2"/>
      <scheme val="minor"/>
    </font>
    <font>
      <sz val="11"/>
      <color theme="1"/>
      <name val="Arial"/>
      <family val="2"/>
      <scheme val="minor"/>
    </font>
    <font>
      <b/>
      <sz val="10"/>
      <color theme="1"/>
      <name val="Calibri"/>
      <family val="2"/>
    </font>
    <font>
      <b/>
      <sz val="10"/>
      <color rgb="FF000000"/>
      <name val="Calibri"/>
      <family val="2"/>
    </font>
    <font>
      <sz val="10"/>
      <color rgb="FF000000"/>
      <name val="Calibri"/>
      <family val="2"/>
    </font>
    <font>
      <sz val="10"/>
      <color theme="1"/>
      <name val="Calibri"/>
      <family val="2"/>
    </font>
    <font>
      <sz val="10"/>
      <name val="Calibri"/>
      <family val="2"/>
    </font>
    <font>
      <b/>
      <sz val="10"/>
      <color rgb="FFFFFFFF"/>
      <name val="Calibri"/>
      <family val="2"/>
    </font>
    <font>
      <u/>
      <sz val="10"/>
      <color theme="10"/>
      <name val="Calibri"/>
      <family val="2"/>
    </font>
    <font>
      <b/>
      <u/>
      <sz val="10"/>
      <color rgb="FFFFFFFF"/>
      <name val="Calibri"/>
      <family val="2"/>
    </font>
    <font>
      <sz val="10"/>
      <color rgb="FFFFFFFF"/>
      <name val="Calibri"/>
      <family val="2"/>
    </font>
    <font>
      <b/>
      <sz val="10"/>
      <name val="Calibri"/>
      <family val="2"/>
    </font>
    <font>
      <b/>
      <sz val="10"/>
      <color theme="2"/>
      <name val="Calibri"/>
      <family val="2"/>
    </font>
    <font>
      <sz val="8"/>
      <name val="Arial"/>
      <family val="2"/>
    </font>
    <font>
      <b/>
      <sz val="10"/>
      <color theme="0"/>
      <name val="Calibri"/>
      <family val="2"/>
    </font>
    <font>
      <sz val="10"/>
      <color theme="0"/>
      <name val="Calibri"/>
      <family val="2"/>
    </font>
    <font>
      <sz val="10"/>
      <color theme="1"/>
      <name val="Arial"/>
      <family val="2"/>
    </font>
    <font>
      <sz val="10"/>
      <color theme="1"/>
      <name val="Arial"/>
      <family val="2"/>
      <scheme val="minor"/>
    </font>
    <font>
      <b/>
      <u/>
      <sz val="14"/>
      <color theme="1"/>
      <name val="Calibri"/>
      <family val="2"/>
    </font>
    <font>
      <b/>
      <sz val="10"/>
      <color theme="1"/>
      <name val="Arial"/>
      <family val="2"/>
    </font>
    <font>
      <sz val="10"/>
      <name val="Arial"/>
      <family val="2"/>
    </font>
    <font>
      <b/>
      <i/>
      <sz val="10"/>
      <color theme="1"/>
      <name val="Calibri"/>
      <family val="2"/>
    </font>
    <font>
      <b/>
      <i/>
      <sz val="10"/>
      <color theme="1"/>
      <name val="Arial"/>
      <family val="2"/>
    </font>
    <font>
      <b/>
      <sz val="11"/>
      <color theme="1"/>
      <name val="Arial"/>
      <family val="2"/>
    </font>
    <font>
      <sz val="10"/>
      <color theme="0"/>
      <name val="Arial"/>
      <family val="2"/>
      <scheme val="minor"/>
    </font>
    <font>
      <b/>
      <sz val="11"/>
      <color theme="1"/>
      <name val="Calibri"/>
      <family val="2"/>
    </font>
    <font>
      <b/>
      <sz val="10"/>
      <color rgb="FF000000"/>
      <name val="Arial"/>
      <family val="2"/>
    </font>
    <font>
      <sz val="10"/>
      <color rgb="FF222222"/>
      <name val="Calibri"/>
      <family val="2"/>
    </font>
  </fonts>
  <fills count="32">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rgb="FF999999"/>
        <bgColor rgb="FF999999"/>
      </patternFill>
    </fill>
    <fill>
      <patternFill patternType="solid">
        <fgColor rgb="FF000000"/>
        <bgColor rgb="FF000000"/>
      </patternFill>
    </fill>
    <fill>
      <patternFill patternType="solid">
        <fgColor rgb="FFCFE2F3"/>
        <bgColor rgb="FFCFE2F3"/>
      </patternFill>
    </fill>
    <fill>
      <patternFill patternType="solid">
        <fgColor rgb="FF0C343D"/>
        <bgColor rgb="FF0C343D"/>
      </patternFill>
    </fill>
    <fill>
      <patternFill patternType="solid">
        <fgColor rgb="FF76A5AF"/>
        <bgColor rgb="FF76A5AF"/>
      </patternFill>
    </fill>
    <fill>
      <patternFill patternType="solid">
        <fgColor rgb="FFA4C2F4"/>
        <bgColor rgb="FFA4C2F4"/>
      </patternFill>
    </fill>
    <fill>
      <patternFill patternType="solid">
        <fgColor rgb="FFD9D2E9"/>
        <bgColor rgb="FFD9D2E9"/>
      </patternFill>
    </fill>
    <fill>
      <patternFill patternType="solid">
        <fgColor rgb="FFD9EAD3"/>
        <bgColor rgb="FFD9EAD3"/>
      </patternFill>
    </fill>
    <fill>
      <patternFill patternType="solid">
        <fgColor theme="3"/>
        <bgColor indexed="64"/>
      </patternFill>
    </fill>
    <fill>
      <patternFill patternType="solid">
        <fgColor theme="4" tint="0.79998168889431442"/>
        <bgColor theme="4" tint="0.79998168889431442"/>
      </patternFill>
    </fill>
    <fill>
      <patternFill patternType="solid">
        <fgColor rgb="FFFFD966"/>
        <bgColor rgb="FFFFD966"/>
      </patternFill>
    </fill>
    <fill>
      <patternFill patternType="solid">
        <fgColor theme="0"/>
        <bgColor indexed="64"/>
      </patternFill>
    </fill>
    <fill>
      <patternFill patternType="solid">
        <fgColor rgb="FFFFFF00"/>
        <bgColor indexed="64"/>
      </patternFill>
    </fill>
    <fill>
      <patternFill patternType="solid">
        <fgColor theme="4" tint="-0.499984740745262"/>
        <bgColor rgb="FF999999"/>
      </patternFill>
    </fill>
    <fill>
      <patternFill patternType="solid">
        <fgColor theme="4" tint="-0.499984740745262"/>
        <bgColor rgb="FF073763"/>
      </patternFill>
    </fill>
    <fill>
      <patternFill patternType="solid">
        <fgColor theme="4" tint="-0.499984740745262"/>
        <bgColor indexed="64"/>
      </patternFill>
    </fill>
    <fill>
      <patternFill patternType="solid">
        <fgColor theme="0"/>
        <bgColor rgb="FFCFE2F3"/>
      </patternFill>
    </fill>
    <fill>
      <patternFill patternType="solid">
        <fgColor theme="4" tint="-0.249977111117893"/>
        <bgColor rgb="FFCCCCCC"/>
      </patternFill>
    </fill>
    <fill>
      <patternFill patternType="solid">
        <fgColor theme="4" tint="-0.249977111117893"/>
        <bgColor indexed="64"/>
      </patternFill>
    </fill>
    <fill>
      <patternFill patternType="solid">
        <fgColor theme="4" tint="0.39997558519241921"/>
        <bgColor rgb="FF000000"/>
      </patternFill>
    </fill>
    <fill>
      <patternFill patternType="solid">
        <fgColor theme="4" tint="0.79998168889431442"/>
        <bgColor rgb="FFF3F3F3"/>
      </patternFill>
    </fill>
    <fill>
      <patternFill patternType="solid">
        <fgColor theme="4" tint="0.79998168889431442"/>
        <bgColor rgb="FFFFFFFF"/>
      </patternFill>
    </fill>
    <fill>
      <patternFill patternType="solid">
        <fgColor rgb="FFD9D9D9"/>
        <bgColor rgb="FFD9D9D9"/>
      </patternFill>
    </fill>
    <fill>
      <patternFill patternType="solid">
        <fgColor rgb="FFC9DAF8"/>
        <bgColor rgb="FFC9DAF8"/>
      </patternFill>
    </fill>
    <fill>
      <patternFill patternType="solid">
        <fgColor rgb="FF6FA8DC"/>
        <bgColor rgb="FF6FA8DC"/>
      </patternFill>
    </fill>
    <fill>
      <patternFill patternType="solid">
        <fgColor rgb="FFFFFF00"/>
        <bgColor rgb="FFF3F3F3"/>
      </patternFill>
    </fill>
    <fill>
      <patternFill patternType="solid">
        <fgColor rgb="FFFFFF00"/>
        <bgColor rgb="FFFFFFFF"/>
      </patternFill>
    </fill>
    <fill>
      <patternFill patternType="solid">
        <fgColor rgb="FFEAD1DC"/>
        <bgColor rgb="FFEAD1DC"/>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indexed="64"/>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double">
        <color rgb="FF000000"/>
      </left>
      <right/>
      <top style="double">
        <color rgb="FF000000"/>
      </top>
      <bottom style="thin">
        <color rgb="FF000000"/>
      </bottom>
      <diagonal/>
    </border>
    <border>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double">
        <color rgb="FF000000"/>
      </right>
      <top style="thin">
        <color rgb="FF000000"/>
      </top>
      <bottom style="double">
        <color rgb="FF000000"/>
      </bottom>
      <diagonal/>
    </border>
  </borders>
  <cellStyleXfs count="16">
    <xf numFmtId="0" fontId="0" fillId="0" borderId="0"/>
    <xf numFmtId="0" fontId="4" fillId="0" borderId="0"/>
    <xf numFmtId="164" fontId="5" fillId="0" borderId="0" applyFont="0" applyFill="0" applyBorder="0" applyAlignment="0" applyProtection="0"/>
    <xf numFmtId="0" fontId="6" fillId="0" borderId="0"/>
    <xf numFmtId="164" fontId="6" fillId="0" borderId="0" applyFont="0" applyFill="0" applyBorder="0" applyAlignment="0" applyProtection="0"/>
    <xf numFmtId="0" fontId="7" fillId="0" borderId="0" applyNumberFormat="0" applyFill="0" applyBorder="0" applyAlignment="0" applyProtection="0"/>
    <xf numFmtId="9" fontId="8" fillId="0" borderId="0" applyFont="0" applyFill="0" applyBorder="0" applyAlignment="0" applyProtection="0"/>
    <xf numFmtId="0" fontId="6" fillId="0" borderId="0"/>
    <xf numFmtId="0" fontId="10" fillId="0" borderId="0"/>
    <xf numFmtId="0" fontId="4" fillId="0" borderId="0"/>
    <xf numFmtId="0" fontId="3" fillId="0" borderId="0"/>
    <xf numFmtId="0" fontId="2" fillId="0" borderId="0"/>
    <xf numFmtId="0" fontId="1" fillId="0" borderId="0"/>
    <xf numFmtId="0" fontId="9" fillId="0" borderId="0"/>
    <xf numFmtId="164" fontId="4" fillId="0" borderId="0" applyFont="0" applyFill="0" applyBorder="0" applyAlignment="0" applyProtection="0"/>
    <xf numFmtId="9" fontId="4" fillId="0" borderId="0" applyFont="0" applyFill="0" applyBorder="0" applyAlignment="0" applyProtection="0"/>
  </cellStyleXfs>
  <cellXfs count="444">
    <xf numFmtId="0" fontId="0" fillId="0" borderId="0" xfId="0"/>
    <xf numFmtId="0" fontId="11" fillId="0" borderId="13" xfId="0" applyFont="1" applyBorder="1"/>
    <xf numFmtId="0" fontId="12" fillId="0" borderId="0" xfId="0" applyFont="1"/>
    <xf numFmtId="0" fontId="13" fillId="0" borderId="0" xfId="0" applyFont="1"/>
    <xf numFmtId="0" fontId="11" fillId="2" borderId="0" xfId="0" applyFont="1" applyFill="1" applyAlignment="1">
      <alignment horizontal="center"/>
    </xf>
    <xf numFmtId="0" fontId="11" fillId="2" borderId="0" xfId="0" applyFont="1" applyFill="1" applyAlignment="1">
      <alignment horizontal="center" vertical="top"/>
    </xf>
    <xf numFmtId="0" fontId="11" fillId="0" borderId="0" xfId="0" applyFont="1" applyAlignment="1">
      <alignment horizontal="center" vertical="top"/>
    </xf>
    <xf numFmtId="0" fontId="14" fillId="2" borderId="0" xfId="0" applyFont="1" applyFill="1"/>
    <xf numFmtId="9" fontId="11" fillId="2" borderId="0" xfId="6" applyFont="1" applyFill="1" applyAlignment="1">
      <alignment horizontal="center" vertical="top"/>
    </xf>
    <xf numFmtId="10" fontId="11" fillId="2" borderId="0" xfId="0" applyNumberFormat="1" applyFont="1" applyFill="1" applyAlignment="1">
      <alignment horizontal="center" vertical="top"/>
    </xf>
    <xf numFmtId="0" fontId="11" fillId="6" borderId="1" xfId="0" applyFont="1" applyFill="1" applyBorder="1"/>
    <xf numFmtId="3" fontId="14" fillId="0" borderId="0" xfId="0" applyNumberFormat="1" applyFont="1"/>
    <xf numFmtId="3" fontId="11" fillId="6" borderId="13" xfId="0" applyNumberFormat="1" applyFont="1" applyFill="1" applyBorder="1"/>
    <xf numFmtId="0" fontId="11" fillId="6" borderId="13" xfId="0" applyFont="1" applyFill="1" applyBorder="1"/>
    <xf numFmtId="3" fontId="14" fillId="6" borderId="13" xfId="0" applyNumberFormat="1" applyFont="1" applyFill="1" applyBorder="1"/>
    <xf numFmtId="0" fontId="11" fillId="6" borderId="2" xfId="0" applyFont="1" applyFill="1" applyBorder="1"/>
    <xf numFmtId="0" fontId="11" fillId="6" borderId="3" xfId="0" applyFont="1" applyFill="1" applyBorder="1"/>
    <xf numFmtId="10" fontId="14" fillId="0" borderId="0" xfId="0" applyNumberFormat="1" applyFont="1"/>
    <xf numFmtId="0" fontId="11" fillId="0" borderId="13" xfId="9" applyFont="1" applyBorder="1"/>
    <xf numFmtId="0" fontId="11" fillId="0" borderId="13" xfId="1" applyFont="1" applyBorder="1"/>
    <xf numFmtId="0" fontId="13" fillId="0" borderId="13" xfId="0" applyFont="1" applyBorder="1"/>
    <xf numFmtId="0" fontId="17" fillId="0" borderId="13" xfId="5" applyFont="1" applyBorder="1"/>
    <xf numFmtId="0" fontId="12" fillId="0" borderId="13" xfId="0" applyFont="1" applyBorder="1"/>
    <xf numFmtId="0" fontId="13" fillId="0" borderId="13" xfId="0" applyFont="1" applyBorder="1" applyAlignment="1">
      <alignment wrapText="1"/>
    </xf>
    <xf numFmtId="0" fontId="12" fillId="0" borderId="0" xfId="0" applyFont="1" applyAlignment="1">
      <alignment wrapText="1"/>
    </xf>
    <xf numFmtId="0" fontId="12" fillId="0" borderId="0" xfId="1" applyFont="1" applyAlignment="1">
      <alignment horizontal="left" wrapText="1"/>
    </xf>
    <xf numFmtId="0" fontId="13" fillId="0" borderId="0" xfId="0" applyFont="1" applyAlignment="1">
      <alignment wrapText="1"/>
    </xf>
    <xf numFmtId="0" fontId="13" fillId="0" borderId="0" xfId="0" applyFont="1" applyAlignment="1">
      <alignment horizontal="left" wrapText="1"/>
    </xf>
    <xf numFmtId="3" fontId="12" fillId="0" borderId="0" xfId="1" applyNumberFormat="1" applyFont="1" applyAlignment="1">
      <alignment horizontal="left" wrapText="1"/>
    </xf>
    <xf numFmtId="0" fontId="13" fillId="0" borderId="0" xfId="13" applyFont="1"/>
    <xf numFmtId="0" fontId="11" fillId="0" borderId="0" xfId="13" applyFont="1" applyAlignment="1">
      <alignment horizontal="center"/>
    </xf>
    <xf numFmtId="0" fontId="13" fillId="2" borderId="0" xfId="1" applyFont="1" applyFill="1" applyAlignment="1">
      <alignment horizontal="center" vertical="center"/>
    </xf>
    <xf numFmtId="0" fontId="13" fillId="0" borderId="0" xfId="1" applyFont="1" applyAlignment="1">
      <alignment horizontal="center" vertical="center"/>
    </xf>
    <xf numFmtId="3" fontId="12" fillId="2" borderId="0" xfId="1" applyNumberFormat="1" applyFont="1" applyFill="1" applyAlignment="1">
      <alignment horizontal="center" vertical="center"/>
    </xf>
    <xf numFmtId="3" fontId="13" fillId="0" borderId="0" xfId="1" applyNumberFormat="1" applyFont="1" applyAlignment="1">
      <alignment horizontal="center" vertical="center"/>
    </xf>
    <xf numFmtId="3" fontId="13" fillId="2" borderId="0" xfId="1" applyNumberFormat="1" applyFont="1" applyFill="1" applyAlignment="1">
      <alignment horizontal="center" vertical="center"/>
    </xf>
    <xf numFmtId="10" fontId="13" fillId="2" borderId="0" xfId="1" applyNumberFormat="1" applyFont="1" applyFill="1" applyAlignment="1">
      <alignment horizontal="center" vertical="center"/>
    </xf>
    <xf numFmtId="0" fontId="13" fillId="0" borderId="0" xfId="1" applyFont="1"/>
    <xf numFmtId="0" fontId="12" fillId="3" borderId="5" xfId="1" applyFont="1" applyFill="1" applyBorder="1" applyAlignment="1">
      <alignment horizontal="center" vertical="center" wrapText="1"/>
    </xf>
    <xf numFmtId="1" fontId="13" fillId="0" borderId="5" xfId="1" applyNumberFormat="1" applyFont="1" applyBorder="1" applyAlignment="1">
      <alignment horizontal="center" vertical="center"/>
    </xf>
    <xf numFmtId="10" fontId="13" fillId="0" borderId="5" xfId="1" applyNumberFormat="1" applyFont="1" applyBorder="1" applyAlignment="1">
      <alignment horizontal="center" vertical="center"/>
    </xf>
    <xf numFmtId="3" fontId="13" fillId="0" borderId="5" xfId="1" applyNumberFormat="1" applyFont="1" applyBorder="1" applyAlignment="1">
      <alignment horizontal="center" vertical="center"/>
    </xf>
    <xf numFmtId="0" fontId="12" fillId="0" borderId="13" xfId="1" applyFont="1" applyBorder="1" applyAlignment="1">
      <alignment horizontal="left" vertical="center"/>
    </xf>
    <xf numFmtId="0" fontId="12" fillId="4" borderId="13" xfId="1" applyFont="1" applyFill="1" applyBorder="1" applyAlignment="1">
      <alignment horizontal="center" vertical="center"/>
    </xf>
    <xf numFmtId="1" fontId="12" fillId="4" borderId="3" xfId="1" applyNumberFormat="1" applyFont="1" applyFill="1" applyBorder="1" applyAlignment="1">
      <alignment horizontal="center" vertical="center"/>
    </xf>
    <xf numFmtId="10" fontId="12" fillId="4" borderId="5" xfId="1" applyNumberFormat="1" applyFont="1" applyFill="1" applyBorder="1" applyAlignment="1">
      <alignment horizontal="center" vertical="center"/>
    </xf>
    <xf numFmtId="0" fontId="12" fillId="4" borderId="5" xfId="1" applyFont="1" applyFill="1" applyBorder="1" applyAlignment="1">
      <alignment horizontal="center" vertical="center"/>
    </xf>
    <xf numFmtId="1" fontId="13" fillId="0" borderId="3" xfId="1" applyNumberFormat="1" applyFont="1" applyBorder="1" applyAlignment="1">
      <alignment horizontal="center" vertical="center"/>
    </xf>
    <xf numFmtId="0" fontId="13" fillId="0" borderId="5" xfId="1" applyFont="1" applyBorder="1" applyAlignment="1">
      <alignment horizontal="center" vertical="center"/>
    </xf>
    <xf numFmtId="3" fontId="14" fillId="0" borderId="5" xfId="1" applyNumberFormat="1" applyFont="1" applyBorder="1" applyAlignment="1">
      <alignment horizontal="center" vertical="center"/>
    </xf>
    <xf numFmtId="0" fontId="12" fillId="0" borderId="5" xfId="1" applyFont="1" applyBorder="1" applyAlignment="1">
      <alignment horizontal="center" vertical="center"/>
    </xf>
    <xf numFmtId="10" fontId="12" fillId="0" borderId="5" xfId="1" applyNumberFormat="1" applyFont="1" applyBorder="1" applyAlignment="1">
      <alignment horizontal="center" vertical="center"/>
    </xf>
    <xf numFmtId="3" fontId="12" fillId="0" borderId="5" xfId="1" applyNumberFormat="1" applyFont="1" applyBorder="1" applyAlignment="1">
      <alignment horizontal="center" vertical="center"/>
    </xf>
    <xf numFmtId="2" fontId="13" fillId="0" borderId="5" xfId="1" applyNumberFormat="1" applyFont="1" applyBorder="1" applyAlignment="1">
      <alignment horizontal="center" vertical="center"/>
    </xf>
    <xf numFmtId="167" fontId="12" fillId="4" borderId="3" xfId="6" applyNumberFormat="1" applyFont="1" applyFill="1" applyBorder="1" applyAlignment="1">
      <alignment horizontal="center" vertical="center"/>
    </xf>
    <xf numFmtId="3" fontId="13" fillId="0" borderId="3" xfId="1" applyNumberFormat="1" applyFont="1" applyBorder="1" applyAlignment="1">
      <alignment horizontal="center" vertical="center"/>
    </xf>
    <xf numFmtId="3" fontId="12" fillId="10" borderId="5" xfId="1" applyNumberFormat="1" applyFont="1" applyFill="1" applyBorder="1" applyAlignment="1">
      <alignment horizontal="center" vertical="center"/>
    </xf>
    <xf numFmtId="0" fontId="13" fillId="16" borderId="13" xfId="0" applyFont="1" applyFill="1" applyBorder="1"/>
    <xf numFmtId="0" fontId="13" fillId="15" borderId="13" xfId="0" applyFont="1" applyFill="1" applyBorder="1"/>
    <xf numFmtId="9" fontId="12" fillId="0" borderId="11" xfId="0" applyNumberFormat="1" applyFont="1" applyBorder="1" applyAlignment="1">
      <alignment horizontal="right"/>
    </xf>
    <xf numFmtId="9" fontId="13" fillId="0" borderId="11" xfId="0" applyNumberFormat="1" applyFont="1" applyBorder="1" applyAlignment="1">
      <alignment horizontal="right"/>
    </xf>
    <xf numFmtId="3" fontId="13" fillId="0" borderId="13" xfId="0" applyNumberFormat="1" applyFont="1" applyBorder="1" applyAlignment="1">
      <alignment horizontal="right"/>
    </xf>
    <xf numFmtId="0" fontId="12" fillId="0" borderId="5" xfId="0" applyFont="1" applyBorder="1"/>
    <xf numFmtId="0" fontId="12" fillId="0" borderId="7" xfId="0" applyFont="1" applyBorder="1"/>
    <xf numFmtId="0" fontId="12" fillId="0" borderId="3" xfId="0" applyFont="1" applyBorder="1" applyAlignment="1">
      <alignment horizontal="left"/>
    </xf>
    <xf numFmtId="0" fontId="12" fillId="0" borderId="3" xfId="0" applyFont="1" applyBorder="1"/>
    <xf numFmtId="0" fontId="13" fillId="0" borderId="11" xfId="0" applyFont="1" applyBorder="1" applyAlignment="1">
      <alignment horizontal="left"/>
    </xf>
    <xf numFmtId="0" fontId="13" fillId="0" borderId="11" xfId="0" applyFont="1" applyBorder="1" applyAlignment="1">
      <alignment horizontal="right"/>
    </xf>
    <xf numFmtId="10" fontId="13" fillId="0" borderId="11" xfId="0" applyNumberFormat="1" applyFont="1" applyBorder="1"/>
    <xf numFmtId="0" fontId="13" fillId="0" borderId="7" xfId="0" applyFont="1" applyBorder="1"/>
    <xf numFmtId="0" fontId="13" fillId="0" borderId="11" xfId="0" applyFont="1" applyBorder="1"/>
    <xf numFmtId="3" fontId="13" fillId="0" borderId="11" xfId="0" applyNumberFormat="1" applyFont="1" applyBorder="1" applyAlignment="1">
      <alignment horizontal="right"/>
    </xf>
    <xf numFmtId="1" fontId="13" fillId="0" borderId="11" xfId="0" applyNumberFormat="1" applyFont="1" applyBorder="1" applyAlignment="1">
      <alignment horizontal="right"/>
    </xf>
    <xf numFmtId="17" fontId="13" fillId="0" borderId="11" xfId="0" applyNumberFormat="1" applyFont="1" applyBorder="1" applyAlignment="1">
      <alignment horizontal="left"/>
    </xf>
    <xf numFmtId="3" fontId="12" fillId="0" borderId="11" xfId="0" applyNumberFormat="1" applyFont="1" applyBorder="1" applyAlignment="1">
      <alignment horizontal="right"/>
    </xf>
    <xf numFmtId="0" fontId="12" fillId="0" borderId="11" xfId="0" applyFont="1" applyBorder="1" applyAlignment="1">
      <alignment horizontal="left"/>
    </xf>
    <xf numFmtId="166" fontId="12" fillId="0" borderId="11" xfId="2" applyNumberFormat="1" applyFont="1" applyBorder="1" applyAlignment="1">
      <alignment horizontal="right"/>
    </xf>
    <xf numFmtId="9" fontId="13" fillId="0" borderId="11" xfId="6" applyFont="1" applyBorder="1" applyAlignment="1">
      <alignment horizontal="right"/>
    </xf>
    <xf numFmtId="0" fontId="12" fillId="0" borderId="5" xfId="0" applyFont="1" applyBorder="1" applyAlignment="1">
      <alignment horizontal="left"/>
    </xf>
    <xf numFmtId="0" fontId="12" fillId="0" borderId="13" xfId="0" applyFont="1" applyBorder="1" applyAlignment="1">
      <alignment horizontal="left"/>
    </xf>
    <xf numFmtId="3" fontId="13" fillId="0" borderId="5" xfId="0" applyNumberFormat="1" applyFont="1" applyBorder="1" applyAlignment="1">
      <alignment horizontal="right"/>
    </xf>
    <xf numFmtId="3" fontId="12" fillId="0" borderId="5" xfId="0" applyNumberFormat="1" applyFont="1" applyBorder="1" applyAlignment="1">
      <alignment horizontal="right"/>
    </xf>
    <xf numFmtId="166" fontId="14" fillId="0" borderId="13" xfId="2" applyNumberFormat="1" applyFont="1" applyBorder="1"/>
    <xf numFmtId="166" fontId="14" fillId="0" borderId="13" xfId="2" applyNumberFormat="1" applyFont="1" applyBorder="1" applyAlignment="1"/>
    <xf numFmtId="166" fontId="14" fillId="6" borderId="5" xfId="2" applyNumberFormat="1" applyFont="1" applyFill="1" applyBorder="1"/>
    <xf numFmtId="164" fontId="11" fillId="6" borderId="13" xfId="2" applyFont="1" applyFill="1" applyBorder="1"/>
    <xf numFmtId="0" fontId="20" fillId="4" borderId="5" xfId="1" applyFont="1" applyFill="1" applyBorder="1" applyAlignment="1">
      <alignment horizontal="center" vertical="center"/>
    </xf>
    <xf numFmtId="3" fontId="20" fillId="4" borderId="5" xfId="1" applyNumberFormat="1" applyFont="1" applyFill="1" applyBorder="1" applyAlignment="1">
      <alignment horizontal="center" vertical="center"/>
    </xf>
    <xf numFmtId="1" fontId="20" fillId="4" borderId="3" xfId="1" applyNumberFormat="1" applyFont="1" applyFill="1" applyBorder="1" applyAlignment="1">
      <alignment horizontal="center" vertical="center"/>
    </xf>
    <xf numFmtId="0" fontId="12" fillId="0" borderId="13" xfId="0" applyFont="1" applyBorder="1" applyAlignment="1">
      <alignment horizontal="center"/>
    </xf>
    <xf numFmtId="0" fontId="13" fillId="0" borderId="13" xfId="0" applyFont="1" applyBorder="1" applyAlignment="1">
      <alignment horizontal="left" vertical="center"/>
    </xf>
    <xf numFmtId="0" fontId="17" fillId="0" borderId="13" xfId="5" applyFont="1" applyBorder="1" applyAlignment="1">
      <alignment horizontal="left" vertical="center"/>
    </xf>
    <xf numFmtId="0" fontId="13" fillId="0" borderId="13" xfId="0" applyFont="1" applyBorder="1" applyAlignment="1">
      <alignment horizontal="left" vertical="center" wrapText="1"/>
    </xf>
    <xf numFmtId="0" fontId="17" fillId="0" borderId="13" xfId="5" applyFont="1" applyFill="1" applyBorder="1"/>
    <xf numFmtId="0" fontId="7" fillId="0" borderId="13" xfId="5" applyBorder="1" applyAlignment="1">
      <alignment horizontal="left" vertical="center"/>
    </xf>
    <xf numFmtId="0" fontId="12" fillId="0" borderId="13" xfId="0" applyFont="1" applyBorder="1" applyAlignment="1">
      <alignment horizontal="center" vertical="center"/>
    </xf>
    <xf numFmtId="0" fontId="11" fillId="6" borderId="8" xfId="0" applyFont="1" applyFill="1" applyBorder="1"/>
    <xf numFmtId="0" fontId="11" fillId="6" borderId="9" xfId="0" applyFont="1" applyFill="1" applyBorder="1"/>
    <xf numFmtId="0" fontId="11" fillId="6" borderId="10" xfId="0" applyFont="1" applyFill="1" applyBorder="1"/>
    <xf numFmtId="0" fontId="11" fillId="13" borderId="13" xfId="0" applyFont="1" applyFill="1" applyBorder="1"/>
    <xf numFmtId="0" fontId="13" fillId="12" borderId="0" xfId="0" applyFont="1" applyFill="1" applyAlignment="1">
      <alignment horizontal="center"/>
    </xf>
    <xf numFmtId="17" fontId="12" fillId="0" borderId="0" xfId="0" applyNumberFormat="1" applyFont="1" applyAlignment="1">
      <alignment horizontal="left"/>
    </xf>
    <xf numFmtId="1" fontId="20" fillId="4" borderId="5" xfId="1" applyNumberFormat="1" applyFont="1" applyFill="1" applyBorder="1" applyAlignment="1">
      <alignment horizontal="center" vertical="center"/>
    </xf>
    <xf numFmtId="9" fontId="20" fillId="4" borderId="5" xfId="6" applyFont="1" applyFill="1" applyBorder="1" applyAlignment="1">
      <alignment horizontal="center" vertical="center"/>
    </xf>
    <xf numFmtId="9" fontId="12" fillId="4" borderId="3" xfId="6" applyFont="1" applyFill="1" applyBorder="1" applyAlignment="1">
      <alignment horizontal="center" vertical="center"/>
    </xf>
    <xf numFmtId="0" fontId="12" fillId="0" borderId="7" xfId="0" applyFont="1" applyBorder="1" applyAlignment="1">
      <alignment horizontal="left"/>
    </xf>
    <xf numFmtId="1" fontId="21" fillId="17" borderId="3" xfId="1" applyNumberFormat="1" applyFont="1" applyFill="1" applyBorder="1" applyAlignment="1">
      <alignment horizontal="center" vertical="center"/>
    </xf>
    <xf numFmtId="10" fontId="21" fillId="17" borderId="5" xfId="1" applyNumberFormat="1" applyFont="1" applyFill="1" applyBorder="1" applyAlignment="1">
      <alignment horizontal="center" vertical="center"/>
    </xf>
    <xf numFmtId="0" fontId="21" fillId="17" borderId="5" xfId="1" applyFont="1" applyFill="1" applyBorder="1" applyAlignment="1">
      <alignment horizontal="center" vertical="center"/>
    </xf>
    <xf numFmtId="0" fontId="12" fillId="4" borderId="13" xfId="1" applyFont="1" applyFill="1" applyBorder="1" applyAlignment="1">
      <alignment horizontal="left" vertical="center"/>
    </xf>
    <xf numFmtId="0" fontId="14" fillId="0" borderId="0" xfId="0" applyFont="1" applyAlignment="1">
      <alignment horizontal="center"/>
    </xf>
    <xf numFmtId="0" fontId="12" fillId="0" borderId="13" xfId="0" applyFont="1" applyBorder="1" applyAlignment="1">
      <alignment horizontal="left" vertical="center"/>
    </xf>
    <xf numFmtId="0" fontId="11" fillId="0" borderId="13" xfId="0" applyFont="1" applyBorder="1" applyAlignment="1">
      <alignment horizontal="left"/>
    </xf>
    <xf numFmtId="166" fontId="13" fillId="0" borderId="13" xfId="2" applyNumberFormat="1" applyFont="1" applyBorder="1"/>
    <xf numFmtId="0" fontId="11" fillId="0" borderId="7" xfId="0" applyFont="1" applyBorder="1" applyAlignment="1">
      <alignment horizontal="left"/>
    </xf>
    <xf numFmtId="0" fontId="13" fillId="2" borderId="5" xfId="1" applyFont="1" applyFill="1" applyBorder="1" applyAlignment="1">
      <alignment horizontal="center" vertical="center" wrapText="1"/>
    </xf>
    <xf numFmtId="3" fontId="11" fillId="6" borderId="4" xfId="0" applyNumberFormat="1" applyFont="1" applyFill="1" applyBorder="1"/>
    <xf numFmtId="10" fontId="11" fillId="6" borderId="13" xfId="6" applyNumberFormat="1" applyFont="1" applyFill="1" applyBorder="1"/>
    <xf numFmtId="166" fontId="13" fillId="0" borderId="11" xfId="2" applyNumberFormat="1" applyFont="1" applyBorder="1" applyAlignment="1">
      <alignment horizontal="right"/>
    </xf>
    <xf numFmtId="0" fontId="18" fillId="0" borderId="0" xfId="1" applyFont="1" applyAlignment="1">
      <alignment horizontal="left" vertical="center"/>
    </xf>
    <xf numFmtId="0" fontId="11" fillId="20" borderId="0" xfId="0" applyFont="1" applyFill="1"/>
    <xf numFmtId="0" fontId="15" fillId="15" borderId="0" xfId="0" applyFont="1" applyFill="1"/>
    <xf numFmtId="166" fontId="14" fillId="20" borderId="0" xfId="2" applyNumberFormat="1" applyFont="1" applyFill="1" applyBorder="1"/>
    <xf numFmtId="0" fontId="12" fillId="2" borderId="13" xfId="0" applyFont="1" applyFill="1" applyBorder="1" applyAlignment="1">
      <alignment horizontal="left" vertical="center"/>
    </xf>
    <xf numFmtId="166" fontId="11" fillId="0" borderId="13" xfId="2" applyNumberFormat="1" applyFont="1" applyBorder="1"/>
    <xf numFmtId="0" fontId="23" fillId="21" borderId="8" xfId="0" applyFont="1" applyFill="1" applyBorder="1" applyAlignment="1">
      <alignment horizontal="right" vertical="center"/>
    </xf>
    <xf numFmtId="0" fontId="24" fillId="22" borderId="9" xfId="0" applyFont="1" applyFill="1" applyBorder="1" applyAlignment="1">
      <alignment horizontal="center" vertical="center"/>
    </xf>
    <xf numFmtId="0" fontId="24" fillId="22" borderId="10" xfId="0" applyFont="1" applyFill="1" applyBorder="1" applyAlignment="1">
      <alignment horizontal="center" vertical="center"/>
    </xf>
    <xf numFmtId="49" fontId="23" fillId="21" borderId="4" xfId="0" applyNumberFormat="1" applyFont="1" applyFill="1" applyBorder="1" applyAlignment="1">
      <alignment horizontal="center" vertical="center"/>
    </xf>
    <xf numFmtId="17" fontId="23" fillId="21" borderId="4" xfId="0" applyNumberFormat="1" applyFont="1" applyFill="1" applyBorder="1" applyAlignment="1">
      <alignment horizontal="center" vertical="center"/>
    </xf>
    <xf numFmtId="17" fontId="23" fillId="21" borderId="15" xfId="0" applyNumberFormat="1" applyFont="1" applyFill="1" applyBorder="1" applyAlignment="1">
      <alignment horizontal="center" vertical="center"/>
    </xf>
    <xf numFmtId="0" fontId="23" fillId="21" borderId="13" xfId="0" applyFont="1" applyFill="1" applyBorder="1" applyAlignment="1">
      <alignment horizontal="center" vertical="center"/>
    </xf>
    <xf numFmtId="0" fontId="23" fillId="21" borderId="13" xfId="0" applyFont="1" applyFill="1" applyBorder="1" applyAlignment="1">
      <alignment horizontal="center" vertical="top"/>
    </xf>
    <xf numFmtId="165" fontId="23" fillId="21" borderId="13" xfId="0" applyNumberFormat="1" applyFont="1" applyFill="1" applyBorder="1" applyAlignment="1">
      <alignment horizontal="center" vertical="top"/>
    </xf>
    <xf numFmtId="0" fontId="23" fillId="21" borderId="13" xfId="0" applyFont="1" applyFill="1" applyBorder="1" applyAlignment="1">
      <alignment vertical="top"/>
    </xf>
    <xf numFmtId="166" fontId="11" fillId="0" borderId="16" xfId="2" applyNumberFormat="1" applyFont="1" applyBorder="1"/>
    <xf numFmtId="0" fontId="11" fillId="0" borderId="17" xfId="9" applyFont="1" applyBorder="1"/>
    <xf numFmtId="0" fontId="11" fillId="0" borderId="17" xfId="0" applyFont="1" applyBorder="1"/>
    <xf numFmtId="166" fontId="11" fillId="0" borderId="14" xfId="2" applyNumberFormat="1" applyFont="1" applyBorder="1" applyAlignment="1"/>
    <xf numFmtId="166" fontId="11" fillId="0" borderId="18" xfId="2" applyNumberFormat="1" applyFont="1" applyBorder="1" applyAlignment="1"/>
    <xf numFmtId="166" fontId="11" fillId="0" borderId="16" xfId="2" applyNumberFormat="1" applyFont="1" applyBorder="1" applyAlignment="1"/>
    <xf numFmtId="0" fontId="12" fillId="0" borderId="14" xfId="0" applyFont="1" applyBorder="1" applyAlignment="1">
      <alignment vertical="center"/>
    </xf>
    <xf numFmtId="0" fontId="12" fillId="0" borderId="18" xfId="0" applyFont="1" applyBorder="1" applyAlignment="1">
      <alignment vertical="center"/>
    </xf>
    <xf numFmtId="0" fontId="12" fillId="0" borderId="16" xfId="0" applyFont="1" applyBorder="1" applyAlignment="1">
      <alignment vertical="center"/>
    </xf>
    <xf numFmtId="10" fontId="12" fillId="0" borderId="3" xfId="1" applyNumberFormat="1" applyFont="1" applyBorder="1" applyAlignment="1">
      <alignment horizontal="center" vertical="center"/>
    </xf>
    <xf numFmtId="0" fontId="12" fillId="24" borderId="4" xfId="1" applyFont="1" applyFill="1" applyBorder="1" applyAlignment="1">
      <alignment horizontal="center" vertical="center" wrapText="1"/>
    </xf>
    <xf numFmtId="0" fontId="12" fillId="24" borderId="8" xfId="1" applyFont="1" applyFill="1" applyBorder="1" applyAlignment="1">
      <alignment horizontal="center" vertical="center" wrapText="1"/>
    </xf>
    <xf numFmtId="0" fontId="12" fillId="24" borderId="13" xfId="1" applyFont="1" applyFill="1" applyBorder="1" applyAlignment="1">
      <alignment horizontal="center" vertical="center" wrapText="1"/>
    </xf>
    <xf numFmtId="0" fontId="12" fillId="24" borderId="3" xfId="1" applyFont="1" applyFill="1" applyBorder="1" applyAlignment="1">
      <alignment horizontal="center" vertical="center" wrapText="1"/>
    </xf>
    <xf numFmtId="0" fontId="12" fillId="24" borderId="5" xfId="1" applyFont="1" applyFill="1" applyBorder="1" applyAlignment="1">
      <alignment horizontal="center" vertical="center" wrapText="1"/>
    </xf>
    <xf numFmtId="3" fontId="12" fillId="24" borderId="5" xfId="1" applyNumberFormat="1" applyFont="1" applyFill="1" applyBorder="1" applyAlignment="1">
      <alignment horizontal="center" vertical="center" wrapText="1"/>
    </xf>
    <xf numFmtId="0" fontId="12" fillId="25" borderId="5" xfId="1" applyFont="1" applyFill="1" applyBorder="1" applyAlignment="1">
      <alignment horizontal="center" vertical="center" wrapText="1"/>
    </xf>
    <xf numFmtId="3" fontId="12" fillId="25" borderId="5" xfId="1" applyNumberFormat="1" applyFont="1" applyFill="1" applyBorder="1" applyAlignment="1">
      <alignment horizontal="center" vertical="center" wrapText="1"/>
    </xf>
    <xf numFmtId="0" fontId="12" fillId="0" borderId="11" xfId="0" applyFont="1" applyBorder="1"/>
    <xf numFmtId="1" fontId="11" fillId="0" borderId="5" xfId="0" applyNumberFormat="1" applyFont="1" applyBorder="1" applyAlignment="1">
      <alignment horizontal="right"/>
    </xf>
    <xf numFmtId="17" fontId="27" fillId="23" borderId="0" xfId="1" applyNumberFormat="1" applyFont="1" applyFill="1" applyAlignment="1">
      <alignment horizontal="center" vertical="center"/>
    </xf>
    <xf numFmtId="2" fontId="12" fillId="0" borderId="5" xfId="1" applyNumberFormat="1" applyFont="1" applyBorder="1" applyAlignment="1">
      <alignment horizontal="center" vertical="center"/>
    </xf>
    <xf numFmtId="166" fontId="13" fillId="16" borderId="13" xfId="2" applyNumberFormat="1" applyFont="1" applyFill="1" applyBorder="1"/>
    <xf numFmtId="1" fontId="13" fillId="0" borderId="0" xfId="0" applyNumberFormat="1" applyFont="1"/>
    <xf numFmtId="166" fontId="13" fillId="0" borderId="0" xfId="0" applyNumberFormat="1" applyFont="1"/>
    <xf numFmtId="3" fontId="13" fillId="0" borderId="0" xfId="0" applyNumberFormat="1" applyFont="1"/>
    <xf numFmtId="0" fontId="11" fillId="0" borderId="13" xfId="1" applyFont="1" applyBorder="1" applyAlignment="1">
      <alignment horizontal="left"/>
    </xf>
    <xf numFmtId="0" fontId="28" fillId="0" borderId="0" xfId="0" applyFont="1" applyAlignment="1">
      <alignment horizontal="center"/>
    </xf>
    <xf numFmtId="0" fontId="25" fillId="0" borderId="0" xfId="0" applyFont="1" applyAlignment="1">
      <alignment horizontal="center"/>
    </xf>
    <xf numFmtId="0" fontId="26" fillId="0" borderId="0" xfId="0" applyFont="1" applyAlignment="1">
      <alignment horizontal="center"/>
    </xf>
    <xf numFmtId="0" fontId="25" fillId="0" borderId="5" xfId="0" applyFont="1" applyBorder="1" applyAlignment="1">
      <alignment horizontal="center"/>
    </xf>
    <xf numFmtId="9" fontId="25" fillId="0" borderId="5" xfId="0" applyNumberFormat="1" applyFont="1" applyBorder="1" applyAlignment="1">
      <alignment horizontal="center"/>
    </xf>
    <xf numFmtId="10" fontId="25" fillId="0" borderId="5" xfId="0" applyNumberFormat="1" applyFont="1" applyBorder="1" applyAlignment="1">
      <alignment horizontal="center"/>
    </xf>
    <xf numFmtId="9" fontId="25" fillId="0" borderId="11" xfId="0" applyNumberFormat="1" applyFont="1" applyBorder="1" applyAlignment="1">
      <alignment horizontal="center"/>
    </xf>
    <xf numFmtId="10" fontId="25" fillId="0" borderId="11" xfId="0" applyNumberFormat="1" applyFont="1" applyBorder="1" applyAlignment="1">
      <alignment horizontal="center"/>
    </xf>
    <xf numFmtId="0" fontId="26" fillId="0" borderId="5" xfId="0" applyFont="1" applyBorder="1" applyAlignment="1">
      <alignment horizontal="center"/>
    </xf>
    <xf numFmtId="166" fontId="13" fillId="0" borderId="0" xfId="2" applyNumberFormat="1" applyFont="1" applyBorder="1"/>
    <xf numFmtId="3" fontId="13" fillId="0" borderId="0" xfId="1" applyNumberFormat="1" applyFont="1"/>
    <xf numFmtId="164" fontId="21" fillId="17" borderId="3" xfId="2" applyFont="1" applyFill="1" applyBorder="1" applyAlignment="1">
      <alignment horizontal="center" vertical="center"/>
    </xf>
    <xf numFmtId="166" fontId="13" fillId="0" borderId="13" xfId="0" applyNumberFormat="1" applyFont="1" applyBorder="1"/>
    <xf numFmtId="0" fontId="25" fillId="0" borderId="13" xfId="0" applyFont="1" applyBorder="1" applyAlignment="1">
      <alignment horizontal="center"/>
    </xf>
    <xf numFmtId="10" fontId="13" fillId="0" borderId="11" xfId="0" applyNumberFormat="1" applyFont="1" applyBorder="1" applyAlignment="1">
      <alignment horizontal="right"/>
    </xf>
    <xf numFmtId="10" fontId="13" fillId="0" borderId="11" xfId="6" applyNumberFormat="1" applyFont="1" applyBorder="1" applyAlignment="1">
      <alignment horizontal="right"/>
    </xf>
    <xf numFmtId="0" fontId="28" fillId="6" borderId="5" xfId="0" applyFont="1" applyFill="1" applyBorder="1"/>
    <xf numFmtId="1" fontId="28" fillId="6" borderId="5" xfId="0" applyNumberFormat="1" applyFont="1" applyFill="1" applyBorder="1" applyAlignment="1">
      <alignment horizontal="center"/>
    </xf>
    <xf numFmtId="0" fontId="26" fillId="0" borderId="5" xfId="0" applyFont="1" applyBorder="1" applyAlignment="1">
      <alignment horizontal="left"/>
    </xf>
    <xf numFmtId="0" fontId="25" fillId="0" borderId="5" xfId="0" applyFont="1" applyBorder="1" applyAlignment="1">
      <alignment horizontal="left"/>
    </xf>
    <xf numFmtId="1" fontId="25" fillId="0" borderId="5" xfId="0" applyNumberFormat="1" applyFont="1" applyBorder="1" applyAlignment="1">
      <alignment horizontal="center"/>
    </xf>
    <xf numFmtId="2" fontId="12" fillId="25" borderId="5" xfId="1" applyNumberFormat="1" applyFont="1" applyFill="1" applyBorder="1" applyAlignment="1">
      <alignment horizontal="center" vertical="center" wrapText="1"/>
    </xf>
    <xf numFmtId="2" fontId="13" fillId="2" borderId="5" xfId="1" applyNumberFormat="1" applyFont="1" applyFill="1" applyBorder="1" applyAlignment="1">
      <alignment horizontal="center" vertical="center" wrapText="1"/>
    </xf>
    <xf numFmtId="2" fontId="20" fillId="0" borderId="5" xfId="1" applyNumberFormat="1" applyFont="1" applyBorder="1" applyAlignment="1">
      <alignment horizontal="center" vertical="center"/>
    </xf>
    <xf numFmtId="2" fontId="12" fillId="2" borderId="5" xfId="1" applyNumberFormat="1" applyFont="1" applyFill="1" applyBorder="1" applyAlignment="1">
      <alignment horizontal="center" vertical="center" wrapText="1"/>
    </xf>
    <xf numFmtId="2" fontId="12" fillId="4" borderId="3" xfId="1" applyNumberFormat="1" applyFont="1" applyFill="1" applyBorder="1" applyAlignment="1">
      <alignment horizontal="center" vertical="center"/>
    </xf>
    <xf numFmtId="2" fontId="15" fillId="0" borderId="5" xfId="1" applyNumberFormat="1" applyFont="1" applyBorder="1" applyAlignment="1">
      <alignment horizontal="center" vertical="center"/>
    </xf>
    <xf numFmtId="2" fontId="20" fillId="4" borderId="5" xfId="1" applyNumberFormat="1" applyFont="1" applyFill="1" applyBorder="1" applyAlignment="1">
      <alignment horizontal="center" vertical="center"/>
    </xf>
    <xf numFmtId="2" fontId="20" fillId="4" borderId="3" xfId="1" applyNumberFormat="1" applyFont="1" applyFill="1" applyBorder="1" applyAlignment="1">
      <alignment horizontal="center" vertical="center"/>
    </xf>
    <xf numFmtId="2" fontId="20" fillId="0" borderId="3" xfId="1" applyNumberFormat="1" applyFont="1" applyBorder="1" applyAlignment="1">
      <alignment horizontal="center" vertical="center"/>
    </xf>
    <xf numFmtId="2" fontId="12" fillId="0" borderId="3" xfId="1" applyNumberFormat="1" applyFont="1" applyBorder="1" applyAlignment="1">
      <alignment horizontal="center" vertical="center"/>
    </xf>
    <xf numFmtId="2" fontId="13" fillId="0" borderId="0" xfId="1" applyNumberFormat="1" applyFont="1"/>
    <xf numFmtId="2" fontId="13" fillId="2" borderId="0" xfId="1" applyNumberFormat="1" applyFont="1" applyFill="1" applyAlignment="1">
      <alignment horizontal="center" vertical="center"/>
    </xf>
    <xf numFmtId="0" fontId="11" fillId="0" borderId="13" xfId="0" applyFont="1" applyBorder="1" applyAlignment="1">
      <alignment horizontal="center"/>
    </xf>
    <xf numFmtId="0" fontId="12" fillId="0" borderId="13" xfId="1" applyFont="1" applyBorder="1"/>
    <xf numFmtId="1" fontId="30" fillId="6" borderId="5" xfId="0" applyNumberFormat="1" applyFont="1" applyFill="1" applyBorder="1" applyAlignment="1">
      <alignment horizontal="center"/>
    </xf>
    <xf numFmtId="0" fontId="25" fillId="0" borderId="5" xfId="0" applyFont="1" applyBorder="1"/>
    <xf numFmtId="0" fontId="25" fillId="2" borderId="5" xfId="0" applyFont="1" applyFill="1" applyBorder="1"/>
    <xf numFmtId="0" fontId="12" fillId="0" borderId="7" xfId="1" applyFont="1" applyBorder="1"/>
    <xf numFmtId="0" fontId="12" fillId="0" borderId="11" xfId="1" applyFont="1" applyBorder="1" applyAlignment="1">
      <alignment horizontal="left"/>
    </xf>
    <xf numFmtId="0" fontId="12" fillId="0" borderId="11" xfId="1" applyFont="1" applyBorder="1"/>
    <xf numFmtId="1" fontId="11" fillId="0" borderId="5" xfId="1" applyNumberFormat="1" applyFont="1" applyBorder="1" applyAlignment="1">
      <alignment horizontal="right"/>
    </xf>
    <xf numFmtId="0" fontId="13" fillId="0" borderId="11" xfId="1" applyFont="1" applyBorder="1" applyAlignment="1">
      <alignment horizontal="left"/>
    </xf>
    <xf numFmtId="166" fontId="13" fillId="0" borderId="11" xfId="4" applyNumberFormat="1" applyFont="1" applyBorder="1" applyAlignment="1">
      <alignment horizontal="right"/>
    </xf>
    <xf numFmtId="10" fontId="13" fillId="0" borderId="11" xfId="1" applyNumberFormat="1" applyFont="1" applyBorder="1" applyAlignment="1">
      <alignment horizontal="right"/>
    </xf>
    <xf numFmtId="10" fontId="13" fillId="0" borderId="11" xfId="1" applyNumberFormat="1" applyFont="1" applyBorder="1"/>
    <xf numFmtId="0" fontId="13" fillId="0" borderId="7" xfId="1" applyFont="1" applyBorder="1"/>
    <xf numFmtId="0" fontId="13" fillId="0" borderId="11" xfId="1" applyFont="1" applyBorder="1" applyAlignment="1">
      <alignment horizontal="right"/>
    </xf>
    <xf numFmtId="9" fontId="13" fillId="0" borderId="11" xfId="1" applyNumberFormat="1" applyFont="1" applyBorder="1" applyAlignment="1">
      <alignment horizontal="right"/>
    </xf>
    <xf numFmtId="1" fontId="13" fillId="0" borderId="11" xfId="1" applyNumberFormat="1" applyFont="1" applyBorder="1" applyAlignment="1">
      <alignment horizontal="right"/>
    </xf>
    <xf numFmtId="17" fontId="13" fillId="0" borderId="11" xfId="1" applyNumberFormat="1" applyFont="1" applyBorder="1" applyAlignment="1">
      <alignment horizontal="left"/>
    </xf>
    <xf numFmtId="3" fontId="13" fillId="0" borderId="11" xfId="1" applyNumberFormat="1" applyFont="1" applyBorder="1" applyAlignment="1">
      <alignment horizontal="right"/>
    </xf>
    <xf numFmtId="3" fontId="12" fillId="0" borderId="11" xfId="1" applyNumberFormat="1" applyFont="1" applyBorder="1" applyAlignment="1">
      <alignment horizontal="right"/>
    </xf>
    <xf numFmtId="9" fontId="12" fillId="0" borderId="11" xfId="1" applyNumberFormat="1" applyFont="1" applyBorder="1" applyAlignment="1">
      <alignment horizontal="right"/>
    </xf>
    <xf numFmtId="166" fontId="12" fillId="0" borderId="11" xfId="4" applyNumberFormat="1" applyFont="1" applyBorder="1" applyAlignment="1">
      <alignment horizontal="right"/>
    </xf>
    <xf numFmtId="0" fontId="12" fillId="0" borderId="5" xfId="1" applyFont="1" applyBorder="1"/>
    <xf numFmtId="0" fontId="13" fillId="0" borderId="11" xfId="1" applyFont="1" applyBorder="1"/>
    <xf numFmtId="0" fontId="12" fillId="0" borderId="3" xfId="1" applyFont="1" applyBorder="1" applyAlignment="1">
      <alignment horizontal="left"/>
    </xf>
    <xf numFmtId="0" fontId="12" fillId="0" borderId="3" xfId="1" applyFont="1" applyBorder="1"/>
    <xf numFmtId="10" fontId="13" fillId="0" borderId="11" xfId="15" applyNumberFormat="1" applyFont="1" applyBorder="1" applyAlignment="1">
      <alignment horizontal="right"/>
    </xf>
    <xf numFmtId="0" fontId="12" fillId="0" borderId="13" xfId="1" applyFont="1" applyBorder="1" applyAlignment="1">
      <alignment horizontal="left"/>
    </xf>
    <xf numFmtId="3" fontId="13" fillId="0" borderId="5" xfId="1" applyNumberFormat="1" applyFont="1" applyBorder="1" applyAlignment="1">
      <alignment horizontal="right"/>
    </xf>
    <xf numFmtId="0" fontId="12" fillId="0" borderId="7" xfId="1" applyFont="1" applyBorder="1" applyAlignment="1">
      <alignment horizontal="left"/>
    </xf>
    <xf numFmtId="3" fontId="12" fillId="0" borderId="5" xfId="1" applyNumberFormat="1" applyFont="1" applyBorder="1" applyAlignment="1">
      <alignment horizontal="right"/>
    </xf>
    <xf numFmtId="10" fontId="25" fillId="0" borderId="0" xfId="0" applyNumberFormat="1" applyFont="1" applyAlignment="1">
      <alignment horizontal="center"/>
    </xf>
    <xf numFmtId="0" fontId="25" fillId="0" borderId="19" xfId="0" applyFont="1" applyBorder="1" applyAlignment="1">
      <alignment horizontal="center"/>
    </xf>
    <xf numFmtId="0" fontId="11" fillId="13" borderId="17" xfId="0" applyFont="1" applyFill="1" applyBorder="1"/>
    <xf numFmtId="166" fontId="11" fillId="13" borderId="17" xfId="2" applyNumberFormat="1" applyFont="1" applyFill="1" applyBorder="1"/>
    <xf numFmtId="0" fontId="11" fillId="0" borderId="14" xfId="1" applyFont="1" applyBorder="1" applyAlignment="1">
      <alignment horizontal="left"/>
    </xf>
    <xf numFmtId="0" fontId="28" fillId="28" borderId="5" xfId="0" applyFont="1" applyFill="1" applyBorder="1" applyAlignment="1">
      <alignment horizontal="center"/>
    </xf>
    <xf numFmtId="1" fontId="28" fillId="28" borderId="5" xfId="0" applyNumberFormat="1" applyFont="1" applyFill="1" applyBorder="1" applyAlignment="1">
      <alignment horizontal="center"/>
    </xf>
    <xf numFmtId="1" fontId="14" fillId="0" borderId="5" xfId="0" applyNumberFormat="1" applyFont="1" applyBorder="1" applyAlignment="1">
      <alignment horizontal="center"/>
    </xf>
    <xf numFmtId="0" fontId="24" fillId="0" borderId="0" xfId="13" applyFont="1"/>
    <xf numFmtId="0" fontId="33" fillId="0" borderId="0" xfId="0" applyFont="1" applyAlignment="1">
      <alignment horizontal="center"/>
    </xf>
    <xf numFmtId="9" fontId="28" fillId="28" borderId="5" xfId="0" applyNumberFormat="1" applyFont="1" applyFill="1" applyBorder="1" applyAlignment="1">
      <alignment horizontal="center"/>
    </xf>
    <xf numFmtId="0" fontId="12" fillId="4" borderId="3" xfId="1" applyFont="1" applyFill="1" applyBorder="1" applyAlignment="1">
      <alignment horizontal="center" vertical="center"/>
    </xf>
    <xf numFmtId="0" fontId="21" fillId="17" borderId="3" xfId="1" applyFont="1" applyFill="1" applyBorder="1" applyAlignment="1">
      <alignment horizontal="center" vertical="center"/>
    </xf>
    <xf numFmtId="0" fontId="28" fillId="26" borderId="5" xfId="0" applyFont="1" applyFill="1" applyBorder="1"/>
    <xf numFmtId="0" fontId="28" fillId="26" borderId="5" xfId="0" applyFont="1" applyFill="1" applyBorder="1" applyAlignment="1">
      <alignment horizontal="center"/>
    </xf>
    <xf numFmtId="0" fontId="25" fillId="2" borderId="5" xfId="0" applyFont="1" applyFill="1" applyBorder="1" applyAlignment="1">
      <alignment horizontal="center"/>
    </xf>
    <xf numFmtId="10" fontId="25" fillId="2" borderId="5" xfId="0" applyNumberFormat="1" applyFont="1" applyFill="1" applyBorder="1" applyAlignment="1">
      <alignment horizontal="center"/>
    </xf>
    <xf numFmtId="0" fontId="12" fillId="29" borderId="5" xfId="1" applyFont="1" applyFill="1" applyBorder="1" applyAlignment="1">
      <alignment horizontal="center" vertical="center" wrapText="1"/>
    </xf>
    <xf numFmtId="167" fontId="13" fillId="0" borderId="11" xfId="0" applyNumberFormat="1" applyFont="1" applyBorder="1" applyAlignment="1">
      <alignment horizontal="right"/>
    </xf>
    <xf numFmtId="0" fontId="34" fillId="13" borderId="13" xfId="0" applyFont="1" applyFill="1" applyBorder="1" applyAlignment="1">
      <alignment horizontal="center"/>
    </xf>
    <xf numFmtId="9" fontId="25" fillId="0" borderId="3" xfId="0" applyNumberFormat="1" applyFont="1" applyBorder="1" applyAlignment="1">
      <alignment horizontal="center"/>
    </xf>
    <xf numFmtId="10" fontId="25" fillId="0" borderId="3" xfId="0" applyNumberFormat="1" applyFont="1" applyBorder="1" applyAlignment="1">
      <alignment horizontal="center"/>
    </xf>
    <xf numFmtId="0" fontId="28" fillId="26" borderId="4" xfId="0" applyFont="1" applyFill="1" applyBorder="1"/>
    <xf numFmtId="9" fontId="25" fillId="2" borderId="13" xfId="0" applyNumberFormat="1" applyFont="1" applyFill="1" applyBorder="1" applyAlignment="1">
      <alignment horizontal="center"/>
    </xf>
    <xf numFmtId="9" fontId="26" fillId="0" borderId="13" xfId="0" applyNumberFormat="1" applyFont="1" applyBorder="1" applyAlignment="1">
      <alignment horizontal="center"/>
    </xf>
    <xf numFmtId="166" fontId="13" fillId="0" borderId="0" xfId="2" applyNumberFormat="1" applyFont="1"/>
    <xf numFmtId="3" fontId="0" fillId="0" borderId="0" xfId="0" applyNumberFormat="1"/>
    <xf numFmtId="0" fontId="28" fillId="26" borderId="13" xfId="0" applyFont="1" applyFill="1" applyBorder="1" applyAlignment="1">
      <alignment horizontal="center"/>
    </xf>
    <xf numFmtId="10" fontId="13" fillId="0" borderId="0" xfId="6" applyNumberFormat="1" applyFont="1"/>
    <xf numFmtId="0" fontId="28" fillId="26" borderId="3" xfId="0" applyFont="1" applyFill="1" applyBorder="1" applyAlignment="1">
      <alignment horizontal="center"/>
    </xf>
    <xf numFmtId="0" fontId="35" fillId="26" borderId="13" xfId="0" applyFont="1" applyFill="1" applyBorder="1"/>
    <xf numFmtId="0" fontId="35" fillId="26" borderId="20" xfId="0" applyFont="1" applyFill="1" applyBorder="1"/>
    <xf numFmtId="10" fontId="25" fillId="0" borderId="12" xfId="0" applyNumberFormat="1" applyFont="1" applyBorder="1" applyAlignment="1">
      <alignment horizontal="center"/>
    </xf>
    <xf numFmtId="9" fontId="25" fillId="0" borderId="7" xfId="0" applyNumberFormat="1" applyFont="1" applyBorder="1" applyAlignment="1">
      <alignment horizontal="center"/>
    </xf>
    <xf numFmtId="10" fontId="0" fillId="0" borderId="0" xfId="6" applyNumberFormat="1" applyFont="1"/>
    <xf numFmtId="166" fontId="12" fillId="0" borderId="13" xfId="2" applyNumberFormat="1" applyFont="1" applyBorder="1"/>
    <xf numFmtId="0" fontId="35" fillId="0" borderId="0" xfId="0" applyFont="1"/>
    <xf numFmtId="17" fontId="12" fillId="0" borderId="13" xfId="0" applyNumberFormat="1" applyFont="1" applyBorder="1" applyAlignment="1">
      <alignment horizontal="center"/>
    </xf>
    <xf numFmtId="0" fontId="28" fillId="6" borderId="5" xfId="0" applyFont="1" applyFill="1" applyBorder="1" applyAlignment="1">
      <alignment horizontal="left"/>
    </xf>
    <xf numFmtId="1" fontId="25" fillId="0" borderId="5" xfId="0" applyNumberFormat="1" applyFont="1" applyBorder="1" applyAlignment="1">
      <alignment horizontal="left"/>
    </xf>
    <xf numFmtId="10" fontId="11" fillId="0" borderId="0" xfId="6" applyNumberFormat="1" applyFont="1"/>
    <xf numFmtId="1" fontId="11" fillId="0" borderId="7" xfId="1" applyNumberFormat="1" applyFont="1" applyBorder="1" applyAlignment="1">
      <alignment horizontal="right"/>
    </xf>
    <xf numFmtId="3" fontId="13" fillId="0" borderId="11" xfId="1" applyNumberFormat="1" applyFont="1" applyBorder="1"/>
    <xf numFmtId="3" fontId="13" fillId="0" borderId="1" xfId="0" applyNumberFormat="1" applyFont="1" applyBorder="1" applyAlignment="1">
      <alignment horizontal="right"/>
    </xf>
    <xf numFmtId="3" fontId="12" fillId="0" borderId="1" xfId="0" applyNumberFormat="1" applyFont="1" applyBorder="1" applyAlignment="1">
      <alignment horizontal="right"/>
    </xf>
    <xf numFmtId="3" fontId="13" fillId="0" borderId="16" xfId="0" applyNumberFormat="1" applyFont="1" applyBorder="1" applyAlignment="1">
      <alignment horizontal="right"/>
    </xf>
    <xf numFmtId="3" fontId="12" fillId="0" borderId="3" xfId="0" applyNumberFormat="1" applyFont="1" applyBorder="1" applyAlignment="1">
      <alignment horizontal="right"/>
    </xf>
    <xf numFmtId="0" fontId="12" fillId="0" borderId="4" xfId="0" applyFont="1" applyBorder="1" applyAlignment="1">
      <alignment horizontal="left"/>
    </xf>
    <xf numFmtId="3" fontId="12" fillId="0" borderId="13" xfId="0" applyNumberFormat="1" applyFont="1" applyBorder="1" applyAlignment="1">
      <alignment horizontal="right"/>
    </xf>
    <xf numFmtId="3" fontId="13" fillId="0" borderId="3" xfId="0" applyNumberFormat="1" applyFont="1" applyBorder="1" applyAlignment="1">
      <alignment horizontal="right"/>
    </xf>
    <xf numFmtId="0" fontId="12" fillId="0" borderId="4" xfId="1" applyFont="1" applyBorder="1"/>
    <xf numFmtId="3" fontId="13" fillId="0" borderId="0" xfId="0" applyNumberFormat="1" applyFont="1" applyAlignment="1">
      <alignment horizontal="right"/>
    </xf>
    <xf numFmtId="0" fontId="14" fillId="0" borderId="5" xfId="0" applyFont="1" applyBorder="1"/>
    <xf numFmtId="1" fontId="14" fillId="0" borderId="5" xfId="0" applyNumberFormat="1" applyFont="1" applyBorder="1"/>
    <xf numFmtId="0" fontId="14" fillId="0" borderId="5" xfId="0" applyFont="1" applyBorder="1" applyAlignment="1">
      <alignment horizontal="left"/>
    </xf>
    <xf numFmtId="0" fontId="14" fillId="2" borderId="5" xfId="0" applyFont="1" applyFill="1" applyBorder="1"/>
    <xf numFmtId="1" fontId="14" fillId="0" borderId="5" xfId="0" applyNumberFormat="1" applyFont="1" applyBorder="1" applyAlignment="1">
      <alignment horizontal="left"/>
    </xf>
    <xf numFmtId="1" fontId="14" fillId="2" borderId="5" xfId="0" applyNumberFormat="1" applyFont="1" applyFill="1" applyBorder="1"/>
    <xf numFmtId="1" fontId="14" fillId="2" borderId="5" xfId="0" applyNumberFormat="1" applyFont="1" applyFill="1" applyBorder="1" applyAlignment="1">
      <alignment horizontal="left"/>
    </xf>
    <xf numFmtId="1" fontId="26" fillId="0" borderId="5" xfId="0" applyNumberFormat="1" applyFont="1" applyBorder="1" applyAlignment="1">
      <alignment horizontal="center"/>
    </xf>
    <xf numFmtId="0" fontId="12" fillId="4" borderId="14" xfId="1" applyFont="1" applyFill="1" applyBorder="1" applyAlignment="1">
      <alignment horizontal="center" vertical="center"/>
    </xf>
    <xf numFmtId="0" fontId="12" fillId="4" borderId="18" xfId="1" applyFont="1" applyFill="1" applyBorder="1" applyAlignment="1">
      <alignment horizontal="center" vertical="center"/>
    </xf>
    <xf numFmtId="0" fontId="12" fillId="4" borderId="16" xfId="1" applyFont="1" applyFill="1" applyBorder="1" applyAlignment="1">
      <alignment horizontal="center" vertical="center"/>
    </xf>
    <xf numFmtId="0" fontId="12" fillId="0" borderId="13" xfId="1" applyFont="1" applyBorder="1" applyAlignment="1">
      <alignment horizontal="center" vertical="center"/>
    </xf>
    <xf numFmtId="0" fontId="13" fillId="0" borderId="0" xfId="1" applyFont="1" applyAlignment="1">
      <alignment horizontal="left"/>
    </xf>
    <xf numFmtId="0" fontId="13" fillId="2" borderId="0" xfId="1" applyFont="1" applyFill="1" applyAlignment="1">
      <alignment vertical="center"/>
    </xf>
    <xf numFmtId="0" fontId="12" fillId="4" borderId="13" xfId="1" applyFont="1" applyFill="1" applyBorder="1" applyAlignment="1">
      <alignment vertical="center"/>
    </xf>
    <xf numFmtId="0" fontId="12" fillId="0" borderId="13" xfId="1" applyFont="1" applyBorder="1" applyAlignment="1">
      <alignment vertical="center"/>
    </xf>
    <xf numFmtId="0" fontId="13" fillId="0" borderId="0" xfId="1" applyFont="1" applyAlignment="1">
      <alignment horizontal="center"/>
    </xf>
    <xf numFmtId="164" fontId="13" fillId="2" borderId="0" xfId="2" applyFont="1" applyFill="1" applyAlignment="1">
      <alignment horizontal="center" vertical="center"/>
    </xf>
    <xf numFmtId="164" fontId="13" fillId="0" borderId="0" xfId="2" applyFont="1"/>
    <xf numFmtId="164" fontId="12" fillId="3" borderId="5" xfId="2" applyFont="1" applyFill="1" applyBorder="1" applyAlignment="1">
      <alignment horizontal="center" vertical="center" wrapText="1"/>
    </xf>
    <xf numFmtId="164" fontId="13" fillId="0" borderId="0" xfId="2" applyFont="1" applyAlignment="1">
      <alignment horizontal="center"/>
    </xf>
    <xf numFmtId="164" fontId="14" fillId="0" borderId="13" xfId="2" applyFont="1" applyBorder="1"/>
    <xf numFmtId="164" fontId="12" fillId="0" borderId="5" xfId="2" applyFont="1" applyBorder="1" applyAlignment="1">
      <alignment vertical="center"/>
    </xf>
    <xf numFmtId="164" fontId="14" fillId="0" borderId="13" xfId="2" applyFont="1" applyFill="1" applyBorder="1"/>
    <xf numFmtId="164" fontId="12" fillId="0" borderId="5" xfId="2" applyFont="1" applyFill="1" applyBorder="1" applyAlignment="1">
      <alignment vertical="center"/>
    </xf>
    <xf numFmtId="164" fontId="12" fillId="4" borderId="3" xfId="2" applyFont="1" applyFill="1" applyBorder="1" applyAlignment="1">
      <alignment horizontal="center" vertical="center"/>
    </xf>
    <xf numFmtId="164" fontId="20" fillId="4" borderId="5" xfId="2" applyFont="1" applyFill="1" applyBorder="1" applyAlignment="1">
      <alignment horizontal="center" vertical="center"/>
    </xf>
    <xf numFmtId="164" fontId="12" fillId="4" borderId="11" xfId="2" applyFont="1" applyFill="1" applyBorder="1" applyAlignment="1">
      <alignment horizontal="center" vertical="center"/>
    </xf>
    <xf numFmtId="164" fontId="20" fillId="4" borderId="7" xfId="2" applyFont="1" applyFill="1" applyBorder="1" applyAlignment="1">
      <alignment horizontal="center" vertical="center"/>
    </xf>
    <xf numFmtId="164" fontId="20" fillId="4" borderId="3" xfId="2" applyFont="1" applyFill="1" applyBorder="1" applyAlignment="1">
      <alignment horizontal="center" vertical="center"/>
    </xf>
    <xf numFmtId="164" fontId="20" fillId="4" borderId="4" xfId="2" applyFont="1" applyFill="1" applyBorder="1" applyAlignment="1">
      <alignment horizontal="center" vertical="center"/>
    </xf>
    <xf numFmtId="164" fontId="12" fillId="0" borderId="3" xfId="2" applyFont="1" applyFill="1" applyBorder="1" applyAlignment="1">
      <alignment horizontal="center" vertical="center"/>
    </xf>
    <xf numFmtId="166" fontId="14" fillId="6" borderId="1" xfId="2" applyNumberFormat="1" applyFont="1" applyFill="1" applyBorder="1"/>
    <xf numFmtId="0" fontId="12" fillId="16" borderId="13" xfId="0" applyFont="1" applyFill="1" applyBorder="1" applyAlignment="1">
      <alignment horizontal="left"/>
    </xf>
    <xf numFmtId="0" fontId="11" fillId="16" borderId="13" xfId="0" applyFont="1" applyFill="1" applyBorder="1"/>
    <xf numFmtId="1" fontId="13" fillId="16" borderId="3" xfId="1" applyNumberFormat="1" applyFont="1" applyFill="1" applyBorder="1" applyAlignment="1">
      <alignment horizontal="center" vertical="center"/>
    </xf>
    <xf numFmtId="1" fontId="13" fillId="16" borderId="5" xfId="1" applyNumberFormat="1" applyFont="1" applyFill="1" applyBorder="1" applyAlignment="1">
      <alignment horizontal="center" vertical="center"/>
    </xf>
    <xf numFmtId="0" fontId="13" fillId="16" borderId="5" xfId="1" applyFont="1" applyFill="1" applyBorder="1" applyAlignment="1">
      <alignment horizontal="center" vertical="center"/>
    </xf>
    <xf numFmtId="10" fontId="13" fillId="16" borderId="5" xfId="1" applyNumberFormat="1" applyFont="1" applyFill="1" applyBorder="1" applyAlignment="1">
      <alignment horizontal="center" vertical="center"/>
    </xf>
    <xf numFmtId="3" fontId="13" fillId="16" borderId="5" xfId="1" applyNumberFormat="1" applyFont="1" applyFill="1" applyBorder="1" applyAlignment="1">
      <alignment horizontal="center" vertical="center"/>
    </xf>
    <xf numFmtId="3" fontId="14" fillId="16" borderId="5" xfId="1" applyNumberFormat="1" applyFont="1" applyFill="1" applyBorder="1" applyAlignment="1">
      <alignment horizontal="center" vertical="center"/>
    </xf>
    <xf numFmtId="2" fontId="20" fillId="16" borderId="5" xfId="1" applyNumberFormat="1" applyFont="1" applyFill="1" applyBorder="1" applyAlignment="1">
      <alignment horizontal="center" vertical="center"/>
    </xf>
    <xf numFmtId="2" fontId="12" fillId="16" borderId="5" xfId="1" applyNumberFormat="1" applyFont="1" applyFill="1" applyBorder="1" applyAlignment="1">
      <alignment horizontal="center" vertical="center"/>
    </xf>
    <xf numFmtId="10" fontId="12" fillId="16" borderId="5" xfId="1" applyNumberFormat="1" applyFont="1" applyFill="1" applyBorder="1" applyAlignment="1">
      <alignment horizontal="center" vertical="center"/>
    </xf>
    <xf numFmtId="3" fontId="13" fillId="16" borderId="3" xfId="1" applyNumberFormat="1" applyFont="1" applyFill="1" applyBorder="1" applyAlignment="1">
      <alignment horizontal="center" vertical="center"/>
    </xf>
    <xf numFmtId="0" fontId="13" fillId="30" borderId="0" xfId="1" applyFont="1" applyFill="1" applyAlignment="1">
      <alignment horizontal="center" vertical="center"/>
    </xf>
    <xf numFmtId="0" fontId="12" fillId="16" borderId="13" xfId="0" applyFont="1" applyFill="1" applyBorder="1"/>
    <xf numFmtId="0" fontId="11" fillId="16" borderId="13" xfId="0" applyFont="1" applyFill="1" applyBorder="1" applyAlignment="1">
      <alignment horizontal="center"/>
    </xf>
    <xf numFmtId="164" fontId="14" fillId="16" borderId="13" xfId="2" applyFont="1" applyFill="1" applyBorder="1"/>
    <xf numFmtId="164" fontId="12" fillId="16" borderId="5" xfId="2" applyFont="1" applyFill="1" applyBorder="1" applyAlignment="1">
      <alignment vertical="center"/>
    </xf>
    <xf numFmtId="164" fontId="13" fillId="16" borderId="0" xfId="2" applyFont="1" applyFill="1"/>
    <xf numFmtId="0" fontId="13" fillId="16" borderId="0" xfId="1" applyFont="1" applyFill="1"/>
    <xf numFmtId="2" fontId="15" fillId="16" borderId="5" xfId="1" applyNumberFormat="1" applyFont="1" applyFill="1" applyBorder="1" applyAlignment="1">
      <alignment horizontal="center" vertical="center"/>
    </xf>
    <xf numFmtId="2" fontId="13" fillId="16" borderId="5" xfId="1" applyNumberFormat="1" applyFont="1" applyFill="1" applyBorder="1" applyAlignment="1">
      <alignment horizontal="center" vertical="center"/>
    </xf>
    <xf numFmtId="3" fontId="13" fillId="16" borderId="0" xfId="1" applyNumberFormat="1" applyFont="1" applyFill="1"/>
    <xf numFmtId="0" fontId="12" fillId="16" borderId="5" xfId="1" applyFont="1" applyFill="1" applyBorder="1" applyAlignment="1">
      <alignment horizontal="center" vertical="center"/>
    </xf>
    <xf numFmtId="164" fontId="13" fillId="0" borderId="0" xfId="2" applyFont="1" applyFill="1"/>
    <xf numFmtId="9" fontId="13" fillId="0" borderId="0" xfId="6" applyFont="1"/>
    <xf numFmtId="43" fontId="13" fillId="0" borderId="0" xfId="0" applyNumberFormat="1" applyFont="1"/>
    <xf numFmtId="1" fontId="14" fillId="27" borderId="3" xfId="0" applyNumberFormat="1" applyFont="1" applyFill="1" applyBorder="1" applyAlignment="1">
      <alignment horizontal="center"/>
    </xf>
    <xf numFmtId="1" fontId="31" fillId="11" borderId="3" xfId="0" applyNumberFormat="1" applyFont="1" applyFill="1" applyBorder="1" applyAlignment="1">
      <alignment horizontal="center"/>
    </xf>
    <xf numFmtId="0" fontId="30" fillId="6" borderId="4" xfId="0" applyFont="1" applyFill="1" applyBorder="1" applyAlignment="1">
      <alignment horizontal="center"/>
    </xf>
    <xf numFmtId="0" fontId="36" fillId="0" borderId="13" xfId="0" applyFont="1" applyBorder="1"/>
    <xf numFmtId="1" fontId="30" fillId="11" borderId="13" xfId="0" applyNumberFormat="1" applyFont="1" applyFill="1" applyBorder="1" applyAlignment="1">
      <alignment horizontal="center"/>
    </xf>
    <xf numFmtId="0" fontId="13" fillId="0" borderId="0" xfId="0" applyFont="1" applyAlignment="1">
      <alignment horizontal="left"/>
    </xf>
    <xf numFmtId="17" fontId="13" fillId="0" borderId="0" xfId="0" applyNumberFormat="1" applyFont="1" applyAlignment="1">
      <alignment horizontal="left"/>
    </xf>
    <xf numFmtId="3" fontId="12" fillId="0" borderId="0" xfId="0" applyNumberFormat="1" applyFont="1" applyAlignment="1">
      <alignment horizontal="right"/>
    </xf>
    <xf numFmtId="9" fontId="12" fillId="0" borderId="0" xfId="0" applyNumberFormat="1" applyFont="1" applyAlignment="1">
      <alignment horizontal="right"/>
    </xf>
    <xf numFmtId="166" fontId="12" fillId="0" borderId="0" xfId="2" applyNumberFormat="1" applyFont="1" applyBorder="1" applyAlignment="1">
      <alignment horizontal="right"/>
    </xf>
    <xf numFmtId="0" fontId="14" fillId="0" borderId="0" xfId="0" applyFont="1"/>
    <xf numFmtId="0" fontId="16" fillId="0" borderId="0" xfId="1" applyFont="1" applyAlignment="1">
      <alignment horizontal="center" vertical="center"/>
    </xf>
    <xf numFmtId="0" fontId="20" fillId="0" borderId="0" xfId="1" applyFont="1"/>
    <xf numFmtId="1" fontId="21" fillId="0" borderId="0" xfId="1" applyNumberFormat="1" applyFont="1" applyAlignment="1">
      <alignment horizontal="center" vertical="center"/>
    </xf>
    <xf numFmtId="10" fontId="21" fillId="0" borderId="0" xfId="1" applyNumberFormat="1" applyFont="1" applyAlignment="1">
      <alignment horizontal="center" vertical="center"/>
    </xf>
    <xf numFmtId="0" fontId="21" fillId="0" borderId="0" xfId="1" applyFont="1" applyAlignment="1">
      <alignment horizontal="center" vertical="center"/>
    </xf>
    <xf numFmtId="164" fontId="21" fillId="0" borderId="0" xfId="2" applyFont="1" applyFill="1" applyBorder="1" applyAlignment="1">
      <alignment horizontal="center" vertical="center"/>
    </xf>
    <xf numFmtId="0" fontId="19" fillId="0" borderId="0" xfId="1" applyFont="1" applyAlignment="1">
      <alignment horizontal="center" vertical="center" textRotation="90"/>
    </xf>
    <xf numFmtId="0" fontId="11" fillId="27" borderId="24" xfId="0" applyFont="1" applyFill="1" applyBorder="1"/>
    <xf numFmtId="0" fontId="11" fillId="27" borderId="5" xfId="0" applyFont="1" applyFill="1" applyBorder="1"/>
    <xf numFmtId="0" fontId="11" fillId="27" borderId="5" xfId="0" applyFont="1" applyFill="1" applyBorder="1" applyAlignment="1">
      <alignment horizontal="center"/>
    </xf>
    <xf numFmtId="0" fontId="11" fillId="27" borderId="25" xfId="0" applyFont="1" applyFill="1" applyBorder="1" applyAlignment="1">
      <alignment horizontal="center"/>
    </xf>
    <xf numFmtId="0" fontId="14" fillId="0" borderId="24" xfId="0" applyFont="1" applyBorder="1"/>
    <xf numFmtId="1" fontId="14" fillId="0" borderId="5" xfId="0" applyNumberFormat="1" applyFont="1" applyBorder="1" applyAlignment="1">
      <alignment horizontal="right"/>
    </xf>
    <xf numFmtId="1" fontId="14" fillId="0" borderId="25" xfId="0" applyNumberFormat="1" applyFont="1" applyBorder="1"/>
    <xf numFmtId="0" fontId="14" fillId="0" borderId="26" xfId="0" applyFont="1" applyBorder="1"/>
    <xf numFmtId="0" fontId="14" fillId="0" borderId="27" xfId="0" applyFont="1" applyBorder="1"/>
    <xf numFmtId="0" fontId="30" fillId="11" borderId="27" xfId="0" applyFont="1" applyFill="1" applyBorder="1"/>
    <xf numFmtId="1" fontId="30" fillId="11" borderId="27" xfId="0" applyNumberFormat="1" applyFont="1" applyFill="1" applyBorder="1"/>
    <xf numFmtId="1" fontId="11" fillId="11" borderId="27" xfId="0" applyNumberFormat="1" applyFont="1" applyFill="1" applyBorder="1" applyAlignment="1">
      <alignment horizontal="right"/>
    </xf>
    <xf numFmtId="1" fontId="11" fillId="11" borderId="28" xfId="0" applyNumberFormat="1" applyFont="1" applyFill="1" applyBorder="1" applyAlignment="1">
      <alignment horizontal="right"/>
    </xf>
    <xf numFmtId="0" fontId="11" fillId="2" borderId="0" xfId="0" applyFont="1" applyFill="1" applyAlignment="1">
      <alignment horizontal="center"/>
    </xf>
    <xf numFmtId="0" fontId="11" fillId="6" borderId="1" xfId="0" applyFont="1" applyFill="1" applyBorder="1"/>
    <xf numFmtId="0" fontId="11" fillId="6" borderId="2" xfId="0" applyFont="1" applyFill="1" applyBorder="1"/>
    <xf numFmtId="0" fontId="11" fillId="6" borderId="3" xfId="0" applyFont="1" applyFill="1" applyBorder="1"/>
    <xf numFmtId="0" fontId="11" fillId="6" borderId="13" xfId="0" applyFont="1" applyFill="1" applyBorder="1"/>
    <xf numFmtId="0" fontId="15" fillId="0" borderId="13" xfId="0" applyFont="1" applyBorder="1"/>
    <xf numFmtId="0" fontId="28" fillId="26" borderId="1" xfId="0" applyFont="1" applyFill="1" applyBorder="1" applyAlignment="1">
      <alignment horizontal="center"/>
    </xf>
    <xf numFmtId="0" fontId="29" fillId="0" borderId="3" xfId="0" applyFont="1" applyBorder="1"/>
    <xf numFmtId="0" fontId="28" fillId="26" borderId="0" xfId="0" applyFont="1" applyFill="1" applyAlignment="1">
      <alignment horizontal="center"/>
    </xf>
    <xf numFmtId="0" fontId="29" fillId="0" borderId="11" xfId="0" applyFont="1" applyBorder="1"/>
    <xf numFmtId="0" fontId="28" fillId="26" borderId="13" xfId="0" applyFont="1" applyFill="1" applyBorder="1" applyAlignment="1">
      <alignment horizontal="center"/>
    </xf>
    <xf numFmtId="0" fontId="29" fillId="0" borderId="13" xfId="0" applyFont="1" applyBorder="1"/>
    <xf numFmtId="0" fontId="11" fillId="31" borderId="21" xfId="0" applyFont="1" applyFill="1" applyBorder="1" applyAlignment="1">
      <alignment horizontal="center"/>
    </xf>
    <xf numFmtId="0" fontId="29" fillId="0" borderId="22" xfId="0" applyFont="1" applyBorder="1"/>
    <xf numFmtId="0" fontId="29" fillId="0" borderId="23" xfId="0" applyFont="1" applyBorder="1"/>
    <xf numFmtId="0" fontId="32" fillId="14" borderId="1" xfId="0" applyFont="1" applyFill="1" applyBorder="1" applyAlignment="1">
      <alignment horizontal="center"/>
    </xf>
    <xf numFmtId="0" fontId="29" fillId="0" borderId="2" xfId="0" applyFont="1" applyBorder="1"/>
    <xf numFmtId="1" fontId="20" fillId="0" borderId="4" xfId="1" applyNumberFormat="1" applyFont="1" applyBorder="1" applyAlignment="1">
      <alignment horizontal="center" vertical="center"/>
    </xf>
    <xf numFmtId="1" fontId="20" fillId="0" borderId="6" xfId="1" applyNumberFormat="1" applyFont="1" applyBorder="1" applyAlignment="1">
      <alignment horizontal="center" vertical="center"/>
    </xf>
    <xf numFmtId="1" fontId="20" fillId="0" borderId="7" xfId="1" applyNumberFormat="1" applyFont="1" applyBorder="1" applyAlignment="1">
      <alignment horizontal="center" vertical="center"/>
    </xf>
    <xf numFmtId="9" fontId="20" fillId="0" borderId="4" xfId="6" applyFont="1" applyFill="1" applyBorder="1" applyAlignment="1">
      <alignment horizontal="center" vertical="center"/>
    </xf>
    <xf numFmtId="9" fontId="20" fillId="0" borderId="6" xfId="6" applyFont="1" applyFill="1" applyBorder="1" applyAlignment="1">
      <alignment horizontal="center" vertical="center"/>
    </xf>
    <xf numFmtId="9" fontId="20" fillId="0" borderId="7" xfId="6" applyFont="1" applyFill="1" applyBorder="1" applyAlignment="1">
      <alignment horizontal="center" vertical="center"/>
    </xf>
    <xf numFmtId="0" fontId="16" fillId="18" borderId="13" xfId="1" applyFont="1" applyFill="1" applyBorder="1" applyAlignment="1">
      <alignment horizontal="center" vertical="center"/>
    </xf>
    <xf numFmtId="0" fontId="20" fillId="19" borderId="13" xfId="1" applyFont="1" applyFill="1" applyBorder="1"/>
    <xf numFmtId="0" fontId="16" fillId="18" borderId="14" xfId="1" applyFont="1" applyFill="1" applyBorder="1" applyAlignment="1">
      <alignment horizontal="center" vertical="center"/>
    </xf>
    <xf numFmtId="0" fontId="16" fillId="18" borderId="18" xfId="1" applyFont="1" applyFill="1" applyBorder="1" applyAlignment="1">
      <alignment horizontal="center" vertical="center"/>
    </xf>
    <xf numFmtId="0" fontId="16" fillId="18" borderId="16" xfId="1" applyFont="1" applyFill="1" applyBorder="1" applyAlignment="1">
      <alignment horizontal="center" vertical="center"/>
    </xf>
    <xf numFmtId="1" fontId="14" fillId="0" borderId="4" xfId="1" applyNumberFormat="1" applyFont="1" applyBorder="1" applyAlignment="1">
      <alignment horizontal="center" vertical="center"/>
    </xf>
    <xf numFmtId="1" fontId="14" fillId="0" borderId="6" xfId="1" applyNumberFormat="1" applyFont="1" applyBorder="1" applyAlignment="1">
      <alignment horizontal="center" vertical="center"/>
    </xf>
    <xf numFmtId="1" fontId="14" fillId="0" borderId="7" xfId="1" applyNumberFormat="1" applyFont="1" applyBorder="1" applyAlignment="1">
      <alignment horizontal="center" vertical="center"/>
    </xf>
    <xf numFmtId="10" fontId="14" fillId="0" borderId="4" xfId="1" applyNumberFormat="1" applyFont="1" applyBorder="1" applyAlignment="1">
      <alignment horizontal="center" vertical="center"/>
    </xf>
    <xf numFmtId="10" fontId="14" fillId="0" borderId="6" xfId="1" applyNumberFormat="1" applyFont="1" applyBorder="1" applyAlignment="1">
      <alignment horizontal="center" vertical="center"/>
    </xf>
    <xf numFmtId="10" fontId="14" fillId="0" borderId="7" xfId="1" applyNumberFormat="1" applyFont="1" applyBorder="1" applyAlignment="1">
      <alignment horizontal="center" vertical="center"/>
    </xf>
    <xf numFmtId="0" fontId="20" fillId="0" borderId="4" xfId="1" applyFont="1" applyBorder="1" applyAlignment="1">
      <alignment horizontal="center" vertical="center"/>
    </xf>
    <xf numFmtId="0" fontId="20" fillId="0" borderId="6" xfId="1" applyFont="1" applyBorder="1" applyAlignment="1">
      <alignment horizontal="center" vertical="center"/>
    </xf>
    <xf numFmtId="0" fontId="20" fillId="0" borderId="7" xfId="1" applyFont="1" applyBorder="1" applyAlignment="1">
      <alignment horizontal="center" vertical="center"/>
    </xf>
    <xf numFmtId="1" fontId="15" fillId="0" borderId="6" xfId="1" applyNumberFormat="1" applyFont="1" applyBorder="1" applyAlignment="1">
      <alignment horizontal="center" vertical="center"/>
    </xf>
    <xf numFmtId="10" fontId="13" fillId="0" borderId="6" xfId="1" applyNumberFormat="1" applyFont="1" applyBorder="1" applyAlignment="1">
      <alignment horizontal="center" vertical="center"/>
    </xf>
    <xf numFmtId="10" fontId="13" fillId="0" borderId="4" xfId="1" applyNumberFormat="1" applyFont="1" applyBorder="1" applyAlignment="1">
      <alignment horizontal="center" vertical="center"/>
    </xf>
    <xf numFmtId="10" fontId="13" fillId="0" borderId="7" xfId="1" applyNumberFormat="1" applyFont="1" applyBorder="1" applyAlignment="1">
      <alignment horizontal="center" vertical="center"/>
    </xf>
    <xf numFmtId="0" fontId="19" fillId="5" borderId="1" xfId="1" applyFont="1" applyFill="1" applyBorder="1" applyAlignment="1">
      <alignment horizontal="center" vertical="center"/>
    </xf>
    <xf numFmtId="0" fontId="19" fillId="5" borderId="2" xfId="1" applyFont="1" applyFill="1" applyBorder="1" applyAlignment="1">
      <alignment horizontal="center" vertical="center"/>
    </xf>
    <xf numFmtId="0" fontId="19" fillId="5" borderId="9" xfId="1" applyFont="1" applyFill="1" applyBorder="1" applyAlignment="1">
      <alignment horizontal="center" vertical="center"/>
    </xf>
    <xf numFmtId="0" fontId="15" fillId="0" borderId="10" xfId="1" applyFont="1" applyBorder="1"/>
    <xf numFmtId="0" fontId="16" fillId="7" borderId="1" xfId="1" applyFont="1" applyFill="1" applyBorder="1" applyAlignment="1">
      <alignment horizontal="center" vertical="center"/>
    </xf>
    <xf numFmtId="0" fontId="15" fillId="0" borderId="2" xfId="1" applyFont="1" applyBorder="1"/>
    <xf numFmtId="0" fontId="12" fillId="8" borderId="1" xfId="1" applyFont="1" applyFill="1" applyBorder="1" applyAlignment="1">
      <alignment horizontal="center" vertical="center"/>
    </xf>
    <xf numFmtId="0" fontId="12" fillId="9" borderId="1" xfId="1" applyFont="1" applyFill="1" applyBorder="1" applyAlignment="1">
      <alignment horizontal="center" vertical="center"/>
    </xf>
    <xf numFmtId="3" fontId="12" fillId="11" borderId="1" xfId="1" applyNumberFormat="1" applyFont="1" applyFill="1" applyBorder="1" applyAlignment="1">
      <alignment horizontal="center" vertical="center"/>
    </xf>
    <xf numFmtId="0" fontId="15" fillId="0" borderId="3" xfId="1" applyFont="1" applyBorder="1"/>
    <xf numFmtId="0" fontId="19" fillId="5" borderId="0" xfId="1" applyFont="1" applyFill="1" applyAlignment="1">
      <alignment horizontal="center" vertical="center" textRotation="90"/>
    </xf>
    <xf numFmtId="164" fontId="12" fillId="11" borderId="1" xfId="2" applyFont="1" applyFill="1" applyBorder="1" applyAlignment="1">
      <alignment horizontal="center" vertical="center"/>
    </xf>
    <xf numFmtId="164" fontId="15" fillId="0" borderId="2" xfId="2" applyFont="1" applyBorder="1"/>
    <xf numFmtId="164" fontId="15" fillId="0" borderId="3" xfId="2" applyFont="1" applyBorder="1"/>
    <xf numFmtId="1" fontId="12" fillId="2" borderId="4" xfId="1" applyNumberFormat="1" applyFont="1" applyFill="1" applyBorder="1" applyAlignment="1">
      <alignment horizontal="center" vertical="center" wrapText="1"/>
    </xf>
    <xf numFmtId="1" fontId="12" fillId="2" borderId="6" xfId="1" applyNumberFormat="1" applyFont="1" applyFill="1" applyBorder="1" applyAlignment="1">
      <alignment horizontal="center" vertical="center" wrapText="1"/>
    </xf>
    <xf numFmtId="9" fontId="12" fillId="2" borderId="4" xfId="6" applyFont="1" applyFill="1" applyBorder="1" applyAlignment="1">
      <alignment horizontal="center" vertical="center" wrapText="1"/>
    </xf>
    <xf numFmtId="9" fontId="12" fillId="2" borderId="6" xfId="6" applyFont="1" applyFill="1" applyBorder="1" applyAlignment="1">
      <alignment horizontal="center" vertical="center" wrapText="1"/>
    </xf>
    <xf numFmtId="1" fontId="13" fillId="0" borderId="6" xfId="1" applyNumberFormat="1" applyFont="1" applyBorder="1" applyAlignment="1">
      <alignment horizontal="center" vertical="center"/>
    </xf>
    <xf numFmtId="1" fontId="13" fillId="0" borderId="4" xfId="1" applyNumberFormat="1" applyFont="1" applyBorder="1" applyAlignment="1">
      <alignment horizontal="center" vertical="center"/>
    </xf>
    <xf numFmtId="1" fontId="13" fillId="0" borderId="7" xfId="1" applyNumberFormat="1" applyFont="1" applyBorder="1" applyAlignment="1">
      <alignment horizontal="center" vertical="center"/>
    </xf>
    <xf numFmtId="9" fontId="13" fillId="0" borderId="4" xfId="6" applyFont="1" applyFill="1" applyBorder="1" applyAlignment="1">
      <alignment horizontal="center" vertical="center"/>
    </xf>
    <xf numFmtId="9" fontId="13" fillId="0" borderId="6" xfId="6" applyFont="1" applyFill="1" applyBorder="1" applyAlignment="1">
      <alignment horizontal="center" vertical="center"/>
    </xf>
    <xf numFmtId="9" fontId="13" fillId="0" borderId="7" xfId="6" applyFont="1" applyFill="1" applyBorder="1" applyAlignment="1">
      <alignment horizontal="center" vertical="center"/>
    </xf>
    <xf numFmtId="1" fontId="15" fillId="0" borderId="4" xfId="1" applyNumberFormat="1" applyFont="1" applyBorder="1" applyAlignment="1">
      <alignment horizontal="center" vertical="center"/>
    </xf>
    <xf numFmtId="1" fontId="15" fillId="0" borderId="7" xfId="1" applyNumberFormat="1" applyFont="1" applyBorder="1" applyAlignment="1">
      <alignment horizontal="center" vertical="center"/>
    </xf>
    <xf numFmtId="9" fontId="15" fillId="0" borderId="4" xfId="6" applyFont="1" applyFill="1" applyBorder="1" applyAlignment="1">
      <alignment horizontal="center" vertical="center"/>
    </xf>
    <xf numFmtId="9" fontId="15" fillId="0" borderId="6" xfId="6" applyFont="1" applyFill="1" applyBorder="1" applyAlignment="1">
      <alignment horizontal="center" vertical="center"/>
    </xf>
    <xf numFmtId="9" fontId="15" fillId="0" borderId="7" xfId="6" applyFont="1" applyFill="1" applyBorder="1" applyAlignment="1">
      <alignment horizontal="center" vertical="center"/>
    </xf>
    <xf numFmtId="0" fontId="12" fillId="0" borderId="14" xfId="0" applyFont="1" applyBorder="1" applyAlignment="1">
      <alignment horizontal="center"/>
    </xf>
    <xf numFmtId="0" fontId="12" fillId="0" borderId="18" xfId="0" applyFont="1" applyBorder="1" applyAlignment="1">
      <alignment horizontal="center"/>
    </xf>
    <xf numFmtId="0" fontId="12" fillId="0" borderId="16" xfId="0" applyFont="1" applyBorder="1" applyAlignment="1">
      <alignment horizontal="center"/>
    </xf>
    <xf numFmtId="0" fontId="12" fillId="0" borderId="14" xfId="1" applyFont="1" applyBorder="1" applyAlignment="1">
      <alignment horizontal="center"/>
    </xf>
    <xf numFmtId="0" fontId="12" fillId="0" borderId="18" xfId="1" applyFont="1" applyBorder="1" applyAlignment="1">
      <alignment horizontal="center"/>
    </xf>
    <xf numFmtId="0" fontId="12" fillId="0" borderId="16" xfId="1" applyFont="1" applyBorder="1" applyAlignment="1">
      <alignment horizontal="center"/>
    </xf>
  </cellXfs>
  <cellStyles count="16">
    <cellStyle name="Comma" xfId="2" builtinId="3"/>
    <cellStyle name="Comma 2" xfId="4" xr:uid="{3EF9E02A-8F15-4C53-B88E-29591CE7C153}"/>
    <cellStyle name="Comma 3" xfId="14" xr:uid="{C280CBE7-9085-2041-BABA-1ED590428670}"/>
    <cellStyle name="Hyperlink" xfId="5" builtinId="8"/>
    <cellStyle name="Normal" xfId="0" builtinId="0"/>
    <cellStyle name="Normal 2" xfId="1" xr:uid="{90CFED80-EF1F-42BB-8479-8F09970F6351}"/>
    <cellStyle name="Normal 2 2" xfId="9" xr:uid="{1A28B950-9505-5443-A2D3-AC8CFE6A840B}"/>
    <cellStyle name="Normal 3" xfId="3" xr:uid="{9023CFCD-A33D-4492-A34B-80FE02258FFC}"/>
    <cellStyle name="Normal 4" xfId="7" xr:uid="{BA3213B9-34A8-664C-9474-C8CAC10A2C33}"/>
    <cellStyle name="Normal 5" xfId="8" xr:uid="{8BD97017-988E-FC44-B5BB-9EA37C03F065}"/>
    <cellStyle name="Normal 6" xfId="10" xr:uid="{E6632A0E-A61D-4BEB-89C3-C6E4C7BA90FA}"/>
    <cellStyle name="Normal 7" xfId="11" xr:uid="{A5303750-4773-453C-9D77-5678EBD0114E}"/>
    <cellStyle name="Normal 8" xfId="12" xr:uid="{5186837F-9BF9-4BFF-B04C-FEC93B9CA137}"/>
    <cellStyle name="Normal 9" xfId="13" xr:uid="{22F8B9A7-3C2F-0A4A-90D1-68E29698B8CC}"/>
    <cellStyle name="Per cent" xfId="6" builtinId="5"/>
    <cellStyle name="Per cent 2" xfId="15" xr:uid="{CEC53C7C-B66E-484A-9F55-99B8B1C8E1EF}"/>
  </cellStyles>
  <dxfs count="6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s>
  <tableStyles count="23" defaultTableStyle="TableStyleMedium2" defaultPivotStyle="PivotStyleLight16">
    <tableStyle name="February 26-style" pivot="0" count="2" xr9:uid="{825B38E8-C460-3F45-8699-B665E2C1C145}">
      <tableStyleElement type="firstRowStripe" dxfId="60"/>
      <tableStyleElement type="secondRowStripe" dxfId="59"/>
    </tableStyle>
    <tableStyle name="February 26-style 10" pivot="0" count="2" xr9:uid="{0D89992B-B9A6-3E4C-A3D5-D71EFD9112B8}">
      <tableStyleElement type="firstRowStripe" dxfId="58"/>
      <tableStyleElement type="secondRowStripe" dxfId="57"/>
    </tableStyle>
    <tableStyle name="February 26-style 11" pivot="0" count="2" xr9:uid="{AB5C5B0F-4E65-FB43-8988-89C9218A9A52}">
      <tableStyleElement type="firstRowStripe" dxfId="56"/>
      <tableStyleElement type="secondRowStripe" dxfId="55"/>
    </tableStyle>
    <tableStyle name="February 26-style 12" pivot="0" count="2" xr9:uid="{DD2BB04D-860F-D949-9B77-4451B6664202}">
      <tableStyleElement type="firstRowStripe" dxfId="54"/>
      <tableStyleElement type="secondRowStripe" dxfId="53"/>
    </tableStyle>
    <tableStyle name="February 26-style 13" pivot="0" count="2" xr9:uid="{613133A2-0C95-914A-9EB3-EF53BBD3E0BD}">
      <tableStyleElement type="firstRowStripe" dxfId="52"/>
      <tableStyleElement type="secondRowStripe" dxfId="51"/>
    </tableStyle>
    <tableStyle name="February 26-style 14" pivot="0" count="2" xr9:uid="{C0A81C43-2756-3249-94D6-E824F46BE8E8}">
      <tableStyleElement type="firstRowStripe" dxfId="50"/>
      <tableStyleElement type="secondRowStripe" dxfId="49"/>
    </tableStyle>
    <tableStyle name="February 26-style 15" pivot="0" count="2" xr9:uid="{8379FE64-022C-ED42-A6C6-C93620364FFC}">
      <tableStyleElement type="firstRowStripe" dxfId="48"/>
      <tableStyleElement type="secondRowStripe" dxfId="47"/>
    </tableStyle>
    <tableStyle name="February 26-style 16" pivot="0" count="2" xr9:uid="{4574C94E-C644-0344-A5E6-36408002B2C2}">
      <tableStyleElement type="firstRowStripe" dxfId="46"/>
      <tableStyleElement type="secondRowStripe" dxfId="45"/>
    </tableStyle>
    <tableStyle name="February 26-style 17" pivot="0" count="2" xr9:uid="{EE8A7CA7-1A1D-9646-8C15-DD30FE7A513F}">
      <tableStyleElement type="firstRowStripe" dxfId="44"/>
      <tableStyleElement type="secondRowStripe" dxfId="43"/>
    </tableStyle>
    <tableStyle name="February 26-style 18" pivot="0" count="2" xr9:uid="{D0D4A488-EC48-3947-95C5-DD9ECD2483F3}">
      <tableStyleElement type="firstRowStripe" dxfId="42"/>
      <tableStyleElement type="secondRowStripe" dxfId="41"/>
    </tableStyle>
    <tableStyle name="February 26-style 19" pivot="0" count="2" xr9:uid="{09D10F0F-234F-AB40-BB7F-59E673343B66}">
      <tableStyleElement type="firstRowStripe" dxfId="40"/>
      <tableStyleElement type="secondRowStripe" dxfId="39"/>
    </tableStyle>
    <tableStyle name="February 26-style 2" pivot="0" count="2" xr9:uid="{810D0F63-3BFF-094B-B219-5201D1194785}">
      <tableStyleElement type="firstRowStripe" dxfId="38"/>
      <tableStyleElement type="secondRowStripe" dxfId="37"/>
    </tableStyle>
    <tableStyle name="February 26-style 20" pivot="0" count="2" xr9:uid="{2835C9EC-D014-8B42-BE1E-31AC62ACEEC4}">
      <tableStyleElement type="firstRowStripe" dxfId="36"/>
      <tableStyleElement type="secondRowStripe" dxfId="35"/>
    </tableStyle>
    <tableStyle name="February 26-style 21" pivot="0" count="2" xr9:uid="{3BA842F7-DDCA-A94D-A3D6-8E7E61A19B25}">
      <tableStyleElement type="firstRowStripe" dxfId="34"/>
      <tableStyleElement type="secondRowStripe" dxfId="33"/>
    </tableStyle>
    <tableStyle name="February 26-style 22" pivot="0" count="2" xr9:uid="{13DA75CF-F714-9149-AF8E-3EBE85AF33D1}">
      <tableStyleElement type="firstRowStripe" dxfId="32"/>
      <tableStyleElement type="secondRowStripe" dxfId="31"/>
    </tableStyle>
    <tableStyle name="February 26-style 23" pivot="0" count="2" xr9:uid="{23BD7DA0-B2BA-6245-B662-847B91EF09EB}">
      <tableStyleElement type="firstRowStripe" dxfId="30"/>
      <tableStyleElement type="secondRowStripe" dxfId="29"/>
    </tableStyle>
    <tableStyle name="February 26-style 3" pivot="0" count="2" xr9:uid="{C0378CB5-5B20-2844-A177-E87C4D4819E2}">
      <tableStyleElement type="firstRowStripe" dxfId="28"/>
      <tableStyleElement type="secondRowStripe" dxfId="27"/>
    </tableStyle>
    <tableStyle name="February 26-style 4" pivot="0" count="2" xr9:uid="{CE2D8194-8AE7-2E42-91DC-9E925A09D55D}">
      <tableStyleElement type="firstRowStripe" dxfId="26"/>
      <tableStyleElement type="secondRowStripe" dxfId="25"/>
    </tableStyle>
    <tableStyle name="February 26-style 5" pivot="0" count="2" xr9:uid="{D34E844F-7024-A948-9005-97C507C6DF23}">
      <tableStyleElement type="firstRowStripe" dxfId="24"/>
      <tableStyleElement type="secondRowStripe" dxfId="23"/>
    </tableStyle>
    <tableStyle name="February 26-style 6" pivot="0" count="2" xr9:uid="{5BA90D5E-5E0F-AC4B-8CFE-E457562D1952}">
      <tableStyleElement type="firstRowStripe" dxfId="22"/>
      <tableStyleElement type="secondRowStripe" dxfId="21"/>
    </tableStyle>
    <tableStyle name="February 26-style 7" pivot="0" count="2" xr9:uid="{8923DF7E-A68A-E448-B7E8-E8151F7DF67F}">
      <tableStyleElement type="firstRowStripe" dxfId="20"/>
      <tableStyleElement type="secondRowStripe" dxfId="19"/>
    </tableStyle>
    <tableStyle name="February 26-style 8" pivot="0" count="2" xr9:uid="{9C5166EC-2E4E-FF4C-BF6F-46D9077B0561}">
      <tableStyleElement type="firstRowStripe" dxfId="18"/>
      <tableStyleElement type="secondRowStripe" dxfId="17"/>
    </tableStyle>
    <tableStyle name="February 26-style 9" pivot="0" count="2" xr9:uid="{F6CE47AB-2195-A745-B6CD-9585A62F3A5B}">
      <tableStyleElement type="firstRowStripe" dxfId="16"/>
      <tableStyleElement type="secondRowStripe" dxfId="15"/>
    </tableStyle>
  </tableStyles>
  <colors>
    <mruColors>
      <color rgb="FF49509E"/>
      <color rgb="FF523A9F"/>
      <color rgb="FF2428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Incentive Monthly</a:t>
            </a:r>
          </a:p>
        </c:rich>
      </c:tx>
      <c:layout>
        <c:manualLayout>
          <c:xMode val="edge"/>
          <c:yMode val="edge"/>
          <c:x val="0.44456204266689753"/>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3.9392737778281312E-2"/>
          <c:y val="0.17238095238095238"/>
          <c:w val="0.95661045966376501"/>
          <c:h val="0.47583248666497335"/>
        </c:manualLayout>
      </c:layout>
      <c:barChart>
        <c:barDir val="col"/>
        <c:grouping val="clustered"/>
        <c:varyColors val="0"/>
        <c:ser>
          <c:idx val="0"/>
          <c:order val="0"/>
          <c:tx>
            <c:strRef>
              <c:f>'Incentive Summary Output'!$B$15</c:f>
              <c:strCache>
                <c:ptCount val="1"/>
                <c:pt idx="0">
                  <c:v>INCENTIVE (BDE+Sr BDE+TM)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'Incentive Summary Output'!$C$14:$P$14</c:f>
              <c:strCache>
                <c:ptCount val="14"/>
                <c:pt idx="2">
                  <c:v>April-26</c:v>
                </c:pt>
                <c:pt idx="3">
                  <c:v>May-26</c:v>
                </c:pt>
                <c:pt idx="4">
                  <c:v>Jun-26</c:v>
                </c:pt>
                <c:pt idx="5">
                  <c:v>Jul-26</c:v>
                </c:pt>
                <c:pt idx="6">
                  <c:v>Aug-26</c:v>
                </c:pt>
                <c:pt idx="7">
                  <c:v>Sep-26</c:v>
                </c:pt>
                <c:pt idx="8">
                  <c:v>Oct-26</c:v>
                </c:pt>
                <c:pt idx="9">
                  <c:v>Nov-26</c:v>
                </c:pt>
                <c:pt idx="10">
                  <c:v>Dec-26</c:v>
                </c:pt>
                <c:pt idx="11">
                  <c:v>Jan-27</c:v>
                </c:pt>
                <c:pt idx="12">
                  <c:v>Feb-27</c:v>
                </c:pt>
                <c:pt idx="13">
                  <c:v>Mar-27</c:v>
                </c:pt>
              </c:strCache>
            </c:strRef>
          </c:cat>
          <c:val>
            <c:numRef>
              <c:f>'Incentive Summary Output'!$C$15:$P$15</c:f>
              <c:numCache>
                <c:formatCode>General</c:formatCode>
                <c:ptCount val="14"/>
                <c:pt idx="2" formatCode="_ * #,##0_ ;_ * \-#,##0_ ;_ * &quot;-&quot;??_ ;_ @_ ">
                  <c:v>1153970.2415254219</c:v>
                </c:pt>
                <c:pt idx="3" formatCode="_ * #,##0_ ;_ * \-#,##0_ ;_ * &quot;-&quot;??_ ;_ @_ ">
                  <c:v>1764141.84957627</c:v>
                </c:pt>
                <c:pt idx="4" formatCode="_ * #,##0_ ;_ * \-#,##0_ ;_ * &quot;-&quot;??_ ;_ @_ ">
                  <c:v>1533549.2898305056</c:v>
                </c:pt>
                <c:pt idx="5" formatCode="_ * #,##0_ ;_ * \-#,##0_ ;_ * &quot;-&quot;??_ ;_ @_ ">
                  <c:v>1354845.1151169753</c:v>
                </c:pt>
                <c:pt idx="6" formatCode="_ * #,##0_ ;_ * \-#,##0_ ;_ * &quot;-&quot;??_ ;_ @_ ">
                  <c:v>22414108.787288122</c:v>
                </c:pt>
              </c:numCache>
            </c:numRef>
          </c:val>
          <c:extLst>
            <c:ext xmlns:c16="http://schemas.microsoft.com/office/drawing/2014/chart" uri="{C3380CC4-5D6E-409C-BE32-E72D297353CC}">
              <c16:uniqueId val="{00000000-BC64-534B-8494-6729448864D2}"/>
            </c:ext>
          </c:extLst>
        </c:ser>
        <c:ser>
          <c:idx val="1"/>
          <c:order val="1"/>
          <c:tx>
            <c:strRef>
              <c:f>'Incentive Summary Output'!$B$16</c:f>
              <c:strCache>
                <c:ptCount val="1"/>
                <c:pt idx="0">
                  <c:v>RM INCENTIVE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delete val="1"/>
          </c:dLbls>
          <c:cat>
            <c:strRef>
              <c:f>'Incentive Summary Output'!$C$14:$P$14</c:f>
              <c:strCache>
                <c:ptCount val="14"/>
                <c:pt idx="2">
                  <c:v>April-26</c:v>
                </c:pt>
                <c:pt idx="3">
                  <c:v>May-26</c:v>
                </c:pt>
                <c:pt idx="4">
                  <c:v>Jun-26</c:v>
                </c:pt>
                <c:pt idx="5">
                  <c:v>Jul-26</c:v>
                </c:pt>
                <c:pt idx="6">
                  <c:v>Aug-26</c:v>
                </c:pt>
                <c:pt idx="7">
                  <c:v>Sep-26</c:v>
                </c:pt>
                <c:pt idx="8">
                  <c:v>Oct-26</c:v>
                </c:pt>
                <c:pt idx="9">
                  <c:v>Nov-26</c:v>
                </c:pt>
                <c:pt idx="10">
                  <c:v>Dec-26</c:v>
                </c:pt>
                <c:pt idx="11">
                  <c:v>Jan-27</c:v>
                </c:pt>
                <c:pt idx="12">
                  <c:v>Feb-27</c:v>
                </c:pt>
                <c:pt idx="13">
                  <c:v>Mar-27</c:v>
                </c:pt>
              </c:strCache>
            </c:strRef>
          </c:cat>
          <c:val>
            <c:numRef>
              <c:f>'Incentive Summary Output'!$C$16:$P$16</c:f>
              <c:numCache>
                <c:formatCode>General</c:formatCode>
                <c:ptCount val="14"/>
                <c:pt idx="2" formatCode="_ * #,##0_ ;_ * \-#,##0_ ;_ * &quot;-&quot;??_ ;_ @_ ">
                  <c:v>57534.067796610077</c:v>
                </c:pt>
                <c:pt idx="3" formatCode="_ * #,##0_ ;_ * \-#,##0_ ;_ * &quot;-&quot;??_ ;_ @_ ">
                  <c:v>73900.607627118603</c:v>
                </c:pt>
                <c:pt idx="4" formatCode="_ * #,##0_ ;_ * \-#,##0_ ;_ * &quot;-&quot;??_ ;_ @_ ">
                  <c:v>78383.44915254222</c:v>
                </c:pt>
                <c:pt idx="5" formatCode="_ * #,##0_ ;_ * \-#,##0_ ;_ * &quot;-&quot;??_ ;_ @_ ">
                  <c:v>84517.791085975012</c:v>
                </c:pt>
                <c:pt idx="6" formatCode="_ * #,##0_ ;_ * \-#,##0_ ;_ * &quot;-&quot;??_ ;_ @_ ">
                  <c:v>1245573.4283898305</c:v>
                </c:pt>
              </c:numCache>
            </c:numRef>
          </c:val>
          <c:extLst>
            <c:ext xmlns:c16="http://schemas.microsoft.com/office/drawing/2014/chart" uri="{C3380CC4-5D6E-409C-BE32-E72D297353CC}">
              <c16:uniqueId val="{00000001-BC64-534B-8494-6729448864D2}"/>
            </c:ext>
          </c:extLst>
        </c:ser>
        <c:ser>
          <c:idx val="2"/>
          <c:order val="2"/>
          <c:tx>
            <c:strRef>
              <c:f>'Incentive Summary Output'!$B$18</c:f>
              <c:strCache>
                <c:ptCount val="1"/>
                <c:pt idx="0">
                  <c:v>REVENUE (Marrow)</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'Incentive Summary Output'!$C$14:$P$14</c:f>
              <c:strCache>
                <c:ptCount val="14"/>
                <c:pt idx="2">
                  <c:v>April-26</c:v>
                </c:pt>
                <c:pt idx="3">
                  <c:v>May-26</c:v>
                </c:pt>
                <c:pt idx="4">
                  <c:v>Jun-26</c:v>
                </c:pt>
                <c:pt idx="5">
                  <c:v>Jul-26</c:v>
                </c:pt>
                <c:pt idx="6">
                  <c:v>Aug-26</c:v>
                </c:pt>
                <c:pt idx="7">
                  <c:v>Sep-26</c:v>
                </c:pt>
                <c:pt idx="8">
                  <c:v>Oct-26</c:v>
                </c:pt>
                <c:pt idx="9">
                  <c:v>Nov-26</c:v>
                </c:pt>
                <c:pt idx="10">
                  <c:v>Dec-26</c:v>
                </c:pt>
                <c:pt idx="11">
                  <c:v>Jan-27</c:v>
                </c:pt>
                <c:pt idx="12">
                  <c:v>Feb-27</c:v>
                </c:pt>
                <c:pt idx="13">
                  <c:v>Mar-27</c:v>
                </c:pt>
              </c:strCache>
            </c:strRef>
          </c:cat>
          <c:val>
            <c:numRef>
              <c:f>'Incentive Summary Output'!$C$18:$P$18</c:f>
              <c:numCache>
                <c:formatCode>General</c:formatCode>
                <c:ptCount val="14"/>
                <c:pt idx="2" formatCode="_ * #,##0_ ;_ * \-#,##0_ ;_ * &quot;-&quot;??_ ;_ @_ ">
                  <c:v>102424706.77966087</c:v>
                </c:pt>
                <c:pt idx="3" formatCode="_ * #,##0_ ;_ * \-#,##0_ ;_ * &quot;-&quot;??_ ;_ @_ ">
                  <c:v>141626709.32203385</c:v>
                </c:pt>
                <c:pt idx="4" formatCode="_ * #,##0_ ;_ * \-#,##0_ ;_ * &quot;-&quot;??_ ;_ @_ ">
                  <c:v>123376240.67796591</c:v>
                </c:pt>
                <c:pt idx="5" formatCode="_ * #,##0_ ;_ * \-#,##0_ ;_ * &quot;-&quot;??_ ;_ @_ ">
                  <c:v>104671086.43092</c:v>
                </c:pt>
                <c:pt idx="6" formatCode="_ * #,##0_ ;_ * \-#,##0_ ;_ * &quot;-&quot;??_ ;_ @_ ">
                  <c:v>835353402.54237235</c:v>
                </c:pt>
              </c:numCache>
            </c:numRef>
          </c:val>
          <c:extLst>
            <c:ext xmlns:c16="http://schemas.microsoft.com/office/drawing/2014/chart" uri="{C3380CC4-5D6E-409C-BE32-E72D297353CC}">
              <c16:uniqueId val="{00000002-BC64-534B-8494-6729448864D2}"/>
            </c:ext>
          </c:extLst>
        </c:ser>
        <c:dLbls>
          <c:dLblPos val="outEnd"/>
          <c:showLegendKey val="0"/>
          <c:showVal val="1"/>
          <c:showCatName val="0"/>
          <c:showSerName val="0"/>
          <c:showPercent val="0"/>
          <c:showBubbleSize val="0"/>
        </c:dLbls>
        <c:gapWidth val="100"/>
        <c:overlap val="-24"/>
        <c:axId val="1562885120"/>
        <c:axId val="1562886768"/>
      </c:barChart>
      <c:catAx>
        <c:axId val="15628851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2886768"/>
        <c:crosses val="autoZero"/>
        <c:auto val="1"/>
        <c:lblAlgn val="ctr"/>
        <c:lblOffset val="100"/>
        <c:noMultiLvlLbl val="0"/>
      </c:catAx>
      <c:valAx>
        <c:axId val="15628867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2885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88900</xdr:colOff>
      <xdr:row>0</xdr:row>
      <xdr:rowOff>101600</xdr:rowOff>
    </xdr:from>
    <xdr:to>
      <xdr:col>16</xdr:col>
      <xdr:colOff>736600</xdr:colOff>
      <xdr:row>12</xdr:row>
      <xdr:rowOff>50800</xdr:rowOff>
    </xdr:to>
    <xdr:graphicFrame macro="">
      <xdr:nvGraphicFramePr>
        <xdr:cNvPr id="8" name="Chart 7">
          <a:extLst>
            <a:ext uri="{FF2B5EF4-FFF2-40B4-BE49-F238E27FC236}">
              <a16:creationId xmlns:a16="http://schemas.microsoft.com/office/drawing/2014/main" id="{80B20343-24E3-C744-3338-E79969524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u/0/d/1ew5fgUBG64XEPT9fjXpYVpvOucvLjQSqY_XqDjrz6VQ/edi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63E0E-8446-F742-A118-90A3D2B1C43F}">
  <sheetPr codeName="Sheet1">
    <tabColor rgb="FFFFFF99"/>
  </sheetPr>
  <dimension ref="B2:E14"/>
  <sheetViews>
    <sheetView showGridLines="0" workbookViewId="0">
      <selection activeCell="F4" sqref="F4"/>
    </sheetView>
  </sheetViews>
  <sheetFormatPr baseColWidth="10" defaultRowHeight="14" x14ac:dyDescent="0.2"/>
  <cols>
    <col min="1" max="1" width="3.1640625" style="3" customWidth="1"/>
    <col min="2" max="2" width="6.33203125" style="3" bestFit="1" customWidth="1"/>
    <col min="3" max="3" width="106.1640625" style="3" customWidth="1"/>
    <col min="4" max="4" width="27.5" style="3" bestFit="1" customWidth="1"/>
    <col min="5" max="5" width="12" style="3" bestFit="1" customWidth="1"/>
    <col min="6" max="16384" width="10.83203125" style="3"/>
  </cols>
  <sheetData>
    <row r="2" spans="2:5" x14ac:dyDescent="0.2">
      <c r="B2" s="89" t="s">
        <v>258</v>
      </c>
      <c r="C2" s="89" t="s">
        <v>259</v>
      </c>
      <c r="D2" s="89" t="s">
        <v>260</v>
      </c>
      <c r="E2" s="89" t="s">
        <v>2775</v>
      </c>
    </row>
    <row r="3" spans="2:5" x14ac:dyDescent="0.2">
      <c r="B3" s="20"/>
      <c r="C3" s="22" t="s">
        <v>261</v>
      </c>
      <c r="D3" s="20"/>
      <c r="E3" s="20"/>
    </row>
    <row r="4" spans="2:5" x14ac:dyDescent="0.2">
      <c r="B4" s="20">
        <v>1</v>
      </c>
      <c r="C4" s="20" t="s">
        <v>262</v>
      </c>
      <c r="D4" s="20" t="s">
        <v>263</v>
      </c>
      <c r="E4" s="20" t="s">
        <v>836</v>
      </c>
    </row>
    <row r="5" spans="2:5" x14ac:dyDescent="0.2">
      <c r="B5" s="20">
        <v>2</v>
      </c>
      <c r="C5" s="20" t="s">
        <v>264</v>
      </c>
      <c r="D5" s="20" t="s">
        <v>265</v>
      </c>
      <c r="E5" s="20" t="s">
        <v>836</v>
      </c>
    </row>
    <row r="6" spans="2:5" x14ac:dyDescent="0.2">
      <c r="B6" s="20">
        <v>3</v>
      </c>
      <c r="C6" s="20" t="s">
        <v>266</v>
      </c>
      <c r="D6" s="20" t="s">
        <v>267</v>
      </c>
      <c r="E6" s="20" t="s">
        <v>836</v>
      </c>
    </row>
    <row r="7" spans="2:5" x14ac:dyDescent="0.2">
      <c r="B7" s="20">
        <v>4</v>
      </c>
      <c r="C7" s="20" t="s">
        <v>268</v>
      </c>
      <c r="D7" s="20" t="s">
        <v>269</v>
      </c>
      <c r="E7" s="20" t="s">
        <v>836</v>
      </c>
    </row>
    <row r="8" spans="2:5" x14ac:dyDescent="0.2">
      <c r="B8" s="20">
        <v>5</v>
      </c>
      <c r="C8" s="20" t="s">
        <v>270</v>
      </c>
      <c r="D8" s="20" t="s">
        <v>269</v>
      </c>
      <c r="E8" s="20" t="s">
        <v>836</v>
      </c>
    </row>
    <row r="9" spans="2:5" x14ac:dyDescent="0.2">
      <c r="B9" s="20">
        <v>6</v>
      </c>
      <c r="C9" s="20" t="s">
        <v>271</v>
      </c>
      <c r="D9" s="21" t="s">
        <v>272</v>
      </c>
      <c r="E9" s="20" t="s">
        <v>836</v>
      </c>
    </row>
    <row r="10" spans="2:5" x14ac:dyDescent="0.2">
      <c r="B10" s="20">
        <v>6</v>
      </c>
      <c r="C10" s="20" t="s">
        <v>273</v>
      </c>
      <c r="D10" s="20" t="s">
        <v>269</v>
      </c>
      <c r="E10" s="20" t="s">
        <v>836</v>
      </c>
    </row>
    <row r="11" spans="2:5" ht="30" customHeight="1" x14ac:dyDescent="0.2">
      <c r="B11" s="20">
        <v>7</v>
      </c>
      <c r="C11" s="23" t="s">
        <v>1191</v>
      </c>
      <c r="D11" s="20" t="s">
        <v>274</v>
      </c>
      <c r="E11" s="20" t="s">
        <v>836</v>
      </c>
    </row>
    <row r="12" spans="2:5" ht="15" x14ac:dyDescent="0.2">
      <c r="B12" s="20">
        <v>8</v>
      </c>
      <c r="C12" s="23" t="s">
        <v>276</v>
      </c>
      <c r="D12" s="20" t="s">
        <v>269</v>
      </c>
      <c r="E12" s="20" t="s">
        <v>836</v>
      </c>
    </row>
    <row r="13" spans="2:5" x14ac:dyDescent="0.2">
      <c r="B13" s="20">
        <v>9</v>
      </c>
      <c r="C13" s="20" t="s">
        <v>275</v>
      </c>
      <c r="D13" s="20" t="s">
        <v>269</v>
      </c>
      <c r="E13" s="20"/>
    </row>
    <row r="14" spans="2:5" ht="30" x14ac:dyDescent="0.2">
      <c r="B14" s="20">
        <v>10</v>
      </c>
      <c r="C14" s="23" t="s">
        <v>279</v>
      </c>
      <c r="D14" s="20" t="s">
        <v>638</v>
      </c>
      <c r="E14" s="20"/>
    </row>
  </sheetData>
  <hyperlinks>
    <hyperlink ref="D9" r:id="rId1" display="https://docs.google.com/document/u/0/d/1ew5fgUBG64XEPT9fjXpYVpvOucvLjQSqY_XqDjrz6VQ/edit" xr:uid="{C3729B19-C754-1C41-A08F-5D615C6BB1F1}"/>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99C72-0115-4F5C-853F-23B78CE58461}">
  <sheetPr codeName="Sheet2"/>
  <dimension ref="B3:F9"/>
  <sheetViews>
    <sheetView showGridLines="0" workbookViewId="0">
      <selection activeCell="F18" sqref="F18"/>
    </sheetView>
  </sheetViews>
  <sheetFormatPr baseColWidth="10" defaultColWidth="8.83203125" defaultRowHeight="14" x14ac:dyDescent="0.2"/>
  <cols>
    <col min="1" max="1" width="4.5" style="3" customWidth="1"/>
    <col min="2" max="2" width="5.1640625" style="3" bestFit="1" customWidth="1"/>
    <col min="3" max="3" width="10.5" style="3" bestFit="1" customWidth="1"/>
    <col min="4" max="4" width="21.6640625" style="3" bestFit="1" customWidth="1"/>
    <col min="5" max="5" width="52.83203125" style="3" customWidth="1"/>
    <col min="6" max="6" width="23" style="3" bestFit="1" customWidth="1"/>
    <col min="7" max="16384" width="8.83203125" style="3"/>
  </cols>
  <sheetData>
    <row r="3" spans="2:6" x14ac:dyDescent="0.2">
      <c r="B3" s="95" t="s">
        <v>119</v>
      </c>
      <c r="C3" s="95" t="s">
        <v>190</v>
      </c>
      <c r="D3" s="95" t="s">
        <v>123</v>
      </c>
      <c r="E3" s="95" t="s">
        <v>124</v>
      </c>
      <c r="F3" s="95" t="s">
        <v>125</v>
      </c>
    </row>
    <row r="4" spans="2:6" ht="15" x14ac:dyDescent="0.2">
      <c r="B4" s="90">
        <v>1</v>
      </c>
      <c r="C4" s="90" t="s">
        <v>126</v>
      </c>
      <c r="D4" s="91" t="s">
        <v>133</v>
      </c>
      <c r="E4" s="92" t="s">
        <v>134</v>
      </c>
      <c r="F4" s="90" t="s">
        <v>135</v>
      </c>
    </row>
    <row r="5" spans="2:6" ht="45" x14ac:dyDescent="0.2">
      <c r="B5" s="90">
        <v>2</v>
      </c>
      <c r="C5" s="90" t="s">
        <v>126</v>
      </c>
      <c r="D5" s="93" t="s">
        <v>131</v>
      </c>
      <c r="E5" s="92" t="s">
        <v>132</v>
      </c>
      <c r="F5" s="90" t="s">
        <v>135</v>
      </c>
    </row>
    <row r="6" spans="2:6" ht="30" x14ac:dyDescent="0.2">
      <c r="B6" s="90">
        <v>3</v>
      </c>
      <c r="C6" s="90" t="s">
        <v>126</v>
      </c>
      <c r="D6" s="91" t="s">
        <v>129</v>
      </c>
      <c r="E6" s="92" t="s">
        <v>130</v>
      </c>
      <c r="F6" s="90" t="s">
        <v>127</v>
      </c>
    </row>
    <row r="7" spans="2:6" ht="30" x14ac:dyDescent="0.2">
      <c r="B7" s="90">
        <v>4</v>
      </c>
      <c r="C7" s="90" t="s">
        <v>122</v>
      </c>
      <c r="D7" s="91" t="s">
        <v>136</v>
      </c>
      <c r="E7" s="92" t="s">
        <v>139</v>
      </c>
      <c r="F7" s="90" t="s">
        <v>127</v>
      </c>
    </row>
    <row r="8" spans="2:6" ht="15" x14ac:dyDescent="0.2">
      <c r="B8" s="90">
        <v>5</v>
      </c>
      <c r="C8" s="90" t="s">
        <v>122</v>
      </c>
      <c r="D8" s="94" t="s">
        <v>138</v>
      </c>
      <c r="E8" s="92" t="s">
        <v>189</v>
      </c>
      <c r="F8" s="90" t="s">
        <v>127</v>
      </c>
    </row>
    <row r="9" spans="2:6" ht="30" x14ac:dyDescent="0.2">
      <c r="B9" s="90">
        <v>6</v>
      </c>
      <c r="C9" s="90" t="s">
        <v>128</v>
      </c>
      <c r="D9" s="94" t="s">
        <v>137</v>
      </c>
      <c r="E9" s="92" t="s">
        <v>140</v>
      </c>
      <c r="F9" s="90" t="s">
        <v>127</v>
      </c>
    </row>
  </sheetData>
  <hyperlinks>
    <hyperlink ref="D4" location="Policy!A1" display="Policy" xr:uid="{46DEDD99-50F9-4816-93E6-A4C2C2403D25}"/>
    <hyperlink ref="D6" location="'Coupon Analysis'!A1" display="Coupon Analysis" xr:uid="{DB538C33-0C84-45D8-AE4B-6CEAA9BE06C5}"/>
    <hyperlink ref="D7" location="'Incentive Report- Output'!A1" display="Incentive Report" xr:uid="{C1F5CAC2-6FAD-475E-B79E-71BE2AAF1A74}"/>
    <hyperlink ref="D8" location="'RM Calculation Pro Rata'!A1" display="RM Calculations Pro Rata " xr:uid="{6C7968E7-F7CC-4BB9-862D-A83B4CBAE6B8}"/>
    <hyperlink ref="D9" location="'Incentive Summary Output'!A1" display="Incentive Summary" xr:uid="{44AA3486-F511-442B-B11E-32049B727C20}"/>
    <hyperlink ref="D5" location="'Target Achieved- Input'!A1" display="Target Achieved" xr:uid="{9BDFE0CA-7F78-4F18-9B70-C7ECB2415330}"/>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D3427-340B-44AB-8162-328777EE1BDF}">
  <sheetPr codeName="Sheet3"/>
  <dimension ref="B4:E32"/>
  <sheetViews>
    <sheetView showGridLines="0" workbookViewId="0">
      <selection activeCell="E25" sqref="E25"/>
    </sheetView>
  </sheetViews>
  <sheetFormatPr baseColWidth="10" defaultColWidth="8.83203125" defaultRowHeight="14" x14ac:dyDescent="0.2"/>
  <cols>
    <col min="1" max="1" width="2.83203125" style="3" customWidth="1"/>
    <col min="2" max="2" width="5.1640625" style="3" bestFit="1" customWidth="1"/>
    <col min="3" max="3" width="26.83203125" style="3" customWidth="1"/>
    <col min="4" max="4" width="34.83203125" style="3" bestFit="1" customWidth="1"/>
    <col min="5" max="5" width="155.1640625" style="3" bestFit="1" customWidth="1"/>
    <col min="6" max="16384" width="8.83203125" style="3"/>
  </cols>
  <sheetData>
    <row r="4" spans="2:5" ht="15" x14ac:dyDescent="0.2">
      <c r="B4" s="24" t="s">
        <v>119</v>
      </c>
      <c r="C4" s="24" t="s">
        <v>120</v>
      </c>
      <c r="D4" s="24" t="s">
        <v>115</v>
      </c>
      <c r="E4" s="24" t="s">
        <v>121</v>
      </c>
    </row>
    <row r="5" spans="2:5" ht="15" x14ac:dyDescent="0.2">
      <c r="B5" s="3">
        <v>1</v>
      </c>
      <c r="C5" s="25" t="s">
        <v>79</v>
      </c>
      <c r="D5" s="26" t="s">
        <v>141</v>
      </c>
      <c r="E5" s="27" t="s">
        <v>172</v>
      </c>
    </row>
    <row r="6" spans="2:5" ht="15" x14ac:dyDescent="0.2">
      <c r="B6" s="3">
        <f>B5+1</f>
        <v>2</v>
      </c>
      <c r="C6" s="25" t="s">
        <v>3</v>
      </c>
      <c r="D6" s="26" t="s">
        <v>142</v>
      </c>
      <c r="E6" s="27" t="s">
        <v>143</v>
      </c>
    </row>
    <row r="7" spans="2:5" ht="15" x14ac:dyDescent="0.2">
      <c r="B7" s="3">
        <f t="shared" ref="B7:B32" si="0">B6+1</f>
        <v>3</v>
      </c>
      <c r="C7" s="25" t="s">
        <v>80</v>
      </c>
      <c r="D7" s="26" t="s">
        <v>173</v>
      </c>
      <c r="E7" s="27" t="s">
        <v>144</v>
      </c>
    </row>
    <row r="8" spans="2:5" ht="15" x14ac:dyDescent="0.2">
      <c r="B8" s="3">
        <f t="shared" si="0"/>
        <v>4</v>
      </c>
      <c r="C8" s="25" t="s">
        <v>81</v>
      </c>
      <c r="D8" s="26" t="s">
        <v>145</v>
      </c>
      <c r="E8" s="27" t="s">
        <v>174</v>
      </c>
    </row>
    <row r="9" spans="2:5" ht="15" x14ac:dyDescent="0.2">
      <c r="B9" s="3">
        <f t="shared" si="0"/>
        <v>5</v>
      </c>
      <c r="C9" s="25" t="s">
        <v>82</v>
      </c>
      <c r="D9" s="26" t="s">
        <v>146</v>
      </c>
      <c r="E9" s="27" t="s">
        <v>150</v>
      </c>
    </row>
    <row r="10" spans="2:5" ht="15" x14ac:dyDescent="0.2">
      <c r="B10" s="3">
        <f t="shared" si="0"/>
        <v>6</v>
      </c>
      <c r="C10" s="25" t="s">
        <v>71</v>
      </c>
      <c r="D10" s="26" t="s">
        <v>147</v>
      </c>
      <c r="E10" s="27" t="s">
        <v>148</v>
      </c>
    </row>
    <row r="11" spans="2:5" ht="30" x14ac:dyDescent="0.2">
      <c r="B11" s="3">
        <f t="shared" si="0"/>
        <v>7</v>
      </c>
      <c r="C11" s="25" t="s">
        <v>83</v>
      </c>
      <c r="D11" s="26" t="s">
        <v>149</v>
      </c>
      <c r="E11" s="27" t="s">
        <v>167</v>
      </c>
    </row>
    <row r="12" spans="2:5" ht="15" x14ac:dyDescent="0.2">
      <c r="B12" s="3">
        <f t="shared" si="0"/>
        <v>8</v>
      </c>
      <c r="C12" s="25" t="s">
        <v>84</v>
      </c>
      <c r="D12" s="26" t="s">
        <v>151</v>
      </c>
      <c r="E12" s="27" t="s">
        <v>175</v>
      </c>
    </row>
    <row r="13" spans="2:5" ht="15" x14ac:dyDescent="0.2">
      <c r="B13" s="3">
        <f t="shared" si="0"/>
        <v>9</v>
      </c>
      <c r="C13" s="25" t="s">
        <v>4</v>
      </c>
      <c r="D13" s="26" t="s">
        <v>152</v>
      </c>
      <c r="E13" s="27" t="s">
        <v>168</v>
      </c>
    </row>
    <row r="14" spans="2:5" ht="15" x14ac:dyDescent="0.2">
      <c r="B14" s="3">
        <f t="shared" si="0"/>
        <v>10</v>
      </c>
      <c r="C14" s="28" t="s">
        <v>85</v>
      </c>
      <c r="D14" s="26" t="s">
        <v>176</v>
      </c>
      <c r="E14" s="27" t="s">
        <v>176</v>
      </c>
    </row>
    <row r="15" spans="2:5" ht="30" x14ac:dyDescent="0.2">
      <c r="B15" s="3">
        <f t="shared" si="0"/>
        <v>11</v>
      </c>
      <c r="C15" s="28" t="s">
        <v>86</v>
      </c>
      <c r="D15" s="26" t="s">
        <v>153</v>
      </c>
      <c r="E15" s="27" t="s">
        <v>154</v>
      </c>
    </row>
    <row r="16" spans="2:5" ht="15" x14ac:dyDescent="0.2">
      <c r="B16" s="3">
        <f t="shared" si="0"/>
        <v>12</v>
      </c>
      <c r="C16" s="28" t="s">
        <v>87</v>
      </c>
      <c r="D16" s="26" t="s">
        <v>155</v>
      </c>
      <c r="E16" s="27" t="s">
        <v>177</v>
      </c>
    </row>
    <row r="17" spans="2:5" ht="15" x14ac:dyDescent="0.2">
      <c r="B17" s="3">
        <f t="shared" si="0"/>
        <v>13</v>
      </c>
      <c r="C17" s="28" t="s">
        <v>5</v>
      </c>
      <c r="D17" s="26" t="s">
        <v>156</v>
      </c>
      <c r="E17" s="27" t="s">
        <v>178</v>
      </c>
    </row>
    <row r="18" spans="2:5" ht="15" x14ac:dyDescent="0.2">
      <c r="B18" s="3">
        <f t="shared" si="0"/>
        <v>14</v>
      </c>
      <c r="C18" s="25" t="s">
        <v>88</v>
      </c>
      <c r="D18" s="26" t="s">
        <v>88</v>
      </c>
      <c r="E18" s="27" t="s">
        <v>179</v>
      </c>
    </row>
    <row r="19" spans="2:5" ht="30" x14ac:dyDescent="0.2">
      <c r="B19" s="3">
        <f t="shared" si="0"/>
        <v>15</v>
      </c>
      <c r="C19" s="28" t="s">
        <v>89</v>
      </c>
      <c r="D19" s="26" t="s">
        <v>180</v>
      </c>
      <c r="E19" s="27" t="s">
        <v>169</v>
      </c>
    </row>
    <row r="20" spans="2:5" ht="15" x14ac:dyDescent="0.2">
      <c r="B20" s="3">
        <f t="shared" si="0"/>
        <v>16</v>
      </c>
      <c r="C20" s="25" t="s">
        <v>102</v>
      </c>
      <c r="D20" s="26" t="s">
        <v>102</v>
      </c>
      <c r="E20" s="27" t="s">
        <v>158</v>
      </c>
    </row>
    <row r="21" spans="2:5" ht="15" x14ac:dyDescent="0.2">
      <c r="B21" s="3">
        <f t="shared" si="0"/>
        <v>17</v>
      </c>
      <c r="C21" s="25" t="s">
        <v>103</v>
      </c>
      <c r="D21" s="26" t="s">
        <v>103</v>
      </c>
      <c r="E21" s="27" t="s">
        <v>159</v>
      </c>
    </row>
    <row r="22" spans="2:5" ht="15" x14ac:dyDescent="0.2">
      <c r="B22" s="3">
        <f t="shared" si="0"/>
        <v>18</v>
      </c>
      <c r="C22" s="25" t="s">
        <v>104</v>
      </c>
      <c r="D22" s="26" t="s">
        <v>104</v>
      </c>
      <c r="E22" s="27" t="s">
        <v>160</v>
      </c>
    </row>
    <row r="23" spans="2:5" ht="15" x14ac:dyDescent="0.2">
      <c r="B23" s="3">
        <f t="shared" si="0"/>
        <v>19</v>
      </c>
      <c r="C23" s="28" t="s">
        <v>105</v>
      </c>
      <c r="D23" s="26" t="s">
        <v>105</v>
      </c>
      <c r="E23" s="27" t="s">
        <v>181</v>
      </c>
    </row>
    <row r="24" spans="2:5" ht="15" x14ac:dyDescent="0.2">
      <c r="B24" s="3">
        <f t="shared" si="0"/>
        <v>20</v>
      </c>
      <c r="C24" s="25" t="s">
        <v>90</v>
      </c>
      <c r="D24" s="26" t="s">
        <v>90</v>
      </c>
      <c r="E24" s="27" t="s">
        <v>161</v>
      </c>
    </row>
    <row r="25" spans="2:5" ht="15" x14ac:dyDescent="0.2">
      <c r="B25" s="3">
        <f t="shared" si="0"/>
        <v>21</v>
      </c>
      <c r="C25" s="25" t="s">
        <v>91</v>
      </c>
      <c r="D25" s="26" t="s">
        <v>91</v>
      </c>
      <c r="E25" s="27" t="s">
        <v>162</v>
      </c>
    </row>
    <row r="26" spans="2:5" ht="15" x14ac:dyDescent="0.2">
      <c r="B26" s="3">
        <f t="shared" si="0"/>
        <v>22</v>
      </c>
      <c r="C26" s="25" t="s">
        <v>92</v>
      </c>
      <c r="D26" s="26" t="s">
        <v>92</v>
      </c>
      <c r="E26" s="27" t="s">
        <v>182</v>
      </c>
    </row>
    <row r="27" spans="2:5" ht="15" x14ac:dyDescent="0.2">
      <c r="B27" s="3">
        <f t="shared" si="0"/>
        <v>23</v>
      </c>
      <c r="C27" s="28" t="s">
        <v>93</v>
      </c>
      <c r="D27" s="26" t="s">
        <v>163</v>
      </c>
      <c r="E27" s="27" t="s">
        <v>183</v>
      </c>
    </row>
    <row r="28" spans="2:5" ht="30" x14ac:dyDescent="0.2">
      <c r="B28" s="3">
        <f t="shared" si="0"/>
        <v>24</v>
      </c>
      <c r="C28" s="28" t="s">
        <v>114</v>
      </c>
      <c r="D28" s="26" t="s">
        <v>184</v>
      </c>
      <c r="E28" s="27" t="s">
        <v>164</v>
      </c>
    </row>
    <row r="29" spans="2:5" ht="30" x14ac:dyDescent="0.2">
      <c r="B29" s="3">
        <f t="shared" si="0"/>
        <v>25</v>
      </c>
      <c r="C29" s="28" t="s">
        <v>94</v>
      </c>
      <c r="D29" s="26" t="s">
        <v>185</v>
      </c>
      <c r="E29" s="27" t="s">
        <v>186</v>
      </c>
    </row>
    <row r="30" spans="2:5" ht="30" x14ac:dyDescent="0.2">
      <c r="B30" s="3">
        <f t="shared" si="0"/>
        <v>26</v>
      </c>
      <c r="C30" s="28" t="s">
        <v>95</v>
      </c>
      <c r="D30" s="26" t="s">
        <v>165</v>
      </c>
      <c r="E30" s="27" t="s">
        <v>187</v>
      </c>
    </row>
    <row r="31" spans="2:5" ht="15" x14ac:dyDescent="0.2">
      <c r="B31" s="3">
        <f t="shared" si="0"/>
        <v>27</v>
      </c>
      <c r="C31" s="28" t="s">
        <v>96</v>
      </c>
      <c r="D31" s="26" t="s">
        <v>166</v>
      </c>
      <c r="E31" s="27" t="s">
        <v>188</v>
      </c>
    </row>
    <row r="32" spans="2:5" ht="15" x14ac:dyDescent="0.2">
      <c r="B32" s="3">
        <f t="shared" si="0"/>
        <v>28</v>
      </c>
      <c r="C32" s="28" t="s">
        <v>97</v>
      </c>
      <c r="D32" s="26" t="s">
        <v>170</v>
      </c>
      <c r="E32" s="27" t="s">
        <v>171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E3A1F-D658-6E46-A8C9-C2913B620AEA}">
  <sheetPr codeName="Sheet4">
    <outlinePr summaryBelow="0" summaryRight="0"/>
  </sheetPr>
  <dimension ref="B1:AC59"/>
  <sheetViews>
    <sheetView showGridLines="0" workbookViewId="0">
      <selection activeCell="C20" sqref="C20"/>
    </sheetView>
  </sheetViews>
  <sheetFormatPr baseColWidth="10" defaultColWidth="12.6640625" defaultRowHeight="15.75" customHeight="1" x14ac:dyDescent="0.2"/>
  <cols>
    <col min="1" max="1" width="3.83203125" style="29" customWidth="1"/>
    <col min="2" max="2" width="27" style="29" customWidth="1"/>
    <col min="3" max="3" width="25.5" style="29" customWidth="1"/>
    <col min="4" max="4" width="33.5" style="29" hidden="1" customWidth="1"/>
    <col min="5" max="5" width="32.1640625" style="29" hidden="1" customWidth="1"/>
    <col min="6" max="6" width="28.83203125" style="29" hidden="1" customWidth="1"/>
    <col min="7" max="7" width="25.33203125" style="29" hidden="1" customWidth="1"/>
    <col min="8" max="8" width="15.1640625" style="29" hidden="1" customWidth="1"/>
    <col min="9" max="9" width="13.83203125" style="29" hidden="1" customWidth="1"/>
    <col min="10" max="10" width="32.6640625" style="29" hidden="1" customWidth="1"/>
    <col min="11" max="11" width="22.1640625" style="234" bestFit="1" customWidth="1"/>
    <col min="12" max="12" width="30" style="29" customWidth="1"/>
    <col min="13" max="13" width="14.83203125" style="29" bestFit="1" customWidth="1"/>
    <col min="14" max="14" width="12.6640625" style="29"/>
    <col min="15" max="15" width="11.1640625" style="29" bestFit="1" customWidth="1"/>
    <col min="16" max="16" width="13.83203125" style="29" bestFit="1" customWidth="1"/>
    <col min="17" max="22" width="13.83203125" style="29" customWidth="1"/>
    <col min="23" max="23" width="12.6640625" style="29"/>
    <col min="24" max="24" width="17.1640625" style="29" bestFit="1" customWidth="1"/>
    <col min="25" max="16384" width="12.6640625" style="29"/>
  </cols>
  <sheetData>
    <row r="1" spans="2:29" ht="15.75" customHeight="1" x14ac:dyDescent="0.2">
      <c r="B1" s="30" t="s">
        <v>1425</v>
      </c>
    </row>
    <row r="2" spans="2:29" ht="15.75" customHeight="1" x14ac:dyDescent="0.2">
      <c r="B2" s="30"/>
    </row>
    <row r="3" spans="2:29" customFormat="1" ht="15.75" customHeight="1" x14ac:dyDescent="0.15">
      <c r="B3" s="162" t="s">
        <v>107</v>
      </c>
      <c r="C3" s="162">
        <v>33000</v>
      </c>
      <c r="D3" s="163"/>
      <c r="E3" s="164"/>
      <c r="F3" s="164"/>
      <c r="G3" s="164"/>
      <c r="H3" s="164"/>
      <c r="I3" s="164"/>
      <c r="J3" s="164"/>
      <c r="K3" s="235"/>
      <c r="L3" s="164"/>
      <c r="M3" s="164"/>
      <c r="N3" s="164"/>
      <c r="O3" s="164"/>
      <c r="P3" s="164"/>
      <c r="Q3" s="164"/>
      <c r="R3" s="164"/>
      <c r="S3" s="164"/>
      <c r="T3" s="164"/>
      <c r="U3" s="164"/>
      <c r="V3" s="164"/>
      <c r="W3" s="164"/>
      <c r="X3" s="164"/>
      <c r="Y3" s="164"/>
      <c r="Z3" s="164"/>
      <c r="AA3" s="164"/>
      <c r="AB3" s="164"/>
      <c r="AC3" s="164"/>
    </row>
    <row r="4" spans="2:29" customFormat="1" ht="14" x14ac:dyDescent="0.2">
      <c r="B4" s="374" t="s">
        <v>293</v>
      </c>
      <c r="C4" s="375"/>
      <c r="D4" s="110" t="s">
        <v>676</v>
      </c>
      <c r="E4" s="164"/>
      <c r="F4" s="164"/>
      <c r="G4" s="164"/>
      <c r="H4" s="164"/>
      <c r="I4" s="164"/>
      <c r="J4" s="164"/>
      <c r="K4" s="235"/>
      <c r="L4" s="239" t="s">
        <v>947</v>
      </c>
      <c r="M4" s="240" t="s">
        <v>948</v>
      </c>
      <c r="N4" s="164"/>
      <c r="O4" s="164"/>
      <c r="P4" s="164"/>
      <c r="Q4" s="164"/>
      <c r="R4" s="164"/>
      <c r="S4" s="164"/>
      <c r="T4" s="164"/>
      <c r="U4" s="164"/>
      <c r="V4" s="164"/>
      <c r="W4" s="164"/>
      <c r="X4" s="164"/>
      <c r="Y4" s="164"/>
      <c r="Z4" s="164"/>
      <c r="AA4" s="164"/>
      <c r="AB4" s="164"/>
      <c r="AC4" s="164"/>
    </row>
    <row r="5" spans="2:29" customFormat="1" ht="15.75" customHeight="1" x14ac:dyDescent="0.15">
      <c r="B5" s="165" t="s">
        <v>232</v>
      </c>
      <c r="C5" s="166">
        <v>0</v>
      </c>
      <c r="D5" s="163"/>
      <c r="E5" s="164"/>
      <c r="F5" s="164"/>
      <c r="G5" s="164"/>
      <c r="H5" s="164"/>
      <c r="I5" s="164"/>
      <c r="J5" s="164"/>
      <c r="K5" s="235"/>
      <c r="L5" s="241">
        <v>0</v>
      </c>
      <c r="M5" s="242">
        <v>0</v>
      </c>
      <c r="N5" s="164"/>
      <c r="O5" s="164"/>
      <c r="P5" s="164"/>
      <c r="Q5" s="164"/>
      <c r="R5" s="164"/>
      <c r="S5" s="164"/>
      <c r="T5" s="164"/>
      <c r="U5" s="164"/>
      <c r="V5" s="164"/>
      <c r="W5" s="164"/>
      <c r="X5" s="164"/>
      <c r="Y5" s="164"/>
      <c r="Z5" s="164"/>
      <c r="AA5" s="164"/>
      <c r="AB5" s="164"/>
      <c r="AC5" s="164"/>
    </row>
    <row r="6" spans="2:29" customFormat="1" ht="15.75" customHeight="1" x14ac:dyDescent="0.15">
      <c r="B6" s="165" t="s">
        <v>233</v>
      </c>
      <c r="C6" s="167">
        <v>5.0000000000000001E-3</v>
      </c>
      <c r="D6" s="163"/>
      <c r="E6" s="164"/>
      <c r="F6" s="164"/>
      <c r="G6" s="164"/>
      <c r="H6" s="164"/>
      <c r="I6" s="164"/>
      <c r="J6" s="164"/>
      <c r="K6" s="235"/>
      <c r="L6" s="241">
        <v>75</v>
      </c>
      <c r="M6" s="242">
        <v>5.0000000000000001E-4</v>
      </c>
      <c r="N6" s="164"/>
      <c r="O6" s="164"/>
      <c r="P6" s="164"/>
      <c r="Q6" s="164"/>
      <c r="R6" s="164"/>
      <c r="S6" s="164"/>
      <c r="T6" s="164"/>
      <c r="U6" s="164"/>
      <c r="V6" s="164"/>
      <c r="W6" s="164"/>
      <c r="X6" s="164"/>
      <c r="Y6" s="164"/>
      <c r="Z6" s="164"/>
      <c r="AA6" s="164"/>
      <c r="AB6" s="164"/>
      <c r="AC6" s="164"/>
    </row>
    <row r="7" spans="2:29" customFormat="1" ht="15.75" customHeight="1" x14ac:dyDescent="0.15">
      <c r="B7" s="165" t="s">
        <v>234</v>
      </c>
      <c r="C7" s="167">
        <v>0.01</v>
      </c>
      <c r="D7" s="163"/>
      <c r="E7" s="164"/>
      <c r="F7" s="164"/>
      <c r="G7" s="164"/>
      <c r="H7" s="164"/>
      <c r="I7" s="164"/>
      <c r="J7" s="164"/>
      <c r="K7" s="235"/>
      <c r="L7" s="241">
        <v>100</v>
      </c>
      <c r="M7" s="242">
        <v>1E-3</v>
      </c>
      <c r="N7" s="164"/>
      <c r="O7" s="164"/>
      <c r="P7" s="164"/>
      <c r="Q7" s="164"/>
      <c r="R7" s="164"/>
      <c r="S7" s="164"/>
      <c r="T7" s="164"/>
      <c r="U7" s="164"/>
      <c r="V7" s="164"/>
      <c r="W7" s="164"/>
      <c r="X7" s="164"/>
      <c r="Y7" s="164"/>
      <c r="Z7" s="164"/>
      <c r="AA7" s="164"/>
      <c r="AB7" s="164"/>
      <c r="AC7" s="164"/>
    </row>
    <row r="8" spans="2:29" customFormat="1" ht="15.75" customHeight="1" x14ac:dyDescent="0.15">
      <c r="B8" s="165" t="s">
        <v>235</v>
      </c>
      <c r="C8" s="167">
        <v>2.2499999999999999E-2</v>
      </c>
      <c r="D8" s="163"/>
      <c r="E8" s="164"/>
      <c r="F8" s="164"/>
      <c r="G8" s="164"/>
      <c r="H8" s="164"/>
      <c r="I8" s="164"/>
      <c r="J8" s="164"/>
      <c r="K8" s="235"/>
      <c r="L8" s="241">
        <v>125</v>
      </c>
      <c r="M8" s="242">
        <v>2.5000000000000001E-3</v>
      </c>
      <c r="N8" s="164"/>
      <c r="O8" s="164"/>
      <c r="P8" s="164"/>
      <c r="Q8" s="164"/>
      <c r="R8" s="164"/>
      <c r="S8" s="164"/>
      <c r="T8" s="164"/>
      <c r="U8" s="164"/>
      <c r="V8" s="164"/>
      <c r="W8" s="164"/>
      <c r="X8" s="164"/>
      <c r="Y8" s="164"/>
      <c r="Z8" s="164"/>
      <c r="AA8" s="164"/>
      <c r="AB8" s="164"/>
      <c r="AC8" s="164"/>
    </row>
    <row r="9" spans="2:29" customFormat="1" ht="15.75" customHeight="1" x14ac:dyDescent="0.15">
      <c r="B9" s="165" t="s">
        <v>236</v>
      </c>
      <c r="C9" s="167">
        <v>0.03</v>
      </c>
      <c r="D9" s="163"/>
      <c r="E9" s="164"/>
      <c r="F9" s="164"/>
      <c r="G9" s="164"/>
      <c r="H9" s="164"/>
      <c r="I9" s="164"/>
      <c r="J9" s="164"/>
      <c r="K9" s="235"/>
      <c r="L9" s="164"/>
      <c r="M9" s="164"/>
      <c r="N9" s="164"/>
      <c r="O9" s="164"/>
      <c r="P9" s="164"/>
      <c r="Q9" s="164"/>
      <c r="R9" s="164"/>
      <c r="S9" s="164"/>
      <c r="T9" s="164"/>
      <c r="U9" s="164"/>
      <c r="V9" s="164"/>
      <c r="W9" s="164"/>
      <c r="X9" s="164"/>
      <c r="Y9" s="164"/>
      <c r="Z9" s="164"/>
      <c r="AA9" s="164"/>
      <c r="AB9" s="164"/>
      <c r="AC9" s="164"/>
    </row>
    <row r="10" spans="2:29" customFormat="1" ht="15.75" customHeight="1" x14ac:dyDescent="0.15">
      <c r="B10" s="163"/>
      <c r="C10" s="163"/>
      <c r="D10" s="163"/>
      <c r="E10" s="164"/>
      <c r="F10" s="164"/>
      <c r="G10" s="164"/>
      <c r="H10" s="164"/>
      <c r="I10" s="164"/>
      <c r="J10" s="164"/>
      <c r="K10" s="235"/>
      <c r="L10" s="164"/>
      <c r="M10" s="164"/>
      <c r="N10" s="164"/>
      <c r="O10" s="164"/>
      <c r="P10" s="164"/>
      <c r="Q10" s="164"/>
      <c r="R10" s="164"/>
      <c r="S10" s="164"/>
      <c r="T10" s="164"/>
      <c r="U10" s="164"/>
      <c r="V10" s="164"/>
      <c r="W10" s="164"/>
      <c r="X10" s="164"/>
      <c r="Y10" s="164"/>
      <c r="Z10" s="164"/>
      <c r="AA10" s="164"/>
      <c r="AB10" s="164"/>
      <c r="AC10" s="164"/>
    </row>
    <row r="11" spans="2:29" customFormat="1" ht="14" x14ac:dyDescent="0.2">
      <c r="B11" s="374" t="s">
        <v>294</v>
      </c>
      <c r="C11" s="375"/>
      <c r="D11" s="110" t="s">
        <v>295</v>
      </c>
      <c r="E11" s="164"/>
      <c r="F11" s="164"/>
      <c r="G11" s="164"/>
      <c r="H11" s="164"/>
      <c r="I11" s="164"/>
      <c r="J11" s="164"/>
      <c r="K11" s="235"/>
      <c r="L11" s="248" t="s">
        <v>1008</v>
      </c>
      <c r="M11" s="240" t="s">
        <v>1037</v>
      </c>
      <c r="N11" s="164"/>
      <c r="O11" s="164"/>
      <c r="P11" s="164"/>
      <c r="Q11" s="164"/>
      <c r="R11" s="164"/>
      <c r="S11" s="164"/>
      <c r="T11" s="164"/>
      <c r="U11" s="164"/>
      <c r="V11" s="164"/>
      <c r="W11" s="164"/>
      <c r="X11" s="164"/>
      <c r="Y11" s="164"/>
      <c r="Z11" s="164"/>
      <c r="AA11" s="164"/>
      <c r="AB11" s="164"/>
      <c r="AC11" s="164"/>
    </row>
    <row r="12" spans="2:29" customFormat="1" ht="15.75" customHeight="1" x14ac:dyDescent="0.15">
      <c r="B12" s="165" t="s">
        <v>237</v>
      </c>
      <c r="C12" s="166">
        <v>0</v>
      </c>
      <c r="D12" s="163"/>
      <c r="E12" s="164"/>
      <c r="F12" s="164"/>
      <c r="G12" s="164"/>
      <c r="H12" s="164"/>
      <c r="I12" s="164"/>
      <c r="J12" s="164"/>
      <c r="K12" s="235"/>
      <c r="L12" s="249">
        <v>0</v>
      </c>
      <c r="M12" s="246">
        <v>0</v>
      </c>
      <c r="N12" s="164"/>
      <c r="O12" s="164"/>
      <c r="P12" s="164"/>
      <c r="Q12" s="164"/>
      <c r="R12" s="164"/>
      <c r="S12" s="164"/>
      <c r="T12" s="164"/>
      <c r="U12" s="164"/>
      <c r="V12" s="164"/>
      <c r="W12" s="164"/>
      <c r="X12" s="164"/>
      <c r="Y12" s="164"/>
      <c r="Z12" s="164"/>
      <c r="AA12" s="164"/>
      <c r="AB12" s="164"/>
      <c r="AC12" s="164"/>
    </row>
    <row r="13" spans="2:29" customFormat="1" ht="15.75" customHeight="1" x14ac:dyDescent="0.15">
      <c r="B13" s="165" t="s">
        <v>238</v>
      </c>
      <c r="C13" s="167">
        <v>1E-3</v>
      </c>
      <c r="D13" s="163"/>
      <c r="E13" s="164"/>
      <c r="F13" s="164"/>
      <c r="G13" s="164"/>
      <c r="H13" s="164"/>
      <c r="I13" s="164"/>
      <c r="J13" s="164"/>
      <c r="K13" s="235"/>
      <c r="L13" s="249">
        <v>0.5</v>
      </c>
      <c r="M13" s="247">
        <v>5.0000000000000001E-3</v>
      </c>
      <c r="N13" s="164"/>
      <c r="O13" s="164"/>
      <c r="P13" s="164"/>
      <c r="Q13" s="164"/>
      <c r="R13" s="164"/>
      <c r="S13" s="164"/>
      <c r="T13" s="164"/>
      <c r="U13" s="164"/>
      <c r="V13" s="164"/>
      <c r="W13" s="164"/>
      <c r="X13" s="164"/>
      <c r="Y13" s="164"/>
      <c r="Z13" s="164"/>
      <c r="AA13" s="164"/>
      <c r="AB13" s="164"/>
      <c r="AC13" s="164"/>
    </row>
    <row r="14" spans="2:29" customFormat="1" ht="15.75" customHeight="1" x14ac:dyDescent="0.15">
      <c r="B14" s="165" t="s">
        <v>235</v>
      </c>
      <c r="C14" s="167">
        <v>1.5E-3</v>
      </c>
      <c r="D14" s="163"/>
      <c r="E14" s="164"/>
      <c r="F14" s="164"/>
      <c r="G14" s="164"/>
      <c r="H14" s="164"/>
      <c r="I14" s="164"/>
      <c r="J14" s="164"/>
      <c r="K14" s="235"/>
      <c r="L14" s="249">
        <v>0.8</v>
      </c>
      <c r="M14" s="247">
        <v>0.01</v>
      </c>
      <c r="N14" s="164"/>
      <c r="O14" s="164"/>
      <c r="P14" s="164"/>
      <c r="Q14" s="164"/>
      <c r="R14" s="164"/>
      <c r="S14" s="164"/>
      <c r="T14" s="164"/>
      <c r="U14" s="164"/>
      <c r="V14" s="164"/>
      <c r="W14" s="164"/>
      <c r="X14" s="164"/>
      <c r="Y14" s="164"/>
      <c r="Z14" s="164"/>
      <c r="AA14" s="164"/>
      <c r="AB14" s="164"/>
      <c r="AC14" s="164"/>
    </row>
    <row r="15" spans="2:29" customFormat="1" ht="15.75" customHeight="1" x14ac:dyDescent="0.15">
      <c r="B15" s="165" t="s">
        <v>239</v>
      </c>
      <c r="C15" s="167">
        <v>2.5000000000000001E-3</v>
      </c>
      <c r="D15" s="163"/>
      <c r="E15" s="164"/>
      <c r="F15" s="164"/>
      <c r="G15" s="164"/>
      <c r="H15" s="164"/>
      <c r="I15" s="164"/>
      <c r="J15" s="164"/>
      <c r="K15" s="235"/>
      <c r="L15" s="249">
        <v>1</v>
      </c>
      <c r="M15" s="247">
        <v>2.2499999999999999E-2</v>
      </c>
      <c r="N15" s="164"/>
      <c r="O15" s="164"/>
      <c r="P15" s="164"/>
      <c r="Q15" s="164"/>
      <c r="R15" s="164"/>
      <c r="S15" s="164"/>
      <c r="T15" s="164"/>
      <c r="U15" s="164"/>
      <c r="V15" s="164"/>
      <c r="W15" s="164"/>
      <c r="X15" s="164"/>
      <c r="Y15" s="164"/>
      <c r="Z15" s="164"/>
      <c r="AA15" s="164"/>
      <c r="AB15" s="164"/>
      <c r="AC15" s="164"/>
    </row>
    <row r="16" spans="2:29" customFormat="1" ht="15.75" customHeight="1" x14ac:dyDescent="0.15">
      <c r="B16" s="165"/>
      <c r="C16" s="165"/>
      <c r="D16" s="163"/>
      <c r="E16" s="164"/>
      <c r="F16" s="164"/>
      <c r="G16" s="164"/>
      <c r="H16" s="164"/>
      <c r="I16" s="164"/>
      <c r="J16" s="164"/>
      <c r="K16" s="235"/>
      <c r="L16" s="250">
        <v>1.3</v>
      </c>
      <c r="M16" s="247">
        <v>0.03</v>
      </c>
      <c r="N16" s="164"/>
      <c r="O16" s="164"/>
      <c r="P16" s="164"/>
      <c r="Q16" s="164"/>
      <c r="R16" s="164"/>
      <c r="S16" s="164"/>
      <c r="T16" s="164"/>
      <c r="U16" s="164"/>
      <c r="V16" s="164"/>
      <c r="W16" s="164"/>
      <c r="X16" s="164"/>
      <c r="Y16" s="164"/>
      <c r="Z16" s="164"/>
      <c r="AA16" s="164"/>
      <c r="AB16" s="164"/>
      <c r="AC16" s="164"/>
    </row>
    <row r="17" spans="2:29" customFormat="1" ht="14" x14ac:dyDescent="0.2">
      <c r="B17" s="376" t="s">
        <v>296</v>
      </c>
      <c r="C17" s="377"/>
      <c r="D17" s="110" t="s">
        <v>677</v>
      </c>
      <c r="E17" s="164"/>
      <c r="F17" s="164"/>
      <c r="G17" s="164"/>
      <c r="H17" s="164"/>
      <c r="I17" s="164"/>
      <c r="J17" s="164"/>
      <c r="K17" s="235"/>
      <c r="L17" s="248" t="s">
        <v>1038</v>
      </c>
      <c r="M17" s="240" t="s">
        <v>1037</v>
      </c>
      <c r="N17" s="164"/>
      <c r="O17" s="164"/>
      <c r="P17" s="164"/>
      <c r="Q17" s="164"/>
      <c r="R17" s="164"/>
      <c r="S17" s="164"/>
      <c r="T17" s="164"/>
      <c r="U17" s="164"/>
      <c r="V17" s="164"/>
      <c r="W17" s="164"/>
      <c r="X17" s="164"/>
      <c r="Y17" s="164"/>
      <c r="Z17" s="164"/>
      <c r="AA17" s="164"/>
      <c r="AB17" s="164"/>
      <c r="AC17" s="164"/>
    </row>
    <row r="18" spans="2:29" customFormat="1" ht="15.75" customHeight="1" x14ac:dyDescent="0.15">
      <c r="B18" s="175" t="s">
        <v>237</v>
      </c>
      <c r="C18" s="168">
        <v>0</v>
      </c>
      <c r="D18" s="163"/>
      <c r="E18" s="164"/>
      <c r="F18" s="164"/>
      <c r="G18" s="164"/>
      <c r="H18" s="164"/>
      <c r="I18" s="164"/>
      <c r="J18" s="164"/>
      <c r="K18" s="235"/>
      <c r="L18" s="249">
        <v>0</v>
      </c>
      <c r="M18" s="166">
        <v>0</v>
      </c>
      <c r="N18" s="164"/>
      <c r="O18" s="164"/>
      <c r="P18" s="164"/>
      <c r="Q18" s="164"/>
      <c r="R18" s="164"/>
      <c r="S18" s="164"/>
      <c r="T18" s="164"/>
      <c r="U18" s="164"/>
      <c r="V18" s="164"/>
      <c r="W18" s="164"/>
      <c r="X18" s="164"/>
      <c r="Y18" s="164"/>
      <c r="Z18" s="164"/>
      <c r="AA18" s="164"/>
      <c r="AB18" s="164"/>
      <c r="AC18" s="164"/>
    </row>
    <row r="19" spans="2:29" customFormat="1" ht="15.75" customHeight="1" x14ac:dyDescent="0.15">
      <c r="B19" s="175" t="s">
        <v>238</v>
      </c>
      <c r="C19" s="169">
        <v>2.5000000000000001E-3</v>
      </c>
      <c r="D19" s="163"/>
      <c r="E19" s="164"/>
      <c r="F19" s="164"/>
      <c r="G19" s="164"/>
      <c r="H19" s="164"/>
      <c r="I19" s="164"/>
      <c r="J19" s="164"/>
      <c r="K19" s="235"/>
      <c r="L19" s="249">
        <v>0.8</v>
      </c>
      <c r="M19" s="167">
        <v>1E-3</v>
      </c>
      <c r="N19" s="164"/>
      <c r="O19" s="164"/>
      <c r="P19" s="164"/>
      <c r="Q19" s="164"/>
      <c r="R19" s="164"/>
      <c r="S19" s="164"/>
      <c r="T19" s="164"/>
      <c r="U19" s="164"/>
      <c r="V19" s="164"/>
      <c r="W19" s="164"/>
      <c r="X19" s="164"/>
      <c r="Y19" s="164"/>
      <c r="Z19" s="164"/>
      <c r="AA19" s="164"/>
      <c r="AB19" s="164"/>
      <c r="AC19" s="164"/>
    </row>
    <row r="20" spans="2:29" customFormat="1" ht="15.75" customHeight="1" x14ac:dyDescent="0.15">
      <c r="B20" s="175" t="s">
        <v>235</v>
      </c>
      <c r="C20" s="169">
        <v>3.5000000000000001E-3</v>
      </c>
      <c r="D20" s="163"/>
      <c r="E20" s="164"/>
      <c r="F20" s="164"/>
      <c r="G20" s="164"/>
      <c r="H20" s="164"/>
      <c r="I20" s="164"/>
      <c r="J20" s="164"/>
      <c r="K20" s="235"/>
      <c r="L20" s="249">
        <v>1</v>
      </c>
      <c r="M20" s="167">
        <v>1.5E-3</v>
      </c>
      <c r="N20" s="164"/>
      <c r="O20" s="164"/>
      <c r="P20" s="164"/>
      <c r="Q20" s="164"/>
      <c r="R20" s="164"/>
      <c r="S20" s="164"/>
      <c r="T20" s="164"/>
      <c r="U20" s="164"/>
      <c r="V20" s="164"/>
      <c r="W20" s="164"/>
      <c r="X20" s="164"/>
      <c r="Y20" s="164"/>
      <c r="Z20" s="164"/>
      <c r="AA20" s="164"/>
      <c r="AB20" s="164"/>
      <c r="AC20" s="164"/>
    </row>
    <row r="21" spans="2:29" customFormat="1" ht="15.75" customHeight="1" x14ac:dyDescent="0.15">
      <c r="B21" s="175" t="s">
        <v>239</v>
      </c>
      <c r="C21" s="169">
        <v>5.0000000000000001E-3</v>
      </c>
      <c r="D21" s="163"/>
      <c r="E21" s="164"/>
      <c r="F21" s="164"/>
      <c r="G21" s="164"/>
      <c r="H21" s="164"/>
      <c r="I21" s="164"/>
      <c r="J21" s="164"/>
      <c r="K21" s="235"/>
      <c r="L21" s="250">
        <v>1.3</v>
      </c>
      <c r="M21" s="167">
        <v>2.5000000000000001E-3</v>
      </c>
      <c r="N21" s="164"/>
      <c r="O21" s="164"/>
      <c r="P21" s="164"/>
      <c r="Q21" s="164"/>
      <c r="R21" s="164"/>
      <c r="S21" s="164"/>
      <c r="T21" s="164"/>
      <c r="U21" s="164"/>
      <c r="V21" s="164"/>
      <c r="W21" s="164"/>
      <c r="X21" s="164"/>
      <c r="Y21" s="164"/>
      <c r="Z21" s="164"/>
      <c r="AA21" s="164"/>
      <c r="AB21" s="164"/>
      <c r="AC21" s="164"/>
    </row>
    <row r="22" spans="2:29" customFormat="1" ht="15.75" customHeight="1" x14ac:dyDescent="0.15">
      <c r="B22" s="163"/>
      <c r="C22" s="226"/>
      <c r="D22" s="163"/>
      <c r="E22" s="164"/>
      <c r="F22" s="164"/>
      <c r="G22" s="164"/>
      <c r="H22" s="164"/>
      <c r="I22" s="164"/>
      <c r="J22" s="164"/>
      <c r="K22" s="235"/>
      <c r="L22" s="256" t="s">
        <v>296</v>
      </c>
      <c r="M22" s="255" t="s">
        <v>1037</v>
      </c>
      <c r="N22" s="164"/>
      <c r="O22" s="164"/>
      <c r="P22" s="164"/>
      <c r="Q22" s="164"/>
      <c r="R22" s="164"/>
      <c r="S22" s="164"/>
      <c r="T22" s="164"/>
      <c r="U22" s="164"/>
      <c r="V22" s="164"/>
      <c r="W22" s="164"/>
      <c r="X22" s="164"/>
      <c r="Y22" s="164"/>
      <c r="Z22" s="164"/>
      <c r="AA22" s="164"/>
      <c r="AB22" s="164"/>
      <c r="AC22" s="164"/>
    </row>
    <row r="23" spans="2:29" customFormat="1" ht="15.75" customHeight="1" x14ac:dyDescent="0.15">
      <c r="B23" s="378" t="s">
        <v>919</v>
      </c>
      <c r="C23" s="379"/>
      <c r="D23" s="163"/>
      <c r="E23" s="164"/>
      <c r="F23" s="164"/>
      <c r="G23" s="164"/>
      <c r="H23" s="164"/>
      <c r="I23" s="164"/>
      <c r="J23" s="164"/>
      <c r="K23" s="235"/>
      <c r="L23" s="249">
        <v>0</v>
      </c>
      <c r="M23" s="168">
        <v>0</v>
      </c>
      <c r="N23" s="164"/>
      <c r="O23" s="164"/>
      <c r="P23" s="164"/>
      <c r="Q23" s="164"/>
      <c r="R23" s="164"/>
      <c r="S23" s="164"/>
      <c r="T23" s="164"/>
      <c r="U23" s="164"/>
      <c r="V23" s="164"/>
      <c r="W23" s="164"/>
      <c r="X23" s="164"/>
      <c r="Y23" s="164"/>
      <c r="Z23" s="164"/>
      <c r="AA23" s="164"/>
      <c r="AB23" s="164"/>
      <c r="AC23" s="164"/>
    </row>
    <row r="24" spans="2:29" customFormat="1" ht="15.75" customHeight="1" x14ac:dyDescent="0.15">
      <c r="B24" s="227" t="s">
        <v>237</v>
      </c>
      <c r="C24" s="168">
        <v>0</v>
      </c>
      <c r="D24" s="163"/>
      <c r="E24" s="164"/>
      <c r="F24" s="164"/>
      <c r="G24" s="164"/>
      <c r="H24" s="164"/>
      <c r="I24" s="164"/>
      <c r="J24" s="164"/>
      <c r="K24" s="235"/>
      <c r="L24" s="249">
        <v>0.8</v>
      </c>
      <c r="M24" s="169">
        <v>2.5000000000000001E-3</v>
      </c>
      <c r="N24" s="164"/>
      <c r="O24" s="164"/>
      <c r="P24" s="164"/>
      <c r="Q24" s="164"/>
      <c r="R24" s="164"/>
      <c r="S24" s="164"/>
      <c r="T24" s="164"/>
      <c r="U24" s="164"/>
      <c r="V24" s="164"/>
      <c r="W24" s="164"/>
      <c r="X24" s="164"/>
      <c r="Y24" s="164"/>
      <c r="Z24" s="164"/>
      <c r="AA24" s="164"/>
      <c r="AB24" s="164"/>
      <c r="AC24" s="164"/>
    </row>
    <row r="25" spans="2:29" customFormat="1" ht="15.75" customHeight="1" x14ac:dyDescent="0.15">
      <c r="B25" s="175" t="s">
        <v>238</v>
      </c>
      <c r="C25" s="169">
        <v>2E-3</v>
      </c>
      <c r="D25" s="163"/>
      <c r="E25" s="164"/>
      <c r="F25" s="164"/>
      <c r="G25" s="164"/>
      <c r="H25" s="164"/>
      <c r="I25" s="164"/>
      <c r="J25" s="164"/>
      <c r="K25" s="235"/>
      <c r="L25" s="249">
        <v>1</v>
      </c>
      <c r="M25" s="169">
        <v>3.5000000000000001E-3</v>
      </c>
      <c r="N25" s="164"/>
      <c r="O25" s="164"/>
      <c r="P25" s="164"/>
      <c r="Q25" s="164"/>
      <c r="R25" s="164"/>
      <c r="S25" s="164"/>
      <c r="T25" s="164"/>
      <c r="U25" s="164"/>
      <c r="V25" s="164"/>
      <c r="W25" s="164"/>
      <c r="X25" s="164"/>
      <c r="Y25" s="164"/>
      <c r="Z25" s="164"/>
      <c r="AA25" s="164"/>
      <c r="AB25" s="164"/>
      <c r="AC25" s="164"/>
    </row>
    <row r="26" spans="2:29" customFormat="1" ht="15.75" customHeight="1" x14ac:dyDescent="0.15">
      <c r="B26" s="175" t="s">
        <v>235</v>
      </c>
      <c r="C26" s="169">
        <v>2.5000000000000001E-3</v>
      </c>
      <c r="D26" s="163"/>
      <c r="E26" s="164"/>
      <c r="F26" s="164"/>
      <c r="G26" s="164"/>
      <c r="H26" s="164"/>
      <c r="I26" s="164"/>
      <c r="J26" s="164"/>
      <c r="K26" s="235"/>
      <c r="L26" s="250">
        <v>1.3</v>
      </c>
      <c r="M26" s="258">
        <v>5.0000000000000001E-3</v>
      </c>
      <c r="N26" s="164"/>
      <c r="O26" s="164"/>
      <c r="P26" s="164"/>
      <c r="Q26" s="164"/>
      <c r="R26" s="164"/>
      <c r="S26" s="164"/>
      <c r="T26" s="164"/>
      <c r="U26" s="164"/>
      <c r="V26" s="164"/>
      <c r="W26" s="164"/>
      <c r="X26" s="164"/>
      <c r="Y26" s="164"/>
      <c r="Z26" s="164"/>
      <c r="AA26" s="164"/>
      <c r="AB26" s="164"/>
      <c r="AC26" s="164"/>
    </row>
    <row r="27" spans="2:29" customFormat="1" ht="15.75" customHeight="1" x14ac:dyDescent="0.15">
      <c r="B27" s="175" t="s">
        <v>239</v>
      </c>
      <c r="C27" s="169">
        <v>3.5000000000000001E-3</v>
      </c>
      <c r="D27" s="163"/>
      <c r="E27" s="164"/>
      <c r="F27" s="164"/>
      <c r="G27" s="164"/>
      <c r="H27" s="164"/>
      <c r="I27" s="164"/>
      <c r="J27" s="164"/>
      <c r="K27" s="235"/>
      <c r="L27" s="257" t="s">
        <v>1039</v>
      </c>
      <c r="M27" s="253" t="s">
        <v>1037</v>
      </c>
      <c r="N27" s="164"/>
      <c r="O27" s="164"/>
      <c r="P27" s="164"/>
      <c r="Q27" s="164"/>
      <c r="R27" s="164"/>
      <c r="S27" s="164"/>
      <c r="T27" s="164"/>
      <c r="U27" s="164"/>
      <c r="V27" s="164"/>
      <c r="W27" s="164"/>
      <c r="X27" s="164"/>
      <c r="Y27" s="164"/>
      <c r="Z27" s="164"/>
      <c r="AA27" s="164"/>
      <c r="AB27" s="164"/>
      <c r="AC27" s="164"/>
    </row>
    <row r="28" spans="2:29" customFormat="1" ht="15.75" customHeight="1" x14ac:dyDescent="0.15">
      <c r="B28" s="163"/>
      <c r="C28" s="226"/>
      <c r="D28" s="163"/>
      <c r="E28" s="164"/>
      <c r="F28" s="164"/>
      <c r="G28" s="164"/>
      <c r="H28" s="164"/>
      <c r="I28" s="164"/>
      <c r="J28" s="164"/>
      <c r="K28" s="235"/>
      <c r="L28" s="249">
        <v>0</v>
      </c>
      <c r="M28" s="259">
        <v>0</v>
      </c>
      <c r="N28" s="164"/>
      <c r="O28" s="164"/>
      <c r="P28" s="164"/>
      <c r="Q28" s="164"/>
      <c r="R28" s="164"/>
      <c r="S28" s="164"/>
      <c r="T28" s="164"/>
      <c r="U28" s="164"/>
      <c r="V28" s="164"/>
      <c r="W28" s="164"/>
      <c r="X28" s="164"/>
      <c r="Y28" s="164"/>
      <c r="Z28" s="164"/>
      <c r="AA28" s="164"/>
      <c r="AB28" s="164"/>
      <c r="AC28" s="164"/>
    </row>
    <row r="29" spans="2:29" customFormat="1" ht="15.75" customHeight="1" x14ac:dyDescent="0.15">
      <c r="B29" s="163"/>
      <c r="C29" s="226"/>
      <c r="D29" s="163"/>
      <c r="E29" s="164"/>
      <c r="F29" s="164"/>
      <c r="G29" s="164"/>
      <c r="H29" s="164"/>
      <c r="I29" s="164"/>
      <c r="J29" s="164"/>
      <c r="K29" s="235"/>
      <c r="L29" s="249">
        <v>0.8</v>
      </c>
      <c r="M29" s="167">
        <v>2E-3</v>
      </c>
      <c r="N29" s="164"/>
      <c r="O29" s="164"/>
      <c r="P29" s="164"/>
      <c r="Q29" s="164"/>
      <c r="R29" s="164"/>
      <c r="S29" s="164"/>
      <c r="T29" s="164"/>
      <c r="U29" s="164"/>
      <c r="V29" s="164"/>
      <c r="W29" s="164"/>
      <c r="X29" s="164"/>
      <c r="Y29" s="164"/>
      <c r="Z29" s="164"/>
      <c r="AA29" s="164"/>
      <c r="AB29" s="164"/>
      <c r="AC29" s="164"/>
    </row>
    <row r="30" spans="2:29" customFormat="1" ht="15.75" customHeight="1" x14ac:dyDescent="0.15">
      <c r="B30" s="163"/>
      <c r="C30" s="226"/>
      <c r="D30" s="163"/>
      <c r="E30" s="164"/>
      <c r="F30" s="164"/>
      <c r="G30" s="164"/>
      <c r="H30" s="164"/>
      <c r="I30" s="164"/>
      <c r="J30" s="164"/>
      <c r="K30" s="235"/>
      <c r="L30" s="249">
        <v>1</v>
      </c>
      <c r="M30" s="167">
        <v>2.5000000000000001E-3</v>
      </c>
      <c r="N30" s="164"/>
      <c r="O30" s="164"/>
      <c r="P30" s="164"/>
      <c r="Q30" s="164"/>
      <c r="R30" s="164"/>
      <c r="S30" s="164"/>
      <c r="T30" s="164"/>
      <c r="U30" s="164"/>
      <c r="V30" s="164"/>
      <c r="W30" s="164"/>
      <c r="X30" s="164"/>
      <c r="Y30" s="164"/>
      <c r="Z30" s="164"/>
      <c r="AA30" s="164"/>
      <c r="AB30" s="164"/>
      <c r="AC30" s="164"/>
    </row>
    <row r="31" spans="2:29" customFormat="1" ht="15.75" customHeight="1" x14ac:dyDescent="0.15">
      <c r="B31" s="164"/>
      <c r="C31" s="164"/>
      <c r="D31" s="164"/>
      <c r="E31" s="164"/>
      <c r="F31" s="164"/>
      <c r="G31" s="164"/>
      <c r="H31" s="164"/>
      <c r="I31" s="164"/>
      <c r="J31" s="164"/>
      <c r="K31" s="235"/>
      <c r="L31" s="250">
        <v>1.3</v>
      </c>
      <c r="M31" s="167">
        <v>3.5000000000000001E-3</v>
      </c>
      <c r="N31" s="164"/>
      <c r="O31" s="164"/>
      <c r="P31" s="164"/>
      <c r="Q31" s="164"/>
      <c r="R31" s="164"/>
      <c r="S31" s="164"/>
      <c r="T31" s="164"/>
      <c r="U31" s="164"/>
      <c r="V31" s="164"/>
      <c r="W31" s="164"/>
      <c r="X31" s="164"/>
      <c r="Y31" s="164"/>
      <c r="Z31" s="164"/>
      <c r="AA31" s="164"/>
      <c r="AB31" s="164"/>
      <c r="AC31" s="164"/>
    </row>
    <row r="32" spans="2:29" customFormat="1" ht="15.75" customHeight="1" thickBot="1" x14ac:dyDescent="0.2">
      <c r="B32" s="164"/>
      <c r="C32" s="164"/>
      <c r="D32" s="164"/>
      <c r="E32" s="164"/>
      <c r="F32" s="164"/>
      <c r="G32" s="164"/>
      <c r="H32" s="164"/>
      <c r="I32" s="164"/>
      <c r="J32" s="164"/>
      <c r="K32" s="235"/>
      <c r="L32" s="164"/>
      <c r="M32" s="164"/>
      <c r="N32" s="164"/>
      <c r="O32" s="164"/>
      <c r="P32" s="164"/>
      <c r="Q32" s="164"/>
      <c r="R32" s="164"/>
      <c r="S32" s="164"/>
      <c r="T32" s="164"/>
      <c r="U32" s="164"/>
      <c r="V32" s="164"/>
      <c r="W32" s="164"/>
      <c r="X32" s="164"/>
      <c r="Y32" s="164"/>
      <c r="Z32" s="164"/>
      <c r="AA32" s="164"/>
      <c r="AB32" s="164"/>
      <c r="AC32" s="164"/>
    </row>
    <row r="33" spans="2:29" customFormat="1" ht="15.75" customHeight="1" thickTop="1" x14ac:dyDescent="0.2">
      <c r="B33" s="339" t="s">
        <v>0</v>
      </c>
      <c r="C33" s="197" t="s">
        <v>843</v>
      </c>
      <c r="D33" s="197" t="s">
        <v>839</v>
      </c>
      <c r="E33" s="197" t="s">
        <v>840</v>
      </c>
      <c r="F33" s="197" t="s">
        <v>841</v>
      </c>
      <c r="G33" s="197" t="s">
        <v>842</v>
      </c>
      <c r="H33" s="197" t="s">
        <v>839</v>
      </c>
      <c r="I33" s="197" t="s">
        <v>840</v>
      </c>
      <c r="J33" s="197" t="s">
        <v>841</v>
      </c>
      <c r="K33" s="235"/>
      <c r="L33" s="380" t="s">
        <v>3408</v>
      </c>
      <c r="M33" s="381"/>
      <c r="N33" s="381"/>
      <c r="O33" s="381"/>
      <c r="P33" s="381"/>
      <c r="Q33" s="381"/>
      <c r="R33" s="381"/>
      <c r="S33" s="381"/>
      <c r="T33" s="381"/>
      <c r="U33" s="381"/>
      <c r="V33" s="381"/>
      <c r="W33" s="381"/>
      <c r="X33" s="382"/>
      <c r="Y33" s="164"/>
      <c r="Z33" s="164"/>
      <c r="AA33" s="164"/>
      <c r="AB33" s="164"/>
      <c r="AC33" s="164"/>
    </row>
    <row r="34" spans="2:29" customFormat="1" ht="15.75" customHeight="1" x14ac:dyDescent="0.2">
      <c r="B34" s="340" t="s">
        <v>646</v>
      </c>
      <c r="C34" s="337">
        <v>1950</v>
      </c>
      <c r="D34" s="170">
        <f>C34*30%</f>
        <v>585</v>
      </c>
      <c r="E34" s="170">
        <f>C34*30%</f>
        <v>585</v>
      </c>
      <c r="F34" s="170">
        <f t="shared" ref="F34:F48" si="0">C34*40%</f>
        <v>780</v>
      </c>
      <c r="G34" s="170">
        <f t="shared" ref="G34:J48" si="1">C34*33000</f>
        <v>64350000</v>
      </c>
      <c r="H34" s="170">
        <f t="shared" si="1"/>
        <v>19305000</v>
      </c>
      <c r="I34" s="170">
        <f t="shared" si="1"/>
        <v>19305000</v>
      </c>
      <c r="J34" s="170">
        <f t="shared" si="1"/>
        <v>25740000</v>
      </c>
      <c r="K34" s="235" t="s">
        <v>640</v>
      </c>
      <c r="L34" s="355" t="s">
        <v>3</v>
      </c>
      <c r="M34" s="356" t="s">
        <v>68</v>
      </c>
      <c r="N34" s="356" t="s">
        <v>0</v>
      </c>
      <c r="O34" s="357" t="s">
        <v>3415</v>
      </c>
      <c r="P34" s="357" t="s">
        <v>3416</v>
      </c>
      <c r="Q34" s="357" t="s">
        <v>3420</v>
      </c>
      <c r="R34" s="357" t="s">
        <v>938</v>
      </c>
      <c r="S34" s="357" t="s">
        <v>3421</v>
      </c>
      <c r="T34" s="357" t="s">
        <v>939</v>
      </c>
      <c r="U34" s="357" t="s">
        <v>3422</v>
      </c>
      <c r="V34" s="357" t="s">
        <v>940</v>
      </c>
      <c r="W34" s="357" t="s">
        <v>3417</v>
      </c>
      <c r="X34" s="358" t="s">
        <v>3418</v>
      </c>
      <c r="Y34" s="164"/>
      <c r="Z34" s="164"/>
      <c r="AA34" s="164"/>
      <c r="AB34" s="164"/>
      <c r="AC34" s="164"/>
    </row>
    <row r="35" spans="2:29" customFormat="1" ht="15.75" customHeight="1" x14ac:dyDescent="0.2">
      <c r="B35" s="340" t="s">
        <v>640</v>
      </c>
      <c r="C35" s="337">
        <v>1250</v>
      </c>
      <c r="D35" s="170">
        <f t="shared" ref="D35:D48" si="2">C35*30%</f>
        <v>375</v>
      </c>
      <c r="E35" s="170">
        <f t="shared" ref="E35:E48" si="3">C35*30%</f>
        <v>375</v>
      </c>
      <c r="F35" s="170">
        <f t="shared" si="0"/>
        <v>500</v>
      </c>
      <c r="G35" s="170">
        <f t="shared" si="1"/>
        <v>41250000</v>
      </c>
      <c r="H35" s="170">
        <f t="shared" si="1"/>
        <v>12375000</v>
      </c>
      <c r="I35" s="170">
        <f t="shared" si="1"/>
        <v>12375000</v>
      </c>
      <c r="J35" s="170">
        <f t="shared" si="1"/>
        <v>16500000</v>
      </c>
      <c r="K35" s="235" t="s">
        <v>920</v>
      </c>
      <c r="L35" s="359" t="s">
        <v>3413</v>
      </c>
      <c r="M35" s="278" t="s">
        <v>640</v>
      </c>
      <c r="N35" s="278" t="s">
        <v>191</v>
      </c>
      <c r="O35" s="360">
        <v>8050</v>
      </c>
      <c r="P35" s="360">
        <v>265650000</v>
      </c>
      <c r="Q35" s="360">
        <v>2800</v>
      </c>
      <c r="R35" s="360">
        <v>92400000</v>
      </c>
      <c r="S35" s="360">
        <v>3650</v>
      </c>
      <c r="T35" s="360">
        <v>120450000</v>
      </c>
      <c r="U35" s="360">
        <v>1600</v>
      </c>
      <c r="V35" s="360">
        <v>52800000</v>
      </c>
      <c r="W35" s="278">
        <v>59948037</v>
      </c>
      <c r="X35" s="361">
        <v>325598037</v>
      </c>
      <c r="Y35" s="164"/>
      <c r="Z35" s="164"/>
      <c r="AA35" s="164"/>
      <c r="AB35" s="164"/>
      <c r="AC35" s="164"/>
    </row>
    <row r="36" spans="2:29" ht="15.75" customHeight="1" x14ac:dyDescent="0.2">
      <c r="B36" s="340" t="s">
        <v>1141</v>
      </c>
      <c r="C36" s="337">
        <v>950</v>
      </c>
      <c r="D36" s="170">
        <f t="shared" si="2"/>
        <v>285</v>
      </c>
      <c r="E36" s="170">
        <f t="shared" si="3"/>
        <v>285</v>
      </c>
      <c r="F36" s="170">
        <f t="shared" si="0"/>
        <v>380</v>
      </c>
      <c r="G36" s="170">
        <f t="shared" si="1"/>
        <v>31350000</v>
      </c>
      <c r="H36" s="170">
        <f t="shared" si="1"/>
        <v>9405000</v>
      </c>
      <c r="I36" s="170">
        <f t="shared" si="1"/>
        <v>9405000</v>
      </c>
      <c r="J36" s="170">
        <f t="shared" si="1"/>
        <v>12540000</v>
      </c>
      <c r="K36" s="234" t="s">
        <v>646</v>
      </c>
      <c r="L36" s="359" t="s">
        <v>3413</v>
      </c>
      <c r="M36" s="278" t="s">
        <v>1141</v>
      </c>
      <c r="N36" s="278" t="s">
        <v>224</v>
      </c>
      <c r="O36" s="360">
        <v>5750</v>
      </c>
      <c r="P36" s="360">
        <v>189750000</v>
      </c>
      <c r="Q36" s="360">
        <v>2000</v>
      </c>
      <c r="R36" s="360">
        <v>66000000</v>
      </c>
      <c r="S36" s="360">
        <v>2600</v>
      </c>
      <c r="T36" s="360">
        <v>85800000</v>
      </c>
      <c r="U36" s="360">
        <v>1150</v>
      </c>
      <c r="V36" s="360">
        <v>37950000</v>
      </c>
      <c r="W36" s="278">
        <v>22514496</v>
      </c>
      <c r="X36" s="361">
        <v>212264496</v>
      </c>
    </row>
    <row r="37" spans="2:29" ht="15.75" customHeight="1" x14ac:dyDescent="0.2">
      <c r="B37" s="340" t="s">
        <v>1143</v>
      </c>
      <c r="C37" s="337">
        <v>700</v>
      </c>
      <c r="D37" s="170">
        <f t="shared" si="2"/>
        <v>210</v>
      </c>
      <c r="E37" s="170">
        <f t="shared" si="3"/>
        <v>210</v>
      </c>
      <c r="F37" s="170">
        <f t="shared" si="0"/>
        <v>280</v>
      </c>
      <c r="G37" s="170">
        <f t="shared" si="1"/>
        <v>23100000</v>
      </c>
      <c r="H37" s="170">
        <f t="shared" si="1"/>
        <v>6930000</v>
      </c>
      <c r="I37" s="170">
        <f t="shared" si="1"/>
        <v>6930000</v>
      </c>
      <c r="J37" s="170">
        <f t="shared" si="1"/>
        <v>9240000</v>
      </c>
      <c r="K37" s="234" t="s">
        <v>652</v>
      </c>
      <c r="L37" s="359" t="s">
        <v>2519</v>
      </c>
      <c r="M37" s="278" t="s">
        <v>646</v>
      </c>
      <c r="N37" s="278" t="s">
        <v>48</v>
      </c>
      <c r="O37" s="360">
        <v>12000</v>
      </c>
      <c r="P37" s="360">
        <v>396000000</v>
      </c>
      <c r="Q37" s="360">
        <v>4800</v>
      </c>
      <c r="R37" s="360">
        <v>158400000</v>
      </c>
      <c r="S37" s="360">
        <v>4800</v>
      </c>
      <c r="T37" s="360">
        <v>158400000</v>
      </c>
      <c r="U37" s="360">
        <v>2400</v>
      </c>
      <c r="V37" s="360">
        <v>79200000</v>
      </c>
      <c r="W37" s="278">
        <v>16438504</v>
      </c>
      <c r="X37" s="361">
        <v>412438504</v>
      </c>
    </row>
    <row r="38" spans="2:29" ht="15.75" customHeight="1" x14ac:dyDescent="0.2">
      <c r="B38" s="340" t="s">
        <v>1144</v>
      </c>
      <c r="C38" s="337">
        <v>1600</v>
      </c>
      <c r="D38" s="170">
        <f t="shared" si="2"/>
        <v>480</v>
      </c>
      <c r="E38" s="170">
        <f t="shared" si="3"/>
        <v>480</v>
      </c>
      <c r="F38" s="170">
        <f t="shared" si="0"/>
        <v>640</v>
      </c>
      <c r="G38" s="170">
        <f t="shared" si="1"/>
        <v>52800000</v>
      </c>
      <c r="H38" s="170">
        <f t="shared" si="1"/>
        <v>15840000</v>
      </c>
      <c r="I38" s="170">
        <f t="shared" si="1"/>
        <v>15840000</v>
      </c>
      <c r="J38" s="170">
        <f t="shared" si="1"/>
        <v>21120000</v>
      </c>
      <c r="K38" s="234" t="s">
        <v>649</v>
      </c>
      <c r="L38" s="359" t="s">
        <v>3413</v>
      </c>
      <c r="M38" s="278" t="s">
        <v>1143</v>
      </c>
      <c r="N38" s="278" t="s">
        <v>61</v>
      </c>
      <c r="O38" s="360">
        <v>4500</v>
      </c>
      <c r="P38" s="360">
        <v>148500000</v>
      </c>
      <c r="Q38" s="360">
        <v>1600</v>
      </c>
      <c r="R38" s="360">
        <v>52800000</v>
      </c>
      <c r="S38" s="360">
        <v>2000</v>
      </c>
      <c r="T38" s="360">
        <v>66000000</v>
      </c>
      <c r="U38" s="360">
        <v>900</v>
      </c>
      <c r="V38" s="360">
        <v>29700000</v>
      </c>
      <c r="W38" s="278">
        <v>11461545</v>
      </c>
      <c r="X38" s="361">
        <v>159961545</v>
      </c>
    </row>
    <row r="39" spans="2:29" ht="15.75" customHeight="1" x14ac:dyDescent="0.2">
      <c r="B39" s="340" t="s">
        <v>1147</v>
      </c>
      <c r="C39" s="337">
        <v>1450</v>
      </c>
      <c r="D39" s="170">
        <f t="shared" si="2"/>
        <v>435</v>
      </c>
      <c r="E39" s="170">
        <f t="shared" si="3"/>
        <v>435</v>
      </c>
      <c r="F39" s="170">
        <f t="shared" si="0"/>
        <v>580</v>
      </c>
      <c r="G39" s="170">
        <f t="shared" si="1"/>
        <v>47850000</v>
      </c>
      <c r="H39" s="170">
        <f t="shared" si="1"/>
        <v>14355000</v>
      </c>
      <c r="I39" s="170">
        <f t="shared" si="1"/>
        <v>14355000</v>
      </c>
      <c r="J39" s="170">
        <f t="shared" si="1"/>
        <v>19140000</v>
      </c>
      <c r="K39" s="234" t="s">
        <v>921</v>
      </c>
      <c r="L39" s="359" t="s">
        <v>3409</v>
      </c>
      <c r="M39" s="278" t="s">
        <v>1144</v>
      </c>
      <c r="N39" s="278" t="s">
        <v>249</v>
      </c>
      <c r="O39" s="360">
        <v>9550</v>
      </c>
      <c r="P39" s="360">
        <v>315150000</v>
      </c>
      <c r="Q39" s="360">
        <v>3350</v>
      </c>
      <c r="R39" s="360">
        <v>110550000</v>
      </c>
      <c r="S39" s="360">
        <v>4300</v>
      </c>
      <c r="T39" s="360">
        <v>141900000</v>
      </c>
      <c r="U39" s="360">
        <v>1900</v>
      </c>
      <c r="V39" s="360">
        <v>62700000</v>
      </c>
      <c r="W39" s="278">
        <v>12339931</v>
      </c>
      <c r="X39" s="361">
        <v>327489931</v>
      </c>
    </row>
    <row r="40" spans="2:29" ht="15.75" customHeight="1" x14ac:dyDescent="0.2">
      <c r="B40" s="340" t="s">
        <v>1149</v>
      </c>
      <c r="C40" s="337">
        <v>850</v>
      </c>
      <c r="D40" s="170">
        <f t="shared" si="2"/>
        <v>255</v>
      </c>
      <c r="E40" s="170">
        <f t="shared" si="3"/>
        <v>255</v>
      </c>
      <c r="F40" s="170">
        <f t="shared" si="0"/>
        <v>340</v>
      </c>
      <c r="G40" s="170">
        <f t="shared" si="1"/>
        <v>28050000</v>
      </c>
      <c r="H40" s="170">
        <f t="shared" si="1"/>
        <v>8415000</v>
      </c>
      <c r="I40" s="170">
        <f t="shared" si="1"/>
        <v>8415000</v>
      </c>
      <c r="J40" s="170">
        <f t="shared" si="1"/>
        <v>11220000</v>
      </c>
      <c r="K40" s="234" t="s">
        <v>923</v>
      </c>
      <c r="L40" s="359" t="s">
        <v>3409</v>
      </c>
      <c r="M40" s="278" t="s">
        <v>3410</v>
      </c>
      <c r="N40" s="278" t="s">
        <v>70</v>
      </c>
      <c r="O40" s="360">
        <v>10250</v>
      </c>
      <c r="P40" s="360">
        <v>338250000</v>
      </c>
      <c r="Q40" s="360">
        <v>3600</v>
      </c>
      <c r="R40" s="360">
        <v>118800000</v>
      </c>
      <c r="S40" s="360">
        <v>4600</v>
      </c>
      <c r="T40" s="360">
        <v>151800000</v>
      </c>
      <c r="U40" s="360">
        <v>2050</v>
      </c>
      <c r="V40" s="360">
        <v>67650000</v>
      </c>
      <c r="W40" s="278">
        <v>10249470</v>
      </c>
      <c r="X40" s="361">
        <v>348499470</v>
      </c>
    </row>
    <row r="41" spans="2:29" ht="15.75" customHeight="1" x14ac:dyDescent="0.2">
      <c r="B41" s="340" t="s">
        <v>1155</v>
      </c>
      <c r="C41" s="337">
        <v>750</v>
      </c>
      <c r="D41" s="170">
        <f t="shared" si="2"/>
        <v>225</v>
      </c>
      <c r="E41" s="170">
        <f t="shared" si="3"/>
        <v>225</v>
      </c>
      <c r="F41" s="170">
        <f t="shared" si="0"/>
        <v>300</v>
      </c>
      <c r="G41" s="170">
        <f t="shared" si="1"/>
        <v>24750000</v>
      </c>
      <c r="H41" s="170">
        <f t="shared" si="1"/>
        <v>7425000</v>
      </c>
      <c r="I41" s="170">
        <f t="shared" si="1"/>
        <v>7425000</v>
      </c>
      <c r="J41" s="170">
        <f t="shared" si="1"/>
        <v>9900000</v>
      </c>
      <c r="K41" s="234" t="s">
        <v>922</v>
      </c>
      <c r="L41" s="359" t="s">
        <v>3411</v>
      </c>
      <c r="M41" s="278" t="s">
        <v>1149</v>
      </c>
      <c r="N41" s="278" t="s">
        <v>63</v>
      </c>
      <c r="O41" s="360">
        <v>5400</v>
      </c>
      <c r="P41" s="360">
        <v>178200000</v>
      </c>
      <c r="Q41" s="360">
        <v>1900</v>
      </c>
      <c r="R41" s="360">
        <v>62700000</v>
      </c>
      <c r="S41" s="360">
        <v>2400</v>
      </c>
      <c r="T41" s="360">
        <v>79200000</v>
      </c>
      <c r="U41" s="360">
        <v>1100</v>
      </c>
      <c r="V41" s="360">
        <v>36300000</v>
      </c>
      <c r="W41" s="278">
        <v>17474741</v>
      </c>
      <c r="X41" s="361">
        <v>195674741</v>
      </c>
    </row>
    <row r="42" spans="2:29" ht="15.75" customHeight="1" x14ac:dyDescent="0.2">
      <c r="B42" s="340" t="s">
        <v>1154</v>
      </c>
      <c r="C42" s="337">
        <v>1100</v>
      </c>
      <c r="D42" s="170">
        <f t="shared" si="2"/>
        <v>330</v>
      </c>
      <c r="E42" s="170">
        <f t="shared" si="3"/>
        <v>330</v>
      </c>
      <c r="F42" s="170">
        <f t="shared" si="0"/>
        <v>440</v>
      </c>
      <c r="G42" s="170">
        <f t="shared" si="1"/>
        <v>36300000</v>
      </c>
      <c r="H42" s="170">
        <f t="shared" si="1"/>
        <v>10890000</v>
      </c>
      <c r="I42" s="170">
        <f t="shared" si="1"/>
        <v>10890000</v>
      </c>
      <c r="J42" s="170">
        <f t="shared" si="1"/>
        <v>14520000</v>
      </c>
      <c r="K42" s="234" t="s">
        <v>926</v>
      </c>
      <c r="L42" s="359" t="s">
        <v>3411</v>
      </c>
      <c r="M42" s="278" t="s">
        <v>1154</v>
      </c>
      <c r="N42" s="278" t="s">
        <v>307</v>
      </c>
      <c r="O42" s="360">
        <v>7150</v>
      </c>
      <c r="P42" s="360">
        <v>235950000</v>
      </c>
      <c r="Q42" s="360">
        <v>2500</v>
      </c>
      <c r="R42" s="360">
        <v>82500000</v>
      </c>
      <c r="S42" s="360">
        <v>3200</v>
      </c>
      <c r="T42" s="360">
        <v>105600000</v>
      </c>
      <c r="U42" s="360">
        <v>1450</v>
      </c>
      <c r="V42" s="360">
        <v>47850000</v>
      </c>
      <c r="W42" s="278">
        <v>11188007</v>
      </c>
      <c r="X42" s="361">
        <v>247138007</v>
      </c>
    </row>
    <row r="43" spans="2:29" ht="15.75" customHeight="1" x14ac:dyDescent="0.2">
      <c r="B43" s="340" t="s">
        <v>1161</v>
      </c>
      <c r="C43" s="337">
        <v>1300</v>
      </c>
      <c r="D43" s="170">
        <f t="shared" si="2"/>
        <v>390</v>
      </c>
      <c r="E43" s="170">
        <f t="shared" si="3"/>
        <v>390</v>
      </c>
      <c r="F43" s="170">
        <f t="shared" si="0"/>
        <v>520</v>
      </c>
      <c r="G43" s="170">
        <f t="shared" si="1"/>
        <v>42900000</v>
      </c>
      <c r="H43" s="170">
        <f t="shared" si="1"/>
        <v>12870000</v>
      </c>
      <c r="I43" s="170">
        <f t="shared" si="1"/>
        <v>12870000</v>
      </c>
      <c r="J43" s="170">
        <f t="shared" si="1"/>
        <v>17160000</v>
      </c>
      <c r="K43" s="234" t="s">
        <v>927</v>
      </c>
      <c r="L43" s="359" t="s">
        <v>3411</v>
      </c>
      <c r="M43" s="278" t="s">
        <v>1155</v>
      </c>
      <c r="N43" s="278" t="s">
        <v>286</v>
      </c>
      <c r="O43" s="360">
        <v>4600</v>
      </c>
      <c r="P43" s="360">
        <v>151800000</v>
      </c>
      <c r="Q43" s="360">
        <v>1400</v>
      </c>
      <c r="R43" s="360">
        <v>46200000</v>
      </c>
      <c r="S43" s="360">
        <v>2100</v>
      </c>
      <c r="T43" s="360">
        <v>69300000</v>
      </c>
      <c r="U43" s="360">
        <v>1100</v>
      </c>
      <c r="V43" s="360">
        <v>36300000</v>
      </c>
      <c r="W43" s="278">
        <v>13394530</v>
      </c>
      <c r="X43" s="361">
        <v>165194530</v>
      </c>
    </row>
    <row r="44" spans="2:29" ht="15.75" customHeight="1" x14ac:dyDescent="0.2">
      <c r="B44" s="340" t="s">
        <v>1162</v>
      </c>
      <c r="C44" s="337">
        <v>750</v>
      </c>
      <c r="D44" s="170"/>
      <c r="E44" s="170"/>
      <c r="F44" s="170"/>
      <c r="G44" s="170"/>
      <c r="H44" s="170"/>
      <c r="I44" s="170"/>
      <c r="J44" s="170"/>
      <c r="L44" s="359" t="s">
        <v>3412</v>
      </c>
      <c r="M44" s="278" t="s">
        <v>1158</v>
      </c>
      <c r="N44" s="278" t="s">
        <v>72</v>
      </c>
      <c r="O44" s="360">
        <v>7650</v>
      </c>
      <c r="P44" s="360">
        <v>252450000</v>
      </c>
      <c r="Q44" s="360">
        <v>2300</v>
      </c>
      <c r="R44" s="360">
        <v>75900000</v>
      </c>
      <c r="S44" s="360">
        <v>3450</v>
      </c>
      <c r="T44" s="360">
        <v>113850000</v>
      </c>
      <c r="U44" s="360">
        <v>1900</v>
      </c>
      <c r="V44" s="360">
        <v>62700000</v>
      </c>
      <c r="W44" s="278">
        <v>42119788</v>
      </c>
      <c r="X44" s="361">
        <v>294569788</v>
      </c>
    </row>
    <row r="45" spans="2:29" ht="15.75" customHeight="1" x14ac:dyDescent="0.2">
      <c r="B45" s="340" t="s">
        <v>1158</v>
      </c>
      <c r="C45" s="337">
        <v>1250</v>
      </c>
      <c r="D45" s="170"/>
      <c r="E45" s="170"/>
      <c r="F45" s="170"/>
      <c r="G45" s="170"/>
      <c r="H45" s="170"/>
      <c r="I45" s="170"/>
      <c r="J45" s="170"/>
      <c r="L45" s="359" t="s">
        <v>3412</v>
      </c>
      <c r="M45" s="278" t="s">
        <v>1161</v>
      </c>
      <c r="N45" s="278" t="s">
        <v>41</v>
      </c>
      <c r="O45" s="360">
        <v>7950</v>
      </c>
      <c r="P45" s="360">
        <v>262350000</v>
      </c>
      <c r="Q45" s="360">
        <v>2400</v>
      </c>
      <c r="R45" s="360">
        <v>79200000</v>
      </c>
      <c r="S45" s="360">
        <v>3600</v>
      </c>
      <c r="T45" s="360">
        <v>118800000</v>
      </c>
      <c r="U45" s="360">
        <v>1950</v>
      </c>
      <c r="V45" s="360">
        <v>64350000</v>
      </c>
      <c r="W45" s="278">
        <v>20217840</v>
      </c>
      <c r="X45" s="361">
        <v>282567840</v>
      </c>
    </row>
    <row r="46" spans="2:29" ht="15.75" customHeight="1" x14ac:dyDescent="0.2">
      <c r="B46" s="340" t="s">
        <v>1163</v>
      </c>
      <c r="C46" s="337">
        <v>1200</v>
      </c>
      <c r="D46" s="170"/>
      <c r="E46" s="170"/>
      <c r="F46" s="170"/>
      <c r="G46" s="170"/>
      <c r="H46" s="170"/>
      <c r="I46" s="170"/>
      <c r="J46" s="170"/>
      <c r="L46" s="359" t="s">
        <v>3412</v>
      </c>
      <c r="M46" s="278" t="s">
        <v>3414</v>
      </c>
      <c r="N46" s="278" t="s">
        <v>3419</v>
      </c>
      <c r="O46" s="360">
        <v>5350</v>
      </c>
      <c r="P46" s="360">
        <v>176550000</v>
      </c>
      <c r="Q46" s="360">
        <v>1600</v>
      </c>
      <c r="R46" s="360">
        <v>52800000</v>
      </c>
      <c r="S46" s="360">
        <v>2400</v>
      </c>
      <c r="T46" s="360">
        <v>79200000</v>
      </c>
      <c r="U46" s="360">
        <v>1350</v>
      </c>
      <c r="V46" s="360">
        <v>44550000</v>
      </c>
      <c r="W46" s="278">
        <v>27605687</v>
      </c>
      <c r="X46" s="361">
        <v>204155687</v>
      </c>
    </row>
    <row r="47" spans="2:29" ht="15.75" customHeight="1" x14ac:dyDescent="0.2">
      <c r="B47" s="340" t="s">
        <v>1169</v>
      </c>
      <c r="C47" s="337">
        <v>950</v>
      </c>
      <c r="D47" s="170"/>
      <c r="E47" s="170"/>
      <c r="F47" s="170"/>
      <c r="G47" s="170"/>
      <c r="H47" s="170"/>
      <c r="I47" s="170"/>
      <c r="J47" s="170"/>
      <c r="L47" s="359" t="s">
        <v>3413</v>
      </c>
      <c r="M47" s="278" t="s">
        <v>1163</v>
      </c>
      <c r="N47" s="278" t="s">
        <v>57</v>
      </c>
      <c r="O47" s="360">
        <v>7750</v>
      </c>
      <c r="P47" s="360">
        <v>255750000</v>
      </c>
      <c r="Q47" s="360">
        <v>2750</v>
      </c>
      <c r="R47" s="360">
        <v>90750000</v>
      </c>
      <c r="S47" s="360">
        <v>3500</v>
      </c>
      <c r="T47" s="360">
        <v>115500000</v>
      </c>
      <c r="U47" s="360">
        <v>1500</v>
      </c>
      <c r="V47" s="360">
        <v>49500000</v>
      </c>
      <c r="W47" s="278">
        <v>18913877</v>
      </c>
      <c r="X47" s="361">
        <v>274663877</v>
      </c>
    </row>
    <row r="48" spans="2:29" ht="15.75" customHeight="1" x14ac:dyDescent="0.2">
      <c r="B48" s="341" t="s">
        <v>9</v>
      </c>
      <c r="C48" s="338">
        <f>SUM(C34:C47)</f>
        <v>16050</v>
      </c>
      <c r="D48" s="170">
        <f t="shared" si="2"/>
        <v>4815</v>
      </c>
      <c r="E48" s="170">
        <f t="shared" si="3"/>
        <v>4815</v>
      </c>
      <c r="F48" s="170">
        <f t="shared" si="0"/>
        <v>6420</v>
      </c>
      <c r="G48" s="170">
        <f t="shared" si="1"/>
        <v>529650000</v>
      </c>
      <c r="H48" s="170">
        <f t="shared" si="1"/>
        <v>158895000</v>
      </c>
      <c r="I48" s="170">
        <f t="shared" si="1"/>
        <v>158895000</v>
      </c>
      <c r="J48" s="170">
        <f t="shared" si="1"/>
        <v>211860000</v>
      </c>
      <c r="L48" s="359" t="s">
        <v>3413</v>
      </c>
      <c r="M48" s="278" t="s">
        <v>1169</v>
      </c>
      <c r="N48" s="278" t="s">
        <v>216</v>
      </c>
      <c r="O48" s="360">
        <v>5750</v>
      </c>
      <c r="P48" s="360">
        <v>189750000</v>
      </c>
      <c r="Q48" s="360">
        <v>2000</v>
      </c>
      <c r="R48" s="360">
        <v>66000000</v>
      </c>
      <c r="S48" s="360">
        <v>2600</v>
      </c>
      <c r="T48" s="360">
        <v>85800000</v>
      </c>
      <c r="U48" s="360">
        <v>1150</v>
      </c>
      <c r="V48" s="360">
        <v>37950000</v>
      </c>
      <c r="W48" s="278">
        <v>38772283</v>
      </c>
      <c r="X48" s="361">
        <v>228522283</v>
      </c>
    </row>
    <row r="49" spans="12:24" ht="15.75" customHeight="1" thickBot="1" x14ac:dyDescent="0.25">
      <c r="L49" s="362"/>
      <c r="M49" s="363"/>
      <c r="N49" s="364" t="s">
        <v>9</v>
      </c>
      <c r="O49" s="365">
        <f>SUM(O35:O48)</f>
        <v>101700</v>
      </c>
      <c r="P49" s="366">
        <f t="shared" ref="P49" si="4">O49*33000</f>
        <v>3356100000</v>
      </c>
      <c r="Q49" s="365">
        <f>SUM(Q35:Q48)</f>
        <v>35000</v>
      </c>
      <c r="R49" s="366">
        <f t="shared" ref="R49" si="5">Q49*33000</f>
        <v>1155000000</v>
      </c>
      <c r="S49" s="365">
        <f>SUM(S35:S48)</f>
        <v>45200</v>
      </c>
      <c r="T49" s="366">
        <f t="shared" ref="T49" si="6">S49*33000</f>
        <v>1491600000</v>
      </c>
      <c r="U49" s="365">
        <f>SUM(U35:U48)</f>
        <v>21500</v>
      </c>
      <c r="V49" s="366">
        <f t="shared" ref="V49" si="7">U49*33000</f>
        <v>709500000</v>
      </c>
      <c r="W49" s="366">
        <f>SUM(W35:W48)</f>
        <v>322638736</v>
      </c>
      <c r="X49" s="367">
        <f>SUM(P49:W49)</f>
        <v>7034940436</v>
      </c>
    </row>
    <row r="50" spans="12:24" ht="15.75" customHeight="1" thickTop="1" x14ac:dyDescent="0.2">
      <c r="P50" s="251"/>
      <c r="Q50" s="251"/>
      <c r="R50" s="251"/>
      <c r="S50" s="251"/>
      <c r="T50" s="251"/>
      <c r="U50" s="251"/>
      <c r="V50" s="251"/>
    </row>
    <row r="51" spans="12:24" ht="15.75" customHeight="1" x14ac:dyDescent="0.2">
      <c r="L51" s="231" t="s">
        <v>3</v>
      </c>
      <c r="M51" s="232" t="s">
        <v>941</v>
      </c>
      <c r="N51" s="231" t="s">
        <v>842</v>
      </c>
      <c r="O51" s="236">
        <v>1.3</v>
      </c>
    </row>
    <row r="52" spans="12:24" ht="15.75" customHeight="1" x14ac:dyDescent="0.2">
      <c r="L52" s="165" t="s">
        <v>28</v>
      </c>
      <c r="M52" s="182"/>
      <c r="N52" s="165"/>
      <c r="O52" s="165"/>
    </row>
    <row r="53" spans="12:24" ht="15.75" customHeight="1" x14ac:dyDescent="0.2">
      <c r="L53" s="165" t="s">
        <v>942</v>
      </c>
      <c r="M53" s="182"/>
      <c r="N53" s="165"/>
      <c r="O53" s="165"/>
    </row>
    <row r="54" spans="12:24" ht="15.75" customHeight="1" x14ac:dyDescent="0.2">
      <c r="L54" s="165" t="s">
        <v>943</v>
      </c>
      <c r="M54" s="182"/>
      <c r="N54" s="165"/>
      <c r="O54" s="165"/>
    </row>
    <row r="55" spans="12:24" ht="15.75" customHeight="1" x14ac:dyDescent="0.2">
      <c r="L55" s="165" t="s">
        <v>944</v>
      </c>
      <c r="M55" s="182"/>
      <c r="N55" s="165"/>
      <c r="O55" s="165"/>
    </row>
    <row r="56" spans="12:24" ht="15.75" customHeight="1" x14ac:dyDescent="0.2">
      <c r="L56" s="165" t="s">
        <v>945</v>
      </c>
      <c r="M56" s="182"/>
      <c r="N56" s="165"/>
      <c r="O56" s="165"/>
    </row>
    <row r="57" spans="12:24" ht="15.75" customHeight="1" x14ac:dyDescent="0.2">
      <c r="L57" s="231" t="s">
        <v>9</v>
      </c>
      <c r="M57" s="232"/>
      <c r="N57" s="231"/>
      <c r="O57" s="231"/>
    </row>
    <row r="59" spans="12:24" ht="15.75" customHeight="1" x14ac:dyDescent="0.2">
      <c r="M59" s="29">
        <f>+M55*45%</f>
        <v>0</v>
      </c>
      <c r="N59" s="251">
        <f>+N55*45%</f>
        <v>0</v>
      </c>
    </row>
  </sheetData>
  <mergeCells count="5">
    <mergeCell ref="B4:C4"/>
    <mergeCell ref="B11:C11"/>
    <mergeCell ref="B17:C17"/>
    <mergeCell ref="B23:C23"/>
    <mergeCell ref="L33:X33"/>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32E64-0B96-5E4E-A5C4-2A73DCFF58DF}">
  <sheetPr codeName="Sheet5">
    <tabColor rgb="FFFFFF99"/>
  </sheetPr>
  <dimension ref="A1:AY124"/>
  <sheetViews>
    <sheetView showGridLines="0" zoomScaleNormal="100" workbookViewId="0">
      <selection activeCell="S10" sqref="S10"/>
    </sheetView>
  </sheetViews>
  <sheetFormatPr baseColWidth="10" defaultColWidth="14.5" defaultRowHeight="15.75" customHeight="1" x14ac:dyDescent="0.2"/>
  <cols>
    <col min="1" max="1" width="3.83203125" style="3" customWidth="1"/>
    <col min="2" max="2" width="15.1640625" style="3" customWidth="1"/>
    <col min="3" max="3" width="9.33203125" style="3" customWidth="1"/>
    <col min="4" max="4" width="9" style="3" bestFit="1" customWidth="1"/>
    <col min="5" max="6" width="12.33203125" style="3" customWidth="1"/>
    <col min="7" max="7" width="13.6640625" style="3" bestFit="1" customWidth="1"/>
    <col min="8" max="8" width="12.83203125" style="3" bestFit="1" customWidth="1"/>
    <col min="9" max="13" width="12" style="3" customWidth="1"/>
    <col min="14" max="14" width="11" style="3" customWidth="1"/>
    <col min="15" max="15" width="11.33203125" style="3" customWidth="1"/>
    <col min="16" max="16" width="11.83203125" style="3" customWidth="1"/>
    <col min="17" max="17" width="12.5" style="3" customWidth="1"/>
    <col min="18" max="18" width="5.33203125" style="3" bestFit="1" customWidth="1"/>
    <col min="19" max="19" width="18.6640625" style="3" bestFit="1" customWidth="1"/>
    <col min="20" max="20" width="12.33203125" style="3" bestFit="1" customWidth="1"/>
    <col min="21" max="21" width="9.6640625" style="3" bestFit="1" customWidth="1"/>
    <col min="22" max="22" width="8.6640625" style="3" bestFit="1" customWidth="1"/>
    <col min="23" max="23" width="8.6640625" style="3" customWidth="1" collapsed="1"/>
    <col min="24" max="24" width="7.83203125" style="3" customWidth="1"/>
    <col min="25" max="25" width="8.6640625" style="3" customWidth="1"/>
    <col min="26" max="26" width="9.5" style="3" customWidth="1"/>
    <col min="27" max="27" width="12.33203125" style="3" customWidth="1"/>
    <col min="28" max="28" width="10.33203125" style="3" customWidth="1"/>
    <col min="29" max="29" width="12.1640625" style="3" customWidth="1"/>
    <col min="30" max="30" width="11.83203125" style="3" customWidth="1"/>
    <col min="31" max="31" width="10.1640625" style="3" customWidth="1"/>
    <col min="32" max="32" width="11.1640625" style="3" customWidth="1"/>
    <col min="33" max="33" width="9.33203125" style="3" customWidth="1"/>
    <col min="34" max="34" width="13.83203125" style="3" bestFit="1" customWidth="1"/>
    <col min="35" max="35" width="5.1640625" style="3" customWidth="1"/>
    <col min="36" max="41" width="14.5" style="3"/>
    <col min="42" max="50" width="14.5" style="3" customWidth="1"/>
    <col min="51" max="16384" width="14.5" style="3"/>
  </cols>
  <sheetData>
    <row r="1" spans="1:31" ht="14" x14ac:dyDescent="0.2">
      <c r="B1" s="2"/>
    </row>
    <row r="2" spans="1:31" ht="7" customHeight="1" x14ac:dyDescent="0.2">
      <c r="B2" s="368"/>
      <c r="C2" s="368"/>
      <c r="D2" s="368"/>
      <c r="E2" s="368"/>
      <c r="F2" s="368"/>
      <c r="G2" s="5"/>
      <c r="H2" s="5"/>
      <c r="I2" s="5"/>
      <c r="J2" s="5"/>
      <c r="K2" s="5"/>
      <c r="L2" s="5"/>
      <c r="M2" s="5"/>
      <c r="N2" s="5"/>
      <c r="O2" s="5"/>
      <c r="P2" s="5"/>
      <c r="Q2" s="5"/>
      <c r="R2" s="6"/>
      <c r="S2" s="5"/>
      <c r="T2" s="7"/>
      <c r="U2" s="7"/>
      <c r="V2" s="7"/>
      <c r="W2" s="7"/>
      <c r="X2" s="7"/>
      <c r="Y2" s="7"/>
      <c r="Z2" s="7"/>
      <c r="AA2" s="7"/>
      <c r="AB2" s="7"/>
      <c r="AC2" s="7"/>
      <c r="AD2" s="7"/>
      <c r="AE2" s="7"/>
    </row>
    <row r="3" spans="1:31" ht="14" x14ac:dyDescent="0.2">
      <c r="B3" s="4"/>
      <c r="C3" s="4"/>
      <c r="D3" s="4"/>
      <c r="E3" s="4"/>
      <c r="F3" s="4"/>
      <c r="G3" s="5"/>
      <c r="H3" s="5"/>
      <c r="I3" s="5"/>
      <c r="J3" s="5"/>
      <c r="K3" s="5"/>
      <c r="L3" s="5"/>
      <c r="M3" s="5"/>
      <c r="N3" s="5"/>
      <c r="O3" s="5"/>
      <c r="P3" s="5"/>
      <c r="Q3" s="5"/>
      <c r="R3" s="6"/>
      <c r="S3" s="5"/>
      <c r="T3" s="7"/>
      <c r="U3" s="7"/>
      <c r="V3" s="7"/>
      <c r="W3" s="7"/>
      <c r="X3" s="7"/>
      <c r="Y3" s="7"/>
      <c r="Z3" s="7"/>
      <c r="AA3" s="7"/>
      <c r="AB3" s="7"/>
      <c r="AC3" s="7"/>
      <c r="AD3" s="7"/>
      <c r="AE3" s="7"/>
    </row>
    <row r="4" spans="1:31" ht="14" x14ac:dyDescent="0.2">
      <c r="B4" s="4"/>
      <c r="C4" s="4"/>
      <c r="D4" s="4"/>
      <c r="E4" s="4"/>
      <c r="F4" s="4"/>
      <c r="G4" s="5"/>
      <c r="H4" s="5"/>
      <c r="I4" s="5"/>
      <c r="J4" s="5"/>
      <c r="K4" s="5"/>
      <c r="L4" s="5"/>
      <c r="M4" s="5"/>
      <c r="N4" s="5"/>
      <c r="O4" s="5"/>
      <c r="P4" s="5"/>
      <c r="Q4" s="5"/>
      <c r="R4" s="6"/>
      <c r="S4" s="5"/>
      <c r="T4" s="7"/>
      <c r="U4" s="7"/>
      <c r="V4" s="7"/>
      <c r="W4" s="7"/>
      <c r="X4" s="7"/>
      <c r="Y4" s="7"/>
      <c r="Z4" s="7"/>
      <c r="AA4" s="7"/>
      <c r="AB4" s="7"/>
      <c r="AC4" s="7"/>
      <c r="AD4" s="7"/>
      <c r="AE4" s="7"/>
    </row>
    <row r="5" spans="1:31" ht="14" x14ac:dyDescent="0.2">
      <c r="B5" s="4"/>
      <c r="C5" s="4"/>
      <c r="D5" s="4"/>
      <c r="E5" s="4"/>
      <c r="F5" s="4"/>
      <c r="G5" s="5"/>
      <c r="H5" s="5"/>
      <c r="I5" s="5"/>
      <c r="J5" s="5"/>
      <c r="K5" s="5"/>
      <c r="L5" s="5"/>
      <c r="M5" s="5"/>
      <c r="N5" s="5"/>
      <c r="O5" s="5"/>
      <c r="P5" s="5"/>
      <c r="Q5" s="5"/>
      <c r="R5" s="6"/>
      <c r="U5" s="7"/>
      <c r="V5" s="7"/>
      <c r="W5" s="7"/>
      <c r="X5" s="7"/>
      <c r="Y5" s="7"/>
      <c r="Z5" s="7"/>
      <c r="AA5" s="7"/>
      <c r="AB5" s="7"/>
      <c r="AC5" s="7"/>
      <c r="AD5" s="7"/>
      <c r="AE5" s="7"/>
    </row>
    <row r="6" spans="1:31" ht="14" x14ac:dyDescent="0.2">
      <c r="B6" s="4"/>
      <c r="C6" s="4"/>
      <c r="D6" s="4"/>
      <c r="E6" s="4"/>
      <c r="F6" s="4"/>
      <c r="G6" s="5"/>
      <c r="H6" s="5"/>
      <c r="I6" s="5"/>
      <c r="J6" s="5"/>
      <c r="K6" s="5"/>
      <c r="L6" s="5"/>
      <c r="M6" s="5"/>
      <c r="N6" s="5"/>
      <c r="O6" s="5"/>
      <c r="P6" s="5"/>
      <c r="Q6" s="5"/>
      <c r="R6" s="6"/>
      <c r="U6" s="7"/>
      <c r="V6" s="7"/>
      <c r="W6" s="7"/>
      <c r="X6" s="7"/>
      <c r="Y6" s="7"/>
      <c r="Z6" s="7"/>
      <c r="AA6" s="7"/>
      <c r="AB6" s="7"/>
      <c r="AC6" s="7"/>
      <c r="AD6" s="7"/>
    </row>
    <row r="7" spans="1:31" ht="14" x14ac:dyDescent="0.2">
      <c r="B7" s="4"/>
      <c r="C7" s="4"/>
      <c r="D7" s="4"/>
      <c r="E7" s="4"/>
      <c r="F7" s="4"/>
      <c r="G7" s="5"/>
      <c r="H7" s="5"/>
      <c r="I7" s="5"/>
      <c r="J7" s="5"/>
      <c r="K7" s="5"/>
      <c r="L7" s="5"/>
      <c r="M7" s="5"/>
      <c r="N7" s="5"/>
      <c r="O7" s="5"/>
      <c r="P7" s="5"/>
      <c r="Q7" s="5"/>
      <c r="R7" s="6"/>
      <c r="U7" s="7"/>
      <c r="V7" s="7"/>
      <c r="W7" s="7"/>
      <c r="X7" s="7"/>
      <c r="Y7" s="7"/>
      <c r="Z7" s="7"/>
      <c r="AA7" s="7"/>
      <c r="AB7" s="7"/>
      <c r="AC7" s="7"/>
      <c r="AD7" s="7"/>
    </row>
    <row r="8" spans="1:31" ht="14" x14ac:dyDescent="0.2">
      <c r="B8" s="4"/>
      <c r="C8" s="4"/>
      <c r="D8" s="4"/>
      <c r="E8" s="4"/>
      <c r="F8" s="4"/>
      <c r="G8" s="5"/>
      <c r="H8" s="5"/>
      <c r="I8" s="5"/>
      <c r="J8" s="5"/>
      <c r="K8" s="5"/>
      <c r="L8" s="5"/>
      <c r="M8" s="5"/>
      <c r="N8" s="5"/>
      <c r="O8" s="5"/>
      <c r="P8" s="5"/>
      <c r="Q8" s="5"/>
      <c r="R8" s="6"/>
      <c r="U8" s="7"/>
      <c r="V8" s="7"/>
      <c r="W8" s="7"/>
      <c r="X8" s="7"/>
      <c r="Y8" s="7"/>
      <c r="Z8" s="7"/>
      <c r="AA8" s="7"/>
      <c r="AB8" s="7"/>
      <c r="AC8" s="7"/>
      <c r="AD8" s="7"/>
    </row>
    <row r="9" spans="1:31" ht="14" x14ac:dyDescent="0.2">
      <c r="B9" s="4"/>
      <c r="C9" s="4"/>
      <c r="D9" s="4"/>
      <c r="E9" s="4"/>
      <c r="F9" s="4"/>
      <c r="G9" s="5"/>
      <c r="I9" s="5"/>
      <c r="J9" s="5"/>
      <c r="K9" s="5"/>
      <c r="L9" s="5"/>
      <c r="M9" s="5"/>
      <c r="N9" s="5"/>
      <c r="O9" s="5"/>
      <c r="P9" s="5"/>
      <c r="Q9" s="8"/>
      <c r="R9" s="6"/>
      <c r="U9" s="7"/>
      <c r="V9" s="7"/>
      <c r="W9" s="7"/>
      <c r="X9" s="7"/>
      <c r="Y9" s="7"/>
      <c r="Z9" s="7"/>
      <c r="AA9" s="7"/>
      <c r="AB9" s="7"/>
      <c r="AC9" s="7"/>
      <c r="AD9" s="7"/>
    </row>
    <row r="10" spans="1:31" ht="14" x14ac:dyDescent="0.2">
      <c r="B10" s="4"/>
      <c r="C10" s="4"/>
      <c r="D10" s="4"/>
      <c r="E10" s="4"/>
      <c r="F10" s="4"/>
      <c r="G10" s="5"/>
      <c r="H10" s="5"/>
      <c r="I10" s="5"/>
      <c r="J10" s="5"/>
      <c r="K10" s="5"/>
      <c r="L10" s="5"/>
      <c r="M10" s="5"/>
      <c r="N10" s="5"/>
      <c r="O10" s="5"/>
      <c r="P10" s="5"/>
      <c r="Q10" s="5"/>
      <c r="R10" s="6"/>
      <c r="S10" s="5"/>
      <c r="T10" s="7"/>
      <c r="U10" s="7"/>
      <c r="V10" s="7"/>
      <c r="W10" s="7"/>
      <c r="X10" s="7"/>
      <c r="Y10" s="7"/>
      <c r="Z10" s="7"/>
      <c r="AA10" s="7"/>
      <c r="AB10" s="7"/>
      <c r="AC10" s="7"/>
      <c r="AD10" s="7"/>
    </row>
    <row r="11" spans="1:31" ht="14" x14ac:dyDescent="0.2">
      <c r="B11" s="4"/>
      <c r="C11" s="4"/>
      <c r="D11" s="4"/>
      <c r="E11" s="4"/>
      <c r="F11" s="4"/>
      <c r="G11" s="5"/>
      <c r="H11" s="5"/>
      <c r="I11" s="5"/>
      <c r="J11" s="5"/>
      <c r="K11" s="5"/>
      <c r="L11" s="5"/>
      <c r="M11" s="5"/>
      <c r="N11" s="5"/>
      <c r="O11" s="5"/>
      <c r="P11" s="5"/>
      <c r="Q11" s="9"/>
      <c r="R11" s="6"/>
      <c r="S11" s="5"/>
      <c r="T11" s="7"/>
      <c r="U11" s="7"/>
      <c r="V11" s="7"/>
      <c r="W11" s="7"/>
      <c r="X11" s="7"/>
      <c r="Y11" s="7"/>
      <c r="Z11" s="7"/>
      <c r="AA11" s="7"/>
      <c r="AB11" s="7"/>
      <c r="AC11" s="7"/>
      <c r="AD11" s="7"/>
    </row>
    <row r="12" spans="1:31" ht="14" x14ac:dyDescent="0.2">
      <c r="B12" s="4"/>
      <c r="C12" s="4"/>
      <c r="D12" s="4"/>
      <c r="E12" s="4"/>
      <c r="F12" s="4"/>
      <c r="G12" s="5"/>
      <c r="H12" s="5"/>
      <c r="I12" s="5"/>
      <c r="J12" s="5"/>
      <c r="K12" s="5"/>
      <c r="L12" s="5"/>
      <c r="M12" s="5"/>
      <c r="N12" s="5"/>
      <c r="O12" s="5"/>
      <c r="P12" s="5"/>
      <c r="Q12" s="5"/>
      <c r="R12" s="6"/>
      <c r="S12" s="5"/>
      <c r="T12" s="7"/>
      <c r="U12" s="7"/>
      <c r="V12" s="7"/>
      <c r="W12" s="7"/>
      <c r="X12" s="7"/>
      <c r="Y12" s="7"/>
      <c r="Z12" s="7"/>
      <c r="AA12" s="7"/>
      <c r="AB12" s="7"/>
      <c r="AC12" s="7"/>
      <c r="AD12" s="7"/>
    </row>
    <row r="13" spans="1:31" ht="14" x14ac:dyDescent="0.2">
      <c r="B13" s="4"/>
      <c r="C13" s="4"/>
      <c r="D13" s="4"/>
      <c r="E13" s="4"/>
      <c r="F13" s="4"/>
      <c r="G13" s="5"/>
      <c r="H13" s="5"/>
      <c r="I13" s="5"/>
      <c r="J13" s="5"/>
      <c r="K13" s="5"/>
      <c r="L13" s="5"/>
      <c r="M13" s="5"/>
      <c r="N13" s="5"/>
      <c r="O13" s="5"/>
      <c r="P13" s="5"/>
      <c r="Q13" s="5"/>
      <c r="R13" s="6"/>
      <c r="U13" s="7"/>
      <c r="V13" s="7"/>
      <c r="W13" s="7"/>
      <c r="X13" s="7"/>
      <c r="Y13" s="7"/>
      <c r="Z13" s="7"/>
      <c r="AA13" s="7"/>
      <c r="AB13" s="7"/>
      <c r="AC13" s="7"/>
      <c r="AD13" s="7"/>
    </row>
    <row r="14" spans="1:31" ht="14" x14ac:dyDescent="0.2">
      <c r="B14" s="125" t="s">
        <v>8</v>
      </c>
      <c r="C14" s="126"/>
      <c r="D14" s="127"/>
      <c r="E14" s="128" t="s">
        <v>1189</v>
      </c>
      <c r="F14" s="129">
        <v>46143</v>
      </c>
      <c r="G14" s="129">
        <v>46174</v>
      </c>
      <c r="H14" s="129">
        <v>46204</v>
      </c>
      <c r="I14" s="129">
        <v>46235</v>
      </c>
      <c r="J14" s="129">
        <v>46266</v>
      </c>
      <c r="K14" s="129">
        <v>46296</v>
      </c>
      <c r="L14" s="129">
        <v>46327</v>
      </c>
      <c r="M14" s="129">
        <v>46357</v>
      </c>
      <c r="N14" s="129">
        <v>46388</v>
      </c>
      <c r="O14" s="129">
        <v>46419</v>
      </c>
      <c r="P14" s="130">
        <v>46447</v>
      </c>
      <c r="Q14" s="131" t="s">
        <v>9</v>
      </c>
      <c r="R14" s="6"/>
      <c r="S14" s="134" t="s">
        <v>10</v>
      </c>
      <c r="T14" s="134" t="s">
        <v>1190</v>
      </c>
    </row>
    <row r="15" spans="1:31" ht="14" x14ac:dyDescent="0.2">
      <c r="A15" s="336"/>
      <c r="B15" s="369" t="s">
        <v>11</v>
      </c>
      <c r="C15" s="370"/>
      <c r="D15" s="371"/>
      <c r="E15" s="84">
        <f>'Incentive Report- Output'!AF93</f>
        <v>1153970.2415254219</v>
      </c>
      <c r="F15" s="84">
        <f>'Incentive Report- Output'!AF188</f>
        <v>1764141.84957627</v>
      </c>
      <c r="G15" s="84">
        <f>'Incentive Report- Output'!AF284</f>
        <v>1533549.2898305056</v>
      </c>
      <c r="H15" s="84">
        <f>'Incentive Report- Output'!AF382</f>
        <v>1354845.1151169753</v>
      </c>
      <c r="I15" s="84">
        <f>'Incentive Report- Output'!AF481</f>
        <v>22414108.787288122</v>
      </c>
      <c r="J15" s="84"/>
      <c r="K15" s="84"/>
      <c r="L15" s="84"/>
      <c r="M15" s="84"/>
      <c r="N15" s="84"/>
      <c r="O15" s="84"/>
      <c r="P15" s="84"/>
      <c r="Q15" s="116">
        <f>SUM(E15:P15)</f>
        <v>28220615.283337295</v>
      </c>
      <c r="R15" s="11"/>
      <c r="S15" s="13" t="s">
        <v>331</v>
      </c>
      <c r="T15" s="14">
        <f>Q104</f>
        <v>28220615.283337291</v>
      </c>
    </row>
    <row r="16" spans="1:31" ht="14" x14ac:dyDescent="0.2">
      <c r="B16" s="369" t="s">
        <v>12</v>
      </c>
      <c r="C16" s="370"/>
      <c r="D16" s="371"/>
      <c r="E16" s="84">
        <f>'RM Calculation Pro Rata'!B135</f>
        <v>57534.067796610077</v>
      </c>
      <c r="F16" s="84">
        <f>'RM Calculation Pro Rata'!C135</f>
        <v>73900.607627118603</v>
      </c>
      <c r="G16" s="84">
        <f>'RM Calculation Pro Rata'!D135</f>
        <v>78383.44915254222</v>
      </c>
      <c r="H16" s="84">
        <f>'RM Calculation Pro Rata'!I135</f>
        <v>84517.791085975012</v>
      </c>
      <c r="I16" s="84">
        <f>'RM Calculation Pro Rata'!J135</f>
        <v>1245573.4283898305</v>
      </c>
      <c r="J16" s="84"/>
      <c r="K16" s="84"/>
      <c r="L16" s="84"/>
      <c r="M16" s="84"/>
      <c r="N16" s="84"/>
      <c r="O16" s="84"/>
      <c r="P16" s="84"/>
      <c r="Q16" s="12">
        <f>SUM(E16:P16)</f>
        <v>1539909.3440520763</v>
      </c>
      <c r="R16" s="11"/>
      <c r="S16" s="13" t="s">
        <v>332</v>
      </c>
      <c r="T16" s="14">
        <f>AY104</f>
        <v>17453055.86045596</v>
      </c>
    </row>
    <row r="17" spans="1:51" ht="14" x14ac:dyDescent="0.2">
      <c r="B17" s="10" t="s">
        <v>791</v>
      </c>
      <c r="C17" s="15"/>
      <c r="D17" s="16"/>
      <c r="E17" s="84">
        <v>0</v>
      </c>
      <c r="F17" s="84"/>
      <c r="G17" s="84"/>
      <c r="H17" s="84"/>
      <c r="I17" s="84"/>
      <c r="J17" s="84"/>
      <c r="K17" s="84"/>
      <c r="L17" s="84"/>
      <c r="M17" s="84"/>
      <c r="N17" s="84"/>
      <c r="O17" s="84"/>
      <c r="P17" s="84"/>
      <c r="Q17" s="12">
        <f>SUM(E17:P17)</f>
        <v>0</v>
      </c>
      <c r="R17" s="11"/>
      <c r="S17" s="13" t="s">
        <v>13</v>
      </c>
      <c r="T17" s="12">
        <f>AH104</f>
        <v>10767559.422881341</v>
      </c>
    </row>
    <row r="18" spans="1:51" ht="14" customHeight="1" x14ac:dyDescent="0.2">
      <c r="A18" s="336"/>
      <c r="B18" s="369" t="s">
        <v>629</v>
      </c>
      <c r="C18" s="370"/>
      <c r="D18" s="371"/>
      <c r="E18" s="84">
        <f>'Incentive Report- Output'!N93+'Incentive Report- Output'!O93</f>
        <v>102424706.77966087</v>
      </c>
      <c r="F18" s="84">
        <f>+'Incentive Report- Output'!N188+'Incentive Report- Output'!O188</f>
        <v>141626709.32203385</v>
      </c>
      <c r="G18" s="84">
        <f>+'Incentive Report- Output'!N284+'Incentive Report- Output'!O284</f>
        <v>123376240.67796591</v>
      </c>
      <c r="H18" s="84">
        <f>+'Incentive Report- Output'!N382+'Incentive Report- Output'!O382</f>
        <v>104671086.43092</v>
      </c>
      <c r="I18" s="84">
        <f>+'Incentive Report- Output'!N481+'Incentive Report- Output'!O481</f>
        <v>835353402.54237235</v>
      </c>
      <c r="J18" s="84"/>
      <c r="K18" s="84"/>
      <c r="L18" s="84"/>
      <c r="M18" s="84"/>
      <c r="N18" s="84"/>
      <c r="O18" s="84"/>
      <c r="P18" s="310"/>
      <c r="Q18" s="12">
        <f>SUM(E18:P18)</f>
        <v>1307452145.7529531</v>
      </c>
      <c r="R18" s="11"/>
      <c r="S18" s="13"/>
      <c r="T18" s="12"/>
    </row>
    <row r="19" spans="1:51" ht="14" customHeight="1" x14ac:dyDescent="0.2">
      <c r="B19" s="369" t="s">
        <v>630</v>
      </c>
      <c r="C19" s="370"/>
      <c r="D19" s="371"/>
      <c r="E19" s="84">
        <v>0</v>
      </c>
      <c r="F19" s="84">
        <v>0</v>
      </c>
      <c r="G19" s="84"/>
      <c r="H19" s="84"/>
      <c r="I19" s="84"/>
      <c r="J19" s="84"/>
      <c r="K19" s="84"/>
      <c r="L19" s="84"/>
      <c r="M19" s="84"/>
      <c r="N19" s="84"/>
      <c r="O19" s="84"/>
      <c r="P19" s="84"/>
      <c r="Q19" s="12">
        <f>SUM(E19:P19)</f>
        <v>0</v>
      </c>
      <c r="R19" s="11"/>
      <c r="S19" s="13" t="s">
        <v>15</v>
      </c>
      <c r="T19" s="12">
        <v>0</v>
      </c>
    </row>
    <row r="20" spans="1:51" ht="14" x14ac:dyDescent="0.2">
      <c r="A20" s="254"/>
      <c r="B20" s="10" t="s">
        <v>14</v>
      </c>
      <c r="C20" s="15"/>
      <c r="D20" s="16"/>
      <c r="E20" s="117">
        <f t="shared" ref="E20:I20" si="0">(E15+E16+E21)/(E18+E19)</f>
        <v>1.182824288604757E-2</v>
      </c>
      <c r="F20" s="117">
        <f t="shared" si="0"/>
        <v>1.2978077835756307E-2</v>
      </c>
      <c r="G20" s="117">
        <f t="shared" si="0"/>
        <v>1.3065179568815694E-2</v>
      </c>
      <c r="H20" s="117">
        <f t="shared" si="0"/>
        <v>1.3751294223480613E-2</v>
      </c>
      <c r="I20" s="117">
        <f t="shared" si="0"/>
        <v>2.8322961448017617E-2</v>
      </c>
      <c r="J20" s="117"/>
      <c r="K20" s="117"/>
      <c r="L20" s="117"/>
      <c r="M20" s="117"/>
      <c r="N20" s="117"/>
      <c r="O20" s="117"/>
      <c r="P20" s="117"/>
      <c r="Q20" s="117">
        <f>(Q15+Q16+Q21+Q17)/(Q18+Q19)</f>
        <v>2.2762228601682765E-2</v>
      </c>
      <c r="R20" s="17"/>
    </row>
    <row r="21" spans="1:51" ht="14" x14ac:dyDescent="0.2">
      <c r="B21" s="96" t="s">
        <v>327</v>
      </c>
      <c r="C21" s="97"/>
      <c r="D21" s="98"/>
      <c r="E21" s="84">
        <v>0</v>
      </c>
      <c r="F21" s="84">
        <v>0</v>
      </c>
      <c r="G21" s="84"/>
      <c r="H21" s="84"/>
      <c r="I21" s="84"/>
      <c r="J21" s="84"/>
      <c r="K21" s="84"/>
      <c r="L21" s="84"/>
      <c r="M21" s="84"/>
      <c r="N21" s="84"/>
      <c r="O21" s="84"/>
      <c r="P21" s="84"/>
      <c r="Q21" s="12">
        <f>SUM(E21:P21)</f>
        <v>0</v>
      </c>
      <c r="R21" s="17"/>
      <c r="S21" s="266" t="e">
        <f>P18/O18</f>
        <v>#DIV/0!</v>
      </c>
      <c r="T21" s="11">
        <v>1</v>
      </c>
      <c r="U21" s="254" t="e">
        <f>T21-S21</f>
        <v>#DIV/0!</v>
      </c>
    </row>
    <row r="22" spans="1:51" ht="14" x14ac:dyDescent="0.2">
      <c r="B22" s="372" t="s">
        <v>326</v>
      </c>
      <c r="C22" s="373"/>
      <c r="D22" s="373"/>
      <c r="E22" s="84">
        <v>0</v>
      </c>
      <c r="F22" s="84">
        <v>0</v>
      </c>
      <c r="G22" s="84"/>
      <c r="H22" s="84"/>
      <c r="I22" s="84"/>
      <c r="J22" s="84"/>
      <c r="K22" s="84"/>
      <c r="L22" s="84"/>
      <c r="M22" s="84"/>
      <c r="N22" s="84"/>
      <c r="O22" s="84"/>
      <c r="P22" s="84"/>
      <c r="Q22" s="85">
        <f>SUM(E22:P22)</f>
        <v>0</v>
      </c>
      <c r="R22" s="11"/>
    </row>
    <row r="23" spans="1:51" ht="18" customHeight="1" x14ac:dyDescent="0.2">
      <c r="B23" s="120" t="s">
        <v>243</v>
      </c>
      <c r="C23" s="121"/>
      <c r="D23" s="121"/>
      <c r="E23" s="122">
        <f t="shared" ref="E23:Q23" si="1">SUBTOTAL(9,E25:E103)</f>
        <v>1153970.2415254219</v>
      </c>
      <c r="F23" s="122">
        <f t="shared" si="1"/>
        <v>1764141.8495762704</v>
      </c>
      <c r="G23" s="122">
        <f t="shared" si="1"/>
        <v>1533549.2898305056</v>
      </c>
      <c r="H23" s="122">
        <f t="shared" si="1"/>
        <v>1354845.1151169753</v>
      </c>
      <c r="I23" s="122">
        <f t="shared" si="1"/>
        <v>22414108.787288126</v>
      </c>
      <c r="J23" s="122">
        <f t="shared" si="1"/>
        <v>0</v>
      </c>
      <c r="K23" s="122">
        <f t="shared" si="1"/>
        <v>0</v>
      </c>
      <c r="L23" s="122">
        <f t="shared" si="1"/>
        <v>0</v>
      </c>
      <c r="M23" s="122">
        <f t="shared" si="1"/>
        <v>0</v>
      </c>
      <c r="N23" s="122">
        <f t="shared" si="1"/>
        <v>0</v>
      </c>
      <c r="O23" s="122">
        <f t="shared" si="1"/>
        <v>0</v>
      </c>
      <c r="P23" s="122">
        <f t="shared" si="1"/>
        <v>0</v>
      </c>
      <c r="Q23" s="122">
        <f t="shared" si="1"/>
        <v>28220615.283337291</v>
      </c>
      <c r="R23" s="11"/>
      <c r="S23" s="2" t="s">
        <v>329</v>
      </c>
      <c r="AJ23" s="2" t="s">
        <v>330</v>
      </c>
    </row>
    <row r="24" spans="1:51" ht="14" x14ac:dyDescent="0.2">
      <c r="B24" s="132" t="s">
        <v>328</v>
      </c>
      <c r="C24" s="132" t="s">
        <v>16</v>
      </c>
      <c r="D24" s="132" t="s">
        <v>2</v>
      </c>
      <c r="E24" s="128" t="s">
        <v>1189</v>
      </c>
      <c r="F24" s="129">
        <v>46143</v>
      </c>
      <c r="G24" s="129">
        <v>46174</v>
      </c>
      <c r="H24" s="129">
        <v>46204</v>
      </c>
      <c r="I24" s="129">
        <v>46235</v>
      </c>
      <c r="J24" s="129">
        <v>46266</v>
      </c>
      <c r="K24" s="129">
        <v>46296</v>
      </c>
      <c r="L24" s="129">
        <v>46327</v>
      </c>
      <c r="M24" s="129">
        <v>46357</v>
      </c>
      <c r="N24" s="129">
        <v>46388</v>
      </c>
      <c r="O24" s="129">
        <v>46419</v>
      </c>
      <c r="P24" s="130">
        <v>46447</v>
      </c>
      <c r="Q24" s="133" t="s">
        <v>243</v>
      </c>
      <c r="S24" s="132" t="s">
        <v>328</v>
      </c>
      <c r="T24" s="132" t="s">
        <v>16</v>
      </c>
      <c r="U24" s="132" t="s">
        <v>2</v>
      </c>
      <c r="V24" s="128" t="s">
        <v>1189</v>
      </c>
      <c r="W24" s="129">
        <v>46143</v>
      </c>
      <c r="X24" s="129">
        <v>46174</v>
      </c>
      <c r="Y24" s="129">
        <v>46204</v>
      </c>
      <c r="Z24" s="129">
        <v>46235</v>
      </c>
      <c r="AA24" s="129">
        <v>46266</v>
      </c>
      <c r="AB24" s="129">
        <v>46296</v>
      </c>
      <c r="AC24" s="129">
        <v>46327</v>
      </c>
      <c r="AD24" s="129">
        <v>46357</v>
      </c>
      <c r="AE24" s="129">
        <v>46388</v>
      </c>
      <c r="AF24" s="129">
        <v>46419</v>
      </c>
      <c r="AG24" s="130">
        <v>46447</v>
      </c>
      <c r="AH24" s="133" t="s">
        <v>203</v>
      </c>
      <c r="AJ24" s="132" t="s">
        <v>328</v>
      </c>
      <c r="AK24" s="132" t="s">
        <v>16</v>
      </c>
      <c r="AL24" s="132" t="s">
        <v>2</v>
      </c>
      <c r="AM24" s="128" t="s">
        <v>1189</v>
      </c>
      <c r="AN24" s="129">
        <v>46143</v>
      </c>
      <c r="AO24" s="129">
        <v>46174</v>
      </c>
      <c r="AP24" s="129">
        <v>46204</v>
      </c>
      <c r="AQ24" s="129">
        <v>46235</v>
      </c>
      <c r="AR24" s="129">
        <v>46266</v>
      </c>
      <c r="AS24" s="129">
        <v>46296</v>
      </c>
      <c r="AT24" s="129">
        <v>46327</v>
      </c>
      <c r="AU24" s="129">
        <v>46357</v>
      </c>
      <c r="AV24" s="129">
        <v>46388</v>
      </c>
      <c r="AW24" s="129">
        <v>46419</v>
      </c>
      <c r="AX24" s="130">
        <v>46447</v>
      </c>
      <c r="AY24" s="133" t="s">
        <v>347</v>
      </c>
    </row>
    <row r="25" spans="1:51" ht="14" x14ac:dyDescent="0.2">
      <c r="A25" s="254"/>
      <c r="B25" s="1" t="s">
        <v>191</v>
      </c>
      <c r="C25" s="1" t="s">
        <v>195</v>
      </c>
      <c r="D25" s="1" t="s">
        <v>0</v>
      </c>
      <c r="E25" s="83">
        <f>SUMIF('Incentive Report- Output'!$B$4:$B$93,'Incentive Summary Output'!C25,'Incentive Report- Output'!$AF$4:$AF$93)</f>
        <v>5032.9152542372804</v>
      </c>
      <c r="F25" s="83">
        <f>SUMIF('Incentive Report- Output'!$B$98:$B$188,'Incentive Summary Output'!C25,'Incentive Report- Output'!$AF$98:$AF$188)</f>
        <v>10166.483050847457</v>
      </c>
      <c r="G25" s="83">
        <f>SUMIF('Incentive Report- Output'!$B$193:$B$283,'Incentive Summary Output'!C25,'Incentive Report- Output'!$AF$193:$AF$283)</f>
        <v>6641.343220338973</v>
      </c>
      <c r="H25" s="83">
        <f>SUMIF('Incentive Report- Output'!$B$288:$B$382,'Incentive Summary Output'!C25,'Incentive Report- Output'!$AF$288:$AF$382)</f>
        <v>0</v>
      </c>
      <c r="I25" s="83">
        <f>SUMIF('Incentive Report- Output'!$B$387:$B$480,'Incentive Summary Output'!C25,'Incentive Report- Output'!$AF$387:$AF$480)</f>
        <v>544702.83050847333</v>
      </c>
      <c r="J25" s="83"/>
      <c r="K25" s="83"/>
      <c r="L25" s="83"/>
      <c r="M25" s="83"/>
      <c r="N25" s="83"/>
      <c r="O25" s="83"/>
      <c r="P25" s="83"/>
      <c r="Q25" s="174">
        <f>SUM(E25:P25)</f>
        <v>566543.57203389704</v>
      </c>
      <c r="S25" s="1" t="s">
        <v>191</v>
      </c>
      <c r="T25" s="1" t="s">
        <v>195</v>
      </c>
      <c r="U25" s="1" t="s">
        <v>0</v>
      </c>
      <c r="V25" s="82">
        <f>IF(E25&gt;200000,E25-200000,0)</f>
        <v>0</v>
      </c>
      <c r="W25" s="82">
        <f t="shared" ref="W25:AG40" si="2">IF(F25&gt;200000,F25-200000,0)</f>
        <v>0</v>
      </c>
      <c r="X25" s="82">
        <f t="shared" si="2"/>
        <v>0</v>
      </c>
      <c r="Y25" s="82">
        <f t="shared" si="2"/>
        <v>0</v>
      </c>
      <c r="Z25" s="82">
        <f t="shared" si="2"/>
        <v>344702.83050847333</v>
      </c>
      <c r="AA25" s="82">
        <f t="shared" si="2"/>
        <v>0</v>
      </c>
      <c r="AB25" s="82">
        <f t="shared" si="2"/>
        <v>0</v>
      </c>
      <c r="AC25" s="82">
        <f t="shared" si="2"/>
        <v>0</v>
      </c>
      <c r="AD25" s="82">
        <f t="shared" si="2"/>
        <v>0</v>
      </c>
      <c r="AE25" s="82">
        <f t="shared" si="2"/>
        <v>0</v>
      </c>
      <c r="AF25" s="82">
        <f t="shared" si="2"/>
        <v>0</v>
      </c>
      <c r="AG25" s="82">
        <f t="shared" si="2"/>
        <v>0</v>
      </c>
      <c r="AH25" s="82">
        <f t="shared" ref="AH25:AH80" si="3">SUM(V25:AG25)</f>
        <v>344702.83050847333</v>
      </c>
      <c r="AJ25" s="1" t="s">
        <v>191</v>
      </c>
      <c r="AK25" s="1" t="s">
        <v>195</v>
      </c>
      <c r="AL25" s="1" t="s">
        <v>0</v>
      </c>
      <c r="AM25" s="82">
        <f t="shared" ref="AM25:AM55" si="4">E25-V25</f>
        <v>5032.9152542372804</v>
      </c>
      <c r="AN25" s="82">
        <f t="shared" ref="AN25:AN55" si="5">F25-W25</f>
        <v>10166.483050847457</v>
      </c>
      <c r="AO25" s="82">
        <f t="shared" ref="AO25:AO80" si="6">G25-X25</f>
        <v>6641.343220338973</v>
      </c>
      <c r="AP25" s="82">
        <f t="shared" ref="AP25:AP55" si="7">H25-Y25</f>
        <v>0</v>
      </c>
      <c r="AQ25" s="82">
        <f t="shared" ref="AQ25:AQ55" si="8">I25-Z25</f>
        <v>200000</v>
      </c>
      <c r="AR25" s="82">
        <f t="shared" ref="AR25:AR55" si="9">J25-AA25</f>
        <v>0</v>
      </c>
      <c r="AS25" s="82">
        <f t="shared" ref="AS25:AS55" si="10">K25-AB25</f>
        <v>0</v>
      </c>
      <c r="AT25" s="82">
        <f t="shared" ref="AT25:AT55" si="11">L25-AC25</f>
        <v>0</v>
      </c>
      <c r="AU25" s="82">
        <f t="shared" ref="AU25:AU55" si="12">M25-AD25</f>
        <v>0</v>
      </c>
      <c r="AV25" s="82">
        <f t="shared" ref="AV25:AV55" si="13">N25-AE25</f>
        <v>0</v>
      </c>
      <c r="AW25" s="82">
        <f t="shared" ref="AW25:AW55" si="14">O25-AF25</f>
        <v>0</v>
      </c>
      <c r="AX25" s="82">
        <f t="shared" ref="AX25:AX55" si="15">P25-AG25</f>
        <v>0</v>
      </c>
      <c r="AY25" s="82">
        <f t="shared" ref="AY25:AY71" si="16">SUM(AM25:AX25)</f>
        <v>221840.74152542371</v>
      </c>
    </row>
    <row r="26" spans="1:51" ht="14" x14ac:dyDescent="0.2">
      <c r="A26" s="254"/>
      <c r="B26" s="1" t="s">
        <v>31</v>
      </c>
      <c r="C26" s="1" t="s">
        <v>32</v>
      </c>
      <c r="D26" s="1" t="s">
        <v>1</v>
      </c>
      <c r="E26" s="83">
        <f>SUMIF('Incentive Report- Output'!$B$4:$B$93,'Incentive Summary Output'!C26,'Incentive Report- Output'!$AF$4:$AF$93)</f>
        <v>16384.322033898276</v>
      </c>
      <c r="F26" s="83">
        <f>SUMIF('Incentive Report- Output'!$B$98:$B$188,'Incentive Summary Output'!C26,'Incentive Report- Output'!$AF$98:$AF$188)</f>
        <v>9887.8983050847473</v>
      </c>
      <c r="G26" s="83">
        <f>SUMIF('Incentive Report- Output'!$B$193:$B$283,'Incentive Summary Output'!C26,'Incentive Report- Output'!$AF$193:$AF$283)</f>
        <v>7365.9194915254157</v>
      </c>
      <c r="H26" s="83">
        <f>SUMIF('Incentive Report- Output'!$B$288:$B$382,'Incentive Summary Output'!C26,'Incentive Report- Output'!$AF$288:$AF$382)</f>
        <v>4320.0127111000002</v>
      </c>
      <c r="I26" s="83">
        <f>SUMIF('Incentive Report- Output'!$B$387:$B$480,'Incentive Summary Output'!C26,'Incentive Report- Output'!$AF$387:$AF$480)</f>
        <v>482371.0677966096</v>
      </c>
      <c r="J26" s="83"/>
      <c r="K26" s="83"/>
      <c r="L26" s="83"/>
      <c r="M26" s="83"/>
      <c r="N26" s="83"/>
      <c r="O26" s="83"/>
      <c r="P26" s="83"/>
      <c r="Q26" s="174">
        <f t="shared" ref="Q26:Q80" si="17">SUM(E26:P26)</f>
        <v>520329.22033821803</v>
      </c>
      <c r="S26" s="1" t="s">
        <v>31</v>
      </c>
      <c r="T26" s="1" t="s">
        <v>32</v>
      </c>
      <c r="U26" s="1" t="s">
        <v>1</v>
      </c>
      <c r="V26" s="82">
        <f t="shared" ref="V26:V89" si="18">IF(E26&gt;200000,E26-200000,0)</f>
        <v>0</v>
      </c>
      <c r="W26" s="82">
        <f t="shared" si="2"/>
        <v>0</v>
      </c>
      <c r="X26" s="82">
        <f t="shared" si="2"/>
        <v>0</v>
      </c>
      <c r="Y26" s="82">
        <f t="shared" si="2"/>
        <v>0</v>
      </c>
      <c r="Z26" s="82">
        <f t="shared" si="2"/>
        <v>282371.0677966096</v>
      </c>
      <c r="AA26" s="82">
        <f t="shared" si="2"/>
        <v>0</v>
      </c>
      <c r="AB26" s="82">
        <f t="shared" si="2"/>
        <v>0</v>
      </c>
      <c r="AC26" s="82">
        <f t="shared" si="2"/>
        <v>0</v>
      </c>
      <c r="AD26" s="82">
        <f t="shared" si="2"/>
        <v>0</v>
      </c>
      <c r="AE26" s="82">
        <f t="shared" si="2"/>
        <v>0</v>
      </c>
      <c r="AF26" s="82">
        <f t="shared" si="2"/>
        <v>0</v>
      </c>
      <c r="AG26" s="82">
        <f t="shared" si="2"/>
        <v>0</v>
      </c>
      <c r="AH26" s="82">
        <f t="shared" si="3"/>
        <v>282371.0677966096</v>
      </c>
      <c r="AJ26" s="1" t="s">
        <v>31</v>
      </c>
      <c r="AK26" s="1" t="s">
        <v>32</v>
      </c>
      <c r="AL26" s="1" t="s">
        <v>1</v>
      </c>
      <c r="AM26" s="82">
        <f t="shared" si="4"/>
        <v>16384.322033898276</v>
      </c>
      <c r="AN26" s="82">
        <f t="shared" si="5"/>
        <v>9887.8983050847473</v>
      </c>
      <c r="AO26" s="82">
        <f t="shared" si="6"/>
        <v>7365.9194915254157</v>
      </c>
      <c r="AP26" s="82">
        <f t="shared" si="7"/>
        <v>4320.0127111000002</v>
      </c>
      <c r="AQ26" s="82">
        <f t="shared" si="8"/>
        <v>200000</v>
      </c>
      <c r="AR26" s="82">
        <f t="shared" si="9"/>
        <v>0</v>
      </c>
      <c r="AS26" s="82">
        <f t="shared" si="10"/>
        <v>0</v>
      </c>
      <c r="AT26" s="82">
        <f t="shared" si="11"/>
        <v>0</v>
      </c>
      <c r="AU26" s="82">
        <f t="shared" si="12"/>
        <v>0</v>
      </c>
      <c r="AV26" s="82">
        <f t="shared" si="13"/>
        <v>0</v>
      </c>
      <c r="AW26" s="82">
        <f t="shared" si="14"/>
        <v>0</v>
      </c>
      <c r="AX26" s="82">
        <f t="shared" si="15"/>
        <v>0</v>
      </c>
      <c r="AY26" s="82">
        <f t="shared" si="16"/>
        <v>237958.15254160843</v>
      </c>
    </row>
    <row r="27" spans="1:51" ht="14" x14ac:dyDescent="0.2">
      <c r="A27" s="254"/>
      <c r="B27" s="1" t="s">
        <v>756</v>
      </c>
      <c r="C27" s="1" t="s">
        <v>757</v>
      </c>
      <c r="D27" s="1" t="s">
        <v>1</v>
      </c>
      <c r="E27" s="83">
        <f>SUMIF('Incentive Report- Output'!$B$4:$B$93,'Incentive Summary Output'!C27,'Incentive Report- Output'!$AF$4:$AF$93)</f>
        <v>0</v>
      </c>
      <c r="F27" s="83">
        <f>SUMIF('Incentive Report- Output'!$B$98:$B$188,'Incentive Summary Output'!C27,'Incentive Report- Output'!$AF$98:$AF$188)</f>
        <v>65094.959745762681</v>
      </c>
      <c r="G27" s="83">
        <f>SUMIF('Incentive Report- Output'!$B$193:$B$283,'Incentive Summary Output'!C27,'Incentive Report- Output'!$AF$193:$AF$283)</f>
        <v>0</v>
      </c>
      <c r="H27" s="83">
        <f>SUMIF('Incentive Report- Output'!$B$288:$B$382,'Incentive Summary Output'!C27,'Incentive Report- Output'!$AF$288:$AF$382)</f>
        <v>49999.830488700005</v>
      </c>
      <c r="I27" s="83">
        <f>SUMIF('Incentive Report- Output'!$B$387:$B$480,'Incentive Summary Output'!C27,'Incentive Report- Output'!$AF$387:$AF$480)</f>
        <v>418483.44915254146</v>
      </c>
      <c r="J27" s="83"/>
      <c r="K27" s="83"/>
      <c r="L27" s="83"/>
      <c r="M27" s="83"/>
      <c r="N27" s="83"/>
      <c r="O27" s="83"/>
      <c r="P27" s="83"/>
      <c r="Q27" s="174">
        <f t="shared" si="17"/>
        <v>533578.23938700417</v>
      </c>
      <c r="S27" s="1" t="s">
        <v>756</v>
      </c>
      <c r="T27" s="1" t="s">
        <v>757</v>
      </c>
      <c r="U27" s="1" t="s">
        <v>1</v>
      </c>
      <c r="V27" s="82">
        <f t="shared" si="18"/>
        <v>0</v>
      </c>
      <c r="W27" s="82">
        <f t="shared" si="2"/>
        <v>0</v>
      </c>
      <c r="X27" s="82">
        <f t="shared" si="2"/>
        <v>0</v>
      </c>
      <c r="Y27" s="82">
        <f t="shared" si="2"/>
        <v>0</v>
      </c>
      <c r="Z27" s="82">
        <f t="shared" si="2"/>
        <v>218483.44915254146</v>
      </c>
      <c r="AA27" s="82">
        <f t="shared" si="2"/>
        <v>0</v>
      </c>
      <c r="AB27" s="82">
        <f t="shared" si="2"/>
        <v>0</v>
      </c>
      <c r="AC27" s="82">
        <f t="shared" si="2"/>
        <v>0</v>
      </c>
      <c r="AD27" s="82">
        <f t="shared" si="2"/>
        <v>0</v>
      </c>
      <c r="AE27" s="82">
        <f t="shared" si="2"/>
        <v>0</v>
      </c>
      <c r="AF27" s="82">
        <f t="shared" si="2"/>
        <v>0</v>
      </c>
      <c r="AG27" s="82">
        <f t="shared" si="2"/>
        <v>0</v>
      </c>
      <c r="AH27" s="82">
        <f t="shared" si="3"/>
        <v>218483.44915254146</v>
      </c>
      <c r="AJ27" s="1" t="s">
        <v>756</v>
      </c>
      <c r="AK27" s="1" t="s">
        <v>757</v>
      </c>
      <c r="AL27" s="1" t="s">
        <v>1</v>
      </c>
      <c r="AM27" s="82">
        <f t="shared" si="4"/>
        <v>0</v>
      </c>
      <c r="AN27" s="82">
        <f t="shared" si="5"/>
        <v>65094.959745762681</v>
      </c>
      <c r="AO27" s="82">
        <f t="shared" si="6"/>
        <v>0</v>
      </c>
      <c r="AP27" s="82">
        <f t="shared" si="7"/>
        <v>49999.830488700005</v>
      </c>
      <c r="AQ27" s="82">
        <f t="shared" si="8"/>
        <v>200000</v>
      </c>
      <c r="AR27" s="82">
        <f t="shared" si="9"/>
        <v>0</v>
      </c>
      <c r="AS27" s="82">
        <f t="shared" si="10"/>
        <v>0</v>
      </c>
      <c r="AT27" s="82">
        <f t="shared" si="11"/>
        <v>0</v>
      </c>
      <c r="AU27" s="82">
        <f t="shared" si="12"/>
        <v>0</v>
      </c>
      <c r="AV27" s="82">
        <f t="shared" si="13"/>
        <v>0</v>
      </c>
      <c r="AW27" s="82">
        <f t="shared" si="14"/>
        <v>0</v>
      </c>
      <c r="AX27" s="82">
        <f t="shared" si="15"/>
        <v>0</v>
      </c>
      <c r="AY27" s="82">
        <f t="shared" si="16"/>
        <v>315094.79023446271</v>
      </c>
    </row>
    <row r="28" spans="1:51" ht="14" x14ac:dyDescent="0.2">
      <c r="A28" s="254"/>
      <c r="B28" s="1" t="s">
        <v>705</v>
      </c>
      <c r="C28" s="1" t="s">
        <v>686</v>
      </c>
      <c r="D28" s="1" t="s">
        <v>1</v>
      </c>
      <c r="E28" s="83">
        <f>SUMIF('Incentive Report- Output'!$B$4:$B$93,'Incentive Summary Output'!C28,'Incentive Report- Output'!$AF$4:$AF$93)</f>
        <v>13364.033898305062</v>
      </c>
      <c r="F28" s="83">
        <f>SUMIF('Incentive Report- Output'!$B$98:$B$188,'Incentive Summary Output'!C28,'Incentive Report- Output'!$AF$98:$AF$188)</f>
        <v>7496.6144067796613</v>
      </c>
      <c r="G28" s="83">
        <f>SUMIF('Incentive Report- Output'!$B$193:$B$283,'Incentive Summary Output'!C28,'Incentive Report- Output'!$AF$193:$AF$283)</f>
        <v>0</v>
      </c>
      <c r="H28" s="83">
        <f>SUMIF('Incentive Report- Output'!$B$288:$B$382,'Incentive Summary Output'!C28,'Incentive Report- Output'!$AF$288:$AF$382)</f>
        <v>67499.898285000032</v>
      </c>
      <c r="I28" s="83">
        <f>SUMIF('Incentive Report- Output'!$B$387:$B$480,'Incentive Summary Output'!C28,'Incentive Report- Output'!$AF$387:$AF$480)</f>
        <v>451111.98305084684</v>
      </c>
      <c r="J28" s="83"/>
      <c r="K28" s="83"/>
      <c r="L28" s="83"/>
      <c r="M28" s="83"/>
      <c r="N28" s="83"/>
      <c r="O28" s="83"/>
      <c r="P28" s="83"/>
      <c r="Q28" s="174">
        <f t="shared" si="17"/>
        <v>539472.52964093164</v>
      </c>
      <c r="S28" s="1" t="s">
        <v>705</v>
      </c>
      <c r="T28" s="1" t="s">
        <v>686</v>
      </c>
      <c r="U28" s="1" t="s">
        <v>1</v>
      </c>
      <c r="V28" s="82">
        <f t="shared" si="18"/>
        <v>0</v>
      </c>
      <c r="W28" s="82">
        <f t="shared" si="2"/>
        <v>0</v>
      </c>
      <c r="X28" s="82">
        <f t="shared" si="2"/>
        <v>0</v>
      </c>
      <c r="Y28" s="82">
        <f t="shared" si="2"/>
        <v>0</v>
      </c>
      <c r="Z28" s="82">
        <f t="shared" si="2"/>
        <v>251111.98305084684</v>
      </c>
      <c r="AA28" s="82">
        <f t="shared" si="2"/>
        <v>0</v>
      </c>
      <c r="AB28" s="82">
        <f t="shared" si="2"/>
        <v>0</v>
      </c>
      <c r="AC28" s="82">
        <f t="shared" si="2"/>
        <v>0</v>
      </c>
      <c r="AD28" s="82">
        <f t="shared" si="2"/>
        <v>0</v>
      </c>
      <c r="AE28" s="82">
        <f t="shared" si="2"/>
        <v>0</v>
      </c>
      <c r="AF28" s="82">
        <f t="shared" si="2"/>
        <v>0</v>
      </c>
      <c r="AG28" s="82">
        <f t="shared" si="2"/>
        <v>0</v>
      </c>
      <c r="AH28" s="82">
        <f t="shared" si="3"/>
        <v>251111.98305084684</v>
      </c>
      <c r="AJ28" s="1" t="s">
        <v>705</v>
      </c>
      <c r="AK28" s="1" t="s">
        <v>686</v>
      </c>
      <c r="AL28" s="1" t="s">
        <v>1</v>
      </c>
      <c r="AM28" s="82">
        <f t="shared" si="4"/>
        <v>13364.033898305062</v>
      </c>
      <c r="AN28" s="82">
        <f t="shared" si="5"/>
        <v>7496.6144067796613</v>
      </c>
      <c r="AO28" s="82">
        <f t="shared" si="6"/>
        <v>0</v>
      </c>
      <c r="AP28" s="82">
        <f t="shared" si="7"/>
        <v>67499.898285000032</v>
      </c>
      <c r="AQ28" s="82">
        <f t="shared" si="8"/>
        <v>200000</v>
      </c>
      <c r="AR28" s="82">
        <f t="shared" si="9"/>
        <v>0</v>
      </c>
      <c r="AS28" s="82">
        <f t="shared" si="10"/>
        <v>0</v>
      </c>
      <c r="AT28" s="82">
        <f t="shared" si="11"/>
        <v>0</v>
      </c>
      <c r="AU28" s="82">
        <f t="shared" si="12"/>
        <v>0</v>
      </c>
      <c r="AV28" s="82">
        <f t="shared" si="13"/>
        <v>0</v>
      </c>
      <c r="AW28" s="82">
        <f t="shared" si="14"/>
        <v>0</v>
      </c>
      <c r="AX28" s="82">
        <f t="shared" si="15"/>
        <v>0</v>
      </c>
      <c r="AY28" s="82">
        <f t="shared" si="16"/>
        <v>288360.54659008479</v>
      </c>
    </row>
    <row r="29" spans="1:51" ht="14" x14ac:dyDescent="0.2">
      <c r="A29" s="254"/>
      <c r="B29" s="1" t="s">
        <v>248</v>
      </c>
      <c r="C29" s="1" t="s">
        <v>251</v>
      </c>
      <c r="D29" s="1" t="s">
        <v>1</v>
      </c>
      <c r="E29" s="83">
        <f>SUMIF('Incentive Report- Output'!$B$4:$B$93,'Incentive Summary Output'!C29,'Incentive Report- Output'!$AF$4:$AF$93)</f>
        <v>7347.2457627118529</v>
      </c>
      <c r="F29" s="83">
        <f>SUMIF('Incentive Report- Output'!$B$98:$B$188,'Incentive Summary Output'!C29,'Incentive Report- Output'!$AF$98:$AF$188)</f>
        <v>8391.2923728813566</v>
      </c>
      <c r="G29" s="83">
        <f>SUMIF('Incentive Report- Output'!$B$193:$B$283,'Incentive Summary Output'!C29,'Incentive Report- Output'!$AF$193:$AF$283)</f>
        <v>21395.627118644035</v>
      </c>
      <c r="H29" s="83">
        <f>SUMIF('Incentive Report- Output'!$B$288:$B$382,'Incentive Summary Output'!C29,'Incentive Report- Output'!$AF$288:$AF$382)</f>
        <v>0</v>
      </c>
      <c r="I29" s="83">
        <f>SUMIF('Incentive Report- Output'!$B$387:$B$480,'Incentive Summary Output'!C29,'Incentive Report- Output'!$AF$387:$AF$480)</f>
        <v>449212.1186440668</v>
      </c>
      <c r="J29" s="83"/>
      <c r="K29" s="83"/>
      <c r="L29" s="83"/>
      <c r="M29" s="83"/>
      <c r="N29" s="83"/>
      <c r="O29" s="83"/>
      <c r="P29" s="83"/>
      <c r="Q29" s="174">
        <f t="shared" si="17"/>
        <v>486346.28389830404</v>
      </c>
      <c r="S29" s="1" t="s">
        <v>248</v>
      </c>
      <c r="T29" s="1" t="s">
        <v>251</v>
      </c>
      <c r="U29" s="1" t="s">
        <v>1</v>
      </c>
      <c r="V29" s="82">
        <f t="shared" si="18"/>
        <v>0</v>
      </c>
      <c r="W29" s="82">
        <f t="shared" si="2"/>
        <v>0</v>
      </c>
      <c r="X29" s="82">
        <f t="shared" si="2"/>
        <v>0</v>
      </c>
      <c r="Y29" s="82">
        <f t="shared" si="2"/>
        <v>0</v>
      </c>
      <c r="Z29" s="82">
        <f t="shared" si="2"/>
        <v>249212.1186440668</v>
      </c>
      <c r="AA29" s="82">
        <f t="shared" si="2"/>
        <v>0</v>
      </c>
      <c r="AB29" s="82">
        <f t="shared" si="2"/>
        <v>0</v>
      </c>
      <c r="AC29" s="82">
        <f t="shared" si="2"/>
        <v>0</v>
      </c>
      <c r="AD29" s="82">
        <f t="shared" si="2"/>
        <v>0</v>
      </c>
      <c r="AE29" s="82">
        <f t="shared" si="2"/>
        <v>0</v>
      </c>
      <c r="AF29" s="82">
        <f t="shared" si="2"/>
        <v>0</v>
      </c>
      <c r="AG29" s="82">
        <f t="shared" si="2"/>
        <v>0</v>
      </c>
      <c r="AH29" s="82">
        <f t="shared" si="3"/>
        <v>249212.1186440668</v>
      </c>
      <c r="AJ29" s="1" t="s">
        <v>248</v>
      </c>
      <c r="AK29" s="1" t="s">
        <v>251</v>
      </c>
      <c r="AL29" s="1" t="s">
        <v>1</v>
      </c>
      <c r="AM29" s="82">
        <f t="shared" si="4"/>
        <v>7347.2457627118529</v>
      </c>
      <c r="AN29" s="82">
        <f t="shared" si="5"/>
        <v>8391.2923728813566</v>
      </c>
      <c r="AO29" s="82">
        <f t="shared" si="6"/>
        <v>21395.627118644035</v>
      </c>
      <c r="AP29" s="82">
        <f t="shared" si="7"/>
        <v>0</v>
      </c>
      <c r="AQ29" s="82">
        <f t="shared" si="8"/>
        <v>200000</v>
      </c>
      <c r="AR29" s="82">
        <f t="shared" si="9"/>
        <v>0</v>
      </c>
      <c r="AS29" s="82">
        <f t="shared" si="10"/>
        <v>0</v>
      </c>
      <c r="AT29" s="82">
        <f t="shared" si="11"/>
        <v>0</v>
      </c>
      <c r="AU29" s="82">
        <f t="shared" si="12"/>
        <v>0</v>
      </c>
      <c r="AV29" s="82">
        <f t="shared" si="13"/>
        <v>0</v>
      </c>
      <c r="AW29" s="82">
        <f t="shared" si="14"/>
        <v>0</v>
      </c>
      <c r="AX29" s="82">
        <f t="shared" si="15"/>
        <v>0</v>
      </c>
      <c r="AY29" s="82">
        <f t="shared" si="16"/>
        <v>237134.16525423725</v>
      </c>
    </row>
    <row r="30" spans="1:51" ht="14" x14ac:dyDescent="0.2">
      <c r="A30" s="254"/>
      <c r="B30" s="1" t="s">
        <v>224</v>
      </c>
      <c r="C30" s="1" t="s">
        <v>33</v>
      </c>
      <c r="D30" s="1" t="s">
        <v>0</v>
      </c>
      <c r="E30" s="83">
        <f>SUMIF('Incentive Report- Output'!$B$4:$B$93,'Incentive Summary Output'!C30,'Incentive Report- Output'!$AF$4:$AF$93)</f>
        <v>4900.9364406779578</v>
      </c>
      <c r="F30" s="83">
        <f>SUMIF('Incentive Report- Output'!$B$98:$B$188,'Incentive Summary Output'!C30,'Incentive Report- Output'!$AF$98:$AF$188)</f>
        <v>91033.80508474572</v>
      </c>
      <c r="G30" s="83">
        <f>SUMIF('Incentive Report- Output'!$B$193:$B$283,'Incentive Summary Output'!C30,'Incentive Report- Output'!$AF$193:$AF$283)</f>
        <v>89248.906779660843</v>
      </c>
      <c r="H30" s="83">
        <f>SUMIF('Incentive Report- Output'!$B$288:$B$382,'Incentive Summary Output'!C30,'Incentive Report- Output'!$AF$288:$AF$382)</f>
        <v>91124.542329000047</v>
      </c>
      <c r="I30" s="83">
        <f>SUMIF('Incentive Report- Output'!$B$387:$B$480,'Incentive Summary Output'!C30,'Incentive Report- Output'!$AF$387:$AF$480)</f>
        <v>1178119.5508474591</v>
      </c>
      <c r="J30" s="83"/>
      <c r="K30" s="83"/>
      <c r="L30" s="83"/>
      <c r="M30" s="83"/>
      <c r="N30" s="83"/>
      <c r="O30" s="83"/>
      <c r="P30" s="83"/>
      <c r="Q30" s="174">
        <f t="shared" si="17"/>
        <v>1454427.7414815438</v>
      </c>
      <c r="S30" s="1" t="s">
        <v>224</v>
      </c>
      <c r="T30" s="1" t="s">
        <v>33</v>
      </c>
      <c r="U30" s="1" t="s">
        <v>0</v>
      </c>
      <c r="V30" s="82">
        <f t="shared" si="18"/>
        <v>0</v>
      </c>
      <c r="W30" s="82">
        <f t="shared" si="2"/>
        <v>0</v>
      </c>
      <c r="X30" s="82">
        <f t="shared" si="2"/>
        <v>0</v>
      </c>
      <c r="Y30" s="82">
        <f t="shared" si="2"/>
        <v>0</v>
      </c>
      <c r="Z30" s="82">
        <f t="shared" si="2"/>
        <v>978119.55084745912</v>
      </c>
      <c r="AA30" s="82">
        <f t="shared" si="2"/>
        <v>0</v>
      </c>
      <c r="AB30" s="82">
        <f t="shared" si="2"/>
        <v>0</v>
      </c>
      <c r="AC30" s="82">
        <f t="shared" si="2"/>
        <v>0</v>
      </c>
      <c r="AD30" s="82">
        <f t="shared" si="2"/>
        <v>0</v>
      </c>
      <c r="AE30" s="82">
        <f t="shared" si="2"/>
        <v>0</v>
      </c>
      <c r="AF30" s="82">
        <f t="shared" si="2"/>
        <v>0</v>
      </c>
      <c r="AG30" s="82">
        <f t="shared" si="2"/>
        <v>0</v>
      </c>
      <c r="AH30" s="82">
        <f t="shared" si="3"/>
        <v>978119.55084745912</v>
      </c>
      <c r="AJ30" s="1" t="s">
        <v>224</v>
      </c>
      <c r="AK30" s="1" t="s">
        <v>33</v>
      </c>
      <c r="AL30" s="1" t="s">
        <v>0</v>
      </c>
      <c r="AM30" s="82">
        <f t="shared" si="4"/>
        <v>4900.9364406779578</v>
      </c>
      <c r="AN30" s="82">
        <f t="shared" si="5"/>
        <v>91033.80508474572</v>
      </c>
      <c r="AO30" s="82">
        <f t="shared" si="6"/>
        <v>89248.906779660843</v>
      </c>
      <c r="AP30" s="82">
        <f t="shared" si="7"/>
        <v>91124.542329000047</v>
      </c>
      <c r="AQ30" s="82">
        <f t="shared" si="8"/>
        <v>200000</v>
      </c>
      <c r="AR30" s="82">
        <f t="shared" si="9"/>
        <v>0</v>
      </c>
      <c r="AS30" s="82">
        <f t="shared" si="10"/>
        <v>0</v>
      </c>
      <c r="AT30" s="82">
        <f t="shared" si="11"/>
        <v>0</v>
      </c>
      <c r="AU30" s="82">
        <f t="shared" si="12"/>
        <v>0</v>
      </c>
      <c r="AV30" s="82">
        <f t="shared" si="13"/>
        <v>0</v>
      </c>
      <c r="AW30" s="82">
        <f t="shared" si="14"/>
        <v>0</v>
      </c>
      <c r="AX30" s="82">
        <f t="shared" si="15"/>
        <v>0</v>
      </c>
      <c r="AY30" s="82">
        <f t="shared" si="16"/>
        <v>476308.19063408457</v>
      </c>
    </row>
    <row r="31" spans="1:51" ht="14" x14ac:dyDescent="0.2">
      <c r="A31" s="254"/>
      <c r="B31" s="1" t="s">
        <v>787</v>
      </c>
      <c r="C31" s="1" t="s">
        <v>788</v>
      </c>
      <c r="D31" s="1" t="s">
        <v>1</v>
      </c>
      <c r="E31" s="83">
        <f>SUMIF('Incentive Report- Output'!$B$4:$B$93,'Incentive Summary Output'!C31,'Incentive Report- Output'!$AF$4:$AF$93)</f>
        <v>4968.0847457627051</v>
      </c>
      <c r="F31" s="83">
        <f>SUMIF('Incentive Report- Output'!$B$98:$B$188,'Incentive Summary Output'!C31,'Incentive Report- Output'!$AF$98:$AF$188)</f>
        <v>8240.6652542372849</v>
      </c>
      <c r="G31" s="83">
        <f>SUMIF('Incentive Report- Output'!$B$193:$B$283,'Incentive Summary Output'!C31,'Incentive Report- Output'!$AF$193:$AF$283)</f>
        <v>7635.1906779660912</v>
      </c>
      <c r="H31" s="83">
        <f>SUMIF('Incentive Report- Output'!$B$288:$B$382,'Incentive Summary Output'!C31,'Incentive Report- Output'!$AF$288:$AF$382)</f>
        <v>54812.51692799999</v>
      </c>
      <c r="I31" s="83">
        <f>SUMIF('Incentive Report- Output'!$B$387:$B$480,'Incentive Summary Output'!C31,'Incentive Report- Output'!$AF$387:$AF$480)</f>
        <v>172395.00000000012</v>
      </c>
      <c r="J31" s="83"/>
      <c r="K31" s="83"/>
      <c r="L31" s="83"/>
      <c r="M31" s="83"/>
      <c r="N31" s="83"/>
      <c r="O31" s="83"/>
      <c r="P31" s="83"/>
      <c r="Q31" s="174">
        <f t="shared" si="17"/>
        <v>248051.45760596619</v>
      </c>
      <c r="S31" s="1" t="s">
        <v>787</v>
      </c>
      <c r="T31" s="1" t="s">
        <v>788</v>
      </c>
      <c r="U31" s="1" t="s">
        <v>1</v>
      </c>
      <c r="V31" s="82">
        <f t="shared" si="18"/>
        <v>0</v>
      </c>
      <c r="W31" s="82">
        <f t="shared" si="2"/>
        <v>0</v>
      </c>
      <c r="X31" s="82">
        <f t="shared" si="2"/>
        <v>0</v>
      </c>
      <c r="Y31" s="82">
        <f t="shared" si="2"/>
        <v>0</v>
      </c>
      <c r="Z31" s="82">
        <f t="shared" si="2"/>
        <v>0</v>
      </c>
      <c r="AA31" s="82">
        <f t="shared" si="2"/>
        <v>0</v>
      </c>
      <c r="AB31" s="82">
        <f t="shared" si="2"/>
        <v>0</v>
      </c>
      <c r="AC31" s="82">
        <f t="shared" si="2"/>
        <v>0</v>
      </c>
      <c r="AD31" s="82">
        <f t="shared" si="2"/>
        <v>0</v>
      </c>
      <c r="AE31" s="82">
        <f t="shared" si="2"/>
        <v>0</v>
      </c>
      <c r="AF31" s="82">
        <f t="shared" si="2"/>
        <v>0</v>
      </c>
      <c r="AG31" s="82">
        <f t="shared" si="2"/>
        <v>0</v>
      </c>
      <c r="AH31" s="82">
        <f t="shared" si="3"/>
        <v>0</v>
      </c>
      <c r="AJ31" s="1" t="s">
        <v>787</v>
      </c>
      <c r="AK31" s="1" t="s">
        <v>788</v>
      </c>
      <c r="AL31" s="1" t="s">
        <v>1</v>
      </c>
      <c r="AM31" s="82">
        <f t="shared" si="4"/>
        <v>4968.0847457627051</v>
      </c>
      <c r="AN31" s="82">
        <f t="shared" si="5"/>
        <v>8240.6652542372849</v>
      </c>
      <c r="AO31" s="82">
        <f t="shared" si="6"/>
        <v>7635.1906779660912</v>
      </c>
      <c r="AP31" s="82">
        <f t="shared" si="7"/>
        <v>54812.51692799999</v>
      </c>
      <c r="AQ31" s="82">
        <f t="shared" si="8"/>
        <v>172395.00000000012</v>
      </c>
      <c r="AR31" s="82">
        <f t="shared" si="9"/>
        <v>0</v>
      </c>
      <c r="AS31" s="82">
        <f t="shared" si="10"/>
        <v>0</v>
      </c>
      <c r="AT31" s="82">
        <f t="shared" si="11"/>
        <v>0</v>
      </c>
      <c r="AU31" s="82">
        <f t="shared" si="12"/>
        <v>0</v>
      </c>
      <c r="AV31" s="82">
        <f t="shared" si="13"/>
        <v>0</v>
      </c>
      <c r="AW31" s="82">
        <f t="shared" si="14"/>
        <v>0</v>
      </c>
      <c r="AX31" s="82">
        <f t="shared" si="15"/>
        <v>0</v>
      </c>
      <c r="AY31" s="82">
        <f t="shared" si="16"/>
        <v>248051.45760596619</v>
      </c>
    </row>
    <row r="32" spans="1:51" ht="14" x14ac:dyDescent="0.2">
      <c r="A32" s="254"/>
      <c r="B32" s="123" t="s">
        <v>218</v>
      </c>
      <c r="C32" s="1" t="s">
        <v>219</v>
      </c>
      <c r="D32" s="1" t="s">
        <v>1</v>
      </c>
      <c r="E32" s="83">
        <f>SUMIF('Incentive Report- Output'!$B$4:$B$93,'Incentive Summary Output'!C32,'Incentive Report- Output'!$AF$4:$AF$93)</f>
        <v>0</v>
      </c>
      <c r="F32" s="83">
        <f>SUMIF('Incentive Report- Output'!$B$98:$B$188,'Incentive Summary Output'!C32,'Incentive Report- Output'!$AF$98:$AF$188)</f>
        <v>8665.8686440677939</v>
      </c>
      <c r="G32" s="83">
        <f>SUMIF('Incentive Report- Output'!$B$193:$B$283,'Incentive Summary Output'!C32,'Incentive Report- Output'!$AF$193:$AF$283)</f>
        <v>6801.7499999999918</v>
      </c>
      <c r="H32" s="83">
        <f>SUMIF('Incentive Report- Output'!$B$288:$B$382,'Incentive Summary Output'!C32,'Incentive Report- Output'!$AF$288:$AF$382)</f>
        <v>6382.2711844999976</v>
      </c>
      <c r="I32" s="83">
        <f>SUMIF('Incentive Report- Output'!$B$387:$B$480,'Incentive Summary Output'!C32,'Incentive Report- Output'!$AF$387:$AF$480)</f>
        <v>327714.40677966102</v>
      </c>
      <c r="J32" s="83"/>
      <c r="K32" s="83"/>
      <c r="L32" s="83"/>
      <c r="M32" s="83"/>
      <c r="N32" s="83"/>
      <c r="O32" s="83"/>
      <c r="P32" s="83"/>
      <c r="Q32" s="174">
        <f t="shared" si="17"/>
        <v>349564.29660822882</v>
      </c>
      <c r="S32" s="123" t="s">
        <v>218</v>
      </c>
      <c r="T32" s="1" t="s">
        <v>219</v>
      </c>
      <c r="U32" s="1" t="s">
        <v>1</v>
      </c>
      <c r="V32" s="82">
        <f t="shared" si="18"/>
        <v>0</v>
      </c>
      <c r="W32" s="82">
        <f t="shared" si="2"/>
        <v>0</v>
      </c>
      <c r="X32" s="82">
        <f t="shared" si="2"/>
        <v>0</v>
      </c>
      <c r="Y32" s="82">
        <f t="shared" si="2"/>
        <v>0</v>
      </c>
      <c r="Z32" s="82">
        <f t="shared" si="2"/>
        <v>127714.40677966102</v>
      </c>
      <c r="AA32" s="82">
        <f t="shared" si="2"/>
        <v>0</v>
      </c>
      <c r="AB32" s="82">
        <f t="shared" si="2"/>
        <v>0</v>
      </c>
      <c r="AC32" s="82">
        <f t="shared" si="2"/>
        <v>0</v>
      </c>
      <c r="AD32" s="82">
        <f t="shared" si="2"/>
        <v>0</v>
      </c>
      <c r="AE32" s="82">
        <f t="shared" si="2"/>
        <v>0</v>
      </c>
      <c r="AF32" s="82">
        <f t="shared" si="2"/>
        <v>0</v>
      </c>
      <c r="AG32" s="82">
        <f t="shared" si="2"/>
        <v>0</v>
      </c>
      <c r="AH32" s="82">
        <f t="shared" si="3"/>
        <v>127714.40677966102</v>
      </c>
      <c r="AJ32" s="123" t="s">
        <v>218</v>
      </c>
      <c r="AK32" s="1" t="s">
        <v>219</v>
      </c>
      <c r="AL32" s="1" t="s">
        <v>1</v>
      </c>
      <c r="AM32" s="82">
        <f t="shared" si="4"/>
        <v>0</v>
      </c>
      <c r="AN32" s="82">
        <f t="shared" si="5"/>
        <v>8665.8686440677939</v>
      </c>
      <c r="AO32" s="82">
        <f t="shared" si="6"/>
        <v>6801.7499999999918</v>
      </c>
      <c r="AP32" s="82">
        <f t="shared" si="7"/>
        <v>6382.2711844999976</v>
      </c>
      <c r="AQ32" s="82">
        <f t="shared" si="8"/>
        <v>200000</v>
      </c>
      <c r="AR32" s="82">
        <f t="shared" si="9"/>
        <v>0</v>
      </c>
      <c r="AS32" s="82">
        <f t="shared" si="10"/>
        <v>0</v>
      </c>
      <c r="AT32" s="82">
        <f t="shared" si="11"/>
        <v>0</v>
      </c>
      <c r="AU32" s="82">
        <f t="shared" si="12"/>
        <v>0</v>
      </c>
      <c r="AV32" s="82">
        <f t="shared" si="13"/>
        <v>0</v>
      </c>
      <c r="AW32" s="82">
        <f t="shared" si="14"/>
        <v>0</v>
      </c>
      <c r="AX32" s="82">
        <f t="shared" si="15"/>
        <v>0</v>
      </c>
      <c r="AY32" s="82">
        <f t="shared" si="16"/>
        <v>221849.88982856777</v>
      </c>
    </row>
    <row r="33" spans="1:51" ht="14" x14ac:dyDescent="0.2">
      <c r="A33" s="254"/>
      <c r="B33" s="1" t="s">
        <v>780</v>
      </c>
      <c r="C33" s="1" t="s">
        <v>781</v>
      </c>
      <c r="D33" s="1" t="s">
        <v>1</v>
      </c>
      <c r="E33" s="83">
        <f>SUMIF('Incentive Report- Output'!$B$4:$B$93,'Incentive Summary Output'!C33,'Incentive Report- Output'!$AF$4:$AF$93)</f>
        <v>5893.5084745762615</v>
      </c>
      <c r="F33" s="83">
        <f>SUMIF('Incentive Report- Output'!$B$98:$B$188,'Incentive Summary Output'!C33,'Incentive Report- Output'!$AF$98:$AF$188)</f>
        <v>6472.4872881355932</v>
      </c>
      <c r="G33" s="83">
        <f>SUMIF('Incentive Report- Output'!$B$193:$B$283,'Incentive Summary Output'!C33,'Incentive Report- Output'!$AF$193:$AF$283)</f>
        <v>7379.6779661016817</v>
      </c>
      <c r="H33" s="83">
        <f>SUMIF('Incentive Report- Output'!$B$288:$B$382,'Incentive Summary Output'!C33,'Incentive Report- Output'!$AF$288:$AF$382)</f>
        <v>14478.898301999992</v>
      </c>
      <c r="I33" s="83">
        <f>SUMIF('Incentive Report- Output'!$B$387:$B$480,'Incentive Summary Output'!C33,'Incentive Report- Output'!$AF$387:$AF$480)</f>
        <v>401696.5169491524</v>
      </c>
      <c r="J33" s="83"/>
      <c r="K33" s="83"/>
      <c r="L33" s="83"/>
      <c r="M33" s="83"/>
      <c r="N33" s="83"/>
      <c r="O33" s="83"/>
      <c r="P33" s="83"/>
      <c r="Q33" s="174">
        <f t="shared" si="17"/>
        <v>435921.08897996595</v>
      </c>
      <c r="S33" s="1" t="s">
        <v>780</v>
      </c>
      <c r="T33" s="1" t="s">
        <v>781</v>
      </c>
      <c r="U33" s="1" t="s">
        <v>1</v>
      </c>
      <c r="V33" s="82">
        <f t="shared" si="18"/>
        <v>0</v>
      </c>
      <c r="W33" s="82">
        <f t="shared" si="2"/>
        <v>0</v>
      </c>
      <c r="X33" s="82">
        <f t="shared" si="2"/>
        <v>0</v>
      </c>
      <c r="Y33" s="82">
        <f t="shared" si="2"/>
        <v>0</v>
      </c>
      <c r="Z33" s="82">
        <f t="shared" si="2"/>
        <v>201696.5169491524</v>
      </c>
      <c r="AA33" s="82">
        <f t="shared" si="2"/>
        <v>0</v>
      </c>
      <c r="AB33" s="82">
        <f t="shared" si="2"/>
        <v>0</v>
      </c>
      <c r="AC33" s="82">
        <f t="shared" si="2"/>
        <v>0</v>
      </c>
      <c r="AD33" s="82">
        <f t="shared" si="2"/>
        <v>0</v>
      </c>
      <c r="AE33" s="82">
        <f t="shared" si="2"/>
        <v>0</v>
      </c>
      <c r="AF33" s="82">
        <f t="shared" si="2"/>
        <v>0</v>
      </c>
      <c r="AG33" s="82">
        <f t="shared" si="2"/>
        <v>0</v>
      </c>
      <c r="AH33" s="82">
        <f t="shared" si="3"/>
        <v>201696.5169491524</v>
      </c>
      <c r="AJ33" s="1" t="s">
        <v>780</v>
      </c>
      <c r="AK33" s="1" t="s">
        <v>781</v>
      </c>
      <c r="AL33" s="1" t="s">
        <v>1</v>
      </c>
      <c r="AM33" s="82">
        <f t="shared" si="4"/>
        <v>5893.5084745762615</v>
      </c>
      <c r="AN33" s="82">
        <f t="shared" si="5"/>
        <v>6472.4872881355932</v>
      </c>
      <c r="AO33" s="82">
        <f t="shared" si="6"/>
        <v>7379.6779661016817</v>
      </c>
      <c r="AP33" s="82">
        <f t="shared" si="7"/>
        <v>14478.898301999992</v>
      </c>
      <c r="AQ33" s="82">
        <f t="shared" si="8"/>
        <v>200000</v>
      </c>
      <c r="AR33" s="82">
        <f t="shared" si="9"/>
        <v>0</v>
      </c>
      <c r="AS33" s="82">
        <f t="shared" si="10"/>
        <v>0</v>
      </c>
      <c r="AT33" s="82">
        <f t="shared" si="11"/>
        <v>0</v>
      </c>
      <c r="AU33" s="82">
        <f t="shared" si="12"/>
        <v>0</v>
      </c>
      <c r="AV33" s="82">
        <f t="shared" si="13"/>
        <v>0</v>
      </c>
      <c r="AW33" s="82">
        <f t="shared" si="14"/>
        <v>0</v>
      </c>
      <c r="AX33" s="82">
        <f t="shared" si="15"/>
        <v>0</v>
      </c>
      <c r="AY33" s="82">
        <f t="shared" si="16"/>
        <v>234224.57203081352</v>
      </c>
    </row>
    <row r="34" spans="1:51" ht="14" x14ac:dyDescent="0.2">
      <c r="A34" s="254"/>
      <c r="B34" s="1" t="s">
        <v>298</v>
      </c>
      <c r="C34" s="1" t="s">
        <v>49</v>
      </c>
      <c r="D34" s="1" t="s">
        <v>0</v>
      </c>
      <c r="E34" s="83">
        <f>SUMIF('Incentive Report- Output'!$B$4:$B$93,'Incentive Summary Output'!C34,'Incentive Report- Output'!$AF$4:$AF$93)</f>
        <v>0</v>
      </c>
      <c r="F34" s="83">
        <f>SUMIF('Incentive Report- Output'!$B$98:$B$188,'Incentive Summary Output'!C34,'Incentive Report- Output'!$AF$98:$AF$188)</f>
        <v>0</v>
      </c>
      <c r="G34" s="83">
        <f>SUMIF('Incentive Report- Output'!$B$193:$B$283,'Incentive Summary Output'!C34,'Incentive Report- Output'!$AF$193:$AF$283)</f>
        <v>0</v>
      </c>
      <c r="H34" s="83">
        <f>SUMIF('Incentive Report- Output'!$B$288:$B$382,'Incentive Summary Output'!C34,'Incentive Report- Output'!$AF$288:$AF$382)</f>
        <v>0</v>
      </c>
      <c r="I34" s="83">
        <f>SUMIF('Incentive Report- Output'!$B$387:$B$480,'Incentive Summary Output'!C34,'Incentive Report- Output'!$AF$387:$AF$480)</f>
        <v>416765.18644067697</v>
      </c>
      <c r="J34" s="83"/>
      <c r="K34" s="83"/>
      <c r="L34" s="83"/>
      <c r="M34" s="83"/>
      <c r="N34" s="83"/>
      <c r="O34" s="83"/>
      <c r="P34" s="83"/>
      <c r="Q34" s="174">
        <f t="shared" si="17"/>
        <v>416765.18644067697</v>
      </c>
      <c r="S34" s="1" t="s">
        <v>298</v>
      </c>
      <c r="T34" s="1" t="s">
        <v>49</v>
      </c>
      <c r="U34" s="1" t="s">
        <v>0</v>
      </c>
      <c r="V34" s="82">
        <f t="shared" si="18"/>
        <v>0</v>
      </c>
      <c r="W34" s="82">
        <f t="shared" si="2"/>
        <v>0</v>
      </c>
      <c r="X34" s="82">
        <f t="shared" si="2"/>
        <v>0</v>
      </c>
      <c r="Y34" s="82">
        <f t="shared" si="2"/>
        <v>0</v>
      </c>
      <c r="Z34" s="82">
        <f t="shared" si="2"/>
        <v>216765.18644067697</v>
      </c>
      <c r="AA34" s="82">
        <f t="shared" si="2"/>
        <v>0</v>
      </c>
      <c r="AB34" s="82">
        <f t="shared" si="2"/>
        <v>0</v>
      </c>
      <c r="AC34" s="82">
        <f t="shared" si="2"/>
        <v>0</v>
      </c>
      <c r="AD34" s="82">
        <f t="shared" si="2"/>
        <v>0</v>
      </c>
      <c r="AE34" s="82">
        <f t="shared" si="2"/>
        <v>0</v>
      </c>
      <c r="AF34" s="82">
        <f t="shared" si="2"/>
        <v>0</v>
      </c>
      <c r="AG34" s="82">
        <f t="shared" si="2"/>
        <v>0</v>
      </c>
      <c r="AH34" s="82">
        <f t="shared" si="3"/>
        <v>216765.18644067697</v>
      </c>
      <c r="AJ34" s="1" t="s">
        <v>298</v>
      </c>
      <c r="AK34" s="1" t="s">
        <v>49</v>
      </c>
      <c r="AL34" s="1" t="s">
        <v>0</v>
      </c>
      <c r="AM34" s="82">
        <f t="shared" si="4"/>
        <v>0</v>
      </c>
      <c r="AN34" s="82">
        <f t="shared" si="5"/>
        <v>0</v>
      </c>
      <c r="AO34" s="82">
        <f t="shared" si="6"/>
        <v>0</v>
      </c>
      <c r="AP34" s="82">
        <f t="shared" si="7"/>
        <v>0</v>
      </c>
      <c r="AQ34" s="82">
        <f t="shared" si="8"/>
        <v>200000</v>
      </c>
      <c r="AR34" s="82">
        <f t="shared" si="9"/>
        <v>0</v>
      </c>
      <c r="AS34" s="82">
        <f t="shared" si="10"/>
        <v>0</v>
      </c>
      <c r="AT34" s="82">
        <f t="shared" si="11"/>
        <v>0</v>
      </c>
      <c r="AU34" s="82">
        <f t="shared" si="12"/>
        <v>0</v>
      </c>
      <c r="AV34" s="82">
        <f t="shared" si="13"/>
        <v>0</v>
      </c>
      <c r="AW34" s="82">
        <f t="shared" si="14"/>
        <v>0</v>
      </c>
      <c r="AX34" s="82">
        <f t="shared" si="15"/>
        <v>0</v>
      </c>
      <c r="AY34" s="82">
        <f t="shared" si="16"/>
        <v>200000</v>
      </c>
    </row>
    <row r="35" spans="1:51" ht="14" x14ac:dyDescent="0.2">
      <c r="A35" s="254"/>
      <c r="B35" s="1" t="s">
        <v>1109</v>
      </c>
      <c r="C35" s="1" t="s">
        <v>1110</v>
      </c>
      <c r="D35" s="1" t="s">
        <v>1</v>
      </c>
      <c r="E35" s="83">
        <f>SUMIF('Incentive Report- Output'!$B$4:$B$93,'Incentive Summary Output'!C35,'Incentive Report- Output'!$AF$4:$AF$93)</f>
        <v>13950.508474576252</v>
      </c>
      <c r="F35" s="83">
        <f>SUMIF('Incentive Report- Output'!$B$98:$B$188,'Incentive Summary Output'!C35,'Incentive Report- Output'!$AF$98:$AF$188)</f>
        <v>78091.016949152516</v>
      </c>
      <c r="G35" s="83">
        <f>SUMIF('Incentive Report- Output'!$B$193:$B$283,'Incentive Summary Output'!C35,'Incentive Report- Output'!$AF$193:$AF$283)</f>
        <v>0</v>
      </c>
      <c r="H35" s="83">
        <f>SUMIF('Incentive Report- Output'!$B$288:$B$382,'Incentive Summary Output'!C35,'Incentive Report- Output'!$AF$288:$AF$382)</f>
        <v>0</v>
      </c>
      <c r="I35" s="83">
        <f>SUMIF('Incentive Report- Output'!$B$387:$B$480,'Incentive Summary Output'!C35,'Incentive Report- Output'!$AF$387:$AF$480)</f>
        <v>427882.55084745662</v>
      </c>
      <c r="J35" s="83"/>
      <c r="K35" s="83"/>
      <c r="L35" s="83"/>
      <c r="M35" s="83"/>
      <c r="N35" s="83"/>
      <c r="O35" s="83"/>
      <c r="P35" s="83"/>
      <c r="Q35" s="174">
        <f t="shared" si="17"/>
        <v>519924.07627118542</v>
      </c>
      <c r="S35" s="1" t="s">
        <v>1109</v>
      </c>
      <c r="T35" s="1" t="s">
        <v>1110</v>
      </c>
      <c r="U35" s="1" t="s">
        <v>1</v>
      </c>
      <c r="V35" s="82">
        <f t="shared" si="18"/>
        <v>0</v>
      </c>
      <c r="W35" s="82">
        <f t="shared" si="2"/>
        <v>0</v>
      </c>
      <c r="X35" s="82">
        <f t="shared" si="2"/>
        <v>0</v>
      </c>
      <c r="Y35" s="82">
        <f t="shared" si="2"/>
        <v>0</v>
      </c>
      <c r="Z35" s="82">
        <f t="shared" si="2"/>
        <v>227882.55084745662</v>
      </c>
      <c r="AA35" s="82">
        <f t="shared" si="2"/>
        <v>0</v>
      </c>
      <c r="AB35" s="82">
        <f t="shared" si="2"/>
        <v>0</v>
      </c>
      <c r="AC35" s="82">
        <f t="shared" si="2"/>
        <v>0</v>
      </c>
      <c r="AD35" s="82">
        <f t="shared" si="2"/>
        <v>0</v>
      </c>
      <c r="AE35" s="82">
        <f t="shared" si="2"/>
        <v>0</v>
      </c>
      <c r="AF35" s="82">
        <f t="shared" si="2"/>
        <v>0</v>
      </c>
      <c r="AG35" s="82">
        <f t="shared" si="2"/>
        <v>0</v>
      </c>
      <c r="AH35" s="82">
        <f t="shared" si="3"/>
        <v>227882.55084745662</v>
      </c>
      <c r="AJ35" s="1" t="s">
        <v>1109</v>
      </c>
      <c r="AK35" s="1" t="s">
        <v>1110</v>
      </c>
      <c r="AL35" s="1" t="s">
        <v>1</v>
      </c>
      <c r="AM35" s="82">
        <f t="shared" si="4"/>
        <v>13950.508474576252</v>
      </c>
      <c r="AN35" s="82">
        <f t="shared" si="5"/>
        <v>78091.016949152516</v>
      </c>
      <c r="AO35" s="82">
        <f t="shared" si="6"/>
        <v>0</v>
      </c>
      <c r="AP35" s="82">
        <f t="shared" si="7"/>
        <v>0</v>
      </c>
      <c r="AQ35" s="82">
        <f t="shared" si="8"/>
        <v>200000</v>
      </c>
      <c r="AR35" s="82">
        <f t="shared" si="9"/>
        <v>0</v>
      </c>
      <c r="AS35" s="82">
        <f t="shared" si="10"/>
        <v>0</v>
      </c>
      <c r="AT35" s="82">
        <f t="shared" si="11"/>
        <v>0</v>
      </c>
      <c r="AU35" s="82">
        <f t="shared" si="12"/>
        <v>0</v>
      </c>
      <c r="AV35" s="82">
        <f t="shared" si="13"/>
        <v>0</v>
      </c>
      <c r="AW35" s="82">
        <f t="shared" si="14"/>
        <v>0</v>
      </c>
      <c r="AX35" s="82">
        <f t="shared" si="15"/>
        <v>0</v>
      </c>
      <c r="AY35" s="82">
        <f t="shared" si="16"/>
        <v>292041.52542372874</v>
      </c>
    </row>
    <row r="36" spans="1:51" ht="14" x14ac:dyDescent="0.2">
      <c r="A36" s="254"/>
      <c r="B36" s="1" t="s">
        <v>25</v>
      </c>
      <c r="C36" s="1" t="s">
        <v>26</v>
      </c>
      <c r="D36" s="1" t="s">
        <v>1</v>
      </c>
      <c r="E36" s="83">
        <f>SUMIF('Incentive Report- Output'!$B$4:$B$93,'Incentive Summary Output'!C36,'Incentive Report- Output'!$AF$4:$AF$93)</f>
        <v>7714.6440677965993</v>
      </c>
      <c r="F36" s="83">
        <f>SUMIF('Incentive Report- Output'!$B$98:$B$188,'Incentive Summary Output'!C36,'Incentive Report- Output'!$AF$98:$AF$188)</f>
        <v>60451.093220338938</v>
      </c>
      <c r="G36" s="83">
        <f>SUMIF('Incentive Report- Output'!$B$193:$B$283,'Incentive Summary Output'!C36,'Incentive Report- Output'!$AF$193:$AF$283)</f>
        <v>6702.8177966101593</v>
      </c>
      <c r="H36" s="83">
        <f>SUMIF('Incentive Report- Output'!$B$288:$B$382,'Incentive Summary Output'!C36,'Incentive Report- Output'!$AF$288:$AF$382)</f>
        <v>16183.991522000004</v>
      </c>
      <c r="I36" s="83">
        <f>SUMIF('Incentive Report- Output'!$B$387:$B$480,'Incentive Summary Output'!C36,'Incentive Report- Output'!$AF$387:$AF$480)</f>
        <v>539778.40677965898</v>
      </c>
      <c r="J36" s="83"/>
      <c r="K36" s="83"/>
      <c r="L36" s="83"/>
      <c r="M36" s="83"/>
      <c r="N36" s="83"/>
      <c r="O36" s="83"/>
      <c r="P36" s="83"/>
      <c r="Q36" s="174">
        <f t="shared" si="17"/>
        <v>630830.95338640467</v>
      </c>
      <c r="S36" s="1" t="s">
        <v>25</v>
      </c>
      <c r="T36" s="1" t="s">
        <v>26</v>
      </c>
      <c r="U36" s="1" t="s">
        <v>1</v>
      </c>
      <c r="V36" s="82">
        <f t="shared" si="18"/>
        <v>0</v>
      </c>
      <c r="W36" s="82">
        <f t="shared" si="2"/>
        <v>0</v>
      </c>
      <c r="X36" s="82">
        <f t="shared" si="2"/>
        <v>0</v>
      </c>
      <c r="Y36" s="82">
        <f t="shared" si="2"/>
        <v>0</v>
      </c>
      <c r="Z36" s="82">
        <f t="shared" si="2"/>
        <v>339778.40677965898</v>
      </c>
      <c r="AA36" s="82">
        <f t="shared" si="2"/>
        <v>0</v>
      </c>
      <c r="AB36" s="82">
        <f t="shared" si="2"/>
        <v>0</v>
      </c>
      <c r="AC36" s="82">
        <f t="shared" si="2"/>
        <v>0</v>
      </c>
      <c r="AD36" s="82">
        <f t="shared" si="2"/>
        <v>0</v>
      </c>
      <c r="AE36" s="82">
        <f t="shared" si="2"/>
        <v>0</v>
      </c>
      <c r="AF36" s="82">
        <f t="shared" si="2"/>
        <v>0</v>
      </c>
      <c r="AG36" s="82">
        <f t="shared" si="2"/>
        <v>0</v>
      </c>
      <c r="AH36" s="82">
        <f t="shared" si="3"/>
        <v>339778.40677965898</v>
      </c>
      <c r="AJ36" s="1" t="s">
        <v>25</v>
      </c>
      <c r="AK36" s="1" t="s">
        <v>26</v>
      </c>
      <c r="AL36" s="1" t="s">
        <v>1</v>
      </c>
      <c r="AM36" s="82">
        <f t="shared" si="4"/>
        <v>7714.6440677965993</v>
      </c>
      <c r="AN36" s="82">
        <f t="shared" si="5"/>
        <v>60451.093220338938</v>
      </c>
      <c r="AO36" s="82">
        <f t="shared" si="6"/>
        <v>6702.8177966101593</v>
      </c>
      <c r="AP36" s="82">
        <f t="shared" si="7"/>
        <v>16183.991522000004</v>
      </c>
      <c r="AQ36" s="82">
        <f t="shared" si="8"/>
        <v>200000</v>
      </c>
      <c r="AR36" s="82">
        <f t="shared" si="9"/>
        <v>0</v>
      </c>
      <c r="AS36" s="82">
        <f t="shared" si="10"/>
        <v>0</v>
      </c>
      <c r="AT36" s="82">
        <f t="shared" si="11"/>
        <v>0</v>
      </c>
      <c r="AU36" s="82">
        <f t="shared" si="12"/>
        <v>0</v>
      </c>
      <c r="AV36" s="82">
        <f t="shared" si="13"/>
        <v>0</v>
      </c>
      <c r="AW36" s="82">
        <f t="shared" si="14"/>
        <v>0</v>
      </c>
      <c r="AX36" s="82">
        <f t="shared" si="15"/>
        <v>0</v>
      </c>
      <c r="AY36" s="82">
        <f t="shared" si="16"/>
        <v>291052.54660674569</v>
      </c>
    </row>
    <row r="37" spans="1:51" ht="14" x14ac:dyDescent="0.2">
      <c r="A37" s="254"/>
      <c r="B37" s="1" t="s">
        <v>209</v>
      </c>
      <c r="C37" s="1" t="s">
        <v>52</v>
      </c>
      <c r="D37" s="1" t="s">
        <v>1185</v>
      </c>
      <c r="E37" s="83">
        <f>SUMIF('Incentive Report- Output'!$B$4:$B$93,'Incentive Summary Output'!C37,'Incentive Report- Output'!$AF$4:$AF$93)</f>
        <v>19615.194915254211</v>
      </c>
      <c r="F37" s="83">
        <f>SUMIF('Incentive Report- Output'!$B$98:$B$188,'Incentive Summary Output'!C37,'Incentive Report- Output'!$AF$98:$AF$188)</f>
        <v>117998.92372881345</v>
      </c>
      <c r="G37" s="83">
        <f>SUMIF('Incentive Report- Output'!$B$193:$B$283,'Incentive Summary Output'!C37,'Incentive Report- Output'!$AF$193:$AF$283)</f>
        <v>0</v>
      </c>
      <c r="H37" s="83">
        <f>SUMIF('Incentive Report- Output'!$B$288:$B$382,'Incentive Summary Output'!C37,'Incentive Report- Output'!$AF$288:$AF$382)</f>
        <v>0</v>
      </c>
      <c r="I37" s="83">
        <f>SUMIF('Incentive Report- Output'!$B$387:$B$480,'Incentive Summary Output'!C37,'Incentive Report- Output'!$AF$387:$AF$480)</f>
        <v>1181353.29661017</v>
      </c>
      <c r="J37" s="83"/>
      <c r="K37" s="83"/>
      <c r="L37" s="83"/>
      <c r="M37" s="83"/>
      <c r="N37" s="83"/>
      <c r="O37" s="83"/>
      <c r="P37" s="83"/>
      <c r="Q37" s="174">
        <f t="shared" si="17"/>
        <v>1318967.4152542376</v>
      </c>
      <c r="S37" s="1" t="s">
        <v>209</v>
      </c>
      <c r="T37" s="1" t="s">
        <v>52</v>
      </c>
      <c r="U37" s="1" t="s">
        <v>1185</v>
      </c>
      <c r="V37" s="82">
        <f t="shared" si="18"/>
        <v>0</v>
      </c>
      <c r="W37" s="82">
        <f t="shared" si="2"/>
        <v>0</v>
      </c>
      <c r="X37" s="82">
        <f t="shared" si="2"/>
        <v>0</v>
      </c>
      <c r="Y37" s="82">
        <f t="shared" si="2"/>
        <v>0</v>
      </c>
      <c r="Z37" s="82">
        <f t="shared" si="2"/>
        <v>981353.29661017004</v>
      </c>
      <c r="AA37" s="82">
        <f t="shared" si="2"/>
        <v>0</v>
      </c>
      <c r="AB37" s="82">
        <f t="shared" si="2"/>
        <v>0</v>
      </c>
      <c r="AC37" s="82">
        <f t="shared" si="2"/>
        <v>0</v>
      </c>
      <c r="AD37" s="82">
        <f t="shared" si="2"/>
        <v>0</v>
      </c>
      <c r="AE37" s="82">
        <f t="shared" si="2"/>
        <v>0</v>
      </c>
      <c r="AF37" s="82">
        <f t="shared" si="2"/>
        <v>0</v>
      </c>
      <c r="AG37" s="82">
        <f t="shared" si="2"/>
        <v>0</v>
      </c>
      <c r="AH37" s="82">
        <f t="shared" si="3"/>
        <v>981353.29661017004</v>
      </c>
      <c r="AJ37" s="1" t="s">
        <v>209</v>
      </c>
      <c r="AK37" s="1" t="s">
        <v>52</v>
      </c>
      <c r="AL37" s="1" t="s">
        <v>1185</v>
      </c>
      <c r="AM37" s="82">
        <f t="shared" si="4"/>
        <v>19615.194915254211</v>
      </c>
      <c r="AN37" s="82">
        <f t="shared" si="5"/>
        <v>117998.92372881345</v>
      </c>
      <c r="AO37" s="82">
        <f t="shared" si="6"/>
        <v>0</v>
      </c>
      <c r="AP37" s="82">
        <f t="shared" si="7"/>
        <v>0</v>
      </c>
      <c r="AQ37" s="82">
        <f t="shared" si="8"/>
        <v>200000</v>
      </c>
      <c r="AR37" s="82">
        <f t="shared" si="9"/>
        <v>0</v>
      </c>
      <c r="AS37" s="82">
        <f t="shared" si="10"/>
        <v>0</v>
      </c>
      <c r="AT37" s="82">
        <f t="shared" si="11"/>
        <v>0</v>
      </c>
      <c r="AU37" s="82">
        <f t="shared" si="12"/>
        <v>0</v>
      </c>
      <c r="AV37" s="82">
        <f t="shared" si="13"/>
        <v>0</v>
      </c>
      <c r="AW37" s="82">
        <f t="shared" si="14"/>
        <v>0</v>
      </c>
      <c r="AX37" s="82">
        <f t="shared" si="15"/>
        <v>0</v>
      </c>
      <c r="AY37" s="82">
        <f t="shared" si="16"/>
        <v>337614.11864406767</v>
      </c>
    </row>
    <row r="38" spans="1:51" ht="14" x14ac:dyDescent="0.2">
      <c r="A38" s="254"/>
      <c r="B38" s="123" t="s">
        <v>303</v>
      </c>
      <c r="C38" s="1" t="s">
        <v>305</v>
      </c>
      <c r="D38" s="1" t="s">
        <v>1</v>
      </c>
      <c r="E38" s="83">
        <f>SUMIF('Incentive Report- Output'!$B$4:$B$93,'Incentive Summary Output'!C38,'Incentive Report- Output'!$AF$4:$AF$93)</f>
        <v>0</v>
      </c>
      <c r="F38" s="83">
        <f>SUMIF('Incentive Report- Output'!$B$98:$B$188,'Incentive Summary Output'!C38,'Incentive Report- Output'!$AF$98:$AF$188)</f>
        <v>9109.088983050844</v>
      </c>
      <c r="G38" s="83">
        <f>SUMIF('Incentive Report- Output'!$B$193:$B$283,'Incentive Summary Output'!C38,'Incentive Report- Output'!$AF$193:$AF$283)</f>
        <v>5849.6355932203287</v>
      </c>
      <c r="H38" s="83">
        <f>SUMIF('Incentive Report- Output'!$B$288:$B$382,'Incentive Summary Output'!C38,'Incentive Report- Output'!$AF$288:$AF$382)</f>
        <v>0</v>
      </c>
      <c r="I38" s="83">
        <f>SUMIF('Incentive Report- Output'!$B$387:$B$480,'Incentive Summary Output'!C38,'Incentive Report- Output'!$AF$387:$AF$480)</f>
        <v>942543.15254237596</v>
      </c>
      <c r="J38" s="83"/>
      <c r="K38" s="83"/>
      <c r="L38" s="83"/>
      <c r="M38" s="83"/>
      <c r="N38" s="83"/>
      <c r="O38" s="83"/>
      <c r="P38" s="83"/>
      <c r="Q38" s="174">
        <f t="shared" si="17"/>
        <v>957501.8771186471</v>
      </c>
      <c r="S38" s="123" t="s">
        <v>303</v>
      </c>
      <c r="T38" s="1" t="s">
        <v>305</v>
      </c>
      <c r="U38" s="1" t="s">
        <v>1</v>
      </c>
      <c r="V38" s="82">
        <f t="shared" si="18"/>
        <v>0</v>
      </c>
      <c r="W38" s="82">
        <f t="shared" si="2"/>
        <v>0</v>
      </c>
      <c r="X38" s="82">
        <f t="shared" si="2"/>
        <v>0</v>
      </c>
      <c r="Y38" s="82">
        <f t="shared" si="2"/>
        <v>0</v>
      </c>
      <c r="Z38" s="82">
        <f t="shared" si="2"/>
        <v>742543.15254237596</v>
      </c>
      <c r="AA38" s="82">
        <f t="shared" si="2"/>
        <v>0</v>
      </c>
      <c r="AB38" s="82">
        <f t="shared" si="2"/>
        <v>0</v>
      </c>
      <c r="AC38" s="82">
        <f t="shared" si="2"/>
        <v>0</v>
      </c>
      <c r="AD38" s="82">
        <f t="shared" si="2"/>
        <v>0</v>
      </c>
      <c r="AE38" s="82">
        <f t="shared" si="2"/>
        <v>0</v>
      </c>
      <c r="AF38" s="82">
        <f t="shared" si="2"/>
        <v>0</v>
      </c>
      <c r="AG38" s="82">
        <f t="shared" si="2"/>
        <v>0</v>
      </c>
      <c r="AH38" s="82">
        <f t="shared" si="3"/>
        <v>742543.15254237596</v>
      </c>
      <c r="AJ38" s="123" t="s">
        <v>303</v>
      </c>
      <c r="AK38" s="1" t="s">
        <v>305</v>
      </c>
      <c r="AL38" s="1" t="s">
        <v>1</v>
      </c>
      <c r="AM38" s="82">
        <f t="shared" si="4"/>
        <v>0</v>
      </c>
      <c r="AN38" s="82">
        <f t="shared" si="5"/>
        <v>9109.088983050844</v>
      </c>
      <c r="AO38" s="82">
        <f t="shared" si="6"/>
        <v>5849.6355932203287</v>
      </c>
      <c r="AP38" s="82">
        <f t="shared" si="7"/>
        <v>0</v>
      </c>
      <c r="AQ38" s="82">
        <f t="shared" si="8"/>
        <v>200000</v>
      </c>
      <c r="AR38" s="82">
        <f t="shared" si="9"/>
        <v>0</v>
      </c>
      <c r="AS38" s="82">
        <f t="shared" si="10"/>
        <v>0</v>
      </c>
      <c r="AT38" s="82">
        <f t="shared" si="11"/>
        <v>0</v>
      </c>
      <c r="AU38" s="82">
        <f t="shared" si="12"/>
        <v>0</v>
      </c>
      <c r="AV38" s="82">
        <f t="shared" si="13"/>
        <v>0</v>
      </c>
      <c r="AW38" s="82">
        <f t="shared" si="14"/>
        <v>0</v>
      </c>
      <c r="AX38" s="82">
        <f t="shared" si="15"/>
        <v>0</v>
      </c>
      <c r="AY38" s="82">
        <f t="shared" si="16"/>
        <v>214958.72457627117</v>
      </c>
    </row>
    <row r="39" spans="1:51" ht="14" x14ac:dyDescent="0.2">
      <c r="A39" s="254"/>
      <c r="B39" s="1" t="s">
        <v>285</v>
      </c>
      <c r="C39" s="1" t="s">
        <v>54</v>
      </c>
      <c r="D39" s="1" t="s">
        <v>1</v>
      </c>
      <c r="E39" s="83">
        <f>SUMIF('Incentive Report- Output'!$B$4:$B$93,'Incentive Summary Output'!C39,'Incentive Report- Output'!$AF$4:$AF$93)</f>
        <v>19264.788135593193</v>
      </c>
      <c r="F39" s="83">
        <f>SUMIF('Incentive Report- Output'!$B$98:$B$188,'Incentive Summary Output'!C39,'Incentive Report- Output'!$AF$98:$AF$188)</f>
        <v>64559.040254237181</v>
      </c>
      <c r="G39" s="83">
        <f>SUMIF('Incentive Report- Output'!$B$193:$B$283,'Incentive Summary Output'!C39,'Incentive Report- Output'!$AF$193:$AF$283)</f>
        <v>0</v>
      </c>
      <c r="H39" s="83">
        <f>SUMIF('Incentive Report- Output'!$B$288:$B$382,'Incentive Summary Output'!C39,'Incentive Report- Output'!$AF$288:$AF$382)</f>
        <v>0</v>
      </c>
      <c r="I39" s="83">
        <f>SUMIF('Incentive Report- Output'!$B$387:$B$480,'Incentive Summary Output'!C39,'Incentive Report- Output'!$AF$387:$AF$480)</f>
        <v>919120.65254237584</v>
      </c>
      <c r="J39" s="83"/>
      <c r="K39" s="83"/>
      <c r="L39" s="83"/>
      <c r="M39" s="83"/>
      <c r="N39" s="83"/>
      <c r="O39" s="83"/>
      <c r="P39" s="83"/>
      <c r="Q39" s="174">
        <f t="shared" si="17"/>
        <v>1002944.4809322063</v>
      </c>
      <c r="S39" s="1" t="s">
        <v>285</v>
      </c>
      <c r="T39" s="1" t="s">
        <v>54</v>
      </c>
      <c r="U39" s="1" t="s">
        <v>1</v>
      </c>
      <c r="V39" s="82">
        <f t="shared" si="18"/>
        <v>0</v>
      </c>
      <c r="W39" s="82">
        <f t="shared" si="2"/>
        <v>0</v>
      </c>
      <c r="X39" s="82">
        <f t="shared" si="2"/>
        <v>0</v>
      </c>
      <c r="Y39" s="82">
        <f t="shared" si="2"/>
        <v>0</v>
      </c>
      <c r="Z39" s="82">
        <f t="shared" si="2"/>
        <v>719120.65254237584</v>
      </c>
      <c r="AA39" s="82">
        <f t="shared" si="2"/>
        <v>0</v>
      </c>
      <c r="AB39" s="82">
        <f t="shared" si="2"/>
        <v>0</v>
      </c>
      <c r="AC39" s="82">
        <f t="shared" si="2"/>
        <v>0</v>
      </c>
      <c r="AD39" s="82">
        <f t="shared" si="2"/>
        <v>0</v>
      </c>
      <c r="AE39" s="82">
        <f t="shared" si="2"/>
        <v>0</v>
      </c>
      <c r="AF39" s="82">
        <f t="shared" si="2"/>
        <v>0</v>
      </c>
      <c r="AG39" s="82">
        <f t="shared" si="2"/>
        <v>0</v>
      </c>
      <c r="AH39" s="82">
        <f t="shared" si="3"/>
        <v>719120.65254237584</v>
      </c>
      <c r="AJ39" s="1" t="s">
        <v>285</v>
      </c>
      <c r="AK39" s="1" t="s">
        <v>54</v>
      </c>
      <c r="AL39" s="1" t="s">
        <v>1</v>
      </c>
      <c r="AM39" s="82">
        <f t="shared" si="4"/>
        <v>19264.788135593193</v>
      </c>
      <c r="AN39" s="82">
        <f t="shared" si="5"/>
        <v>64559.040254237181</v>
      </c>
      <c r="AO39" s="82">
        <f t="shared" si="6"/>
        <v>0</v>
      </c>
      <c r="AP39" s="82">
        <f t="shared" si="7"/>
        <v>0</v>
      </c>
      <c r="AQ39" s="82">
        <f t="shared" si="8"/>
        <v>200000</v>
      </c>
      <c r="AR39" s="82">
        <f t="shared" si="9"/>
        <v>0</v>
      </c>
      <c r="AS39" s="82">
        <f t="shared" si="10"/>
        <v>0</v>
      </c>
      <c r="AT39" s="82">
        <f t="shared" si="11"/>
        <v>0</v>
      </c>
      <c r="AU39" s="82">
        <f t="shared" si="12"/>
        <v>0</v>
      </c>
      <c r="AV39" s="82">
        <f t="shared" si="13"/>
        <v>0</v>
      </c>
      <c r="AW39" s="82">
        <f t="shared" si="14"/>
        <v>0</v>
      </c>
      <c r="AX39" s="82">
        <f t="shared" si="15"/>
        <v>0</v>
      </c>
      <c r="AY39" s="82">
        <f t="shared" si="16"/>
        <v>283823.82838983036</v>
      </c>
    </row>
    <row r="40" spans="1:51" ht="14" x14ac:dyDescent="0.2">
      <c r="A40" s="254"/>
      <c r="B40" s="1" t="s">
        <v>246</v>
      </c>
      <c r="C40" s="1" t="s">
        <v>247</v>
      </c>
      <c r="D40" s="1" t="s">
        <v>1</v>
      </c>
      <c r="E40" s="83">
        <f>SUMIF('Incentive Report- Output'!$B$4:$B$93,'Incentive Summary Output'!C40,'Incentive Report- Output'!$AF$4:$AF$93)</f>
        <v>0</v>
      </c>
      <c r="F40" s="83">
        <f>SUMIF('Incentive Report- Output'!$B$98:$B$188,'Incentive Summary Output'!C40,'Incentive Report- Output'!$AF$98:$AF$188)</f>
        <v>21557.550847457609</v>
      </c>
      <c r="G40" s="83">
        <f>SUMIF('Incentive Report- Output'!$B$193:$B$283,'Incentive Summary Output'!C40,'Incentive Report- Output'!$AF$193:$AF$283)</f>
        <v>7420.7838983050751</v>
      </c>
      <c r="H40" s="83">
        <f>SUMIF('Incentive Report- Output'!$B$288:$B$382,'Incentive Summary Output'!C40,'Incentive Report- Output'!$AF$288:$AF$382)</f>
        <v>0</v>
      </c>
      <c r="I40" s="83">
        <f>SUMIF('Incentive Report- Output'!$B$387:$B$480,'Incentive Summary Output'!C40,'Incentive Report- Output'!$AF$387:$AF$480)</f>
        <v>467075.03389830375</v>
      </c>
      <c r="J40" s="83"/>
      <c r="K40" s="83"/>
      <c r="L40" s="83"/>
      <c r="M40" s="83"/>
      <c r="N40" s="83"/>
      <c r="O40" s="83"/>
      <c r="P40" s="83"/>
      <c r="Q40" s="174">
        <f t="shared" si="17"/>
        <v>496053.36864406645</v>
      </c>
      <c r="S40" s="1" t="s">
        <v>246</v>
      </c>
      <c r="T40" s="1" t="s">
        <v>247</v>
      </c>
      <c r="U40" s="1" t="s">
        <v>1</v>
      </c>
      <c r="V40" s="82">
        <f t="shared" si="18"/>
        <v>0</v>
      </c>
      <c r="W40" s="82">
        <f t="shared" si="2"/>
        <v>0</v>
      </c>
      <c r="X40" s="82">
        <f t="shared" si="2"/>
        <v>0</v>
      </c>
      <c r="Y40" s="82">
        <f t="shared" si="2"/>
        <v>0</v>
      </c>
      <c r="Z40" s="82">
        <f t="shared" si="2"/>
        <v>267075.03389830375</v>
      </c>
      <c r="AA40" s="82">
        <f t="shared" si="2"/>
        <v>0</v>
      </c>
      <c r="AB40" s="82">
        <f t="shared" si="2"/>
        <v>0</v>
      </c>
      <c r="AC40" s="82">
        <f t="shared" si="2"/>
        <v>0</v>
      </c>
      <c r="AD40" s="82">
        <f t="shared" si="2"/>
        <v>0</v>
      </c>
      <c r="AE40" s="82">
        <f t="shared" si="2"/>
        <v>0</v>
      </c>
      <c r="AF40" s="82">
        <f t="shared" si="2"/>
        <v>0</v>
      </c>
      <c r="AG40" s="82">
        <f t="shared" si="2"/>
        <v>0</v>
      </c>
      <c r="AH40" s="82">
        <f t="shared" si="3"/>
        <v>267075.03389830375</v>
      </c>
      <c r="AJ40" s="1" t="s">
        <v>246</v>
      </c>
      <c r="AK40" s="1" t="s">
        <v>247</v>
      </c>
      <c r="AL40" s="1" t="s">
        <v>1</v>
      </c>
      <c r="AM40" s="82">
        <f t="shared" si="4"/>
        <v>0</v>
      </c>
      <c r="AN40" s="82">
        <f t="shared" si="5"/>
        <v>21557.550847457609</v>
      </c>
      <c r="AO40" s="82">
        <f t="shared" si="6"/>
        <v>7420.7838983050751</v>
      </c>
      <c r="AP40" s="82">
        <f t="shared" si="7"/>
        <v>0</v>
      </c>
      <c r="AQ40" s="82">
        <f t="shared" si="8"/>
        <v>200000</v>
      </c>
      <c r="AR40" s="82">
        <f t="shared" si="9"/>
        <v>0</v>
      </c>
      <c r="AS40" s="82">
        <f t="shared" si="10"/>
        <v>0</v>
      </c>
      <c r="AT40" s="82">
        <f t="shared" si="11"/>
        <v>0</v>
      </c>
      <c r="AU40" s="82">
        <f t="shared" si="12"/>
        <v>0</v>
      </c>
      <c r="AV40" s="82">
        <f t="shared" si="13"/>
        <v>0</v>
      </c>
      <c r="AW40" s="82">
        <f t="shared" si="14"/>
        <v>0</v>
      </c>
      <c r="AX40" s="82">
        <f t="shared" si="15"/>
        <v>0</v>
      </c>
      <c r="AY40" s="82">
        <f t="shared" si="16"/>
        <v>228978.3347457627</v>
      </c>
    </row>
    <row r="41" spans="1:51" ht="14" x14ac:dyDescent="0.2">
      <c r="A41" s="254"/>
      <c r="B41" s="1" t="s">
        <v>334</v>
      </c>
      <c r="C41" s="1" t="s">
        <v>341</v>
      </c>
      <c r="D41" s="1" t="s">
        <v>1</v>
      </c>
      <c r="E41" s="83">
        <f>SUMIF('Incentive Report- Output'!$B$4:$B$93,'Incentive Summary Output'!C41,'Incentive Report- Output'!$AF$4:$AF$93)</f>
        <v>7741.135593220326</v>
      </c>
      <c r="F41" s="83">
        <f>SUMIF('Incentive Report- Output'!$B$98:$B$188,'Incentive Summary Output'!C41,'Incentive Report- Output'!$AF$98:$AF$188)</f>
        <v>61975.506355932113</v>
      </c>
      <c r="G41" s="83">
        <f>SUMIF('Incentive Report- Output'!$B$193:$B$283,'Incentive Summary Output'!C41,'Incentive Report- Output'!$AF$193:$AF$283)</f>
        <v>20663.076271186423</v>
      </c>
      <c r="H41" s="83">
        <f>SUMIF('Incentive Report- Output'!$B$288:$B$382,'Incentive Summary Output'!C41,'Incentive Report- Output'!$AF$288:$AF$382)</f>
        <v>52657.360166249993</v>
      </c>
      <c r="I41" s="83">
        <f>SUMIF('Incentive Report- Output'!$B$387:$B$480,'Incentive Summary Output'!C41,'Incentive Report- Output'!$AF$387:$AF$480)</f>
        <v>774621.83898305113</v>
      </c>
      <c r="J41" s="83"/>
      <c r="K41" s="83"/>
      <c r="L41" s="83"/>
      <c r="M41" s="83"/>
      <c r="N41" s="83"/>
      <c r="O41" s="83"/>
      <c r="P41" s="83"/>
      <c r="Q41" s="174">
        <f t="shared" si="17"/>
        <v>917658.91736963997</v>
      </c>
      <c r="S41" s="1" t="s">
        <v>334</v>
      </c>
      <c r="T41" s="1" t="s">
        <v>341</v>
      </c>
      <c r="U41" s="1" t="s">
        <v>1</v>
      </c>
      <c r="V41" s="82">
        <f t="shared" si="18"/>
        <v>0</v>
      </c>
      <c r="W41" s="82">
        <f t="shared" ref="W41:W103" si="19">IF(F41&gt;200000,F41-200000,0)</f>
        <v>0</v>
      </c>
      <c r="X41" s="82">
        <f t="shared" ref="X41:X103" si="20">IF(G41&gt;200000,G41-200000,0)</f>
        <v>0</v>
      </c>
      <c r="Y41" s="82">
        <f t="shared" ref="Y41:Y103" si="21">IF(H41&gt;200000,H41-200000,0)</f>
        <v>0</v>
      </c>
      <c r="Z41" s="82">
        <f t="shared" ref="Z41:Z103" si="22">IF(I41&gt;200000,I41-200000,0)</f>
        <v>574621.83898305113</v>
      </c>
      <c r="AA41" s="82">
        <f t="shared" ref="AA41:AA103" si="23">IF(J41&gt;200000,J41-200000,0)</f>
        <v>0</v>
      </c>
      <c r="AB41" s="82">
        <f t="shared" ref="AB41:AB103" si="24">IF(K41&gt;200000,K41-200000,0)</f>
        <v>0</v>
      </c>
      <c r="AC41" s="82">
        <f t="shared" ref="AC41:AC103" si="25">IF(L41&gt;200000,L41-200000,0)</f>
        <v>0</v>
      </c>
      <c r="AD41" s="82">
        <f t="shared" ref="AD41:AD103" si="26">IF(M41&gt;200000,M41-200000,0)</f>
        <v>0</v>
      </c>
      <c r="AE41" s="82">
        <f t="shared" ref="AE41:AE103" si="27">IF(N41&gt;200000,N41-200000,0)</f>
        <v>0</v>
      </c>
      <c r="AF41" s="82">
        <f t="shared" ref="AF41:AF103" si="28">IF(O41&gt;200000,O41-200000,0)</f>
        <v>0</v>
      </c>
      <c r="AG41" s="82">
        <f t="shared" ref="AG41:AG103" si="29">IF(P41&gt;200000,P41-200000,0)</f>
        <v>0</v>
      </c>
      <c r="AH41" s="82">
        <f t="shared" si="3"/>
        <v>574621.83898305113</v>
      </c>
      <c r="AJ41" s="1" t="s">
        <v>334</v>
      </c>
      <c r="AK41" s="1" t="s">
        <v>341</v>
      </c>
      <c r="AL41" s="1" t="s">
        <v>1</v>
      </c>
      <c r="AM41" s="82">
        <f t="shared" si="4"/>
        <v>7741.135593220326</v>
      </c>
      <c r="AN41" s="82">
        <f t="shared" si="5"/>
        <v>61975.506355932113</v>
      </c>
      <c r="AO41" s="82">
        <f t="shared" si="6"/>
        <v>20663.076271186423</v>
      </c>
      <c r="AP41" s="82">
        <f t="shared" si="7"/>
        <v>52657.360166249993</v>
      </c>
      <c r="AQ41" s="82">
        <f t="shared" si="8"/>
        <v>200000</v>
      </c>
      <c r="AR41" s="82">
        <f t="shared" si="9"/>
        <v>0</v>
      </c>
      <c r="AS41" s="82">
        <f t="shared" si="10"/>
        <v>0</v>
      </c>
      <c r="AT41" s="82">
        <f t="shared" si="11"/>
        <v>0</v>
      </c>
      <c r="AU41" s="82">
        <f t="shared" si="12"/>
        <v>0</v>
      </c>
      <c r="AV41" s="82">
        <f t="shared" si="13"/>
        <v>0</v>
      </c>
      <c r="AW41" s="82">
        <f t="shared" si="14"/>
        <v>0</v>
      </c>
      <c r="AX41" s="82">
        <f t="shared" si="15"/>
        <v>0</v>
      </c>
      <c r="AY41" s="82">
        <f t="shared" si="16"/>
        <v>343037.07838658884</v>
      </c>
    </row>
    <row r="42" spans="1:51" ht="14" x14ac:dyDescent="0.2">
      <c r="A42" s="254"/>
      <c r="B42" s="1" t="s">
        <v>61</v>
      </c>
      <c r="C42" s="1" t="s">
        <v>62</v>
      </c>
      <c r="D42" s="1" t="s">
        <v>0</v>
      </c>
      <c r="E42" s="83">
        <f>SUMIF('Incentive Report- Output'!$B$4:$B$93,'Incentive Summary Output'!C42,'Incentive Report- Output'!$AF$4:$AF$93)</f>
        <v>7195.5889830508413</v>
      </c>
      <c r="F42" s="83">
        <f>SUMIF('Incentive Report- Output'!$B$98:$B$188,'Incentive Summary Output'!C42,'Incentive Report- Output'!$AF$98:$AF$188)</f>
        <v>19607.576271186434</v>
      </c>
      <c r="G42" s="83">
        <f>SUMIF('Incentive Report- Output'!$B$193:$B$283,'Incentive Summary Output'!C42,'Incentive Report- Output'!$AF$193:$AF$283)</f>
        <v>6654.5042372881289</v>
      </c>
      <c r="H42" s="83">
        <f>SUMIF('Incentive Report- Output'!$B$288:$B$382,'Incentive Summary Output'!C42,'Incentive Report- Output'!$AF$288:$AF$382)</f>
        <v>4520.6652540000005</v>
      </c>
      <c r="I42" s="83">
        <f>SUMIF('Incentive Report- Output'!$B$387:$B$480,'Incentive Summary Output'!C42,'Incentive Report- Output'!$AF$387:$AF$480)</f>
        <v>440729.08474576165</v>
      </c>
      <c r="J42" s="83"/>
      <c r="K42" s="83"/>
      <c r="L42" s="83"/>
      <c r="M42" s="83"/>
      <c r="N42" s="83"/>
      <c r="O42" s="83"/>
      <c r="P42" s="83"/>
      <c r="Q42" s="174">
        <f t="shared" si="17"/>
        <v>478707.41949128703</v>
      </c>
      <c r="S42" s="1" t="s">
        <v>61</v>
      </c>
      <c r="T42" s="1" t="s">
        <v>62</v>
      </c>
      <c r="U42" s="1" t="s">
        <v>0</v>
      </c>
      <c r="V42" s="82">
        <f t="shared" si="18"/>
        <v>0</v>
      </c>
      <c r="W42" s="82">
        <f t="shared" si="19"/>
        <v>0</v>
      </c>
      <c r="X42" s="82">
        <f t="shared" si="20"/>
        <v>0</v>
      </c>
      <c r="Y42" s="82">
        <f t="shared" si="21"/>
        <v>0</v>
      </c>
      <c r="Z42" s="82">
        <f t="shared" si="22"/>
        <v>240729.08474576165</v>
      </c>
      <c r="AA42" s="82">
        <f t="shared" si="23"/>
        <v>0</v>
      </c>
      <c r="AB42" s="82">
        <f t="shared" si="24"/>
        <v>0</v>
      </c>
      <c r="AC42" s="82">
        <f t="shared" si="25"/>
        <v>0</v>
      </c>
      <c r="AD42" s="82">
        <f t="shared" si="26"/>
        <v>0</v>
      </c>
      <c r="AE42" s="82">
        <f t="shared" si="27"/>
        <v>0</v>
      </c>
      <c r="AF42" s="82">
        <f t="shared" si="28"/>
        <v>0</v>
      </c>
      <c r="AG42" s="82">
        <f t="shared" si="29"/>
        <v>0</v>
      </c>
      <c r="AH42" s="82">
        <f t="shared" si="3"/>
        <v>240729.08474576165</v>
      </c>
      <c r="AJ42" s="1" t="s">
        <v>61</v>
      </c>
      <c r="AK42" s="1" t="s">
        <v>62</v>
      </c>
      <c r="AL42" s="1" t="s">
        <v>0</v>
      </c>
      <c r="AM42" s="82">
        <f t="shared" si="4"/>
        <v>7195.5889830508413</v>
      </c>
      <c r="AN42" s="82">
        <f t="shared" si="5"/>
        <v>19607.576271186434</v>
      </c>
      <c r="AO42" s="82">
        <f t="shared" si="6"/>
        <v>6654.5042372881289</v>
      </c>
      <c r="AP42" s="82">
        <f t="shared" si="7"/>
        <v>4520.6652540000005</v>
      </c>
      <c r="AQ42" s="82">
        <f t="shared" si="8"/>
        <v>200000</v>
      </c>
      <c r="AR42" s="82">
        <f t="shared" si="9"/>
        <v>0</v>
      </c>
      <c r="AS42" s="82">
        <f t="shared" si="10"/>
        <v>0</v>
      </c>
      <c r="AT42" s="82">
        <f t="shared" si="11"/>
        <v>0</v>
      </c>
      <c r="AU42" s="82">
        <f t="shared" si="12"/>
        <v>0</v>
      </c>
      <c r="AV42" s="82">
        <f t="shared" si="13"/>
        <v>0</v>
      </c>
      <c r="AW42" s="82">
        <f t="shared" si="14"/>
        <v>0</v>
      </c>
      <c r="AX42" s="82">
        <f t="shared" si="15"/>
        <v>0</v>
      </c>
      <c r="AY42" s="82">
        <f t="shared" si="16"/>
        <v>237978.33474552541</v>
      </c>
    </row>
    <row r="43" spans="1:51" ht="14" x14ac:dyDescent="0.2">
      <c r="A43" s="254"/>
      <c r="B43" s="1" t="s">
        <v>689</v>
      </c>
      <c r="C43" s="1" t="s">
        <v>690</v>
      </c>
      <c r="D43" s="1" t="s">
        <v>1</v>
      </c>
      <c r="E43" s="83">
        <f>SUMIF('Incentive Report- Output'!$B$4:$B$93,'Incentive Summary Output'!C43,'Incentive Report- Output'!$AF$4:$AF$93)</f>
        <v>0</v>
      </c>
      <c r="F43" s="83">
        <f>SUMIF('Incentive Report- Output'!$B$98:$B$188,'Incentive Summary Output'!C43,'Incentive Report- Output'!$AF$98:$AF$188)</f>
        <v>63414.171610169418</v>
      </c>
      <c r="G43" s="83">
        <f>SUMIF('Incentive Report- Output'!$B$193:$B$283,'Incentive Summary Output'!C43,'Incentive Report- Output'!$AF$193:$AF$283)</f>
        <v>0</v>
      </c>
      <c r="H43" s="83">
        <f>SUMIF('Incentive Report- Output'!$B$288:$B$382,'Incentive Summary Output'!C43,'Incentive Report- Output'!$AF$288:$AF$382)</f>
        <v>0</v>
      </c>
      <c r="I43" s="83">
        <f>SUMIF('Incentive Report- Output'!$B$387:$B$480,'Incentive Summary Output'!C43,'Incentive Report- Output'!$AF$387:$AF$480)</f>
        <v>243379.54449152545</v>
      </c>
      <c r="J43" s="83"/>
      <c r="K43" s="83"/>
      <c r="L43" s="83"/>
      <c r="M43" s="83"/>
      <c r="N43" s="83"/>
      <c r="O43" s="83"/>
      <c r="P43" s="83"/>
      <c r="Q43" s="174">
        <f t="shared" si="17"/>
        <v>306793.71610169485</v>
      </c>
      <c r="S43" s="1" t="s">
        <v>689</v>
      </c>
      <c r="T43" s="1" t="s">
        <v>690</v>
      </c>
      <c r="U43" s="1" t="s">
        <v>1</v>
      </c>
      <c r="V43" s="82">
        <f t="shared" si="18"/>
        <v>0</v>
      </c>
      <c r="W43" s="82">
        <f t="shared" si="19"/>
        <v>0</v>
      </c>
      <c r="X43" s="82">
        <f t="shared" si="20"/>
        <v>0</v>
      </c>
      <c r="Y43" s="82">
        <f t="shared" si="21"/>
        <v>0</v>
      </c>
      <c r="Z43" s="82">
        <f t="shared" si="22"/>
        <v>43379.544491525448</v>
      </c>
      <c r="AA43" s="82">
        <f t="shared" si="23"/>
        <v>0</v>
      </c>
      <c r="AB43" s="82">
        <f t="shared" si="24"/>
        <v>0</v>
      </c>
      <c r="AC43" s="82">
        <f t="shared" si="25"/>
        <v>0</v>
      </c>
      <c r="AD43" s="82">
        <f t="shared" si="26"/>
        <v>0</v>
      </c>
      <c r="AE43" s="82">
        <f t="shared" si="27"/>
        <v>0</v>
      </c>
      <c r="AF43" s="82">
        <f t="shared" si="28"/>
        <v>0</v>
      </c>
      <c r="AG43" s="82">
        <f t="shared" si="29"/>
        <v>0</v>
      </c>
      <c r="AH43" s="82">
        <f t="shared" si="3"/>
        <v>43379.544491525448</v>
      </c>
      <c r="AJ43" s="1" t="s">
        <v>689</v>
      </c>
      <c r="AK43" s="1" t="s">
        <v>690</v>
      </c>
      <c r="AL43" s="1" t="s">
        <v>1</v>
      </c>
      <c r="AM43" s="82">
        <f t="shared" si="4"/>
        <v>0</v>
      </c>
      <c r="AN43" s="82">
        <f t="shared" si="5"/>
        <v>63414.171610169418</v>
      </c>
      <c r="AO43" s="82">
        <f t="shared" si="6"/>
        <v>0</v>
      </c>
      <c r="AP43" s="82">
        <f t="shared" si="7"/>
        <v>0</v>
      </c>
      <c r="AQ43" s="82">
        <f t="shared" si="8"/>
        <v>200000</v>
      </c>
      <c r="AR43" s="82">
        <f t="shared" si="9"/>
        <v>0</v>
      </c>
      <c r="AS43" s="82">
        <f t="shared" si="10"/>
        <v>0</v>
      </c>
      <c r="AT43" s="82">
        <f t="shared" si="11"/>
        <v>0</v>
      </c>
      <c r="AU43" s="82">
        <f t="shared" si="12"/>
        <v>0</v>
      </c>
      <c r="AV43" s="82">
        <f t="shared" si="13"/>
        <v>0</v>
      </c>
      <c r="AW43" s="82">
        <f t="shared" si="14"/>
        <v>0</v>
      </c>
      <c r="AX43" s="82">
        <f t="shared" si="15"/>
        <v>0</v>
      </c>
      <c r="AY43" s="82">
        <f t="shared" si="16"/>
        <v>263414.1716101694</v>
      </c>
    </row>
    <row r="44" spans="1:51" ht="14" x14ac:dyDescent="0.2">
      <c r="A44" s="254"/>
      <c r="B44" s="123" t="s">
        <v>706</v>
      </c>
      <c r="C44" s="1" t="s">
        <v>688</v>
      </c>
      <c r="D44" s="1" t="s">
        <v>1</v>
      </c>
      <c r="E44" s="83">
        <f>SUMIF('Incentive Report- Output'!$B$4:$B$93,'Incentive Summary Output'!C44,'Incentive Report- Output'!$AF$4:$AF$93)</f>
        <v>0</v>
      </c>
      <c r="F44" s="83">
        <f>SUMIF('Incentive Report- Output'!$B$98:$B$188,'Incentive Summary Output'!C44,'Incentive Report- Output'!$AF$98:$AF$188)</f>
        <v>0</v>
      </c>
      <c r="G44" s="83">
        <f>SUMIF('Incentive Report- Output'!$B$193:$B$283,'Incentive Summary Output'!C44,'Incentive Report- Output'!$AF$193:$AF$283)</f>
        <v>0</v>
      </c>
      <c r="H44" s="83">
        <f>SUMIF('Incentive Report- Output'!$B$288:$B$382,'Incentive Summary Output'!C44,'Incentive Report- Output'!$AF$288:$AF$382)</f>
        <v>0</v>
      </c>
      <c r="I44" s="83">
        <f>SUMIF('Incentive Report- Output'!$B$387:$B$480,'Incentive Summary Output'!C44,'Incentive Report- Output'!$AF$387:$AF$480)</f>
        <v>357604.98305084708</v>
      </c>
      <c r="J44" s="83"/>
      <c r="K44" s="83"/>
      <c r="L44" s="83"/>
      <c r="M44" s="83"/>
      <c r="N44" s="83"/>
      <c r="O44" s="83"/>
      <c r="P44" s="83"/>
      <c r="Q44" s="174">
        <f t="shared" si="17"/>
        <v>357604.98305084708</v>
      </c>
      <c r="S44" s="123" t="s">
        <v>706</v>
      </c>
      <c r="T44" s="1" t="s">
        <v>688</v>
      </c>
      <c r="U44" s="1" t="s">
        <v>1</v>
      </c>
      <c r="V44" s="82">
        <f t="shared" si="18"/>
        <v>0</v>
      </c>
      <c r="W44" s="82">
        <f t="shared" si="19"/>
        <v>0</v>
      </c>
      <c r="X44" s="82">
        <f t="shared" si="20"/>
        <v>0</v>
      </c>
      <c r="Y44" s="82">
        <f t="shared" si="21"/>
        <v>0</v>
      </c>
      <c r="Z44" s="82">
        <f t="shared" si="22"/>
        <v>157604.98305084708</v>
      </c>
      <c r="AA44" s="82">
        <f t="shared" si="23"/>
        <v>0</v>
      </c>
      <c r="AB44" s="82">
        <f t="shared" si="24"/>
        <v>0</v>
      </c>
      <c r="AC44" s="82">
        <f t="shared" si="25"/>
        <v>0</v>
      </c>
      <c r="AD44" s="82">
        <f t="shared" si="26"/>
        <v>0</v>
      </c>
      <c r="AE44" s="82">
        <f t="shared" si="27"/>
        <v>0</v>
      </c>
      <c r="AF44" s="82">
        <f t="shared" si="28"/>
        <v>0</v>
      </c>
      <c r="AG44" s="82">
        <f t="shared" si="29"/>
        <v>0</v>
      </c>
      <c r="AH44" s="82">
        <f t="shared" si="3"/>
        <v>157604.98305084708</v>
      </c>
      <c r="AJ44" s="123" t="s">
        <v>706</v>
      </c>
      <c r="AK44" s="1" t="s">
        <v>688</v>
      </c>
      <c r="AL44" s="1" t="s">
        <v>1</v>
      </c>
      <c r="AM44" s="82">
        <f t="shared" si="4"/>
        <v>0</v>
      </c>
      <c r="AN44" s="82">
        <f t="shared" si="5"/>
        <v>0</v>
      </c>
      <c r="AO44" s="82">
        <f t="shared" si="6"/>
        <v>0</v>
      </c>
      <c r="AP44" s="82">
        <f t="shared" si="7"/>
        <v>0</v>
      </c>
      <c r="AQ44" s="82">
        <f t="shared" si="8"/>
        <v>200000</v>
      </c>
      <c r="AR44" s="82">
        <f t="shared" si="9"/>
        <v>0</v>
      </c>
      <c r="AS44" s="82">
        <f t="shared" si="10"/>
        <v>0</v>
      </c>
      <c r="AT44" s="82">
        <f t="shared" si="11"/>
        <v>0</v>
      </c>
      <c r="AU44" s="82">
        <f t="shared" si="12"/>
        <v>0</v>
      </c>
      <c r="AV44" s="82">
        <f t="shared" si="13"/>
        <v>0</v>
      </c>
      <c r="AW44" s="82">
        <f t="shared" si="14"/>
        <v>0</v>
      </c>
      <c r="AX44" s="82">
        <f t="shared" si="15"/>
        <v>0</v>
      </c>
      <c r="AY44" s="82">
        <f t="shared" si="16"/>
        <v>200000</v>
      </c>
    </row>
    <row r="45" spans="1:51" ht="14" x14ac:dyDescent="0.2">
      <c r="A45" s="254"/>
      <c r="B45" s="1" t="s">
        <v>249</v>
      </c>
      <c r="C45" s="1" t="s">
        <v>250</v>
      </c>
      <c r="D45" s="1" t="s">
        <v>0</v>
      </c>
      <c r="E45" s="83">
        <f>SUMIF('Incentive Report- Output'!$B$4:$B$93,'Incentive Summary Output'!C45,'Incentive Report- Output'!$AF$4:$AF$93)</f>
        <v>126483.45762711838</v>
      </c>
      <c r="F45" s="83">
        <f>SUMIF('Incentive Report- Output'!$B$98:$B$188,'Incentive Summary Output'!C45,'Incentive Report- Output'!$AF$98:$AF$188)</f>
        <v>194692.27118644057</v>
      </c>
      <c r="G45" s="83">
        <f>SUMIF('Incentive Report- Output'!$B$193:$B$283,'Incentive Summary Output'!C45,'Incentive Report- Output'!$AF$193:$AF$283)</f>
        <v>149027.36440677941</v>
      </c>
      <c r="H45" s="83">
        <f>SUMIF('Incentive Report- Output'!$B$288:$B$382,'Incentive Summary Output'!C45,'Incentive Report- Output'!$AF$288:$AF$382)</f>
        <v>95869.016928900062</v>
      </c>
      <c r="I45" s="83">
        <f>SUMIF('Incentive Report- Output'!$B$387:$B$480,'Incentive Summary Output'!C45,'Incentive Report- Output'!$AF$387:$AF$480)</f>
        <v>372365.74576271063</v>
      </c>
      <c r="J45" s="83"/>
      <c r="K45" s="83"/>
      <c r="L45" s="83"/>
      <c r="M45" s="83"/>
      <c r="N45" s="83"/>
      <c r="O45" s="83"/>
      <c r="P45" s="83"/>
      <c r="Q45" s="174">
        <f t="shared" si="17"/>
        <v>938437.85591194895</v>
      </c>
      <c r="S45" s="1" t="s">
        <v>249</v>
      </c>
      <c r="T45" s="1" t="s">
        <v>250</v>
      </c>
      <c r="U45" s="1" t="s">
        <v>0</v>
      </c>
      <c r="V45" s="82">
        <f t="shared" si="18"/>
        <v>0</v>
      </c>
      <c r="W45" s="82">
        <f t="shared" si="19"/>
        <v>0</v>
      </c>
      <c r="X45" s="82">
        <f t="shared" si="20"/>
        <v>0</v>
      </c>
      <c r="Y45" s="82">
        <f t="shared" si="21"/>
        <v>0</v>
      </c>
      <c r="Z45" s="82">
        <f t="shared" si="22"/>
        <v>172365.74576271063</v>
      </c>
      <c r="AA45" s="82">
        <f t="shared" si="23"/>
        <v>0</v>
      </c>
      <c r="AB45" s="82">
        <f t="shared" si="24"/>
        <v>0</v>
      </c>
      <c r="AC45" s="82">
        <f t="shared" si="25"/>
        <v>0</v>
      </c>
      <c r="AD45" s="82">
        <f t="shared" si="26"/>
        <v>0</v>
      </c>
      <c r="AE45" s="82">
        <f t="shared" si="27"/>
        <v>0</v>
      </c>
      <c r="AF45" s="82">
        <f t="shared" si="28"/>
        <v>0</v>
      </c>
      <c r="AG45" s="82">
        <f t="shared" si="29"/>
        <v>0</v>
      </c>
      <c r="AH45" s="82">
        <f t="shared" si="3"/>
        <v>172365.74576271063</v>
      </c>
      <c r="AJ45" s="1" t="s">
        <v>249</v>
      </c>
      <c r="AK45" s="1" t="s">
        <v>250</v>
      </c>
      <c r="AL45" s="1" t="s">
        <v>0</v>
      </c>
      <c r="AM45" s="82">
        <f t="shared" si="4"/>
        <v>126483.45762711838</v>
      </c>
      <c r="AN45" s="82">
        <f t="shared" si="5"/>
        <v>194692.27118644057</v>
      </c>
      <c r="AO45" s="82">
        <f t="shared" si="6"/>
        <v>149027.36440677941</v>
      </c>
      <c r="AP45" s="82">
        <f t="shared" si="7"/>
        <v>95869.016928900062</v>
      </c>
      <c r="AQ45" s="82">
        <f t="shared" si="8"/>
        <v>200000</v>
      </c>
      <c r="AR45" s="82">
        <f t="shared" si="9"/>
        <v>0</v>
      </c>
      <c r="AS45" s="82">
        <f t="shared" si="10"/>
        <v>0</v>
      </c>
      <c r="AT45" s="82">
        <f t="shared" si="11"/>
        <v>0</v>
      </c>
      <c r="AU45" s="82">
        <f t="shared" si="12"/>
        <v>0</v>
      </c>
      <c r="AV45" s="82">
        <f t="shared" si="13"/>
        <v>0</v>
      </c>
      <c r="AW45" s="82">
        <f t="shared" si="14"/>
        <v>0</v>
      </c>
      <c r="AX45" s="82">
        <f t="shared" si="15"/>
        <v>0</v>
      </c>
      <c r="AY45" s="82">
        <f t="shared" si="16"/>
        <v>766072.11014923838</v>
      </c>
    </row>
    <row r="46" spans="1:51" ht="14" x14ac:dyDescent="0.2">
      <c r="A46" s="254"/>
      <c r="B46" s="1" t="s">
        <v>194</v>
      </c>
      <c r="C46" s="1" t="s">
        <v>199</v>
      </c>
      <c r="D46" s="1" t="s">
        <v>1185</v>
      </c>
      <c r="E46" s="83">
        <f>SUMIF('Incentive Report- Output'!$B$4:$B$93,'Incentive Summary Output'!C46,'Incentive Report- Output'!$AF$4:$AF$93)</f>
        <v>20260.499999999971</v>
      </c>
      <c r="F46" s="83">
        <f>SUMIF('Incentive Report- Output'!$B$98:$B$188,'Incentive Summary Output'!C46,'Incentive Report- Output'!$AF$98:$AF$188)</f>
        <v>130937.61864406761</v>
      </c>
      <c r="G46" s="83">
        <f>SUMIF('Incentive Report- Output'!$B$193:$B$283,'Incentive Summary Output'!C46,'Incentive Report- Output'!$AF$193:$AF$283)</f>
        <v>132945.50635593192</v>
      </c>
      <c r="H46" s="83">
        <f>SUMIF('Incentive Report- Output'!$B$288:$B$382,'Incentive Summary Output'!C46,'Incentive Report- Output'!$AF$288:$AF$382)</f>
        <v>24266.971180799996</v>
      </c>
      <c r="I46" s="83">
        <f>SUMIF('Incentive Report- Output'!$B$387:$B$480,'Incentive Summary Output'!C46,'Incentive Report- Output'!$AF$387:$AF$480)</f>
        <v>221521.07118644059</v>
      </c>
      <c r="J46" s="83"/>
      <c r="K46" s="83"/>
      <c r="L46" s="83"/>
      <c r="M46" s="83"/>
      <c r="N46" s="83"/>
      <c r="O46" s="83"/>
      <c r="P46" s="83"/>
      <c r="Q46" s="174">
        <f t="shared" si="17"/>
        <v>529931.66736724018</v>
      </c>
      <c r="S46" s="1" t="s">
        <v>194</v>
      </c>
      <c r="T46" s="1" t="s">
        <v>199</v>
      </c>
      <c r="U46" s="1" t="s">
        <v>1185</v>
      </c>
      <c r="V46" s="82">
        <f t="shared" si="18"/>
        <v>0</v>
      </c>
      <c r="W46" s="82">
        <f t="shared" si="19"/>
        <v>0</v>
      </c>
      <c r="X46" s="82">
        <f t="shared" si="20"/>
        <v>0</v>
      </c>
      <c r="Y46" s="82">
        <f t="shared" si="21"/>
        <v>0</v>
      </c>
      <c r="Z46" s="82">
        <f t="shared" si="22"/>
        <v>21521.071186440589</v>
      </c>
      <c r="AA46" s="82">
        <f t="shared" si="23"/>
        <v>0</v>
      </c>
      <c r="AB46" s="82">
        <f t="shared" si="24"/>
        <v>0</v>
      </c>
      <c r="AC46" s="82">
        <f t="shared" si="25"/>
        <v>0</v>
      </c>
      <c r="AD46" s="82">
        <f t="shared" si="26"/>
        <v>0</v>
      </c>
      <c r="AE46" s="82">
        <f t="shared" si="27"/>
        <v>0</v>
      </c>
      <c r="AF46" s="82">
        <f t="shared" si="28"/>
        <v>0</v>
      </c>
      <c r="AG46" s="82">
        <f t="shared" si="29"/>
        <v>0</v>
      </c>
      <c r="AH46" s="82">
        <f t="shared" si="3"/>
        <v>21521.071186440589</v>
      </c>
      <c r="AJ46" s="1" t="s">
        <v>194</v>
      </c>
      <c r="AK46" s="1" t="s">
        <v>199</v>
      </c>
      <c r="AL46" s="1" t="s">
        <v>1185</v>
      </c>
      <c r="AM46" s="82">
        <f t="shared" si="4"/>
        <v>20260.499999999971</v>
      </c>
      <c r="AN46" s="82">
        <f t="shared" si="5"/>
        <v>130937.61864406761</v>
      </c>
      <c r="AO46" s="82">
        <f t="shared" si="6"/>
        <v>132945.50635593192</v>
      </c>
      <c r="AP46" s="82">
        <f t="shared" si="7"/>
        <v>24266.971180799996</v>
      </c>
      <c r="AQ46" s="82">
        <f t="shared" si="8"/>
        <v>200000</v>
      </c>
      <c r="AR46" s="82">
        <f t="shared" si="9"/>
        <v>0</v>
      </c>
      <c r="AS46" s="82">
        <f t="shared" si="10"/>
        <v>0</v>
      </c>
      <c r="AT46" s="82">
        <f t="shared" si="11"/>
        <v>0</v>
      </c>
      <c r="AU46" s="82">
        <f t="shared" si="12"/>
        <v>0</v>
      </c>
      <c r="AV46" s="82">
        <f t="shared" si="13"/>
        <v>0</v>
      </c>
      <c r="AW46" s="82">
        <f t="shared" si="14"/>
        <v>0</v>
      </c>
      <c r="AX46" s="82">
        <f t="shared" si="15"/>
        <v>0</v>
      </c>
      <c r="AY46" s="82">
        <f t="shared" si="16"/>
        <v>508410.59618079953</v>
      </c>
    </row>
    <row r="47" spans="1:51" ht="14" x14ac:dyDescent="0.2">
      <c r="A47" s="254"/>
      <c r="B47" s="1" t="s">
        <v>1107</v>
      </c>
      <c r="C47" s="1" t="s">
        <v>1108</v>
      </c>
      <c r="D47" s="1" t="s">
        <v>1</v>
      </c>
      <c r="E47" s="83">
        <f>SUMIF('Incentive Report- Output'!$B$4:$B$93,'Incentive Summary Output'!C47,'Incentive Report- Output'!$AF$4:$AF$93)</f>
        <v>0</v>
      </c>
      <c r="F47" s="83">
        <f>SUMIF('Incentive Report- Output'!$B$98:$B$188,'Incentive Summary Output'!C47,'Incentive Report- Output'!$AF$98:$AF$188)</f>
        <v>0</v>
      </c>
      <c r="G47" s="83">
        <f>SUMIF('Incentive Report- Output'!$B$193:$B$283,'Incentive Summary Output'!C47,'Incentive Report- Output'!$AF$193:$AF$283)</f>
        <v>2288.0635593220309</v>
      </c>
      <c r="H47" s="83">
        <f>SUMIF('Incentive Report- Output'!$B$288:$B$382,'Incentive Summary Output'!C47,'Incentive Report- Output'!$AF$288:$AF$382)</f>
        <v>0</v>
      </c>
      <c r="I47" s="83">
        <f>SUMIF('Incentive Report- Output'!$B$387:$B$480,'Incentive Summary Output'!C47,'Incentive Report- Output'!$AF$387:$AF$480)</f>
        <v>117404.94915254222</v>
      </c>
      <c r="J47" s="83"/>
      <c r="K47" s="83"/>
      <c r="L47" s="83"/>
      <c r="M47" s="83"/>
      <c r="N47" s="83"/>
      <c r="O47" s="83"/>
      <c r="P47" s="83"/>
      <c r="Q47" s="174">
        <f t="shared" si="17"/>
        <v>119693.01271186426</v>
      </c>
      <c r="S47" s="1" t="s">
        <v>1107</v>
      </c>
      <c r="T47" s="1" t="s">
        <v>1108</v>
      </c>
      <c r="U47" s="1" t="s">
        <v>1</v>
      </c>
      <c r="V47" s="82">
        <f t="shared" si="18"/>
        <v>0</v>
      </c>
      <c r="W47" s="82">
        <f t="shared" si="19"/>
        <v>0</v>
      </c>
      <c r="X47" s="82">
        <f t="shared" si="20"/>
        <v>0</v>
      </c>
      <c r="Y47" s="82">
        <f t="shared" si="21"/>
        <v>0</v>
      </c>
      <c r="Z47" s="82">
        <f t="shared" si="22"/>
        <v>0</v>
      </c>
      <c r="AA47" s="82">
        <f t="shared" si="23"/>
        <v>0</v>
      </c>
      <c r="AB47" s="82">
        <f t="shared" si="24"/>
        <v>0</v>
      </c>
      <c r="AC47" s="82">
        <f t="shared" si="25"/>
        <v>0</v>
      </c>
      <c r="AD47" s="82">
        <f t="shared" si="26"/>
        <v>0</v>
      </c>
      <c r="AE47" s="82">
        <f t="shared" si="27"/>
        <v>0</v>
      </c>
      <c r="AF47" s="82">
        <f t="shared" si="28"/>
        <v>0</v>
      </c>
      <c r="AG47" s="82">
        <f t="shared" si="29"/>
        <v>0</v>
      </c>
      <c r="AH47" s="82">
        <f t="shared" si="3"/>
        <v>0</v>
      </c>
      <c r="AJ47" s="1" t="s">
        <v>1107</v>
      </c>
      <c r="AK47" s="1" t="s">
        <v>1108</v>
      </c>
      <c r="AL47" s="1" t="s">
        <v>1</v>
      </c>
      <c r="AM47" s="82">
        <f t="shared" si="4"/>
        <v>0</v>
      </c>
      <c r="AN47" s="82">
        <f t="shared" si="5"/>
        <v>0</v>
      </c>
      <c r="AO47" s="82">
        <f t="shared" si="6"/>
        <v>2288.0635593220309</v>
      </c>
      <c r="AP47" s="82">
        <f t="shared" si="7"/>
        <v>0</v>
      </c>
      <c r="AQ47" s="82">
        <f t="shared" si="8"/>
        <v>117404.94915254222</v>
      </c>
      <c r="AR47" s="82">
        <f t="shared" si="9"/>
        <v>0</v>
      </c>
      <c r="AS47" s="82">
        <f t="shared" si="10"/>
        <v>0</v>
      </c>
      <c r="AT47" s="82">
        <f t="shared" si="11"/>
        <v>0</v>
      </c>
      <c r="AU47" s="82">
        <f t="shared" si="12"/>
        <v>0</v>
      </c>
      <c r="AV47" s="82">
        <f t="shared" si="13"/>
        <v>0</v>
      </c>
      <c r="AW47" s="82">
        <f t="shared" si="14"/>
        <v>0</v>
      </c>
      <c r="AX47" s="82">
        <f t="shared" si="15"/>
        <v>0</v>
      </c>
      <c r="AY47" s="82">
        <f t="shared" si="16"/>
        <v>119693.01271186426</v>
      </c>
    </row>
    <row r="48" spans="1:51" ht="14" x14ac:dyDescent="0.2">
      <c r="A48" s="254"/>
      <c r="B48" s="1" t="s">
        <v>707</v>
      </c>
      <c r="C48" s="1" t="s">
        <v>696</v>
      </c>
      <c r="D48" s="1" t="s">
        <v>1</v>
      </c>
      <c r="E48" s="83">
        <f>SUMIF('Incentive Report- Output'!$B$4:$B$93,'Incentive Summary Output'!C48,'Incentive Report- Output'!$AF$4:$AF$93)</f>
        <v>14062.355932203371</v>
      </c>
      <c r="F48" s="83">
        <f>SUMIF('Incentive Report- Output'!$B$98:$B$188,'Incentive Summary Output'!C48,'Incentive Report- Output'!$AF$98:$AF$188)</f>
        <v>6680.7711864406783</v>
      </c>
      <c r="G48" s="83">
        <f>SUMIF('Incentive Report- Output'!$B$193:$B$283,'Incentive Summary Output'!C48,'Incentive Report- Output'!$AF$193:$AF$283)</f>
        <v>125038.39830508434</v>
      </c>
      <c r="H48" s="83">
        <f>SUMIF('Incentive Report- Output'!$B$288:$B$382,'Incentive Summary Output'!C48,'Incentive Report- Output'!$AF$288:$AF$382)</f>
        <v>57039.826254750013</v>
      </c>
      <c r="I48" s="83">
        <f>SUMIF('Incentive Report- Output'!$B$387:$B$480,'Incentive Summary Output'!C48,'Incentive Report- Output'!$AF$387:$AF$480)</f>
        <v>146465.44703389818</v>
      </c>
      <c r="J48" s="83"/>
      <c r="K48" s="83"/>
      <c r="L48" s="83"/>
      <c r="M48" s="83"/>
      <c r="N48" s="83"/>
      <c r="O48" s="83"/>
      <c r="P48" s="83"/>
      <c r="Q48" s="174">
        <f t="shared" si="17"/>
        <v>349286.79871237662</v>
      </c>
      <c r="S48" s="1" t="s">
        <v>707</v>
      </c>
      <c r="T48" s="1" t="s">
        <v>696</v>
      </c>
      <c r="U48" s="1" t="s">
        <v>1</v>
      </c>
      <c r="V48" s="82">
        <f t="shared" si="18"/>
        <v>0</v>
      </c>
      <c r="W48" s="82">
        <f t="shared" si="19"/>
        <v>0</v>
      </c>
      <c r="X48" s="82">
        <f t="shared" si="20"/>
        <v>0</v>
      </c>
      <c r="Y48" s="82">
        <f t="shared" si="21"/>
        <v>0</v>
      </c>
      <c r="Z48" s="82">
        <f t="shared" si="22"/>
        <v>0</v>
      </c>
      <c r="AA48" s="82">
        <f t="shared" si="23"/>
        <v>0</v>
      </c>
      <c r="AB48" s="82">
        <f t="shared" si="24"/>
        <v>0</v>
      </c>
      <c r="AC48" s="82">
        <f t="shared" si="25"/>
        <v>0</v>
      </c>
      <c r="AD48" s="82">
        <f t="shared" si="26"/>
        <v>0</v>
      </c>
      <c r="AE48" s="82">
        <f t="shared" si="27"/>
        <v>0</v>
      </c>
      <c r="AF48" s="82">
        <f t="shared" si="28"/>
        <v>0</v>
      </c>
      <c r="AG48" s="82">
        <f t="shared" si="29"/>
        <v>0</v>
      </c>
      <c r="AH48" s="82">
        <f t="shared" si="3"/>
        <v>0</v>
      </c>
      <c r="AJ48" s="1" t="s">
        <v>707</v>
      </c>
      <c r="AK48" s="1" t="s">
        <v>696</v>
      </c>
      <c r="AL48" s="1" t="s">
        <v>1</v>
      </c>
      <c r="AM48" s="82">
        <f t="shared" si="4"/>
        <v>14062.355932203371</v>
      </c>
      <c r="AN48" s="82">
        <f t="shared" si="5"/>
        <v>6680.7711864406783</v>
      </c>
      <c r="AO48" s="82">
        <f t="shared" si="6"/>
        <v>125038.39830508434</v>
      </c>
      <c r="AP48" s="82">
        <f t="shared" si="7"/>
        <v>57039.826254750013</v>
      </c>
      <c r="AQ48" s="82">
        <f t="shared" si="8"/>
        <v>146465.44703389818</v>
      </c>
      <c r="AR48" s="82">
        <f t="shared" si="9"/>
        <v>0</v>
      </c>
      <c r="AS48" s="82">
        <f t="shared" si="10"/>
        <v>0</v>
      </c>
      <c r="AT48" s="82">
        <f t="shared" si="11"/>
        <v>0</v>
      </c>
      <c r="AU48" s="82">
        <f t="shared" si="12"/>
        <v>0</v>
      </c>
      <c r="AV48" s="82">
        <f t="shared" si="13"/>
        <v>0</v>
      </c>
      <c r="AW48" s="82">
        <f t="shared" si="14"/>
        <v>0</v>
      </c>
      <c r="AX48" s="82">
        <f t="shared" si="15"/>
        <v>0</v>
      </c>
      <c r="AY48" s="82">
        <f t="shared" si="16"/>
        <v>349286.79871237662</v>
      </c>
    </row>
    <row r="49" spans="1:51" ht="14" x14ac:dyDescent="0.2">
      <c r="A49" s="254"/>
      <c r="B49" s="1" t="s">
        <v>804</v>
      </c>
      <c r="C49" s="1" t="s">
        <v>805</v>
      </c>
      <c r="D49" s="1" t="s">
        <v>1</v>
      </c>
      <c r="E49" s="83">
        <f>SUMIF('Incentive Report- Output'!$B$4:$B$93,'Incentive Summary Output'!C49,'Incentive Report- Output'!$AF$4:$AF$93)</f>
        <v>7856.8093220338915</v>
      </c>
      <c r="F49" s="83">
        <f>SUMIF('Incentive Report- Output'!$B$98:$B$188,'Incentive Summary Output'!C49,'Incentive Report- Output'!$AF$98:$AF$188)</f>
        <v>6112.7838983050842</v>
      </c>
      <c r="G49" s="83">
        <f>SUMIF('Incentive Report- Output'!$B$193:$B$283,'Incentive Summary Output'!C49,'Incentive Report- Output'!$AF$193:$AF$283)</f>
        <v>6862.343220338973</v>
      </c>
      <c r="H49" s="83">
        <f>SUMIF('Incentive Report- Output'!$B$288:$B$382,'Incentive Summary Output'!C49,'Incentive Report- Output'!$AF$288:$AF$382)</f>
        <v>4474.0466085000007</v>
      </c>
      <c r="I49" s="83">
        <f>SUMIF('Incentive Report- Output'!$B$387:$B$480,'Incentive Summary Output'!C49,'Incentive Report- Output'!$AF$387:$AF$480)</f>
        <v>194701.93855932209</v>
      </c>
      <c r="J49" s="83"/>
      <c r="K49" s="83"/>
      <c r="L49" s="83"/>
      <c r="M49" s="83"/>
      <c r="N49" s="83"/>
      <c r="O49" s="83"/>
      <c r="P49" s="83"/>
      <c r="Q49" s="174">
        <f t="shared" si="17"/>
        <v>220007.92160850004</v>
      </c>
      <c r="S49" s="1" t="s">
        <v>804</v>
      </c>
      <c r="T49" s="1" t="s">
        <v>805</v>
      </c>
      <c r="U49" s="1" t="s">
        <v>1</v>
      </c>
      <c r="V49" s="82">
        <f t="shared" si="18"/>
        <v>0</v>
      </c>
      <c r="W49" s="82">
        <f t="shared" si="19"/>
        <v>0</v>
      </c>
      <c r="X49" s="82">
        <f t="shared" si="20"/>
        <v>0</v>
      </c>
      <c r="Y49" s="82">
        <f t="shared" si="21"/>
        <v>0</v>
      </c>
      <c r="Z49" s="82">
        <f t="shared" si="22"/>
        <v>0</v>
      </c>
      <c r="AA49" s="82">
        <f t="shared" si="23"/>
        <v>0</v>
      </c>
      <c r="AB49" s="82">
        <f t="shared" si="24"/>
        <v>0</v>
      </c>
      <c r="AC49" s="82">
        <f t="shared" si="25"/>
        <v>0</v>
      </c>
      <c r="AD49" s="82">
        <f t="shared" si="26"/>
        <v>0</v>
      </c>
      <c r="AE49" s="82">
        <f t="shared" si="27"/>
        <v>0</v>
      </c>
      <c r="AF49" s="82">
        <f t="shared" si="28"/>
        <v>0</v>
      </c>
      <c r="AG49" s="82">
        <f t="shared" si="29"/>
        <v>0</v>
      </c>
      <c r="AH49" s="82">
        <f t="shared" si="3"/>
        <v>0</v>
      </c>
      <c r="AJ49" s="1" t="s">
        <v>804</v>
      </c>
      <c r="AK49" s="1" t="s">
        <v>805</v>
      </c>
      <c r="AL49" s="1" t="s">
        <v>1</v>
      </c>
      <c r="AM49" s="82">
        <f t="shared" si="4"/>
        <v>7856.8093220338915</v>
      </c>
      <c r="AN49" s="82">
        <f t="shared" si="5"/>
        <v>6112.7838983050842</v>
      </c>
      <c r="AO49" s="82">
        <f t="shared" si="6"/>
        <v>6862.343220338973</v>
      </c>
      <c r="AP49" s="82">
        <f t="shared" si="7"/>
        <v>4474.0466085000007</v>
      </c>
      <c r="AQ49" s="82">
        <f t="shared" si="8"/>
        <v>194701.93855932209</v>
      </c>
      <c r="AR49" s="82">
        <f t="shared" si="9"/>
        <v>0</v>
      </c>
      <c r="AS49" s="82">
        <f t="shared" si="10"/>
        <v>0</v>
      </c>
      <c r="AT49" s="82">
        <f t="shared" si="11"/>
        <v>0</v>
      </c>
      <c r="AU49" s="82">
        <f t="shared" si="12"/>
        <v>0</v>
      </c>
      <c r="AV49" s="82">
        <f t="shared" si="13"/>
        <v>0</v>
      </c>
      <c r="AW49" s="82">
        <f t="shared" si="14"/>
        <v>0</v>
      </c>
      <c r="AX49" s="82">
        <f t="shared" si="15"/>
        <v>0</v>
      </c>
      <c r="AY49" s="82">
        <f t="shared" si="16"/>
        <v>220007.92160850004</v>
      </c>
    </row>
    <row r="50" spans="1:51" ht="14" x14ac:dyDescent="0.2">
      <c r="A50" s="254"/>
      <c r="B50" s="1" t="s">
        <v>313</v>
      </c>
      <c r="C50" s="1" t="s">
        <v>314</v>
      </c>
      <c r="D50" s="1" t="s">
        <v>1</v>
      </c>
      <c r="E50" s="83">
        <f>SUMIF('Incentive Report- Output'!$B$4:$B$93,'Incentive Summary Output'!C50,'Incentive Report- Output'!$AF$4:$AF$93)</f>
        <v>88280.288135593059</v>
      </c>
      <c r="F50" s="83">
        <f>SUMIF('Incentive Report- Output'!$B$98:$B$188,'Incentive Summary Output'!C50,'Incentive Report- Output'!$AF$98:$AF$188)</f>
        <v>71565.273305084687</v>
      </c>
      <c r="G50" s="83">
        <f>SUMIF('Incentive Report- Output'!$B$193:$B$283,'Incentive Summary Output'!C50,'Incentive Report- Output'!$AF$193:$AF$283)</f>
        <v>102881.99999999978</v>
      </c>
      <c r="H50" s="83">
        <f>SUMIF('Incentive Report- Output'!$B$288:$B$382,'Incentive Summary Output'!C50,'Incentive Report- Output'!$AF$288:$AF$382)</f>
        <v>21013.432198899984</v>
      </c>
      <c r="I50" s="83">
        <f>SUMIF('Incentive Report- Output'!$B$387:$B$480,'Incentive Summary Output'!C50,'Incentive Report- Output'!$AF$387:$AF$480)</f>
        <v>390304.83050847362</v>
      </c>
      <c r="J50" s="83"/>
      <c r="K50" s="83"/>
      <c r="L50" s="83"/>
      <c r="M50" s="83"/>
      <c r="N50" s="83"/>
      <c r="O50" s="83"/>
      <c r="P50" s="83"/>
      <c r="Q50" s="174">
        <f t="shared" si="17"/>
        <v>674045.82414805109</v>
      </c>
      <c r="S50" s="1" t="s">
        <v>313</v>
      </c>
      <c r="T50" s="1" t="s">
        <v>314</v>
      </c>
      <c r="U50" s="1" t="s">
        <v>1</v>
      </c>
      <c r="V50" s="82">
        <f t="shared" si="18"/>
        <v>0</v>
      </c>
      <c r="W50" s="82">
        <f t="shared" si="19"/>
        <v>0</v>
      </c>
      <c r="X50" s="82">
        <f t="shared" si="20"/>
        <v>0</v>
      </c>
      <c r="Y50" s="82">
        <f t="shared" si="21"/>
        <v>0</v>
      </c>
      <c r="Z50" s="82">
        <f t="shared" si="22"/>
        <v>190304.83050847362</v>
      </c>
      <c r="AA50" s="82">
        <f t="shared" si="23"/>
        <v>0</v>
      </c>
      <c r="AB50" s="82">
        <f t="shared" si="24"/>
        <v>0</v>
      </c>
      <c r="AC50" s="82">
        <f t="shared" si="25"/>
        <v>0</v>
      </c>
      <c r="AD50" s="82">
        <f t="shared" si="26"/>
        <v>0</v>
      </c>
      <c r="AE50" s="82">
        <f t="shared" si="27"/>
        <v>0</v>
      </c>
      <c r="AF50" s="82">
        <f t="shared" si="28"/>
        <v>0</v>
      </c>
      <c r="AG50" s="82">
        <f t="shared" si="29"/>
        <v>0</v>
      </c>
      <c r="AH50" s="82">
        <f t="shared" si="3"/>
        <v>190304.83050847362</v>
      </c>
      <c r="AJ50" s="1" t="s">
        <v>313</v>
      </c>
      <c r="AK50" s="1" t="s">
        <v>314</v>
      </c>
      <c r="AL50" s="1" t="s">
        <v>1</v>
      </c>
      <c r="AM50" s="82">
        <f t="shared" si="4"/>
        <v>88280.288135593059</v>
      </c>
      <c r="AN50" s="82">
        <f t="shared" si="5"/>
        <v>71565.273305084687</v>
      </c>
      <c r="AO50" s="82">
        <f t="shared" si="6"/>
        <v>102881.99999999978</v>
      </c>
      <c r="AP50" s="82">
        <f t="shared" si="7"/>
        <v>21013.432198899984</v>
      </c>
      <c r="AQ50" s="82">
        <f t="shared" si="8"/>
        <v>200000</v>
      </c>
      <c r="AR50" s="82">
        <f t="shared" si="9"/>
        <v>0</v>
      </c>
      <c r="AS50" s="82">
        <f t="shared" si="10"/>
        <v>0</v>
      </c>
      <c r="AT50" s="82">
        <f t="shared" si="11"/>
        <v>0</v>
      </c>
      <c r="AU50" s="82">
        <f t="shared" si="12"/>
        <v>0</v>
      </c>
      <c r="AV50" s="82">
        <f t="shared" si="13"/>
        <v>0</v>
      </c>
      <c r="AW50" s="82">
        <f t="shared" si="14"/>
        <v>0</v>
      </c>
      <c r="AX50" s="82">
        <f t="shared" si="15"/>
        <v>0</v>
      </c>
      <c r="AY50" s="82">
        <f t="shared" si="16"/>
        <v>483740.99363957747</v>
      </c>
    </row>
    <row r="51" spans="1:51" ht="14" x14ac:dyDescent="0.2">
      <c r="A51" s="254"/>
      <c r="B51" s="1" t="s">
        <v>23</v>
      </c>
      <c r="C51" s="1" t="s">
        <v>24</v>
      </c>
      <c r="D51" s="1" t="s">
        <v>1185</v>
      </c>
      <c r="E51" s="83">
        <f>SUMIF('Incentive Report- Output'!$B$4:$B$93,'Incentive Summary Output'!C51,'Incentive Report- Output'!$AF$4:$AF$93)</f>
        <v>87655.042372881217</v>
      </c>
      <c r="F51" s="83">
        <f>SUMIF('Incentive Report- Output'!$B$98:$B$188,'Incentive Summary Output'!C51,'Incentive Report- Output'!$AF$98:$AF$188)</f>
        <v>71649.400423728759</v>
      </c>
      <c r="G51" s="83">
        <f>SUMIF('Incentive Report- Output'!$B$193:$B$283,'Incentive Summary Output'!C51,'Incentive Report- Output'!$AF$193:$AF$283)</f>
        <v>56615.701271186328</v>
      </c>
      <c r="H51" s="83">
        <f>SUMIF('Incentive Report- Output'!$B$288:$B$382,'Incentive Summary Output'!C51,'Incentive Report- Output'!$AF$288:$AF$382)</f>
        <v>7355.5508469999986</v>
      </c>
      <c r="I51" s="83">
        <f>SUMIF('Incentive Report- Output'!$B$387:$B$480,'Incentive Summary Output'!C51,'Incentive Report- Output'!$AF$387:$AF$480)</f>
        <v>343283.40889830457</v>
      </c>
      <c r="J51" s="83"/>
      <c r="K51" s="83"/>
      <c r="L51" s="83"/>
      <c r="M51" s="83"/>
      <c r="N51" s="83"/>
      <c r="O51" s="83"/>
      <c r="P51" s="83"/>
      <c r="Q51" s="174">
        <f t="shared" si="17"/>
        <v>566559.10381310084</v>
      </c>
      <c r="S51" s="1" t="s">
        <v>23</v>
      </c>
      <c r="T51" s="1" t="s">
        <v>24</v>
      </c>
      <c r="U51" s="1" t="s">
        <v>1185</v>
      </c>
      <c r="V51" s="82">
        <f t="shared" si="18"/>
        <v>0</v>
      </c>
      <c r="W51" s="82">
        <f t="shared" si="19"/>
        <v>0</v>
      </c>
      <c r="X51" s="82">
        <f t="shared" si="20"/>
        <v>0</v>
      </c>
      <c r="Y51" s="82">
        <f t="shared" si="21"/>
        <v>0</v>
      </c>
      <c r="Z51" s="82">
        <f t="shared" si="22"/>
        <v>143283.40889830457</v>
      </c>
      <c r="AA51" s="82">
        <f t="shared" si="23"/>
        <v>0</v>
      </c>
      <c r="AB51" s="82">
        <f t="shared" si="24"/>
        <v>0</v>
      </c>
      <c r="AC51" s="82">
        <f t="shared" si="25"/>
        <v>0</v>
      </c>
      <c r="AD51" s="82">
        <f t="shared" si="26"/>
        <v>0</v>
      </c>
      <c r="AE51" s="82">
        <f t="shared" si="27"/>
        <v>0</v>
      </c>
      <c r="AF51" s="82">
        <f t="shared" si="28"/>
        <v>0</v>
      </c>
      <c r="AG51" s="82">
        <f t="shared" si="29"/>
        <v>0</v>
      </c>
      <c r="AH51" s="82">
        <f t="shared" si="3"/>
        <v>143283.40889830457</v>
      </c>
      <c r="AJ51" s="1" t="s">
        <v>23</v>
      </c>
      <c r="AK51" s="1" t="s">
        <v>24</v>
      </c>
      <c r="AL51" s="1" t="s">
        <v>1185</v>
      </c>
      <c r="AM51" s="82">
        <f t="shared" si="4"/>
        <v>87655.042372881217</v>
      </c>
      <c r="AN51" s="82">
        <f t="shared" si="5"/>
        <v>71649.400423728759</v>
      </c>
      <c r="AO51" s="82">
        <f t="shared" si="6"/>
        <v>56615.701271186328</v>
      </c>
      <c r="AP51" s="82">
        <f t="shared" si="7"/>
        <v>7355.5508469999986</v>
      </c>
      <c r="AQ51" s="82">
        <f t="shared" si="8"/>
        <v>200000</v>
      </c>
      <c r="AR51" s="82">
        <f t="shared" si="9"/>
        <v>0</v>
      </c>
      <c r="AS51" s="82">
        <f t="shared" si="10"/>
        <v>0</v>
      </c>
      <c r="AT51" s="82">
        <f t="shared" si="11"/>
        <v>0</v>
      </c>
      <c r="AU51" s="82">
        <f t="shared" si="12"/>
        <v>0</v>
      </c>
      <c r="AV51" s="82">
        <f t="shared" si="13"/>
        <v>0</v>
      </c>
      <c r="AW51" s="82">
        <f t="shared" si="14"/>
        <v>0</v>
      </c>
      <c r="AX51" s="82">
        <f t="shared" si="15"/>
        <v>0</v>
      </c>
      <c r="AY51" s="82">
        <f t="shared" si="16"/>
        <v>423275.69491479627</v>
      </c>
    </row>
    <row r="52" spans="1:51" ht="14" x14ac:dyDescent="0.2">
      <c r="A52" s="254"/>
      <c r="B52" s="1" t="s">
        <v>1145</v>
      </c>
      <c r="C52" s="1" t="s">
        <v>1146</v>
      </c>
      <c r="D52" s="1" t="s">
        <v>1</v>
      </c>
      <c r="E52" s="83">
        <f>SUMIF('Incentive Report- Output'!$B$4:$B$93,'Incentive Summary Output'!C52,'Incentive Report- Output'!$AF$4:$AF$93)</f>
        <v>4422.3432203389784</v>
      </c>
      <c r="F52" s="83">
        <f>SUMIF('Incentive Report- Output'!$B$98:$B$188,'Incentive Summary Output'!C52,'Incentive Report- Output'!$AF$98:$AF$188)</f>
        <v>6681.6101694915251</v>
      </c>
      <c r="G52" s="83">
        <f>SUMIF('Incentive Report- Output'!$B$193:$B$283,'Incentive Summary Output'!C52,'Incentive Report- Output'!$AF$193:$AF$283)</f>
        <v>7635.3983050847319</v>
      </c>
      <c r="H52" s="83">
        <f>SUMIF('Incentive Report- Output'!$B$288:$B$382,'Incentive Summary Output'!C52,'Incentive Report- Output'!$AF$288:$AF$382)</f>
        <v>3916.4152520000002</v>
      </c>
      <c r="I52" s="83">
        <f>SUMIF('Incentive Report- Output'!$B$387:$B$480,'Incentive Summary Output'!C52,'Incentive Report- Output'!$AF$387:$AF$480)</f>
        <v>41644.152542372802</v>
      </c>
      <c r="J52" s="83"/>
      <c r="K52" s="83"/>
      <c r="L52" s="83"/>
      <c r="M52" s="83"/>
      <c r="N52" s="83"/>
      <c r="O52" s="83"/>
      <c r="P52" s="83"/>
      <c r="Q52" s="174">
        <f t="shared" si="17"/>
        <v>64299.919489288033</v>
      </c>
      <c r="S52" s="1" t="s">
        <v>1145</v>
      </c>
      <c r="T52" s="1" t="s">
        <v>1146</v>
      </c>
      <c r="U52" s="1" t="s">
        <v>1</v>
      </c>
      <c r="V52" s="82">
        <f t="shared" si="18"/>
        <v>0</v>
      </c>
      <c r="W52" s="82">
        <f t="shared" si="19"/>
        <v>0</v>
      </c>
      <c r="X52" s="82">
        <f t="shared" si="20"/>
        <v>0</v>
      </c>
      <c r="Y52" s="82">
        <f t="shared" si="21"/>
        <v>0</v>
      </c>
      <c r="Z52" s="82">
        <f t="shared" si="22"/>
        <v>0</v>
      </c>
      <c r="AA52" s="82">
        <f t="shared" si="23"/>
        <v>0</v>
      </c>
      <c r="AB52" s="82">
        <f t="shared" si="24"/>
        <v>0</v>
      </c>
      <c r="AC52" s="82">
        <f t="shared" si="25"/>
        <v>0</v>
      </c>
      <c r="AD52" s="82">
        <f t="shared" si="26"/>
        <v>0</v>
      </c>
      <c r="AE52" s="82">
        <f t="shared" si="27"/>
        <v>0</v>
      </c>
      <c r="AF52" s="82">
        <f t="shared" si="28"/>
        <v>0</v>
      </c>
      <c r="AG52" s="82">
        <f t="shared" si="29"/>
        <v>0</v>
      </c>
      <c r="AH52" s="82">
        <f t="shared" si="3"/>
        <v>0</v>
      </c>
      <c r="AJ52" s="1" t="s">
        <v>1145</v>
      </c>
      <c r="AK52" s="1" t="s">
        <v>1146</v>
      </c>
      <c r="AL52" s="1" t="s">
        <v>1</v>
      </c>
      <c r="AM52" s="82">
        <f t="shared" si="4"/>
        <v>4422.3432203389784</v>
      </c>
      <c r="AN52" s="82">
        <f t="shared" si="5"/>
        <v>6681.6101694915251</v>
      </c>
      <c r="AO52" s="82">
        <f t="shared" si="6"/>
        <v>7635.3983050847319</v>
      </c>
      <c r="AP52" s="82">
        <f t="shared" si="7"/>
        <v>3916.4152520000002</v>
      </c>
      <c r="AQ52" s="82">
        <f t="shared" si="8"/>
        <v>41644.152542372802</v>
      </c>
      <c r="AR52" s="82">
        <f t="shared" si="9"/>
        <v>0</v>
      </c>
      <c r="AS52" s="82">
        <f t="shared" si="10"/>
        <v>0</v>
      </c>
      <c r="AT52" s="82">
        <f t="shared" si="11"/>
        <v>0</v>
      </c>
      <c r="AU52" s="82">
        <f t="shared" si="12"/>
        <v>0</v>
      </c>
      <c r="AV52" s="82">
        <f t="shared" si="13"/>
        <v>0</v>
      </c>
      <c r="AW52" s="82">
        <f t="shared" si="14"/>
        <v>0</v>
      </c>
      <c r="AX52" s="82">
        <f t="shared" si="15"/>
        <v>0</v>
      </c>
      <c r="AY52" s="82">
        <f t="shared" si="16"/>
        <v>64299.919489288033</v>
      </c>
    </row>
    <row r="53" spans="1:51" ht="14" x14ac:dyDescent="0.2">
      <c r="A53" s="254"/>
      <c r="B53" s="1" t="s">
        <v>225</v>
      </c>
      <c r="C53" s="1" t="s">
        <v>27</v>
      </c>
      <c r="D53" s="1" t="s">
        <v>1</v>
      </c>
      <c r="E53" s="83">
        <f>SUMIF('Incentive Report- Output'!$B$4:$B$93,'Incentive Summary Output'!C53,'Incentive Report- Output'!$AF$4:$AF$93)</f>
        <v>39028.99576271182</v>
      </c>
      <c r="F53" s="83">
        <f>SUMIF('Incentive Report- Output'!$B$98:$B$188,'Incentive Summary Output'!C53,'Incentive Report- Output'!$AF$98:$AF$188)</f>
        <v>7536.8813559322025</v>
      </c>
      <c r="G53" s="83">
        <f>SUMIF('Incentive Report- Output'!$B$193:$B$283,'Incentive Summary Output'!C53,'Incentive Report- Output'!$AF$193:$AF$283)</f>
        <v>20815.999999999978</v>
      </c>
      <c r="H53" s="83">
        <f>SUMIF('Incentive Report- Output'!$B$288:$B$382,'Incentive Summary Output'!C53,'Incentive Report- Output'!$AF$288:$AF$382)</f>
        <v>17861.830506999991</v>
      </c>
      <c r="I53" s="83">
        <f>SUMIF('Incentive Report- Output'!$B$387:$B$480,'Incentive Summary Output'!C53,'Incentive Report- Output'!$AF$387:$AF$480)</f>
        <v>393735.94067796483</v>
      </c>
      <c r="J53" s="83"/>
      <c r="K53" s="83"/>
      <c r="L53" s="83"/>
      <c r="M53" s="83"/>
      <c r="N53" s="83"/>
      <c r="O53" s="83"/>
      <c r="P53" s="83"/>
      <c r="Q53" s="174">
        <f t="shared" si="17"/>
        <v>478979.64830360882</v>
      </c>
      <c r="S53" s="1" t="s">
        <v>225</v>
      </c>
      <c r="T53" s="1" t="s">
        <v>27</v>
      </c>
      <c r="U53" s="1" t="s">
        <v>1</v>
      </c>
      <c r="V53" s="82">
        <f t="shared" si="18"/>
        <v>0</v>
      </c>
      <c r="W53" s="82">
        <f t="shared" si="19"/>
        <v>0</v>
      </c>
      <c r="X53" s="82">
        <f t="shared" si="20"/>
        <v>0</v>
      </c>
      <c r="Y53" s="82">
        <f t="shared" si="21"/>
        <v>0</v>
      </c>
      <c r="Z53" s="82">
        <f t="shared" si="22"/>
        <v>193735.94067796483</v>
      </c>
      <c r="AA53" s="82">
        <f t="shared" si="23"/>
        <v>0</v>
      </c>
      <c r="AB53" s="82">
        <f t="shared" si="24"/>
        <v>0</v>
      </c>
      <c r="AC53" s="82">
        <f t="shared" si="25"/>
        <v>0</v>
      </c>
      <c r="AD53" s="82">
        <f t="shared" si="26"/>
        <v>0</v>
      </c>
      <c r="AE53" s="82">
        <f t="shared" si="27"/>
        <v>0</v>
      </c>
      <c r="AF53" s="82">
        <f t="shared" si="28"/>
        <v>0</v>
      </c>
      <c r="AG53" s="82">
        <f t="shared" si="29"/>
        <v>0</v>
      </c>
      <c r="AH53" s="82">
        <f t="shared" si="3"/>
        <v>193735.94067796483</v>
      </c>
      <c r="AJ53" s="1" t="s">
        <v>225</v>
      </c>
      <c r="AK53" s="1" t="s">
        <v>27</v>
      </c>
      <c r="AL53" s="1" t="s">
        <v>1</v>
      </c>
      <c r="AM53" s="82">
        <f t="shared" si="4"/>
        <v>39028.99576271182</v>
      </c>
      <c r="AN53" s="82">
        <f t="shared" si="5"/>
        <v>7536.8813559322025</v>
      </c>
      <c r="AO53" s="82">
        <f t="shared" si="6"/>
        <v>20815.999999999978</v>
      </c>
      <c r="AP53" s="82">
        <f t="shared" si="7"/>
        <v>17861.830506999991</v>
      </c>
      <c r="AQ53" s="82">
        <f t="shared" si="8"/>
        <v>200000</v>
      </c>
      <c r="AR53" s="82">
        <f t="shared" si="9"/>
        <v>0</v>
      </c>
      <c r="AS53" s="82">
        <f t="shared" si="10"/>
        <v>0</v>
      </c>
      <c r="AT53" s="82">
        <f t="shared" si="11"/>
        <v>0</v>
      </c>
      <c r="AU53" s="82">
        <f t="shared" si="12"/>
        <v>0</v>
      </c>
      <c r="AV53" s="82">
        <f t="shared" si="13"/>
        <v>0</v>
      </c>
      <c r="AW53" s="82">
        <f t="shared" si="14"/>
        <v>0</v>
      </c>
      <c r="AX53" s="82">
        <f t="shared" si="15"/>
        <v>0</v>
      </c>
      <c r="AY53" s="82">
        <f t="shared" si="16"/>
        <v>285243.70762564399</v>
      </c>
    </row>
    <row r="54" spans="1:51" ht="14" x14ac:dyDescent="0.2">
      <c r="A54" s="254"/>
      <c r="B54" s="1" t="s">
        <v>29</v>
      </c>
      <c r="C54" s="1" t="s">
        <v>30</v>
      </c>
      <c r="D54" s="1" t="s">
        <v>1</v>
      </c>
      <c r="E54" s="83">
        <f>SUMIF('Incentive Report- Output'!$B$4:$B$93,'Incentive Summary Output'!C54,'Incentive Report- Output'!$AF$4:$AF$93)</f>
        <v>5354.5254237288073</v>
      </c>
      <c r="F54" s="83">
        <f>SUMIF('Incentive Report- Output'!$B$98:$B$188,'Incentive Summary Output'!C54,'Incentive Report- Output'!$AF$98:$AF$188)</f>
        <v>20868.999999999975</v>
      </c>
      <c r="G54" s="83">
        <f>SUMIF('Incentive Report- Output'!$B$193:$B$283,'Incentive Summary Output'!C54,'Incentive Report- Output'!$AF$193:$AF$283)</f>
        <v>20135.98305084743</v>
      </c>
      <c r="H54" s="83">
        <f>SUMIF('Incentive Report- Output'!$B$288:$B$382,'Incentive Summary Output'!C54,'Incentive Report- Output'!$AF$288:$AF$382)</f>
        <v>63580.855929000041</v>
      </c>
      <c r="I54" s="83">
        <f>SUMIF('Incentive Report- Output'!$B$387:$B$480,'Incentive Summary Output'!C54,'Incentive Report- Output'!$AF$387:$AF$480)</f>
        <v>74886.974576271256</v>
      </c>
      <c r="J54" s="83"/>
      <c r="K54" s="83"/>
      <c r="L54" s="83"/>
      <c r="M54" s="83"/>
      <c r="N54" s="83"/>
      <c r="O54" s="83"/>
      <c r="P54" s="83"/>
      <c r="Q54" s="174">
        <f t="shared" si="17"/>
        <v>184827.3389798475</v>
      </c>
      <c r="S54" s="1" t="s">
        <v>29</v>
      </c>
      <c r="T54" s="1" t="s">
        <v>30</v>
      </c>
      <c r="U54" s="1" t="s">
        <v>1</v>
      </c>
      <c r="V54" s="82">
        <f t="shared" si="18"/>
        <v>0</v>
      </c>
      <c r="W54" s="82">
        <f t="shared" si="19"/>
        <v>0</v>
      </c>
      <c r="X54" s="82">
        <f t="shared" si="20"/>
        <v>0</v>
      </c>
      <c r="Y54" s="82">
        <f t="shared" si="21"/>
        <v>0</v>
      </c>
      <c r="Z54" s="82">
        <f t="shared" si="22"/>
        <v>0</v>
      </c>
      <c r="AA54" s="82">
        <f t="shared" si="23"/>
        <v>0</v>
      </c>
      <c r="AB54" s="82">
        <f t="shared" si="24"/>
        <v>0</v>
      </c>
      <c r="AC54" s="82">
        <f t="shared" si="25"/>
        <v>0</v>
      </c>
      <c r="AD54" s="82">
        <f t="shared" si="26"/>
        <v>0</v>
      </c>
      <c r="AE54" s="82">
        <f t="shared" si="27"/>
        <v>0</v>
      </c>
      <c r="AF54" s="82">
        <f t="shared" si="28"/>
        <v>0</v>
      </c>
      <c r="AG54" s="82">
        <f t="shared" si="29"/>
        <v>0</v>
      </c>
      <c r="AH54" s="82">
        <f t="shared" si="3"/>
        <v>0</v>
      </c>
      <c r="AJ54" s="1" t="s">
        <v>29</v>
      </c>
      <c r="AK54" s="1" t="s">
        <v>30</v>
      </c>
      <c r="AL54" s="1" t="s">
        <v>1</v>
      </c>
      <c r="AM54" s="82">
        <f t="shared" si="4"/>
        <v>5354.5254237288073</v>
      </c>
      <c r="AN54" s="82">
        <f t="shared" si="5"/>
        <v>20868.999999999975</v>
      </c>
      <c r="AO54" s="82">
        <f t="shared" si="6"/>
        <v>20135.98305084743</v>
      </c>
      <c r="AP54" s="82">
        <f t="shared" si="7"/>
        <v>63580.855929000041</v>
      </c>
      <c r="AQ54" s="82">
        <f t="shared" si="8"/>
        <v>74886.974576271256</v>
      </c>
      <c r="AR54" s="82">
        <f t="shared" si="9"/>
        <v>0</v>
      </c>
      <c r="AS54" s="82">
        <f t="shared" si="10"/>
        <v>0</v>
      </c>
      <c r="AT54" s="82">
        <f t="shared" si="11"/>
        <v>0</v>
      </c>
      <c r="AU54" s="82">
        <f t="shared" si="12"/>
        <v>0</v>
      </c>
      <c r="AV54" s="82">
        <f t="shared" si="13"/>
        <v>0</v>
      </c>
      <c r="AW54" s="82">
        <f t="shared" si="14"/>
        <v>0</v>
      </c>
      <c r="AX54" s="82">
        <f t="shared" si="15"/>
        <v>0</v>
      </c>
      <c r="AY54" s="82">
        <f t="shared" si="16"/>
        <v>184827.3389798475</v>
      </c>
    </row>
    <row r="55" spans="1:51" ht="14" x14ac:dyDescent="0.2">
      <c r="A55" s="254"/>
      <c r="B55" s="1" t="s">
        <v>244</v>
      </c>
      <c r="C55" s="1" t="s">
        <v>245</v>
      </c>
      <c r="D55" s="1" t="s">
        <v>1</v>
      </c>
      <c r="E55" s="83">
        <f>SUMIF('Incentive Report- Output'!$B$4:$B$93,'Incentive Summary Output'!C55,'Incentive Report- Output'!$AF$4:$AF$93)</f>
        <v>0</v>
      </c>
      <c r="F55" s="83">
        <f>SUMIF('Incentive Report- Output'!$B$98:$B$188,'Incentive Summary Output'!C55,'Incentive Report- Output'!$AF$98:$AF$188)</f>
        <v>52490.516949152479</v>
      </c>
      <c r="G55" s="83">
        <f>SUMIF('Incentive Report- Output'!$B$193:$B$283,'Incentive Summary Output'!C55,'Incentive Report- Output'!$AF$193:$AF$283)</f>
        <v>7267.8389830508368</v>
      </c>
      <c r="H55" s="83">
        <f>SUMIF('Incentive Report- Output'!$B$288:$B$382,'Incentive Summary Output'!C55,'Incentive Report- Output'!$AF$288:$AF$382)</f>
        <v>5109.194914499999</v>
      </c>
      <c r="I55" s="83">
        <f>SUMIF('Incentive Report- Output'!$B$387:$B$480,'Incentive Summary Output'!C55,'Incentive Report- Output'!$AF$387:$AF$480)</f>
        <v>144750.75635593219</v>
      </c>
      <c r="J55" s="83"/>
      <c r="K55" s="83"/>
      <c r="L55" s="83"/>
      <c r="M55" s="83"/>
      <c r="N55" s="83"/>
      <c r="O55" s="83"/>
      <c r="P55" s="83"/>
      <c r="Q55" s="174">
        <f t="shared" si="17"/>
        <v>209618.30720263551</v>
      </c>
      <c r="S55" s="1" t="s">
        <v>244</v>
      </c>
      <c r="T55" s="1" t="s">
        <v>245</v>
      </c>
      <c r="U55" s="1" t="s">
        <v>1</v>
      </c>
      <c r="V55" s="82">
        <f t="shared" si="18"/>
        <v>0</v>
      </c>
      <c r="W55" s="82">
        <f t="shared" si="19"/>
        <v>0</v>
      </c>
      <c r="X55" s="82">
        <f t="shared" si="20"/>
        <v>0</v>
      </c>
      <c r="Y55" s="82">
        <f t="shared" si="21"/>
        <v>0</v>
      </c>
      <c r="Z55" s="82">
        <f t="shared" si="22"/>
        <v>0</v>
      </c>
      <c r="AA55" s="82">
        <f t="shared" si="23"/>
        <v>0</v>
      </c>
      <c r="AB55" s="82">
        <f t="shared" si="24"/>
        <v>0</v>
      </c>
      <c r="AC55" s="82">
        <f t="shared" si="25"/>
        <v>0</v>
      </c>
      <c r="AD55" s="82">
        <f t="shared" si="26"/>
        <v>0</v>
      </c>
      <c r="AE55" s="82">
        <f t="shared" si="27"/>
        <v>0</v>
      </c>
      <c r="AF55" s="82">
        <f t="shared" si="28"/>
        <v>0</v>
      </c>
      <c r="AG55" s="82">
        <f t="shared" si="29"/>
        <v>0</v>
      </c>
      <c r="AH55" s="82">
        <f t="shared" si="3"/>
        <v>0</v>
      </c>
      <c r="AJ55" s="1" t="s">
        <v>244</v>
      </c>
      <c r="AK55" s="1" t="s">
        <v>245</v>
      </c>
      <c r="AL55" s="1" t="s">
        <v>1</v>
      </c>
      <c r="AM55" s="82">
        <f t="shared" si="4"/>
        <v>0</v>
      </c>
      <c r="AN55" s="82">
        <f t="shared" si="5"/>
        <v>52490.516949152479</v>
      </c>
      <c r="AO55" s="82">
        <f t="shared" si="6"/>
        <v>7267.8389830508368</v>
      </c>
      <c r="AP55" s="82">
        <f t="shared" si="7"/>
        <v>5109.194914499999</v>
      </c>
      <c r="AQ55" s="82">
        <f t="shared" si="8"/>
        <v>144750.75635593219</v>
      </c>
      <c r="AR55" s="82">
        <f t="shared" si="9"/>
        <v>0</v>
      </c>
      <c r="AS55" s="82">
        <f t="shared" si="10"/>
        <v>0</v>
      </c>
      <c r="AT55" s="82">
        <f t="shared" si="11"/>
        <v>0</v>
      </c>
      <c r="AU55" s="82">
        <f t="shared" si="12"/>
        <v>0</v>
      </c>
      <c r="AV55" s="82">
        <f t="shared" si="13"/>
        <v>0</v>
      </c>
      <c r="AW55" s="82">
        <f t="shared" si="14"/>
        <v>0</v>
      </c>
      <c r="AX55" s="82">
        <f t="shared" si="15"/>
        <v>0</v>
      </c>
      <c r="AY55" s="82">
        <f t="shared" si="16"/>
        <v>209618.30720263551</v>
      </c>
    </row>
    <row r="56" spans="1:51" ht="14" x14ac:dyDescent="0.2">
      <c r="A56" s="254"/>
      <c r="B56" s="1" t="s">
        <v>20</v>
      </c>
      <c r="C56" s="1" t="s">
        <v>21</v>
      </c>
      <c r="D56" s="1" t="s">
        <v>1</v>
      </c>
      <c r="E56" s="83">
        <f>SUMIF('Incentive Report- Output'!$B$4:$B$93,'Incentive Summary Output'!C56,'Incentive Report- Output'!$AF$4:$AF$93)</f>
        <v>48675.108050847412</v>
      </c>
      <c r="F56" s="83">
        <f>SUMIF('Incentive Report- Output'!$B$98:$B$188,'Incentive Summary Output'!C56,'Incentive Report- Output'!$AF$98:$AF$188)</f>
        <v>54371.383474576243</v>
      </c>
      <c r="G56" s="83">
        <f>SUMIF('Incentive Report- Output'!$B$193:$B$283,'Incentive Summary Output'!C56,'Incentive Report- Output'!$AF$193:$AF$283)</f>
        <v>54450.53389830501</v>
      </c>
      <c r="H56" s="83">
        <f>SUMIF('Incentive Report- Output'!$B$288:$B$382,'Incentive Summary Output'!C56,'Incentive Report- Output'!$AF$288:$AF$382)</f>
        <v>54803.326270725003</v>
      </c>
      <c r="I56" s="83">
        <f>SUMIF('Incentive Report- Output'!$B$387:$B$480,'Incentive Summary Output'!C56,'Incentive Report- Output'!$AF$387:$AF$480)</f>
        <v>116789.93008474559</v>
      </c>
      <c r="J56" s="83"/>
      <c r="K56" s="83"/>
      <c r="L56" s="83"/>
      <c r="M56" s="83"/>
      <c r="N56" s="83"/>
      <c r="O56" s="83"/>
      <c r="P56" s="83"/>
      <c r="Q56" s="174">
        <f t="shared" si="17"/>
        <v>329090.28177919926</v>
      </c>
      <c r="S56" s="1" t="s">
        <v>20</v>
      </c>
      <c r="T56" s="1" t="s">
        <v>21</v>
      </c>
      <c r="U56" s="1" t="s">
        <v>1</v>
      </c>
      <c r="V56" s="82">
        <f t="shared" si="18"/>
        <v>0</v>
      </c>
      <c r="W56" s="82">
        <f t="shared" si="19"/>
        <v>0</v>
      </c>
      <c r="X56" s="82">
        <f t="shared" si="20"/>
        <v>0</v>
      </c>
      <c r="Y56" s="82">
        <f t="shared" si="21"/>
        <v>0</v>
      </c>
      <c r="Z56" s="82">
        <f t="shared" si="22"/>
        <v>0</v>
      </c>
      <c r="AA56" s="82">
        <f t="shared" si="23"/>
        <v>0</v>
      </c>
      <c r="AB56" s="82">
        <f t="shared" si="24"/>
        <v>0</v>
      </c>
      <c r="AC56" s="82">
        <f t="shared" si="25"/>
        <v>0</v>
      </c>
      <c r="AD56" s="82">
        <f t="shared" si="26"/>
        <v>0</v>
      </c>
      <c r="AE56" s="82">
        <f t="shared" si="27"/>
        <v>0</v>
      </c>
      <c r="AF56" s="82">
        <f t="shared" si="28"/>
        <v>0</v>
      </c>
      <c r="AG56" s="82">
        <f t="shared" si="29"/>
        <v>0</v>
      </c>
      <c r="AH56" s="82">
        <f t="shared" si="3"/>
        <v>0</v>
      </c>
      <c r="AJ56" s="1" t="s">
        <v>20</v>
      </c>
      <c r="AK56" s="1" t="s">
        <v>21</v>
      </c>
      <c r="AL56" s="1" t="s">
        <v>1</v>
      </c>
      <c r="AM56" s="82">
        <f t="shared" ref="AM56:AM80" si="30">E56-V56</f>
        <v>48675.108050847412</v>
      </c>
      <c r="AN56" s="82">
        <f t="shared" ref="AN56:AN80" si="31">F56-W56</f>
        <v>54371.383474576243</v>
      </c>
      <c r="AO56" s="82">
        <f t="shared" si="6"/>
        <v>54450.53389830501</v>
      </c>
      <c r="AP56" s="82">
        <f t="shared" ref="AP56:AP80" si="32">H56-Y56</f>
        <v>54803.326270725003</v>
      </c>
      <c r="AQ56" s="82">
        <f t="shared" ref="AQ56:AQ80" si="33">I56-Z56</f>
        <v>116789.93008474559</v>
      </c>
      <c r="AR56" s="82">
        <f t="shared" ref="AR56:AR80" si="34">J56-AA56</f>
        <v>0</v>
      </c>
      <c r="AS56" s="82">
        <f t="shared" ref="AS56:AS80" si="35">K56-AB56</f>
        <v>0</v>
      </c>
      <c r="AT56" s="82">
        <f t="shared" ref="AT56:AT80" si="36">L56-AC56</f>
        <v>0</v>
      </c>
      <c r="AU56" s="82">
        <f t="shared" ref="AU56:AU80" si="37">M56-AD56</f>
        <v>0</v>
      </c>
      <c r="AV56" s="82">
        <f t="shared" ref="AV56:AV80" si="38">N56-AE56</f>
        <v>0</v>
      </c>
      <c r="AW56" s="82">
        <f t="shared" ref="AW56:AW80" si="39">O56-AF56</f>
        <v>0</v>
      </c>
      <c r="AX56" s="82">
        <f t="shared" ref="AX56:AX80" si="40">P56-AG56</f>
        <v>0</v>
      </c>
      <c r="AY56" s="82">
        <f t="shared" si="16"/>
        <v>329090.28177919926</v>
      </c>
    </row>
    <row r="57" spans="1:51" ht="14" x14ac:dyDescent="0.2">
      <c r="A57" s="254"/>
      <c r="B57" s="1" t="s">
        <v>699</v>
      </c>
      <c r="C57" s="1" t="s">
        <v>700</v>
      </c>
      <c r="D57" s="1" t="s">
        <v>1</v>
      </c>
      <c r="E57" s="83">
        <f>SUMIF('Incentive Report- Output'!$B$4:$B$93,'Incentive Summary Output'!C57,'Incentive Report- Output'!$AF$4:$AF$93)</f>
        <v>138749.6440677963</v>
      </c>
      <c r="F57" s="83">
        <f>SUMIF('Incentive Report- Output'!$B$98:$B$188,'Incentive Summary Output'!C57,'Incentive Report- Output'!$AF$98:$AF$188)</f>
        <v>128486.44067796615</v>
      </c>
      <c r="G57" s="83">
        <f>SUMIF('Incentive Report- Output'!$B$193:$B$283,'Incentive Summary Output'!C57,'Incentive Report- Output'!$AF$193:$AF$283)</f>
        <v>52391.631355932135</v>
      </c>
      <c r="H57" s="83">
        <f>SUMIF('Incentive Report- Output'!$B$288:$B$382,'Incentive Summary Output'!C57,'Incentive Report- Output'!$AF$288:$AF$382)</f>
        <v>19976.669486899991</v>
      </c>
      <c r="I57" s="83">
        <f>SUMIF('Incentive Report- Output'!$B$387:$B$480,'Incentive Summary Output'!C57,'Incentive Report- Output'!$AF$387:$AF$480)</f>
        <v>149929.4745762712</v>
      </c>
      <c r="J57" s="83"/>
      <c r="K57" s="83"/>
      <c r="L57" s="83"/>
      <c r="M57" s="83"/>
      <c r="N57" s="83"/>
      <c r="O57" s="83"/>
      <c r="P57" s="83"/>
      <c r="Q57" s="174">
        <f t="shared" si="17"/>
        <v>489533.86016486579</v>
      </c>
      <c r="S57" s="1" t="s">
        <v>699</v>
      </c>
      <c r="T57" s="1" t="s">
        <v>700</v>
      </c>
      <c r="U57" s="1" t="s">
        <v>1</v>
      </c>
      <c r="V57" s="82">
        <f t="shared" si="18"/>
        <v>0</v>
      </c>
      <c r="W57" s="82">
        <f t="shared" si="19"/>
        <v>0</v>
      </c>
      <c r="X57" s="82">
        <f t="shared" si="20"/>
        <v>0</v>
      </c>
      <c r="Y57" s="82">
        <f t="shared" si="21"/>
        <v>0</v>
      </c>
      <c r="Z57" s="82">
        <f t="shared" si="22"/>
        <v>0</v>
      </c>
      <c r="AA57" s="82">
        <f t="shared" si="23"/>
        <v>0</v>
      </c>
      <c r="AB57" s="82">
        <f t="shared" si="24"/>
        <v>0</v>
      </c>
      <c r="AC57" s="82">
        <f t="shared" si="25"/>
        <v>0</v>
      </c>
      <c r="AD57" s="82">
        <f t="shared" si="26"/>
        <v>0</v>
      </c>
      <c r="AE57" s="82">
        <f t="shared" si="27"/>
        <v>0</v>
      </c>
      <c r="AF57" s="82">
        <f t="shared" si="28"/>
        <v>0</v>
      </c>
      <c r="AG57" s="82">
        <f t="shared" si="29"/>
        <v>0</v>
      </c>
      <c r="AH57" s="82">
        <f t="shared" si="3"/>
        <v>0</v>
      </c>
      <c r="AJ57" s="1" t="s">
        <v>699</v>
      </c>
      <c r="AK57" s="1" t="s">
        <v>700</v>
      </c>
      <c r="AL57" s="1" t="s">
        <v>1</v>
      </c>
      <c r="AM57" s="82">
        <f t="shared" si="30"/>
        <v>138749.6440677963</v>
      </c>
      <c r="AN57" s="82">
        <f t="shared" si="31"/>
        <v>128486.44067796615</v>
      </c>
      <c r="AO57" s="82">
        <f t="shared" si="6"/>
        <v>52391.631355932135</v>
      </c>
      <c r="AP57" s="82">
        <f t="shared" si="32"/>
        <v>19976.669486899991</v>
      </c>
      <c r="AQ57" s="82">
        <f t="shared" si="33"/>
        <v>149929.4745762712</v>
      </c>
      <c r="AR57" s="82">
        <f t="shared" si="34"/>
        <v>0</v>
      </c>
      <c r="AS57" s="82">
        <f t="shared" si="35"/>
        <v>0</v>
      </c>
      <c r="AT57" s="82">
        <f t="shared" si="36"/>
        <v>0</v>
      </c>
      <c r="AU57" s="82">
        <f t="shared" si="37"/>
        <v>0</v>
      </c>
      <c r="AV57" s="82">
        <f t="shared" si="38"/>
        <v>0</v>
      </c>
      <c r="AW57" s="82">
        <f t="shared" si="39"/>
        <v>0</v>
      </c>
      <c r="AX57" s="82">
        <f t="shared" si="40"/>
        <v>0</v>
      </c>
      <c r="AY57" s="82">
        <f t="shared" si="16"/>
        <v>489533.86016486579</v>
      </c>
    </row>
    <row r="58" spans="1:51" ht="14" x14ac:dyDescent="0.2">
      <c r="A58" s="254"/>
      <c r="B58" s="1" t="s">
        <v>222</v>
      </c>
      <c r="C58" s="1" t="s">
        <v>223</v>
      </c>
      <c r="D58" s="1" t="s">
        <v>1</v>
      </c>
      <c r="E58" s="83">
        <f>SUMIF('Incentive Report- Output'!$B$4:$B$93,'Incentive Summary Output'!C58,'Incentive Report- Output'!$AF$4:$AF$93)</f>
        <v>0</v>
      </c>
      <c r="F58" s="83">
        <f>SUMIF('Incentive Report- Output'!$B$98:$B$188,'Incentive Summary Output'!C58,'Incentive Report- Output'!$AF$98:$AF$188)</f>
        <v>56078.084745762695</v>
      </c>
      <c r="G58" s="83">
        <f>SUMIF('Incentive Report- Output'!$B$193:$B$283,'Incentive Summary Output'!C58,'Incentive Report- Output'!$AF$193:$AF$283)</f>
        <v>56520.247881355834</v>
      </c>
      <c r="H58" s="83">
        <f>SUMIF('Incentive Report- Output'!$B$288:$B$382,'Incentive Summary Output'!C58,'Incentive Report- Output'!$AF$288:$AF$382)</f>
        <v>18820.745761999995</v>
      </c>
      <c r="I58" s="83">
        <f>SUMIF('Incentive Report- Output'!$B$387:$B$480,'Incentive Summary Output'!C58,'Incentive Report- Output'!$AF$387:$AF$480)</f>
        <v>290912.74576271186</v>
      </c>
      <c r="J58" s="83"/>
      <c r="K58" s="83"/>
      <c r="L58" s="83"/>
      <c r="M58" s="83"/>
      <c r="N58" s="83"/>
      <c r="O58" s="83"/>
      <c r="P58" s="83"/>
      <c r="Q58" s="174">
        <f t="shared" si="17"/>
        <v>422331.8241518304</v>
      </c>
      <c r="S58" s="1" t="s">
        <v>222</v>
      </c>
      <c r="T58" s="1" t="s">
        <v>223</v>
      </c>
      <c r="U58" s="1" t="s">
        <v>1</v>
      </c>
      <c r="V58" s="82">
        <f t="shared" si="18"/>
        <v>0</v>
      </c>
      <c r="W58" s="82">
        <f t="shared" si="19"/>
        <v>0</v>
      </c>
      <c r="X58" s="82">
        <f t="shared" si="20"/>
        <v>0</v>
      </c>
      <c r="Y58" s="82">
        <f t="shared" si="21"/>
        <v>0</v>
      </c>
      <c r="Z58" s="82">
        <f t="shared" si="22"/>
        <v>90912.745762711857</v>
      </c>
      <c r="AA58" s="82">
        <f t="shared" si="23"/>
        <v>0</v>
      </c>
      <c r="AB58" s="82">
        <f t="shared" si="24"/>
        <v>0</v>
      </c>
      <c r="AC58" s="82">
        <f t="shared" si="25"/>
        <v>0</v>
      </c>
      <c r="AD58" s="82">
        <f t="shared" si="26"/>
        <v>0</v>
      </c>
      <c r="AE58" s="82">
        <f t="shared" si="27"/>
        <v>0</v>
      </c>
      <c r="AF58" s="82">
        <f t="shared" si="28"/>
        <v>0</v>
      </c>
      <c r="AG58" s="82">
        <f t="shared" si="29"/>
        <v>0</v>
      </c>
      <c r="AH58" s="82">
        <f t="shared" si="3"/>
        <v>90912.745762711857</v>
      </c>
      <c r="AJ58" s="1" t="s">
        <v>222</v>
      </c>
      <c r="AK58" s="1" t="s">
        <v>223</v>
      </c>
      <c r="AL58" s="1" t="s">
        <v>1</v>
      </c>
      <c r="AM58" s="82">
        <f t="shared" si="30"/>
        <v>0</v>
      </c>
      <c r="AN58" s="82">
        <f t="shared" si="31"/>
        <v>56078.084745762695</v>
      </c>
      <c r="AO58" s="82">
        <f t="shared" si="6"/>
        <v>56520.247881355834</v>
      </c>
      <c r="AP58" s="82">
        <f t="shared" si="32"/>
        <v>18820.745761999995</v>
      </c>
      <c r="AQ58" s="82">
        <f t="shared" si="33"/>
        <v>200000</v>
      </c>
      <c r="AR58" s="82">
        <f t="shared" si="34"/>
        <v>0</v>
      </c>
      <c r="AS58" s="82">
        <f t="shared" si="35"/>
        <v>0</v>
      </c>
      <c r="AT58" s="82">
        <f t="shared" si="36"/>
        <v>0</v>
      </c>
      <c r="AU58" s="82">
        <f t="shared" si="37"/>
        <v>0</v>
      </c>
      <c r="AV58" s="82">
        <f t="shared" si="38"/>
        <v>0</v>
      </c>
      <c r="AW58" s="82">
        <f t="shared" si="39"/>
        <v>0</v>
      </c>
      <c r="AX58" s="82">
        <f t="shared" si="40"/>
        <v>0</v>
      </c>
      <c r="AY58" s="82">
        <f t="shared" si="16"/>
        <v>331419.07838911854</v>
      </c>
    </row>
    <row r="59" spans="1:51" ht="14" x14ac:dyDescent="0.2">
      <c r="A59" s="254"/>
      <c r="B59" s="1" t="s">
        <v>70</v>
      </c>
      <c r="C59" s="1" t="s">
        <v>34</v>
      </c>
      <c r="D59" s="1" t="s">
        <v>1</v>
      </c>
      <c r="E59" s="83">
        <f>SUMIF('Incentive Report- Output'!$B$4:$B$93,'Incentive Summary Output'!C59,'Incentive Report- Output'!$AF$4:$AF$93)</f>
        <v>0</v>
      </c>
      <c r="F59" s="83">
        <f>SUMIF('Incentive Report- Output'!$B$98:$B$188,'Incentive Summary Output'!C59,'Incentive Report- Output'!$AF$98:$AF$188)</f>
        <v>14648.364406779654</v>
      </c>
      <c r="G59" s="83">
        <f>SUMIF('Incentive Report- Output'!$B$193:$B$283,'Incentive Summary Output'!C59,'Incentive Report- Output'!$AF$193:$AF$283)</f>
        <v>5496.470338983042</v>
      </c>
      <c r="H59" s="83">
        <f>SUMIF('Incentive Report- Output'!$B$288:$B$382,'Incentive Summary Output'!C59,'Incentive Report- Output'!$AF$288:$AF$382)</f>
        <v>4035.9152526499984</v>
      </c>
      <c r="I59" s="83">
        <f>SUMIF('Incentive Report- Output'!$B$387:$B$480,'Incentive Summary Output'!C59,'Incentive Report- Output'!$AF$387:$AF$480)</f>
        <v>165458.28813559323</v>
      </c>
      <c r="J59" s="83"/>
      <c r="K59" s="83"/>
      <c r="L59" s="83"/>
      <c r="M59" s="83"/>
      <c r="N59" s="83"/>
      <c r="O59" s="83"/>
      <c r="P59" s="83"/>
      <c r="Q59" s="174">
        <f t="shared" si="17"/>
        <v>189639.03813400591</v>
      </c>
      <c r="S59" s="1" t="s">
        <v>70</v>
      </c>
      <c r="T59" s="1" t="s">
        <v>34</v>
      </c>
      <c r="U59" s="1" t="s">
        <v>1</v>
      </c>
      <c r="V59" s="82">
        <f t="shared" si="18"/>
        <v>0</v>
      </c>
      <c r="W59" s="82">
        <f t="shared" si="19"/>
        <v>0</v>
      </c>
      <c r="X59" s="82">
        <f t="shared" si="20"/>
        <v>0</v>
      </c>
      <c r="Y59" s="82">
        <f t="shared" si="21"/>
        <v>0</v>
      </c>
      <c r="Z59" s="82">
        <f t="shared" si="22"/>
        <v>0</v>
      </c>
      <c r="AA59" s="82">
        <f t="shared" si="23"/>
        <v>0</v>
      </c>
      <c r="AB59" s="82">
        <f t="shared" si="24"/>
        <v>0</v>
      </c>
      <c r="AC59" s="82">
        <f t="shared" si="25"/>
        <v>0</v>
      </c>
      <c r="AD59" s="82">
        <f t="shared" si="26"/>
        <v>0</v>
      </c>
      <c r="AE59" s="82">
        <f t="shared" si="27"/>
        <v>0</v>
      </c>
      <c r="AF59" s="82">
        <f t="shared" si="28"/>
        <v>0</v>
      </c>
      <c r="AG59" s="82">
        <f t="shared" si="29"/>
        <v>0</v>
      </c>
      <c r="AH59" s="82">
        <f t="shared" si="3"/>
        <v>0</v>
      </c>
      <c r="AJ59" s="1" t="s">
        <v>70</v>
      </c>
      <c r="AK59" s="1" t="s">
        <v>34</v>
      </c>
      <c r="AL59" s="1" t="s">
        <v>1</v>
      </c>
      <c r="AM59" s="82">
        <f t="shared" si="30"/>
        <v>0</v>
      </c>
      <c r="AN59" s="82">
        <f t="shared" si="31"/>
        <v>14648.364406779654</v>
      </c>
      <c r="AO59" s="82">
        <f t="shared" si="6"/>
        <v>5496.470338983042</v>
      </c>
      <c r="AP59" s="82">
        <f t="shared" si="32"/>
        <v>4035.9152526499984</v>
      </c>
      <c r="AQ59" s="82">
        <f t="shared" si="33"/>
        <v>165458.28813559323</v>
      </c>
      <c r="AR59" s="82">
        <f t="shared" si="34"/>
        <v>0</v>
      </c>
      <c r="AS59" s="82">
        <f t="shared" si="35"/>
        <v>0</v>
      </c>
      <c r="AT59" s="82">
        <f t="shared" si="36"/>
        <v>0</v>
      </c>
      <c r="AU59" s="82">
        <f t="shared" si="37"/>
        <v>0</v>
      </c>
      <c r="AV59" s="82">
        <f t="shared" si="38"/>
        <v>0</v>
      </c>
      <c r="AW59" s="82">
        <f t="shared" si="39"/>
        <v>0</v>
      </c>
      <c r="AX59" s="82">
        <f t="shared" si="40"/>
        <v>0</v>
      </c>
      <c r="AY59" s="82">
        <f t="shared" si="16"/>
        <v>189639.03813400591</v>
      </c>
    </row>
    <row r="60" spans="1:51" ht="14" x14ac:dyDescent="0.2">
      <c r="A60" s="254"/>
      <c r="B60" s="1" t="s">
        <v>63</v>
      </c>
      <c r="C60" s="1" t="s">
        <v>64</v>
      </c>
      <c r="D60" s="1" t="s">
        <v>0</v>
      </c>
      <c r="E60" s="83">
        <f>SUMIF('Incentive Report- Output'!$B$4:$B$93,'Incentive Summary Output'!C60,'Incentive Report- Output'!$AF$4:$AF$93)</f>
        <v>5690.1101694915169</v>
      </c>
      <c r="F60" s="83">
        <f>SUMIF('Incentive Report- Output'!$B$98:$B$188,'Incentive Summary Output'!C60,'Incentive Report- Output'!$AF$98:$AF$188)</f>
        <v>0</v>
      </c>
      <c r="G60" s="83">
        <f>SUMIF('Incentive Report- Output'!$B$193:$B$283,'Incentive Summary Output'!C60,'Incentive Report- Output'!$AF$193:$AF$283)</f>
        <v>8165.0720338982983</v>
      </c>
      <c r="H60" s="83">
        <f>SUMIF('Incentive Report- Output'!$B$288:$B$382,'Incentive Summary Output'!C60,'Incentive Report- Output'!$AF$288:$AF$382)</f>
        <v>0</v>
      </c>
      <c r="I60" s="83">
        <f>SUMIF('Incentive Report- Output'!$B$387:$B$480,'Incentive Summary Output'!C60,'Incentive Report- Output'!$AF$387:$AF$480)</f>
        <v>527641.372881355</v>
      </c>
      <c r="J60" s="83"/>
      <c r="K60" s="83"/>
      <c r="L60" s="83"/>
      <c r="M60" s="83"/>
      <c r="N60" s="83"/>
      <c r="O60" s="83"/>
      <c r="P60" s="83"/>
      <c r="Q60" s="174">
        <f t="shared" si="17"/>
        <v>541496.55508474482</v>
      </c>
      <c r="S60" s="1" t="s">
        <v>63</v>
      </c>
      <c r="T60" s="1" t="s">
        <v>64</v>
      </c>
      <c r="U60" s="1" t="s">
        <v>0</v>
      </c>
      <c r="V60" s="82">
        <f t="shared" si="18"/>
        <v>0</v>
      </c>
      <c r="W60" s="82">
        <f t="shared" si="19"/>
        <v>0</v>
      </c>
      <c r="X60" s="82">
        <f t="shared" si="20"/>
        <v>0</v>
      </c>
      <c r="Y60" s="82">
        <f t="shared" si="21"/>
        <v>0</v>
      </c>
      <c r="Z60" s="82">
        <f t="shared" si="22"/>
        <v>327641.372881355</v>
      </c>
      <c r="AA60" s="82">
        <f t="shared" si="23"/>
        <v>0</v>
      </c>
      <c r="AB60" s="82">
        <f t="shared" si="24"/>
        <v>0</v>
      </c>
      <c r="AC60" s="82">
        <f t="shared" si="25"/>
        <v>0</v>
      </c>
      <c r="AD60" s="82">
        <f t="shared" si="26"/>
        <v>0</v>
      </c>
      <c r="AE60" s="82">
        <f t="shared" si="27"/>
        <v>0</v>
      </c>
      <c r="AF60" s="82">
        <f t="shared" si="28"/>
        <v>0</v>
      </c>
      <c r="AG60" s="82">
        <f t="shared" si="29"/>
        <v>0</v>
      </c>
      <c r="AH60" s="82">
        <f t="shared" si="3"/>
        <v>327641.372881355</v>
      </c>
      <c r="AJ60" s="1" t="s">
        <v>63</v>
      </c>
      <c r="AK60" s="1" t="s">
        <v>64</v>
      </c>
      <c r="AL60" s="1" t="s">
        <v>0</v>
      </c>
      <c r="AM60" s="82">
        <f t="shared" si="30"/>
        <v>5690.1101694915169</v>
      </c>
      <c r="AN60" s="82">
        <f t="shared" si="31"/>
        <v>0</v>
      </c>
      <c r="AO60" s="82">
        <f t="shared" si="6"/>
        <v>8165.0720338982983</v>
      </c>
      <c r="AP60" s="82">
        <f t="shared" si="32"/>
        <v>0</v>
      </c>
      <c r="AQ60" s="82">
        <f t="shared" si="33"/>
        <v>200000</v>
      </c>
      <c r="AR60" s="82">
        <f t="shared" si="34"/>
        <v>0</v>
      </c>
      <c r="AS60" s="82">
        <f t="shared" si="35"/>
        <v>0</v>
      </c>
      <c r="AT60" s="82">
        <f t="shared" si="36"/>
        <v>0</v>
      </c>
      <c r="AU60" s="82">
        <f t="shared" si="37"/>
        <v>0</v>
      </c>
      <c r="AV60" s="82">
        <f t="shared" si="38"/>
        <v>0</v>
      </c>
      <c r="AW60" s="82">
        <f t="shared" si="39"/>
        <v>0</v>
      </c>
      <c r="AX60" s="82">
        <f t="shared" si="40"/>
        <v>0</v>
      </c>
      <c r="AY60" s="82">
        <f t="shared" si="16"/>
        <v>213855.18220338982</v>
      </c>
    </row>
    <row r="61" spans="1:51" ht="14" x14ac:dyDescent="0.2">
      <c r="A61" s="254"/>
      <c r="B61" s="1" t="s">
        <v>806</v>
      </c>
      <c r="C61" s="1" t="s">
        <v>807</v>
      </c>
      <c r="D61" s="1" t="s">
        <v>1</v>
      </c>
      <c r="E61" s="83">
        <f>SUMIF('Incentive Report- Output'!$B$4:$B$93,'Incentive Summary Output'!C61,'Incentive Report- Output'!$AF$4:$AF$93)</f>
        <v>93234.737288135395</v>
      </c>
      <c r="F61" s="83">
        <f>SUMIF('Incentive Report- Output'!$B$98:$B$188,'Incentive Summary Output'!C61,'Incentive Report- Output'!$AF$98:$AF$188)</f>
        <v>58155.540254237254</v>
      </c>
      <c r="G61" s="83">
        <f>SUMIF('Incentive Report- Output'!$B$193:$B$283,'Incentive Summary Output'!C61,'Incentive Report- Output'!$AF$193:$AF$283)</f>
        <v>8787.7288135593099</v>
      </c>
      <c r="H61" s="83">
        <f>SUMIF('Incentive Report- Output'!$B$288:$B$382,'Incentive Summary Output'!C61,'Incentive Report- Output'!$AF$288:$AF$382)</f>
        <v>15982.703384999992</v>
      </c>
      <c r="I61" s="83">
        <f>SUMIF('Incentive Report- Output'!$B$387:$B$480,'Incentive Summary Output'!C61,'Incentive Report- Output'!$AF$387:$AF$480)</f>
        <v>678879.63559321803</v>
      </c>
      <c r="J61" s="83"/>
      <c r="K61" s="83"/>
      <c r="L61" s="83"/>
      <c r="M61" s="83"/>
      <c r="N61" s="83"/>
      <c r="O61" s="83"/>
      <c r="P61" s="83"/>
      <c r="Q61" s="174">
        <f t="shared" si="17"/>
        <v>855040.34533415001</v>
      </c>
      <c r="S61" s="1" t="s">
        <v>806</v>
      </c>
      <c r="T61" s="1" t="s">
        <v>807</v>
      </c>
      <c r="U61" s="1" t="s">
        <v>1</v>
      </c>
      <c r="V61" s="82">
        <f t="shared" si="18"/>
        <v>0</v>
      </c>
      <c r="W61" s="82">
        <f t="shared" si="19"/>
        <v>0</v>
      </c>
      <c r="X61" s="82">
        <f t="shared" si="20"/>
        <v>0</v>
      </c>
      <c r="Y61" s="82">
        <f t="shared" si="21"/>
        <v>0</v>
      </c>
      <c r="Z61" s="82">
        <f t="shared" si="22"/>
        <v>478879.63559321803</v>
      </c>
      <c r="AA61" s="82">
        <f t="shared" si="23"/>
        <v>0</v>
      </c>
      <c r="AB61" s="82">
        <f t="shared" si="24"/>
        <v>0</v>
      </c>
      <c r="AC61" s="82">
        <f t="shared" si="25"/>
        <v>0</v>
      </c>
      <c r="AD61" s="82">
        <f t="shared" si="26"/>
        <v>0</v>
      </c>
      <c r="AE61" s="82">
        <f t="shared" si="27"/>
        <v>0</v>
      </c>
      <c r="AF61" s="82">
        <f t="shared" si="28"/>
        <v>0</v>
      </c>
      <c r="AG61" s="82">
        <f t="shared" si="29"/>
        <v>0</v>
      </c>
      <c r="AH61" s="82">
        <f t="shared" si="3"/>
        <v>478879.63559321803</v>
      </c>
      <c r="AJ61" s="1" t="s">
        <v>806</v>
      </c>
      <c r="AK61" s="1" t="s">
        <v>807</v>
      </c>
      <c r="AL61" s="1" t="s">
        <v>1</v>
      </c>
      <c r="AM61" s="82">
        <f t="shared" si="30"/>
        <v>93234.737288135395</v>
      </c>
      <c r="AN61" s="82">
        <f t="shared" si="31"/>
        <v>58155.540254237254</v>
      </c>
      <c r="AO61" s="82">
        <f t="shared" si="6"/>
        <v>8787.7288135593099</v>
      </c>
      <c r="AP61" s="82">
        <f t="shared" si="32"/>
        <v>15982.703384999992</v>
      </c>
      <c r="AQ61" s="82">
        <f t="shared" si="33"/>
        <v>200000</v>
      </c>
      <c r="AR61" s="82">
        <f t="shared" si="34"/>
        <v>0</v>
      </c>
      <c r="AS61" s="82">
        <f t="shared" si="35"/>
        <v>0</v>
      </c>
      <c r="AT61" s="82">
        <f t="shared" si="36"/>
        <v>0</v>
      </c>
      <c r="AU61" s="82">
        <f t="shared" si="37"/>
        <v>0</v>
      </c>
      <c r="AV61" s="82">
        <f t="shared" si="38"/>
        <v>0</v>
      </c>
      <c r="AW61" s="82">
        <f t="shared" si="39"/>
        <v>0</v>
      </c>
      <c r="AX61" s="82">
        <f t="shared" si="40"/>
        <v>0</v>
      </c>
      <c r="AY61" s="82">
        <f t="shared" si="16"/>
        <v>376160.70974093198</v>
      </c>
    </row>
    <row r="62" spans="1:51" ht="14" x14ac:dyDescent="0.2">
      <c r="A62" s="254"/>
      <c r="B62" s="1" t="s">
        <v>301</v>
      </c>
      <c r="C62" s="1" t="s">
        <v>302</v>
      </c>
      <c r="D62" s="1" t="s">
        <v>1</v>
      </c>
      <c r="E62" s="83">
        <f>SUMIF('Incentive Report- Output'!$B$4:$B$93,'Incentive Summary Output'!C62,'Incentive Report- Output'!$AF$4:$AF$93)</f>
        <v>0</v>
      </c>
      <c r="F62" s="83">
        <f>SUMIF('Incentive Report- Output'!$B$98:$B$188,'Incentive Summary Output'!C62,'Incentive Report- Output'!$AF$98:$AF$188)</f>
        <v>64591.493644067785</v>
      </c>
      <c r="G62" s="83">
        <f>SUMIF('Incentive Report- Output'!$B$193:$B$283,'Incentive Summary Output'!C62,'Incentive Report- Output'!$AF$193:$AF$283)</f>
        <v>63000.362288135446</v>
      </c>
      <c r="H62" s="83">
        <f>SUMIF('Incentive Report- Output'!$B$288:$B$382,'Incentive Summary Output'!C62,'Incentive Report- Output'!$AF$288:$AF$382)</f>
        <v>0</v>
      </c>
      <c r="I62" s="83">
        <f>SUMIF('Incentive Report- Output'!$B$387:$B$480,'Incentive Summary Output'!C62,'Incentive Report- Output'!$AF$387:$AF$480)</f>
        <v>580127.59322033671</v>
      </c>
      <c r="J62" s="83"/>
      <c r="K62" s="83"/>
      <c r="L62" s="83"/>
      <c r="M62" s="83"/>
      <c r="N62" s="83"/>
      <c r="O62" s="83"/>
      <c r="P62" s="83"/>
      <c r="Q62" s="174">
        <f t="shared" si="17"/>
        <v>707719.44915253995</v>
      </c>
      <c r="S62" s="1" t="s">
        <v>301</v>
      </c>
      <c r="T62" s="1" t="s">
        <v>302</v>
      </c>
      <c r="U62" s="1" t="s">
        <v>1</v>
      </c>
      <c r="V62" s="82">
        <f t="shared" si="18"/>
        <v>0</v>
      </c>
      <c r="W62" s="82">
        <f t="shared" si="19"/>
        <v>0</v>
      </c>
      <c r="X62" s="82">
        <f t="shared" si="20"/>
        <v>0</v>
      </c>
      <c r="Y62" s="82">
        <f t="shared" si="21"/>
        <v>0</v>
      </c>
      <c r="Z62" s="82">
        <f t="shared" si="22"/>
        <v>380127.59322033671</v>
      </c>
      <c r="AA62" s="82">
        <f t="shared" si="23"/>
        <v>0</v>
      </c>
      <c r="AB62" s="82">
        <f t="shared" si="24"/>
        <v>0</v>
      </c>
      <c r="AC62" s="82">
        <f t="shared" si="25"/>
        <v>0</v>
      </c>
      <c r="AD62" s="82">
        <f t="shared" si="26"/>
        <v>0</v>
      </c>
      <c r="AE62" s="82">
        <f t="shared" si="27"/>
        <v>0</v>
      </c>
      <c r="AF62" s="82">
        <f t="shared" si="28"/>
        <v>0</v>
      </c>
      <c r="AG62" s="82">
        <f t="shared" si="29"/>
        <v>0</v>
      </c>
      <c r="AH62" s="82">
        <f t="shared" si="3"/>
        <v>380127.59322033671</v>
      </c>
      <c r="AJ62" s="1" t="s">
        <v>301</v>
      </c>
      <c r="AK62" s="1" t="s">
        <v>302</v>
      </c>
      <c r="AL62" s="1" t="s">
        <v>1</v>
      </c>
      <c r="AM62" s="82">
        <f t="shared" si="30"/>
        <v>0</v>
      </c>
      <c r="AN62" s="82">
        <f t="shared" si="31"/>
        <v>64591.493644067785</v>
      </c>
      <c r="AO62" s="82">
        <f t="shared" si="6"/>
        <v>63000.362288135446</v>
      </c>
      <c r="AP62" s="82">
        <f t="shared" si="32"/>
        <v>0</v>
      </c>
      <c r="AQ62" s="82">
        <f t="shared" si="33"/>
        <v>200000</v>
      </c>
      <c r="AR62" s="82">
        <f t="shared" si="34"/>
        <v>0</v>
      </c>
      <c r="AS62" s="82">
        <f t="shared" si="35"/>
        <v>0</v>
      </c>
      <c r="AT62" s="82">
        <f t="shared" si="36"/>
        <v>0</v>
      </c>
      <c r="AU62" s="82">
        <f t="shared" si="37"/>
        <v>0</v>
      </c>
      <c r="AV62" s="82">
        <f t="shared" si="38"/>
        <v>0</v>
      </c>
      <c r="AW62" s="82">
        <f t="shared" si="39"/>
        <v>0</v>
      </c>
      <c r="AX62" s="82">
        <f t="shared" si="40"/>
        <v>0</v>
      </c>
      <c r="AY62" s="82">
        <f t="shared" si="16"/>
        <v>327591.85593220324</v>
      </c>
    </row>
    <row r="63" spans="1:51" ht="14" x14ac:dyDescent="0.2">
      <c r="A63" s="254"/>
      <c r="B63" s="18" t="s">
        <v>1150</v>
      </c>
      <c r="C63" s="1" t="s">
        <v>1151</v>
      </c>
      <c r="D63" s="1" t="s">
        <v>1</v>
      </c>
      <c r="E63" s="83">
        <f>SUMIF('Incentive Report- Output'!$B$4:$B$93,'Incentive Summary Output'!C63,'Incentive Report- Output'!$AF$4:$AF$93)</f>
        <v>10792.550847457615</v>
      </c>
      <c r="F63" s="83">
        <f>SUMIF('Incentive Report- Output'!$B$98:$B$188,'Incentive Summary Output'!C63,'Incentive Report- Output'!$AF$98:$AF$188)</f>
        <v>0</v>
      </c>
      <c r="G63" s="83">
        <f>SUMIF('Incentive Report- Output'!$B$193:$B$283,'Incentive Summary Output'!C63,'Incentive Report- Output'!$AF$193:$AF$283)</f>
        <v>4783.7796610169407</v>
      </c>
      <c r="H63" s="83">
        <f>SUMIF('Incentive Report- Output'!$B$288:$B$382,'Incentive Summary Output'!C63,'Incentive Report- Output'!$AF$288:$AF$382)</f>
        <v>0</v>
      </c>
      <c r="I63" s="83">
        <f>SUMIF('Incentive Report- Output'!$B$387:$B$480,'Incentive Summary Output'!C63,'Incentive Report- Output'!$AF$387:$AF$480)</f>
        <v>248138.16101694916</v>
      </c>
      <c r="J63" s="83"/>
      <c r="K63" s="83"/>
      <c r="L63" s="83"/>
      <c r="M63" s="83"/>
      <c r="N63" s="83"/>
      <c r="O63" s="83"/>
      <c r="P63" s="83"/>
      <c r="Q63" s="174">
        <f t="shared" si="17"/>
        <v>263714.49152542371</v>
      </c>
      <c r="S63" s="18" t="s">
        <v>1150</v>
      </c>
      <c r="T63" s="1" t="s">
        <v>1151</v>
      </c>
      <c r="U63" s="1" t="s">
        <v>1</v>
      </c>
      <c r="V63" s="82">
        <f t="shared" si="18"/>
        <v>0</v>
      </c>
      <c r="W63" s="82">
        <f t="shared" si="19"/>
        <v>0</v>
      </c>
      <c r="X63" s="82">
        <f t="shared" si="20"/>
        <v>0</v>
      </c>
      <c r="Y63" s="82">
        <f t="shared" si="21"/>
        <v>0</v>
      </c>
      <c r="Z63" s="82">
        <f t="shared" si="22"/>
        <v>48138.161016949161</v>
      </c>
      <c r="AA63" s="82">
        <f t="shared" si="23"/>
        <v>0</v>
      </c>
      <c r="AB63" s="82">
        <f t="shared" si="24"/>
        <v>0</v>
      </c>
      <c r="AC63" s="82">
        <f t="shared" si="25"/>
        <v>0</v>
      </c>
      <c r="AD63" s="82">
        <f t="shared" si="26"/>
        <v>0</v>
      </c>
      <c r="AE63" s="82">
        <f t="shared" si="27"/>
        <v>0</v>
      </c>
      <c r="AF63" s="82">
        <f t="shared" si="28"/>
        <v>0</v>
      </c>
      <c r="AG63" s="82">
        <f t="shared" si="29"/>
        <v>0</v>
      </c>
      <c r="AH63" s="82">
        <f t="shared" si="3"/>
        <v>48138.161016949161</v>
      </c>
      <c r="AJ63" s="18" t="s">
        <v>1150</v>
      </c>
      <c r="AK63" s="1" t="s">
        <v>1151</v>
      </c>
      <c r="AL63" s="1" t="s">
        <v>1</v>
      </c>
      <c r="AM63" s="82">
        <f t="shared" si="30"/>
        <v>10792.550847457615</v>
      </c>
      <c r="AN63" s="82">
        <f t="shared" si="31"/>
        <v>0</v>
      </c>
      <c r="AO63" s="82">
        <f t="shared" si="6"/>
        <v>4783.7796610169407</v>
      </c>
      <c r="AP63" s="82">
        <f t="shared" si="32"/>
        <v>0</v>
      </c>
      <c r="AQ63" s="82">
        <f t="shared" si="33"/>
        <v>200000</v>
      </c>
      <c r="AR63" s="82">
        <f t="shared" si="34"/>
        <v>0</v>
      </c>
      <c r="AS63" s="82">
        <f t="shared" si="35"/>
        <v>0</v>
      </c>
      <c r="AT63" s="82">
        <f t="shared" si="36"/>
        <v>0</v>
      </c>
      <c r="AU63" s="82">
        <f t="shared" si="37"/>
        <v>0</v>
      </c>
      <c r="AV63" s="82">
        <f t="shared" si="38"/>
        <v>0</v>
      </c>
      <c r="AW63" s="82">
        <f t="shared" si="39"/>
        <v>0</v>
      </c>
      <c r="AX63" s="82">
        <f t="shared" si="40"/>
        <v>0</v>
      </c>
      <c r="AY63" s="82">
        <f t="shared" si="16"/>
        <v>215576.33050847455</v>
      </c>
    </row>
    <row r="64" spans="1:51" ht="14" x14ac:dyDescent="0.2">
      <c r="A64" s="254"/>
      <c r="B64" s="18" t="s">
        <v>307</v>
      </c>
      <c r="C64" s="1" t="s">
        <v>308</v>
      </c>
      <c r="D64" s="1" t="s">
        <v>0</v>
      </c>
      <c r="E64" s="83">
        <f>SUMIF('Incentive Report- Output'!$B$4:$B$93,'Incentive Summary Output'!C64,'Incentive Report- Output'!$AF$4:$AF$93)</f>
        <v>0</v>
      </c>
      <c r="F64" s="83">
        <f>SUMIF('Incentive Report- Output'!$B$98:$B$188,'Incentive Summary Output'!C64,'Incentive Report- Output'!$AF$98:$AF$188)</f>
        <v>0</v>
      </c>
      <c r="G64" s="83">
        <f>SUMIF('Incentive Report- Output'!$B$193:$B$283,'Incentive Summary Output'!C64,'Incentive Report- Output'!$AF$193:$AF$283)</f>
        <v>0</v>
      </c>
      <c r="H64" s="83">
        <f>SUMIF('Incentive Report- Output'!$B$288:$B$382,'Incentive Summary Output'!C64,'Incentive Report- Output'!$AF$288:$AF$382)</f>
        <v>0</v>
      </c>
      <c r="I64" s="83">
        <f>SUMIF('Incentive Report- Output'!$B$387:$B$480,'Incentive Summary Output'!C64,'Incentive Report- Output'!$AF$387:$AF$480)</f>
        <v>227562.95974576284</v>
      </c>
      <c r="J64" s="83"/>
      <c r="K64" s="83"/>
      <c r="L64" s="83"/>
      <c r="M64" s="83"/>
      <c r="N64" s="83"/>
      <c r="O64" s="83"/>
      <c r="P64" s="83"/>
      <c r="Q64" s="174">
        <f t="shared" si="17"/>
        <v>227562.95974576284</v>
      </c>
      <c r="S64" s="18" t="s">
        <v>307</v>
      </c>
      <c r="T64" s="1" t="s">
        <v>308</v>
      </c>
      <c r="U64" s="1" t="s">
        <v>0</v>
      </c>
      <c r="V64" s="82">
        <f t="shared" si="18"/>
        <v>0</v>
      </c>
      <c r="W64" s="82">
        <f t="shared" si="19"/>
        <v>0</v>
      </c>
      <c r="X64" s="82">
        <f t="shared" si="20"/>
        <v>0</v>
      </c>
      <c r="Y64" s="82">
        <f t="shared" si="21"/>
        <v>0</v>
      </c>
      <c r="Z64" s="82">
        <f t="shared" si="22"/>
        <v>27562.959745762841</v>
      </c>
      <c r="AA64" s="82">
        <f t="shared" si="23"/>
        <v>0</v>
      </c>
      <c r="AB64" s="82">
        <f t="shared" si="24"/>
        <v>0</v>
      </c>
      <c r="AC64" s="82">
        <f t="shared" si="25"/>
        <v>0</v>
      </c>
      <c r="AD64" s="82">
        <f t="shared" si="26"/>
        <v>0</v>
      </c>
      <c r="AE64" s="82">
        <f t="shared" si="27"/>
        <v>0</v>
      </c>
      <c r="AF64" s="82">
        <f t="shared" si="28"/>
        <v>0</v>
      </c>
      <c r="AG64" s="82">
        <f t="shared" si="29"/>
        <v>0</v>
      </c>
      <c r="AH64" s="82">
        <f t="shared" si="3"/>
        <v>27562.959745762841</v>
      </c>
      <c r="AJ64" s="18" t="s">
        <v>307</v>
      </c>
      <c r="AK64" s="1" t="s">
        <v>308</v>
      </c>
      <c r="AL64" s="1" t="s">
        <v>0</v>
      </c>
      <c r="AM64" s="82">
        <f t="shared" si="30"/>
        <v>0</v>
      </c>
      <c r="AN64" s="82">
        <f t="shared" si="31"/>
        <v>0</v>
      </c>
      <c r="AO64" s="82">
        <f t="shared" si="6"/>
        <v>0</v>
      </c>
      <c r="AP64" s="82">
        <f t="shared" si="32"/>
        <v>0</v>
      </c>
      <c r="AQ64" s="82">
        <f t="shared" si="33"/>
        <v>200000</v>
      </c>
      <c r="AR64" s="82">
        <f t="shared" si="34"/>
        <v>0</v>
      </c>
      <c r="AS64" s="82">
        <f t="shared" si="35"/>
        <v>0</v>
      </c>
      <c r="AT64" s="82">
        <f t="shared" si="36"/>
        <v>0</v>
      </c>
      <c r="AU64" s="82">
        <f t="shared" si="37"/>
        <v>0</v>
      </c>
      <c r="AV64" s="82">
        <f t="shared" si="38"/>
        <v>0</v>
      </c>
      <c r="AW64" s="82">
        <f t="shared" si="39"/>
        <v>0</v>
      </c>
      <c r="AX64" s="82">
        <f t="shared" si="40"/>
        <v>0</v>
      </c>
      <c r="AY64" s="82">
        <f t="shared" si="16"/>
        <v>200000</v>
      </c>
    </row>
    <row r="65" spans="1:51" ht="14" x14ac:dyDescent="0.2">
      <c r="A65" s="254"/>
      <c r="B65" s="18" t="s">
        <v>217</v>
      </c>
      <c r="C65" s="1" t="s">
        <v>197</v>
      </c>
      <c r="D65" s="1" t="s">
        <v>1</v>
      </c>
      <c r="E65" s="83">
        <f>SUMIF('Incentive Report- Output'!$B$4:$B$93,'Incentive Summary Output'!C65,'Incentive Report- Output'!$AF$4:$AF$93)</f>
        <v>0</v>
      </c>
      <c r="F65" s="83">
        <f>SUMIF('Incentive Report- Output'!$B$98:$B$188,'Incentive Summary Output'!C65,'Incentive Report- Output'!$AF$98:$AF$188)</f>
        <v>0</v>
      </c>
      <c r="G65" s="83">
        <f>SUMIF('Incentive Report- Output'!$B$193:$B$283,'Incentive Summary Output'!C65,'Incentive Report- Output'!$AF$193:$AF$283)</f>
        <v>8088.364406779654</v>
      </c>
      <c r="H65" s="83">
        <f>SUMIF('Incentive Report- Output'!$B$288:$B$382,'Incentive Summary Output'!C65,'Incentive Report- Output'!$AF$288:$AF$382)</f>
        <v>0</v>
      </c>
      <c r="I65" s="83">
        <f>SUMIF('Incentive Report- Output'!$B$387:$B$480,'Incentive Summary Output'!C65,'Incentive Report- Output'!$AF$387:$AF$480)</f>
        <v>480402.17796610086</v>
      </c>
      <c r="J65" s="83"/>
      <c r="K65" s="83"/>
      <c r="L65" s="83"/>
      <c r="M65" s="83"/>
      <c r="N65" s="83"/>
      <c r="O65" s="83"/>
      <c r="P65" s="83"/>
      <c r="Q65" s="174">
        <f t="shared" si="17"/>
        <v>488490.5423728805</v>
      </c>
      <c r="S65" s="18" t="s">
        <v>217</v>
      </c>
      <c r="T65" s="1" t="s">
        <v>197</v>
      </c>
      <c r="U65" s="1" t="s">
        <v>1</v>
      </c>
      <c r="V65" s="82">
        <f t="shared" si="18"/>
        <v>0</v>
      </c>
      <c r="W65" s="82">
        <f t="shared" si="19"/>
        <v>0</v>
      </c>
      <c r="X65" s="82">
        <f t="shared" si="20"/>
        <v>0</v>
      </c>
      <c r="Y65" s="82">
        <f t="shared" si="21"/>
        <v>0</v>
      </c>
      <c r="Z65" s="82">
        <f t="shared" si="22"/>
        <v>280402.17796610086</v>
      </c>
      <c r="AA65" s="82">
        <f t="shared" si="23"/>
        <v>0</v>
      </c>
      <c r="AB65" s="82">
        <f t="shared" si="24"/>
        <v>0</v>
      </c>
      <c r="AC65" s="82">
        <f t="shared" si="25"/>
        <v>0</v>
      </c>
      <c r="AD65" s="82">
        <f t="shared" si="26"/>
        <v>0</v>
      </c>
      <c r="AE65" s="82">
        <f t="shared" si="27"/>
        <v>0</v>
      </c>
      <c r="AF65" s="82">
        <f t="shared" si="28"/>
        <v>0</v>
      </c>
      <c r="AG65" s="82">
        <f t="shared" si="29"/>
        <v>0</v>
      </c>
      <c r="AH65" s="82">
        <f t="shared" si="3"/>
        <v>280402.17796610086</v>
      </c>
      <c r="AJ65" s="18" t="s">
        <v>217</v>
      </c>
      <c r="AK65" s="1" t="s">
        <v>197</v>
      </c>
      <c r="AL65" s="1" t="s">
        <v>1</v>
      </c>
      <c r="AM65" s="82">
        <f t="shared" si="30"/>
        <v>0</v>
      </c>
      <c r="AN65" s="82">
        <f t="shared" si="31"/>
        <v>0</v>
      </c>
      <c r="AO65" s="82">
        <f t="shared" si="6"/>
        <v>8088.364406779654</v>
      </c>
      <c r="AP65" s="82">
        <f t="shared" si="32"/>
        <v>0</v>
      </c>
      <c r="AQ65" s="82">
        <f t="shared" si="33"/>
        <v>200000</v>
      </c>
      <c r="AR65" s="82">
        <f t="shared" si="34"/>
        <v>0</v>
      </c>
      <c r="AS65" s="82">
        <f t="shared" si="35"/>
        <v>0</v>
      </c>
      <c r="AT65" s="82">
        <f t="shared" si="36"/>
        <v>0</v>
      </c>
      <c r="AU65" s="82">
        <f t="shared" si="37"/>
        <v>0</v>
      </c>
      <c r="AV65" s="82">
        <f t="shared" si="38"/>
        <v>0</v>
      </c>
      <c r="AW65" s="82">
        <f t="shared" si="39"/>
        <v>0</v>
      </c>
      <c r="AX65" s="82">
        <f t="shared" si="40"/>
        <v>0</v>
      </c>
      <c r="AY65" s="82">
        <f t="shared" si="16"/>
        <v>208088.36440677964</v>
      </c>
    </row>
    <row r="66" spans="1:51" ht="14" x14ac:dyDescent="0.2">
      <c r="A66" s="254"/>
      <c r="B66" s="18" t="s">
        <v>1152</v>
      </c>
      <c r="C66" s="1" t="s">
        <v>1153</v>
      </c>
      <c r="D66" s="1" t="s">
        <v>1</v>
      </c>
      <c r="E66" s="83">
        <f>SUMIF('Incentive Report- Output'!$B$4:$B$93,'Incentive Summary Output'!C66,'Incentive Report- Output'!$AF$4:$AF$93)</f>
        <v>5257.305084745758</v>
      </c>
      <c r="F66" s="83">
        <f>SUMIF('Incentive Report- Output'!$B$98:$B$188,'Incentive Summary Output'!C66,'Incentive Report- Output'!$AF$98:$AF$188)</f>
        <v>4989.7203389830529</v>
      </c>
      <c r="G66" s="83">
        <f>SUMIF('Incentive Report- Output'!$B$193:$B$283,'Incentive Summary Output'!C66,'Incentive Report- Output'!$AF$193:$AF$283)</f>
        <v>0</v>
      </c>
      <c r="H66" s="83">
        <f>SUMIF('Incentive Report- Output'!$B$288:$B$382,'Incentive Summary Output'!C66,'Incentive Report- Output'!$AF$288:$AF$382)</f>
        <v>0</v>
      </c>
      <c r="I66" s="83">
        <f>SUMIF('Incentive Report- Output'!$B$387:$B$480,'Incentive Summary Output'!C66,'Incentive Report- Output'!$AF$387:$AF$480)</f>
        <v>153113.91101694922</v>
      </c>
      <c r="J66" s="83"/>
      <c r="K66" s="83"/>
      <c r="L66" s="83"/>
      <c r="M66" s="83"/>
      <c r="N66" s="83"/>
      <c r="O66" s="83"/>
      <c r="P66" s="83"/>
      <c r="Q66" s="174">
        <f t="shared" si="17"/>
        <v>163360.93644067802</v>
      </c>
      <c r="S66" s="18" t="s">
        <v>1152</v>
      </c>
      <c r="T66" s="1" t="s">
        <v>1153</v>
      </c>
      <c r="U66" s="1" t="s">
        <v>1</v>
      </c>
      <c r="V66" s="82">
        <f t="shared" si="18"/>
        <v>0</v>
      </c>
      <c r="W66" s="82">
        <f t="shared" si="19"/>
        <v>0</v>
      </c>
      <c r="X66" s="82">
        <f t="shared" si="20"/>
        <v>0</v>
      </c>
      <c r="Y66" s="82">
        <f t="shared" si="21"/>
        <v>0</v>
      </c>
      <c r="Z66" s="82">
        <f t="shared" si="22"/>
        <v>0</v>
      </c>
      <c r="AA66" s="82">
        <f t="shared" si="23"/>
        <v>0</v>
      </c>
      <c r="AB66" s="82">
        <f t="shared" si="24"/>
        <v>0</v>
      </c>
      <c r="AC66" s="82">
        <f t="shared" si="25"/>
        <v>0</v>
      </c>
      <c r="AD66" s="82">
        <f t="shared" si="26"/>
        <v>0</v>
      </c>
      <c r="AE66" s="82">
        <f t="shared" si="27"/>
        <v>0</v>
      </c>
      <c r="AF66" s="82">
        <f t="shared" si="28"/>
        <v>0</v>
      </c>
      <c r="AG66" s="82">
        <f t="shared" si="29"/>
        <v>0</v>
      </c>
      <c r="AH66" s="82">
        <f t="shared" si="3"/>
        <v>0</v>
      </c>
      <c r="AJ66" s="18" t="s">
        <v>1152</v>
      </c>
      <c r="AK66" s="1" t="s">
        <v>1153</v>
      </c>
      <c r="AL66" s="1" t="s">
        <v>1</v>
      </c>
      <c r="AM66" s="82">
        <f t="shared" si="30"/>
        <v>5257.305084745758</v>
      </c>
      <c r="AN66" s="82">
        <f t="shared" si="31"/>
        <v>4989.7203389830529</v>
      </c>
      <c r="AO66" s="82">
        <f t="shared" si="6"/>
        <v>0</v>
      </c>
      <c r="AP66" s="82">
        <f t="shared" si="32"/>
        <v>0</v>
      </c>
      <c r="AQ66" s="82">
        <f t="shared" si="33"/>
        <v>153113.91101694922</v>
      </c>
      <c r="AR66" s="82">
        <f t="shared" si="34"/>
        <v>0</v>
      </c>
      <c r="AS66" s="82">
        <f t="shared" si="35"/>
        <v>0</v>
      </c>
      <c r="AT66" s="82">
        <f t="shared" si="36"/>
        <v>0</v>
      </c>
      <c r="AU66" s="82">
        <f t="shared" si="37"/>
        <v>0</v>
      </c>
      <c r="AV66" s="82">
        <f t="shared" si="38"/>
        <v>0</v>
      </c>
      <c r="AW66" s="82">
        <f t="shared" si="39"/>
        <v>0</v>
      </c>
      <c r="AX66" s="82">
        <f t="shared" si="40"/>
        <v>0</v>
      </c>
      <c r="AY66" s="82">
        <f t="shared" si="16"/>
        <v>163360.93644067802</v>
      </c>
    </row>
    <row r="67" spans="1:51" ht="14" x14ac:dyDescent="0.2">
      <c r="A67" s="254"/>
      <c r="B67" s="18" t="s">
        <v>335</v>
      </c>
      <c r="C67" s="1" t="s">
        <v>342</v>
      </c>
      <c r="D67" s="1" t="s">
        <v>1</v>
      </c>
      <c r="E67" s="83">
        <f>SUMIF('Incentive Report- Output'!$B$4:$B$93,'Incentive Summary Output'!C67,'Incentive Report- Output'!$AF$4:$AF$93)</f>
        <v>0</v>
      </c>
      <c r="F67" s="83">
        <f>SUMIF('Incentive Report- Output'!$B$98:$B$188,'Incentive Summary Output'!C67,'Incentive Report- Output'!$AF$98:$AF$188)</f>
        <v>0</v>
      </c>
      <c r="G67" s="83">
        <f>SUMIF('Incentive Report- Output'!$B$193:$B$283,'Incentive Summary Output'!C67,'Incentive Report- Output'!$AF$193:$AF$283)</f>
        <v>10039.37288135591</v>
      </c>
      <c r="H67" s="83">
        <f>SUMIF('Incentive Report- Output'!$B$288:$B$382,'Incentive Summary Output'!C67,'Incentive Report- Output'!$AF$288:$AF$382)</f>
        <v>0</v>
      </c>
      <c r="I67" s="83">
        <f>SUMIF('Incentive Report- Output'!$B$387:$B$480,'Incentive Summary Output'!C67,'Incentive Report- Output'!$AF$387:$AF$480)</f>
        <v>416637.73728813458</v>
      </c>
      <c r="J67" s="83"/>
      <c r="K67" s="83"/>
      <c r="L67" s="83"/>
      <c r="M67" s="83"/>
      <c r="N67" s="83"/>
      <c r="O67" s="83"/>
      <c r="P67" s="83"/>
      <c r="Q67" s="174">
        <f t="shared" si="17"/>
        <v>426677.11016949051</v>
      </c>
      <c r="S67" s="18" t="s">
        <v>335</v>
      </c>
      <c r="T67" s="1" t="s">
        <v>342</v>
      </c>
      <c r="U67" s="1" t="s">
        <v>1</v>
      </c>
      <c r="V67" s="82">
        <f t="shared" si="18"/>
        <v>0</v>
      </c>
      <c r="W67" s="82">
        <f t="shared" si="19"/>
        <v>0</v>
      </c>
      <c r="X67" s="82">
        <f t="shared" si="20"/>
        <v>0</v>
      </c>
      <c r="Y67" s="82">
        <f t="shared" si="21"/>
        <v>0</v>
      </c>
      <c r="Z67" s="82">
        <f t="shared" si="22"/>
        <v>216637.73728813458</v>
      </c>
      <c r="AA67" s="82">
        <f t="shared" si="23"/>
        <v>0</v>
      </c>
      <c r="AB67" s="82">
        <f t="shared" si="24"/>
        <v>0</v>
      </c>
      <c r="AC67" s="82">
        <f t="shared" si="25"/>
        <v>0</v>
      </c>
      <c r="AD67" s="82">
        <f t="shared" si="26"/>
        <v>0</v>
      </c>
      <c r="AE67" s="82">
        <f t="shared" si="27"/>
        <v>0</v>
      </c>
      <c r="AF67" s="82">
        <f t="shared" si="28"/>
        <v>0</v>
      </c>
      <c r="AG67" s="82">
        <f t="shared" si="29"/>
        <v>0</v>
      </c>
      <c r="AH67" s="82">
        <f t="shared" si="3"/>
        <v>216637.73728813458</v>
      </c>
      <c r="AJ67" s="18" t="s">
        <v>335</v>
      </c>
      <c r="AK67" s="1" t="s">
        <v>342</v>
      </c>
      <c r="AL67" s="1" t="s">
        <v>1</v>
      </c>
      <c r="AM67" s="82">
        <f t="shared" si="30"/>
        <v>0</v>
      </c>
      <c r="AN67" s="82">
        <f t="shared" si="31"/>
        <v>0</v>
      </c>
      <c r="AO67" s="82">
        <f t="shared" si="6"/>
        <v>10039.37288135591</v>
      </c>
      <c r="AP67" s="82">
        <f t="shared" si="32"/>
        <v>0</v>
      </c>
      <c r="AQ67" s="82">
        <f t="shared" si="33"/>
        <v>200000</v>
      </c>
      <c r="AR67" s="82">
        <f t="shared" si="34"/>
        <v>0</v>
      </c>
      <c r="AS67" s="82">
        <f t="shared" si="35"/>
        <v>0</v>
      </c>
      <c r="AT67" s="82">
        <f t="shared" si="36"/>
        <v>0</v>
      </c>
      <c r="AU67" s="82">
        <f t="shared" si="37"/>
        <v>0</v>
      </c>
      <c r="AV67" s="82">
        <f t="shared" si="38"/>
        <v>0</v>
      </c>
      <c r="AW67" s="82">
        <f t="shared" si="39"/>
        <v>0</v>
      </c>
      <c r="AX67" s="82">
        <f t="shared" si="40"/>
        <v>0</v>
      </c>
      <c r="AY67" s="82">
        <f t="shared" si="16"/>
        <v>210039.3728813559</v>
      </c>
    </row>
    <row r="68" spans="1:51" ht="14" x14ac:dyDescent="0.2">
      <c r="A68" s="254"/>
      <c r="B68" s="18" t="s">
        <v>286</v>
      </c>
      <c r="C68" s="1" t="s">
        <v>37</v>
      </c>
      <c r="D68" s="1" t="s">
        <v>0</v>
      </c>
      <c r="E68" s="83">
        <f>SUMIF('Incentive Report- Output'!$B$4:$B$93,'Incentive Summary Output'!C68,'Incentive Report- Output'!$AF$4:$AF$93)</f>
        <v>0</v>
      </c>
      <c r="F68" s="83">
        <f>SUMIF('Incentive Report- Output'!$B$98:$B$188,'Incentive Summary Output'!C68,'Incentive Report- Output'!$AF$98:$AF$188)</f>
        <v>6378.669491525422</v>
      </c>
      <c r="G68" s="83">
        <f>SUMIF('Incentive Report- Output'!$B$193:$B$283,'Incentive Summary Output'!C68,'Incentive Report- Output'!$AF$193:$AF$283)</f>
        <v>0</v>
      </c>
      <c r="H68" s="83">
        <f>SUMIF('Incentive Report- Output'!$B$288:$B$382,'Incentive Summary Output'!C68,'Incentive Report- Output'!$AF$288:$AF$382)</f>
        <v>44877.947021999993</v>
      </c>
      <c r="I68" s="83">
        <f>SUMIF('Incentive Report- Output'!$B$387:$B$480,'Incentive Summary Output'!C68,'Incentive Report- Output'!$AF$387:$AF$480)</f>
        <v>154280.80296610171</v>
      </c>
      <c r="J68" s="83"/>
      <c r="K68" s="83"/>
      <c r="L68" s="83"/>
      <c r="M68" s="83"/>
      <c r="N68" s="83"/>
      <c r="O68" s="83"/>
      <c r="P68" s="83"/>
      <c r="Q68" s="174">
        <f t="shared" si="17"/>
        <v>205537.4194796271</v>
      </c>
      <c r="S68" s="18" t="s">
        <v>286</v>
      </c>
      <c r="T68" s="1" t="s">
        <v>37</v>
      </c>
      <c r="U68" s="1" t="s">
        <v>0</v>
      </c>
      <c r="V68" s="82">
        <f t="shared" si="18"/>
        <v>0</v>
      </c>
      <c r="W68" s="82">
        <f t="shared" si="19"/>
        <v>0</v>
      </c>
      <c r="X68" s="82">
        <f t="shared" si="20"/>
        <v>0</v>
      </c>
      <c r="Y68" s="82">
        <f t="shared" si="21"/>
        <v>0</v>
      </c>
      <c r="Z68" s="82">
        <f t="shared" si="22"/>
        <v>0</v>
      </c>
      <c r="AA68" s="82">
        <f t="shared" si="23"/>
        <v>0</v>
      </c>
      <c r="AB68" s="82">
        <f t="shared" si="24"/>
        <v>0</v>
      </c>
      <c r="AC68" s="82">
        <f t="shared" si="25"/>
        <v>0</v>
      </c>
      <c r="AD68" s="82">
        <f t="shared" si="26"/>
        <v>0</v>
      </c>
      <c r="AE68" s="82">
        <f t="shared" si="27"/>
        <v>0</v>
      </c>
      <c r="AF68" s="82">
        <f t="shared" si="28"/>
        <v>0</v>
      </c>
      <c r="AG68" s="82">
        <f t="shared" si="29"/>
        <v>0</v>
      </c>
      <c r="AH68" s="82">
        <f t="shared" si="3"/>
        <v>0</v>
      </c>
      <c r="AJ68" s="18" t="s">
        <v>286</v>
      </c>
      <c r="AK68" s="1" t="s">
        <v>37</v>
      </c>
      <c r="AL68" s="1" t="s">
        <v>0</v>
      </c>
      <c r="AM68" s="82">
        <f t="shared" si="30"/>
        <v>0</v>
      </c>
      <c r="AN68" s="82">
        <f t="shared" si="31"/>
        <v>6378.669491525422</v>
      </c>
      <c r="AO68" s="82">
        <f t="shared" si="6"/>
        <v>0</v>
      </c>
      <c r="AP68" s="82">
        <f t="shared" si="32"/>
        <v>44877.947021999993</v>
      </c>
      <c r="AQ68" s="82">
        <f t="shared" si="33"/>
        <v>154280.80296610171</v>
      </c>
      <c r="AR68" s="82">
        <f t="shared" si="34"/>
        <v>0</v>
      </c>
      <c r="AS68" s="82">
        <f t="shared" si="35"/>
        <v>0</v>
      </c>
      <c r="AT68" s="82">
        <f t="shared" si="36"/>
        <v>0</v>
      </c>
      <c r="AU68" s="82">
        <f t="shared" si="37"/>
        <v>0</v>
      </c>
      <c r="AV68" s="82">
        <f t="shared" si="38"/>
        <v>0</v>
      </c>
      <c r="AW68" s="82">
        <f t="shared" si="39"/>
        <v>0</v>
      </c>
      <c r="AX68" s="82">
        <f t="shared" si="40"/>
        <v>0</v>
      </c>
      <c r="AY68" s="82">
        <f t="shared" si="16"/>
        <v>205537.4194796271</v>
      </c>
    </row>
    <row r="69" spans="1:51" ht="14" x14ac:dyDescent="0.2">
      <c r="A69" s="254"/>
      <c r="B69" s="18" t="s">
        <v>657</v>
      </c>
      <c r="C69" s="1" t="s">
        <v>39</v>
      </c>
      <c r="D69" s="1" t="s">
        <v>1</v>
      </c>
      <c r="E69" s="83">
        <f>SUMIF('Incentive Report- Output'!$B$4:$B$93,'Incentive Summary Output'!C69,'Incentive Report- Output'!$AF$4:$AF$93)</f>
        <v>52378.894067796529</v>
      </c>
      <c r="F69" s="83">
        <f>SUMIF('Incentive Report- Output'!$B$98:$B$188,'Incentive Summary Output'!C69,'Incentive Report- Output'!$AF$98:$AF$188)</f>
        <v>0</v>
      </c>
      <c r="G69" s="83">
        <f>SUMIF('Incentive Report- Output'!$B$193:$B$283,'Incentive Summary Output'!C69,'Incentive Report- Output'!$AF$193:$AF$283)</f>
        <v>0</v>
      </c>
      <c r="H69" s="83">
        <f>SUMIF('Incentive Report- Output'!$B$288:$B$382,'Incentive Summary Output'!C69,'Incentive Report- Output'!$AF$288:$AF$382)</f>
        <v>57279.635610300007</v>
      </c>
      <c r="I69" s="83">
        <f>SUMIF('Incentive Report- Output'!$B$387:$B$480,'Incentive Summary Output'!C69,'Incentive Report- Output'!$AF$387:$AF$480)</f>
        <v>319385.64406779653</v>
      </c>
      <c r="J69" s="83"/>
      <c r="K69" s="83"/>
      <c r="L69" s="83"/>
      <c r="M69" s="83"/>
      <c r="N69" s="83"/>
      <c r="O69" s="83"/>
      <c r="P69" s="83"/>
      <c r="Q69" s="174">
        <f t="shared" si="17"/>
        <v>429044.17374589306</v>
      </c>
      <c r="S69" s="18" t="s">
        <v>657</v>
      </c>
      <c r="T69" s="1" t="s">
        <v>39</v>
      </c>
      <c r="U69" s="1" t="s">
        <v>1</v>
      </c>
      <c r="V69" s="82">
        <f t="shared" si="18"/>
        <v>0</v>
      </c>
      <c r="W69" s="82">
        <f t="shared" si="19"/>
        <v>0</v>
      </c>
      <c r="X69" s="82">
        <f t="shared" si="20"/>
        <v>0</v>
      </c>
      <c r="Y69" s="82">
        <f t="shared" si="21"/>
        <v>0</v>
      </c>
      <c r="Z69" s="82">
        <f t="shared" si="22"/>
        <v>119385.64406779653</v>
      </c>
      <c r="AA69" s="82">
        <f t="shared" si="23"/>
        <v>0</v>
      </c>
      <c r="AB69" s="82">
        <f t="shared" si="24"/>
        <v>0</v>
      </c>
      <c r="AC69" s="82">
        <f t="shared" si="25"/>
        <v>0</v>
      </c>
      <c r="AD69" s="82">
        <f t="shared" si="26"/>
        <v>0</v>
      </c>
      <c r="AE69" s="82">
        <f t="shared" si="27"/>
        <v>0</v>
      </c>
      <c r="AF69" s="82">
        <f t="shared" si="28"/>
        <v>0</v>
      </c>
      <c r="AG69" s="82">
        <f t="shared" si="29"/>
        <v>0</v>
      </c>
      <c r="AH69" s="82">
        <f t="shared" si="3"/>
        <v>119385.64406779653</v>
      </c>
      <c r="AJ69" s="18" t="s">
        <v>657</v>
      </c>
      <c r="AK69" s="1" t="s">
        <v>39</v>
      </c>
      <c r="AL69" s="1" t="s">
        <v>1</v>
      </c>
      <c r="AM69" s="82">
        <f t="shared" si="30"/>
        <v>52378.894067796529</v>
      </c>
      <c r="AN69" s="82">
        <f t="shared" si="31"/>
        <v>0</v>
      </c>
      <c r="AO69" s="82">
        <f t="shared" si="6"/>
        <v>0</v>
      </c>
      <c r="AP69" s="82">
        <f t="shared" si="32"/>
        <v>57279.635610300007</v>
      </c>
      <c r="AQ69" s="82">
        <f t="shared" si="33"/>
        <v>200000</v>
      </c>
      <c r="AR69" s="82">
        <f t="shared" si="34"/>
        <v>0</v>
      </c>
      <c r="AS69" s="82">
        <f t="shared" si="35"/>
        <v>0</v>
      </c>
      <c r="AT69" s="82">
        <f t="shared" si="36"/>
        <v>0</v>
      </c>
      <c r="AU69" s="82">
        <f t="shared" si="37"/>
        <v>0</v>
      </c>
      <c r="AV69" s="82">
        <f t="shared" si="38"/>
        <v>0</v>
      </c>
      <c r="AW69" s="82">
        <f t="shared" si="39"/>
        <v>0</v>
      </c>
      <c r="AX69" s="82">
        <f t="shared" si="40"/>
        <v>0</v>
      </c>
      <c r="AY69" s="82">
        <f t="shared" si="16"/>
        <v>309658.52967809653</v>
      </c>
    </row>
    <row r="70" spans="1:51" ht="14" x14ac:dyDescent="0.2">
      <c r="A70" s="254"/>
      <c r="B70" s="18" t="s">
        <v>1156</v>
      </c>
      <c r="C70" s="1" t="s">
        <v>1157</v>
      </c>
      <c r="D70" s="1" t="s">
        <v>1</v>
      </c>
      <c r="E70" s="83">
        <f>SUMIF('Incentive Report- Output'!$B$4:$B$93,'Incentive Summary Output'!C70,'Incentive Report- Output'!$AF$4:$AF$93)</f>
        <v>12201.483050847448</v>
      </c>
      <c r="F70" s="83">
        <f>SUMIF('Incentive Report- Output'!$B$98:$B$188,'Incentive Summary Output'!C70,'Incentive Report- Output'!$AF$98:$AF$188)</f>
        <v>7829.6906779660985</v>
      </c>
      <c r="G70" s="83">
        <f>SUMIF('Incentive Report- Output'!$B$193:$B$283,'Incentive Summary Output'!C70,'Incentive Report- Output'!$AF$193:$AF$283)</f>
        <v>8556.360169491516</v>
      </c>
      <c r="H70" s="83">
        <f>SUMIF('Incentive Report- Output'!$B$288:$B$382,'Incentive Summary Output'!C70,'Incentive Report- Output'!$AF$288:$AF$382)</f>
        <v>0</v>
      </c>
      <c r="I70" s="83">
        <f>SUMIF('Incentive Report- Output'!$B$387:$B$480,'Incentive Summary Output'!C70,'Incentive Report- Output'!$AF$387:$AF$480)</f>
        <v>184881.37500000009</v>
      </c>
      <c r="J70" s="83"/>
      <c r="K70" s="83"/>
      <c r="L70" s="83"/>
      <c r="M70" s="83"/>
      <c r="N70" s="83"/>
      <c r="O70" s="83"/>
      <c r="P70" s="83"/>
      <c r="Q70" s="174">
        <f t="shared" si="17"/>
        <v>213468.90889830515</v>
      </c>
      <c r="S70" s="18" t="s">
        <v>1156</v>
      </c>
      <c r="T70" s="1" t="s">
        <v>1157</v>
      </c>
      <c r="U70" s="1" t="s">
        <v>1</v>
      </c>
      <c r="V70" s="82">
        <f t="shared" si="18"/>
        <v>0</v>
      </c>
      <c r="W70" s="82">
        <f t="shared" si="19"/>
        <v>0</v>
      </c>
      <c r="X70" s="82">
        <f t="shared" si="20"/>
        <v>0</v>
      </c>
      <c r="Y70" s="82">
        <f t="shared" si="21"/>
        <v>0</v>
      </c>
      <c r="Z70" s="82">
        <f t="shared" si="22"/>
        <v>0</v>
      </c>
      <c r="AA70" s="82">
        <f t="shared" si="23"/>
        <v>0</v>
      </c>
      <c r="AB70" s="82">
        <f t="shared" si="24"/>
        <v>0</v>
      </c>
      <c r="AC70" s="82">
        <f t="shared" si="25"/>
        <v>0</v>
      </c>
      <c r="AD70" s="82">
        <f t="shared" si="26"/>
        <v>0</v>
      </c>
      <c r="AE70" s="82">
        <f t="shared" si="27"/>
        <v>0</v>
      </c>
      <c r="AF70" s="82">
        <f t="shared" si="28"/>
        <v>0</v>
      </c>
      <c r="AG70" s="82">
        <f t="shared" si="29"/>
        <v>0</v>
      </c>
      <c r="AH70" s="82">
        <f t="shared" si="3"/>
        <v>0</v>
      </c>
      <c r="AJ70" s="18" t="s">
        <v>1156</v>
      </c>
      <c r="AK70" s="1" t="s">
        <v>1157</v>
      </c>
      <c r="AL70" s="1" t="s">
        <v>1</v>
      </c>
      <c r="AM70" s="82">
        <f t="shared" si="30"/>
        <v>12201.483050847448</v>
      </c>
      <c r="AN70" s="82">
        <f t="shared" si="31"/>
        <v>7829.6906779660985</v>
      </c>
      <c r="AO70" s="82">
        <f t="shared" si="6"/>
        <v>8556.360169491516</v>
      </c>
      <c r="AP70" s="82">
        <f t="shared" si="32"/>
        <v>0</v>
      </c>
      <c r="AQ70" s="82">
        <f t="shared" si="33"/>
        <v>184881.37500000009</v>
      </c>
      <c r="AR70" s="82">
        <f t="shared" si="34"/>
        <v>0</v>
      </c>
      <c r="AS70" s="82">
        <f t="shared" si="35"/>
        <v>0</v>
      </c>
      <c r="AT70" s="82">
        <f t="shared" si="36"/>
        <v>0</v>
      </c>
      <c r="AU70" s="82">
        <f t="shared" si="37"/>
        <v>0</v>
      </c>
      <c r="AV70" s="82">
        <f t="shared" si="38"/>
        <v>0</v>
      </c>
      <c r="AW70" s="82">
        <f t="shared" si="39"/>
        <v>0</v>
      </c>
      <c r="AX70" s="82">
        <f t="shared" si="40"/>
        <v>0</v>
      </c>
      <c r="AY70" s="82">
        <f t="shared" si="16"/>
        <v>213468.90889830515</v>
      </c>
    </row>
    <row r="71" spans="1:51" ht="14" x14ac:dyDescent="0.2">
      <c r="A71" s="254"/>
      <c r="B71" s="18" t="s">
        <v>72</v>
      </c>
      <c r="C71" s="1" t="s">
        <v>43</v>
      </c>
      <c r="D71" s="1" t="s">
        <v>0</v>
      </c>
      <c r="E71" s="83">
        <f>SUMIF('Incentive Report- Output'!$B$4:$B$93,'Incentive Summary Output'!C71,'Incentive Report- Output'!$AF$4:$AF$93)</f>
        <v>0</v>
      </c>
      <c r="F71" s="83">
        <f>SUMIF('Incentive Report- Output'!$B$98:$B$188,'Incentive Summary Output'!C71,'Incentive Report- Output'!$AF$98:$AF$188)</f>
        <v>0</v>
      </c>
      <c r="G71" s="83">
        <f>SUMIF('Incentive Report- Output'!$B$193:$B$283,'Incentive Summary Output'!C71,'Incentive Report- Output'!$AF$193:$AF$283)</f>
        <v>0</v>
      </c>
      <c r="H71" s="83">
        <f>SUMIF('Incentive Report- Output'!$B$288:$B$382,'Incentive Summary Output'!C71,'Incentive Report- Output'!$AF$288:$AF$382)</f>
        <v>57335.720349299991</v>
      </c>
      <c r="I71" s="83">
        <f>SUMIF('Incentive Report- Output'!$B$387:$B$480,'Incentive Summary Output'!C71,'Incentive Report- Output'!$AF$387:$AF$480)</f>
        <v>166176.93432203386</v>
      </c>
      <c r="J71" s="83"/>
      <c r="K71" s="83"/>
      <c r="L71" s="83"/>
      <c r="M71" s="83"/>
      <c r="N71" s="83"/>
      <c r="O71" s="83"/>
      <c r="P71" s="83"/>
      <c r="Q71" s="174">
        <f t="shared" si="17"/>
        <v>223512.65467133385</v>
      </c>
      <c r="S71" s="18" t="s">
        <v>72</v>
      </c>
      <c r="T71" s="1" t="s">
        <v>43</v>
      </c>
      <c r="U71" s="1" t="s">
        <v>0</v>
      </c>
      <c r="V71" s="82">
        <f t="shared" si="18"/>
        <v>0</v>
      </c>
      <c r="W71" s="82">
        <f t="shared" si="19"/>
        <v>0</v>
      </c>
      <c r="X71" s="82">
        <f t="shared" si="20"/>
        <v>0</v>
      </c>
      <c r="Y71" s="82">
        <f t="shared" si="21"/>
        <v>0</v>
      </c>
      <c r="Z71" s="82">
        <f t="shared" si="22"/>
        <v>0</v>
      </c>
      <c r="AA71" s="82">
        <f t="shared" si="23"/>
        <v>0</v>
      </c>
      <c r="AB71" s="82">
        <f t="shared" si="24"/>
        <v>0</v>
      </c>
      <c r="AC71" s="82">
        <f t="shared" si="25"/>
        <v>0</v>
      </c>
      <c r="AD71" s="82">
        <f t="shared" si="26"/>
        <v>0</v>
      </c>
      <c r="AE71" s="82">
        <f t="shared" si="27"/>
        <v>0</v>
      </c>
      <c r="AF71" s="82">
        <f t="shared" si="28"/>
        <v>0</v>
      </c>
      <c r="AG71" s="82">
        <f t="shared" si="29"/>
        <v>0</v>
      </c>
      <c r="AH71" s="82">
        <f t="shared" si="3"/>
        <v>0</v>
      </c>
      <c r="AJ71" s="18" t="s">
        <v>72</v>
      </c>
      <c r="AK71" s="1" t="s">
        <v>43</v>
      </c>
      <c r="AL71" s="1" t="s">
        <v>0</v>
      </c>
      <c r="AM71" s="82">
        <f t="shared" si="30"/>
        <v>0</v>
      </c>
      <c r="AN71" s="82">
        <f t="shared" si="31"/>
        <v>0</v>
      </c>
      <c r="AO71" s="82">
        <f t="shared" si="6"/>
        <v>0</v>
      </c>
      <c r="AP71" s="82">
        <f t="shared" si="32"/>
        <v>57335.720349299991</v>
      </c>
      <c r="AQ71" s="82">
        <f t="shared" si="33"/>
        <v>166176.93432203386</v>
      </c>
      <c r="AR71" s="82">
        <f t="shared" si="34"/>
        <v>0</v>
      </c>
      <c r="AS71" s="82">
        <f t="shared" si="35"/>
        <v>0</v>
      </c>
      <c r="AT71" s="82">
        <f t="shared" si="36"/>
        <v>0</v>
      </c>
      <c r="AU71" s="82">
        <f t="shared" si="37"/>
        <v>0</v>
      </c>
      <c r="AV71" s="82">
        <f t="shared" si="38"/>
        <v>0</v>
      </c>
      <c r="AW71" s="82">
        <f t="shared" si="39"/>
        <v>0</v>
      </c>
      <c r="AX71" s="82">
        <f t="shared" si="40"/>
        <v>0</v>
      </c>
      <c r="AY71" s="82">
        <f t="shared" si="16"/>
        <v>223512.65467133385</v>
      </c>
    </row>
    <row r="72" spans="1:51" ht="14" x14ac:dyDescent="0.2">
      <c r="A72" s="254"/>
      <c r="B72" s="18" t="s">
        <v>726</v>
      </c>
      <c r="C72" s="1" t="s">
        <v>727</v>
      </c>
      <c r="D72" s="1" t="s">
        <v>1</v>
      </c>
      <c r="E72" s="83">
        <f>SUMIF('Incentive Report- Output'!$B$4:$B$93,'Incentive Summary Output'!C72,'Incentive Report- Output'!$AF$4:$AF$93)</f>
        <v>0</v>
      </c>
      <c r="F72" s="83">
        <f>SUMIF('Incentive Report- Output'!$B$98:$B$188,'Incentive Summary Output'!C72,'Incentive Report- Output'!$AF$98:$AF$188)</f>
        <v>5364.7245762711882</v>
      </c>
      <c r="G72" s="83">
        <f>SUMIF('Incentive Report- Output'!$B$193:$B$283,'Incentive Summary Output'!C72,'Incentive Report- Output'!$AF$193:$AF$283)</f>
        <v>0</v>
      </c>
      <c r="H72" s="83">
        <f>SUMIF('Incentive Report- Output'!$B$288:$B$382,'Incentive Summary Output'!C72,'Incentive Report- Output'!$AF$288:$AF$382)</f>
        <v>4780.8389840000009</v>
      </c>
      <c r="I72" s="83">
        <f>SUMIF('Incentive Report- Output'!$B$387:$B$480,'Incentive Summary Output'!C72,'Incentive Report- Output'!$AF$387:$AF$480)</f>
        <v>84097.124999999825</v>
      </c>
      <c r="J72" s="83"/>
      <c r="K72" s="83"/>
      <c r="L72" s="83"/>
      <c r="M72" s="83"/>
      <c r="N72" s="83"/>
      <c r="O72" s="83"/>
      <c r="P72" s="83"/>
      <c r="Q72" s="174">
        <f t="shared" si="17"/>
        <v>94242.68856027101</v>
      </c>
      <c r="S72" s="18" t="s">
        <v>726</v>
      </c>
      <c r="T72" s="1" t="s">
        <v>727</v>
      </c>
      <c r="U72" s="1" t="s">
        <v>1</v>
      </c>
      <c r="V72" s="82">
        <f t="shared" si="18"/>
        <v>0</v>
      </c>
      <c r="W72" s="82">
        <f t="shared" si="19"/>
        <v>0</v>
      </c>
      <c r="X72" s="82">
        <f t="shared" si="20"/>
        <v>0</v>
      </c>
      <c r="Y72" s="82">
        <f t="shared" si="21"/>
        <v>0</v>
      </c>
      <c r="Z72" s="82">
        <f t="shared" si="22"/>
        <v>0</v>
      </c>
      <c r="AA72" s="82">
        <f t="shared" si="23"/>
        <v>0</v>
      </c>
      <c r="AB72" s="82">
        <f t="shared" si="24"/>
        <v>0</v>
      </c>
      <c r="AC72" s="82">
        <f t="shared" si="25"/>
        <v>0</v>
      </c>
      <c r="AD72" s="82">
        <f t="shared" si="26"/>
        <v>0</v>
      </c>
      <c r="AE72" s="82">
        <f t="shared" si="27"/>
        <v>0</v>
      </c>
      <c r="AF72" s="82">
        <f t="shared" si="28"/>
        <v>0</v>
      </c>
      <c r="AG72" s="82">
        <f t="shared" si="29"/>
        <v>0</v>
      </c>
      <c r="AH72" s="82">
        <f t="shared" si="3"/>
        <v>0</v>
      </c>
      <c r="AJ72" s="18" t="s">
        <v>726</v>
      </c>
      <c r="AK72" s="1" t="s">
        <v>727</v>
      </c>
      <c r="AL72" s="1" t="s">
        <v>1</v>
      </c>
      <c r="AM72" s="82">
        <f t="shared" si="30"/>
        <v>0</v>
      </c>
      <c r="AN72" s="82">
        <f t="shared" si="31"/>
        <v>5364.7245762711882</v>
      </c>
      <c r="AO72" s="82">
        <f t="shared" si="6"/>
        <v>0</v>
      </c>
      <c r="AP72" s="82">
        <f t="shared" si="32"/>
        <v>4780.8389840000009</v>
      </c>
      <c r="AQ72" s="82">
        <f t="shared" si="33"/>
        <v>84097.124999999825</v>
      </c>
      <c r="AR72" s="82">
        <f t="shared" si="34"/>
        <v>0</v>
      </c>
      <c r="AS72" s="82">
        <f t="shared" si="35"/>
        <v>0</v>
      </c>
      <c r="AT72" s="82">
        <f t="shared" si="36"/>
        <v>0</v>
      </c>
      <c r="AU72" s="82">
        <f t="shared" si="37"/>
        <v>0</v>
      </c>
      <c r="AV72" s="82">
        <f t="shared" si="38"/>
        <v>0</v>
      </c>
      <c r="AW72" s="82">
        <f t="shared" si="39"/>
        <v>0</v>
      </c>
      <c r="AX72" s="82">
        <f t="shared" si="40"/>
        <v>0</v>
      </c>
      <c r="AY72" s="82">
        <f t="shared" ref="AY72:AY81" si="41">SUM(AM72:AX72)</f>
        <v>94242.68856027101</v>
      </c>
    </row>
    <row r="73" spans="1:51" ht="14" x14ac:dyDescent="0.2">
      <c r="A73" s="254"/>
      <c r="B73" s="18" t="s">
        <v>291</v>
      </c>
      <c r="C73" s="1" t="s">
        <v>40</v>
      </c>
      <c r="D73" s="1" t="s">
        <v>1</v>
      </c>
      <c r="E73" s="83">
        <f>SUMIF('Incentive Report- Output'!$B$4:$B$93,'Incentive Summary Output'!C73,'Incentive Report- Output'!$AF$4:$AF$93)</f>
        <v>0</v>
      </c>
      <c r="F73" s="83">
        <f>SUMIF('Incentive Report- Output'!$B$98:$B$188,'Incentive Summary Output'!C73,'Incentive Report- Output'!$AF$98:$AF$188)</f>
        <v>0</v>
      </c>
      <c r="G73" s="83">
        <f>SUMIF('Incentive Report- Output'!$B$193:$B$283,'Incentive Summary Output'!C73,'Incentive Report- Output'!$AF$193:$AF$283)</f>
        <v>0</v>
      </c>
      <c r="H73" s="83">
        <f>SUMIF('Incentive Report- Output'!$B$288:$B$382,'Incentive Summary Output'!C73,'Incentive Report- Output'!$AF$288:$AF$382)</f>
        <v>0</v>
      </c>
      <c r="I73" s="83">
        <f>SUMIF('Incentive Report- Output'!$B$387:$B$480,'Incentive Summary Output'!C73,'Incentive Report- Output'!$AF$387:$AF$480)</f>
        <v>94279.194915254106</v>
      </c>
      <c r="J73" s="83"/>
      <c r="K73" s="83"/>
      <c r="L73" s="83"/>
      <c r="M73" s="83"/>
      <c r="N73" s="83"/>
      <c r="O73" s="83"/>
      <c r="P73" s="83"/>
      <c r="Q73" s="174">
        <f t="shared" si="17"/>
        <v>94279.194915254106</v>
      </c>
      <c r="S73" s="18" t="s">
        <v>291</v>
      </c>
      <c r="T73" s="1" t="s">
        <v>40</v>
      </c>
      <c r="U73" s="1" t="s">
        <v>1</v>
      </c>
      <c r="V73" s="82">
        <f t="shared" si="18"/>
        <v>0</v>
      </c>
      <c r="W73" s="82">
        <f t="shared" si="19"/>
        <v>0</v>
      </c>
      <c r="X73" s="82">
        <f t="shared" si="20"/>
        <v>0</v>
      </c>
      <c r="Y73" s="82">
        <f t="shared" si="21"/>
        <v>0</v>
      </c>
      <c r="Z73" s="82">
        <f t="shared" si="22"/>
        <v>0</v>
      </c>
      <c r="AA73" s="82">
        <f t="shared" si="23"/>
        <v>0</v>
      </c>
      <c r="AB73" s="82">
        <f t="shared" si="24"/>
        <v>0</v>
      </c>
      <c r="AC73" s="82">
        <f t="shared" si="25"/>
        <v>0</v>
      </c>
      <c r="AD73" s="82">
        <f t="shared" si="26"/>
        <v>0</v>
      </c>
      <c r="AE73" s="82">
        <f t="shared" si="27"/>
        <v>0</v>
      </c>
      <c r="AF73" s="82">
        <f t="shared" si="28"/>
        <v>0</v>
      </c>
      <c r="AG73" s="82">
        <f t="shared" si="29"/>
        <v>0</v>
      </c>
      <c r="AH73" s="82">
        <f t="shared" si="3"/>
        <v>0</v>
      </c>
      <c r="AJ73" s="18" t="s">
        <v>291</v>
      </c>
      <c r="AK73" s="1" t="s">
        <v>40</v>
      </c>
      <c r="AL73" s="1" t="s">
        <v>1</v>
      </c>
      <c r="AM73" s="82">
        <f t="shared" si="30"/>
        <v>0</v>
      </c>
      <c r="AN73" s="82">
        <f t="shared" si="31"/>
        <v>0</v>
      </c>
      <c r="AO73" s="82">
        <f t="shared" si="6"/>
        <v>0</v>
      </c>
      <c r="AP73" s="82">
        <f t="shared" si="32"/>
        <v>0</v>
      </c>
      <c r="AQ73" s="82">
        <f t="shared" si="33"/>
        <v>94279.194915254106</v>
      </c>
      <c r="AR73" s="82">
        <f t="shared" si="34"/>
        <v>0</v>
      </c>
      <c r="AS73" s="82">
        <f t="shared" si="35"/>
        <v>0</v>
      </c>
      <c r="AT73" s="82">
        <f t="shared" si="36"/>
        <v>0</v>
      </c>
      <c r="AU73" s="82">
        <f t="shared" si="37"/>
        <v>0</v>
      </c>
      <c r="AV73" s="82">
        <f t="shared" si="38"/>
        <v>0</v>
      </c>
      <c r="AW73" s="82">
        <f t="shared" si="39"/>
        <v>0</v>
      </c>
      <c r="AX73" s="82">
        <f t="shared" si="40"/>
        <v>0</v>
      </c>
      <c r="AY73" s="82">
        <f t="shared" si="41"/>
        <v>94279.194915254106</v>
      </c>
    </row>
    <row r="74" spans="1:51" ht="14" x14ac:dyDescent="0.2">
      <c r="A74" s="254"/>
      <c r="B74" s="18" t="s">
        <v>1073</v>
      </c>
      <c r="C74" s="1" t="s">
        <v>1074</v>
      </c>
      <c r="D74" s="1" t="s">
        <v>1</v>
      </c>
      <c r="E74" s="83">
        <f>SUMIF('Incentive Report- Output'!$B$4:$B$93,'Incentive Summary Output'!C74,'Incentive Report- Output'!$AF$4:$AF$93)</f>
        <v>0</v>
      </c>
      <c r="F74" s="83">
        <f>SUMIF('Incentive Report- Output'!$B$98:$B$188,'Incentive Summary Output'!C74,'Incentive Report- Output'!$AF$98:$AF$188)</f>
        <v>0</v>
      </c>
      <c r="G74" s="83">
        <f>SUMIF('Incentive Report- Output'!$B$193:$B$283,'Incentive Summary Output'!C74,'Incentive Report- Output'!$AF$193:$AF$283)</f>
        <v>0</v>
      </c>
      <c r="H74" s="83">
        <f>SUMIF('Incentive Report- Output'!$B$288:$B$382,'Incentive Summary Output'!C74,'Incentive Report- Output'!$AF$288:$AF$382)</f>
        <v>0</v>
      </c>
      <c r="I74" s="83">
        <f>SUMIF('Incentive Report- Output'!$B$387:$B$480,'Incentive Summary Output'!C74,'Incentive Report- Output'!$AF$387:$AF$480)</f>
        <v>0</v>
      </c>
      <c r="J74" s="83"/>
      <c r="K74" s="83"/>
      <c r="L74" s="83"/>
      <c r="M74" s="83"/>
      <c r="N74" s="83"/>
      <c r="O74" s="83"/>
      <c r="P74" s="83"/>
      <c r="Q74" s="174">
        <f t="shared" si="17"/>
        <v>0</v>
      </c>
      <c r="S74" s="18" t="s">
        <v>1073</v>
      </c>
      <c r="T74" s="1" t="s">
        <v>1074</v>
      </c>
      <c r="U74" s="1" t="s">
        <v>1</v>
      </c>
      <c r="V74" s="82">
        <f t="shared" si="18"/>
        <v>0</v>
      </c>
      <c r="W74" s="82">
        <f t="shared" si="19"/>
        <v>0</v>
      </c>
      <c r="X74" s="82">
        <f t="shared" si="20"/>
        <v>0</v>
      </c>
      <c r="Y74" s="82">
        <f t="shared" si="21"/>
        <v>0</v>
      </c>
      <c r="Z74" s="82">
        <f t="shared" si="22"/>
        <v>0</v>
      </c>
      <c r="AA74" s="82">
        <f t="shared" si="23"/>
        <v>0</v>
      </c>
      <c r="AB74" s="82">
        <f t="shared" si="24"/>
        <v>0</v>
      </c>
      <c r="AC74" s="82">
        <f t="shared" si="25"/>
        <v>0</v>
      </c>
      <c r="AD74" s="82">
        <f t="shared" si="26"/>
        <v>0</v>
      </c>
      <c r="AE74" s="82">
        <f t="shared" si="27"/>
        <v>0</v>
      </c>
      <c r="AF74" s="82">
        <f t="shared" si="28"/>
        <v>0</v>
      </c>
      <c r="AG74" s="82">
        <f t="shared" si="29"/>
        <v>0</v>
      </c>
      <c r="AH74" s="82">
        <f t="shared" si="3"/>
        <v>0</v>
      </c>
      <c r="AJ74" s="18" t="s">
        <v>1073</v>
      </c>
      <c r="AK74" s="1" t="s">
        <v>1074</v>
      </c>
      <c r="AL74" s="1" t="s">
        <v>1</v>
      </c>
      <c r="AM74" s="82">
        <f t="shared" si="30"/>
        <v>0</v>
      </c>
      <c r="AN74" s="82">
        <f t="shared" si="31"/>
        <v>0</v>
      </c>
      <c r="AO74" s="82">
        <f t="shared" si="6"/>
        <v>0</v>
      </c>
      <c r="AP74" s="82">
        <f t="shared" si="32"/>
        <v>0</v>
      </c>
      <c r="AQ74" s="82">
        <f t="shared" si="33"/>
        <v>0</v>
      </c>
      <c r="AR74" s="82">
        <f t="shared" si="34"/>
        <v>0</v>
      </c>
      <c r="AS74" s="82">
        <f t="shared" si="35"/>
        <v>0</v>
      </c>
      <c r="AT74" s="82">
        <f t="shared" si="36"/>
        <v>0</v>
      </c>
      <c r="AU74" s="82">
        <f t="shared" si="37"/>
        <v>0</v>
      </c>
      <c r="AV74" s="82">
        <f t="shared" si="38"/>
        <v>0</v>
      </c>
      <c r="AW74" s="82">
        <f t="shared" si="39"/>
        <v>0</v>
      </c>
      <c r="AX74" s="82">
        <f t="shared" si="40"/>
        <v>0</v>
      </c>
      <c r="AY74" s="82">
        <f t="shared" si="41"/>
        <v>0</v>
      </c>
    </row>
    <row r="75" spans="1:51" ht="14" x14ac:dyDescent="0.2">
      <c r="A75" s="254"/>
      <c r="B75" s="18" t="s">
        <v>925</v>
      </c>
      <c r="C75" s="1" t="s">
        <v>764</v>
      </c>
      <c r="D75" s="1" t="s">
        <v>1</v>
      </c>
      <c r="E75" s="83">
        <f>SUMIF('Incentive Report- Output'!$B$4:$B$93,'Incentive Summary Output'!C75,'Incentive Report- Output'!$AF$4:$AF$93)</f>
        <v>18248.788135593193</v>
      </c>
      <c r="F75" s="83">
        <f>SUMIF('Incentive Report- Output'!$B$98:$B$188,'Incentive Summary Output'!C75,'Incentive Report- Output'!$AF$98:$AF$188)</f>
        <v>8833.6949152542365</v>
      </c>
      <c r="G75" s="83">
        <f>SUMIF('Incentive Report- Output'!$B$193:$B$283,'Incentive Summary Output'!C75,'Incentive Report- Output'!$AF$193:$AF$283)</f>
        <v>10410.97881355931</v>
      </c>
      <c r="H75" s="83">
        <f>SUMIF('Incentive Report- Output'!$B$288:$B$382,'Incentive Summary Output'!C75,'Incentive Report- Output'!$AF$288:$AF$382)</f>
        <v>5454.9618644999991</v>
      </c>
      <c r="I75" s="83">
        <f>SUMIF('Incentive Report- Output'!$B$387:$B$480,'Incentive Summary Output'!C75,'Incentive Report- Output'!$AF$387:$AF$480)</f>
        <v>387250.83050847414</v>
      </c>
      <c r="J75" s="83"/>
      <c r="K75" s="83"/>
      <c r="L75" s="83"/>
      <c r="M75" s="83"/>
      <c r="N75" s="83"/>
      <c r="O75" s="83"/>
      <c r="P75" s="83"/>
      <c r="Q75" s="174">
        <f t="shared" si="17"/>
        <v>430199.25423738087</v>
      </c>
      <c r="S75" s="18" t="s">
        <v>925</v>
      </c>
      <c r="T75" s="1" t="s">
        <v>764</v>
      </c>
      <c r="U75" s="1" t="s">
        <v>1</v>
      </c>
      <c r="V75" s="82">
        <f t="shared" si="18"/>
        <v>0</v>
      </c>
      <c r="W75" s="82">
        <f t="shared" si="19"/>
        <v>0</v>
      </c>
      <c r="X75" s="82">
        <f t="shared" si="20"/>
        <v>0</v>
      </c>
      <c r="Y75" s="82">
        <f t="shared" si="21"/>
        <v>0</v>
      </c>
      <c r="Z75" s="82">
        <f t="shared" si="22"/>
        <v>187250.83050847414</v>
      </c>
      <c r="AA75" s="82">
        <f t="shared" si="23"/>
        <v>0</v>
      </c>
      <c r="AB75" s="82">
        <f t="shared" si="24"/>
        <v>0</v>
      </c>
      <c r="AC75" s="82">
        <f t="shared" si="25"/>
        <v>0</v>
      </c>
      <c r="AD75" s="82">
        <f t="shared" si="26"/>
        <v>0</v>
      </c>
      <c r="AE75" s="82">
        <f t="shared" si="27"/>
        <v>0</v>
      </c>
      <c r="AF75" s="82">
        <f t="shared" si="28"/>
        <v>0</v>
      </c>
      <c r="AG75" s="82">
        <f t="shared" si="29"/>
        <v>0</v>
      </c>
      <c r="AH75" s="82">
        <f t="shared" si="3"/>
        <v>187250.83050847414</v>
      </c>
      <c r="AJ75" s="18" t="s">
        <v>925</v>
      </c>
      <c r="AK75" s="1" t="s">
        <v>764</v>
      </c>
      <c r="AL75" s="1" t="s">
        <v>1</v>
      </c>
      <c r="AM75" s="82">
        <f t="shared" si="30"/>
        <v>18248.788135593193</v>
      </c>
      <c r="AN75" s="82">
        <f t="shared" si="31"/>
        <v>8833.6949152542365</v>
      </c>
      <c r="AO75" s="82">
        <f t="shared" si="6"/>
        <v>10410.97881355931</v>
      </c>
      <c r="AP75" s="82">
        <f t="shared" si="32"/>
        <v>5454.9618644999991</v>
      </c>
      <c r="AQ75" s="82">
        <f t="shared" si="33"/>
        <v>200000</v>
      </c>
      <c r="AR75" s="82">
        <f t="shared" si="34"/>
        <v>0</v>
      </c>
      <c r="AS75" s="82">
        <f t="shared" si="35"/>
        <v>0</v>
      </c>
      <c r="AT75" s="82">
        <f t="shared" si="36"/>
        <v>0</v>
      </c>
      <c r="AU75" s="82">
        <f t="shared" si="37"/>
        <v>0</v>
      </c>
      <c r="AV75" s="82">
        <f t="shared" si="38"/>
        <v>0</v>
      </c>
      <c r="AW75" s="82">
        <f t="shared" si="39"/>
        <v>0</v>
      </c>
      <c r="AX75" s="82">
        <f t="shared" si="40"/>
        <v>0</v>
      </c>
      <c r="AY75" s="82">
        <f t="shared" si="41"/>
        <v>242948.42372890672</v>
      </c>
    </row>
    <row r="76" spans="1:51" ht="14" x14ac:dyDescent="0.2">
      <c r="A76" s="254"/>
      <c r="B76" s="18" t="s">
        <v>928</v>
      </c>
      <c r="C76" s="1" t="s">
        <v>759</v>
      </c>
      <c r="D76" s="1" t="s">
        <v>1</v>
      </c>
      <c r="E76" s="83">
        <f>SUMIF('Incentive Report- Output'!$B$4:$B$93,'Incentive Summary Output'!C76,'Incentive Report- Output'!$AF$4:$AF$93)</f>
        <v>0</v>
      </c>
      <c r="F76" s="83">
        <f>SUMIF('Incentive Report- Output'!$B$98:$B$188,'Incentive Summary Output'!C76,'Incentive Report- Output'!$AF$98:$AF$188)</f>
        <v>0</v>
      </c>
      <c r="G76" s="83">
        <f>SUMIF('Incentive Report- Output'!$B$193:$B$283,'Incentive Summary Output'!C76,'Incentive Report- Output'!$AF$193:$AF$283)</f>
        <v>0</v>
      </c>
      <c r="H76" s="83">
        <f>SUMIF('Incentive Report- Output'!$B$288:$B$382,'Incentive Summary Output'!C76,'Incentive Report- Output'!$AF$288:$AF$382)</f>
        <v>0</v>
      </c>
      <c r="I76" s="83">
        <f>SUMIF('Incentive Report- Output'!$B$387:$B$480,'Incentive Summary Output'!C76,'Incentive Report- Output'!$AF$387:$AF$480)</f>
        <v>0</v>
      </c>
      <c r="J76" s="83"/>
      <c r="K76" s="83"/>
      <c r="L76" s="83"/>
      <c r="M76" s="83"/>
      <c r="N76" s="83"/>
      <c r="O76" s="83"/>
      <c r="P76" s="83"/>
      <c r="Q76" s="174">
        <f t="shared" si="17"/>
        <v>0</v>
      </c>
      <c r="S76" s="18" t="s">
        <v>928</v>
      </c>
      <c r="T76" s="1" t="s">
        <v>759</v>
      </c>
      <c r="U76" s="1" t="s">
        <v>1</v>
      </c>
      <c r="V76" s="82">
        <f t="shared" si="18"/>
        <v>0</v>
      </c>
      <c r="W76" s="82">
        <f t="shared" si="19"/>
        <v>0</v>
      </c>
      <c r="X76" s="82">
        <f t="shared" si="20"/>
        <v>0</v>
      </c>
      <c r="Y76" s="82">
        <f t="shared" si="21"/>
        <v>0</v>
      </c>
      <c r="Z76" s="82">
        <f t="shared" si="22"/>
        <v>0</v>
      </c>
      <c r="AA76" s="82">
        <f t="shared" si="23"/>
        <v>0</v>
      </c>
      <c r="AB76" s="82">
        <f t="shared" si="24"/>
        <v>0</v>
      </c>
      <c r="AC76" s="82">
        <f t="shared" si="25"/>
        <v>0</v>
      </c>
      <c r="AD76" s="82">
        <f t="shared" si="26"/>
        <v>0</v>
      </c>
      <c r="AE76" s="82">
        <f t="shared" si="27"/>
        <v>0</v>
      </c>
      <c r="AF76" s="82">
        <f t="shared" si="28"/>
        <v>0</v>
      </c>
      <c r="AG76" s="82">
        <f t="shared" si="29"/>
        <v>0</v>
      </c>
      <c r="AH76" s="82">
        <f t="shared" si="3"/>
        <v>0</v>
      </c>
      <c r="AJ76" s="18" t="s">
        <v>928</v>
      </c>
      <c r="AK76" s="1" t="s">
        <v>759</v>
      </c>
      <c r="AL76" s="1" t="s">
        <v>1</v>
      </c>
      <c r="AM76" s="82">
        <f t="shared" si="30"/>
        <v>0</v>
      </c>
      <c r="AN76" s="82">
        <f t="shared" si="31"/>
        <v>0</v>
      </c>
      <c r="AO76" s="82">
        <f t="shared" si="6"/>
        <v>0</v>
      </c>
      <c r="AP76" s="82">
        <f t="shared" si="32"/>
        <v>0</v>
      </c>
      <c r="AQ76" s="82">
        <f t="shared" si="33"/>
        <v>0</v>
      </c>
      <c r="AR76" s="82">
        <f t="shared" si="34"/>
        <v>0</v>
      </c>
      <c r="AS76" s="82">
        <f t="shared" si="35"/>
        <v>0</v>
      </c>
      <c r="AT76" s="82">
        <f t="shared" si="36"/>
        <v>0</v>
      </c>
      <c r="AU76" s="82">
        <f t="shared" si="37"/>
        <v>0</v>
      </c>
      <c r="AV76" s="82">
        <f t="shared" si="38"/>
        <v>0</v>
      </c>
      <c r="AW76" s="82">
        <f t="shared" si="39"/>
        <v>0</v>
      </c>
      <c r="AX76" s="82">
        <f t="shared" si="40"/>
        <v>0</v>
      </c>
      <c r="AY76" s="82">
        <f t="shared" si="41"/>
        <v>0</v>
      </c>
    </row>
    <row r="77" spans="1:51" ht="14" x14ac:dyDescent="0.2">
      <c r="A77" s="254"/>
      <c r="B77" s="18" t="s">
        <v>1040</v>
      </c>
      <c r="C77" s="1" t="s">
        <v>1043</v>
      </c>
      <c r="D77" s="1" t="s">
        <v>1</v>
      </c>
      <c r="E77" s="83">
        <f>SUMIF('Incentive Report- Output'!$B$4:$B$93,'Incentive Summary Output'!C77,'Incentive Report- Output'!$AF$4:$AF$93)</f>
        <v>0</v>
      </c>
      <c r="F77" s="83">
        <f>SUMIF('Incentive Report- Output'!$B$98:$B$188,'Incentive Summary Output'!C77,'Incentive Report- Output'!$AF$98:$AF$188)</f>
        <v>0</v>
      </c>
      <c r="G77" s="83">
        <f>SUMIF('Incentive Report- Output'!$B$193:$B$283,'Incentive Summary Output'!C77,'Incentive Report- Output'!$AF$193:$AF$283)</f>
        <v>0</v>
      </c>
      <c r="H77" s="83">
        <f>SUMIF('Incentive Report- Output'!$B$288:$B$382,'Incentive Summary Output'!C77,'Incentive Report- Output'!$AF$288:$AF$382)</f>
        <v>0</v>
      </c>
      <c r="I77" s="83">
        <f>SUMIF('Incentive Report- Output'!$B$387:$B$480,'Incentive Summary Output'!C77,'Incentive Report- Output'!$AF$387:$AF$480)</f>
        <v>23313.152542372849</v>
      </c>
      <c r="J77" s="83"/>
      <c r="K77" s="83"/>
      <c r="L77" s="83"/>
      <c r="M77" s="83"/>
      <c r="N77" s="83"/>
      <c r="O77" s="83"/>
      <c r="P77" s="83"/>
      <c r="Q77" s="174">
        <f t="shared" si="17"/>
        <v>23313.152542372849</v>
      </c>
      <c r="S77" s="18" t="s">
        <v>1040</v>
      </c>
      <c r="T77" s="1" t="s">
        <v>1043</v>
      </c>
      <c r="U77" s="1" t="s">
        <v>1</v>
      </c>
      <c r="V77" s="82">
        <f t="shared" si="18"/>
        <v>0</v>
      </c>
      <c r="W77" s="82">
        <f t="shared" si="19"/>
        <v>0</v>
      </c>
      <c r="X77" s="82">
        <f t="shared" si="20"/>
        <v>0</v>
      </c>
      <c r="Y77" s="82">
        <f t="shared" si="21"/>
        <v>0</v>
      </c>
      <c r="Z77" s="82">
        <f t="shared" si="22"/>
        <v>0</v>
      </c>
      <c r="AA77" s="82">
        <f t="shared" si="23"/>
        <v>0</v>
      </c>
      <c r="AB77" s="82">
        <f t="shared" si="24"/>
        <v>0</v>
      </c>
      <c r="AC77" s="82">
        <f t="shared" si="25"/>
        <v>0</v>
      </c>
      <c r="AD77" s="82">
        <f t="shared" si="26"/>
        <v>0</v>
      </c>
      <c r="AE77" s="82">
        <f t="shared" si="27"/>
        <v>0</v>
      </c>
      <c r="AF77" s="82">
        <f t="shared" si="28"/>
        <v>0</v>
      </c>
      <c r="AG77" s="82">
        <f t="shared" si="29"/>
        <v>0</v>
      </c>
      <c r="AH77" s="82">
        <f t="shared" si="3"/>
        <v>0</v>
      </c>
      <c r="AJ77" s="18" t="s">
        <v>1040</v>
      </c>
      <c r="AK77" s="1" t="s">
        <v>1043</v>
      </c>
      <c r="AL77" s="1" t="s">
        <v>1</v>
      </c>
      <c r="AM77" s="82">
        <f t="shared" si="30"/>
        <v>0</v>
      </c>
      <c r="AN77" s="82">
        <f t="shared" si="31"/>
        <v>0</v>
      </c>
      <c r="AO77" s="82">
        <f t="shared" si="6"/>
        <v>0</v>
      </c>
      <c r="AP77" s="82">
        <f t="shared" si="32"/>
        <v>0</v>
      </c>
      <c r="AQ77" s="82">
        <f t="shared" si="33"/>
        <v>23313.152542372849</v>
      </c>
      <c r="AR77" s="82">
        <f t="shared" si="34"/>
        <v>0</v>
      </c>
      <c r="AS77" s="82">
        <f t="shared" si="35"/>
        <v>0</v>
      </c>
      <c r="AT77" s="82">
        <f t="shared" si="36"/>
        <v>0</v>
      </c>
      <c r="AU77" s="82">
        <f t="shared" si="37"/>
        <v>0</v>
      </c>
      <c r="AV77" s="82">
        <f t="shared" si="38"/>
        <v>0</v>
      </c>
      <c r="AW77" s="82">
        <f t="shared" si="39"/>
        <v>0</v>
      </c>
      <c r="AX77" s="82">
        <f t="shared" si="40"/>
        <v>0</v>
      </c>
      <c r="AY77" s="82">
        <f t="shared" si="41"/>
        <v>23313.152542372849</v>
      </c>
    </row>
    <row r="78" spans="1:51" ht="14" x14ac:dyDescent="0.2">
      <c r="A78" s="254"/>
      <c r="B78" s="18" t="s">
        <v>41</v>
      </c>
      <c r="C78" s="1" t="s">
        <v>42</v>
      </c>
      <c r="D78" s="1" t="s">
        <v>0</v>
      </c>
      <c r="E78" s="83">
        <f>SUMIF('Incentive Report- Output'!$B$4:$B$93,'Incentive Summary Output'!C78,'Incentive Report- Output'!$AF$4:$AF$93)</f>
        <v>5757.0847457627069</v>
      </c>
      <c r="F78" s="83">
        <f>SUMIF('Incentive Report- Output'!$B$98:$B$188,'Incentive Summary Output'!C78,'Incentive Report- Output'!$AF$98:$AF$188)</f>
        <v>11480.902542372873</v>
      </c>
      <c r="G78" s="83">
        <f>SUMIF('Incentive Report- Output'!$B$193:$B$283,'Incentive Summary Output'!C78,'Incentive Report- Output'!$AF$193:$AF$283)</f>
        <v>57023.847457627053</v>
      </c>
      <c r="H78" s="83">
        <f>SUMIF('Incentive Report- Output'!$B$288:$B$382,'Incentive Summary Output'!C78,'Incentive Report- Output'!$AF$288:$AF$382)</f>
        <v>6362.3559334999973</v>
      </c>
      <c r="I78" s="83">
        <f>SUMIF('Incentive Report- Output'!$B$387:$B$480,'Incentive Summary Output'!C78,'Incentive Report- Output'!$AF$387:$AF$480)</f>
        <v>368296.14406779659</v>
      </c>
      <c r="J78" s="83"/>
      <c r="K78" s="83"/>
      <c r="L78" s="83"/>
      <c r="M78" s="83"/>
      <c r="N78" s="83"/>
      <c r="O78" s="83"/>
      <c r="P78" s="83"/>
      <c r="Q78" s="174">
        <f t="shared" si="17"/>
        <v>448920.33474705921</v>
      </c>
      <c r="S78" s="18" t="s">
        <v>41</v>
      </c>
      <c r="T78" s="1" t="s">
        <v>42</v>
      </c>
      <c r="U78" s="1" t="s">
        <v>0</v>
      </c>
      <c r="V78" s="82">
        <f t="shared" si="18"/>
        <v>0</v>
      </c>
      <c r="W78" s="82">
        <f t="shared" si="19"/>
        <v>0</v>
      </c>
      <c r="X78" s="82">
        <f t="shared" si="20"/>
        <v>0</v>
      </c>
      <c r="Y78" s="82">
        <f t="shared" si="21"/>
        <v>0</v>
      </c>
      <c r="Z78" s="82">
        <f t="shared" si="22"/>
        <v>168296.14406779659</v>
      </c>
      <c r="AA78" s="82">
        <f t="shared" si="23"/>
        <v>0</v>
      </c>
      <c r="AB78" s="82">
        <f t="shared" si="24"/>
        <v>0</v>
      </c>
      <c r="AC78" s="82">
        <f t="shared" si="25"/>
        <v>0</v>
      </c>
      <c r="AD78" s="82">
        <f t="shared" si="26"/>
        <v>0</v>
      </c>
      <c r="AE78" s="82">
        <f t="shared" si="27"/>
        <v>0</v>
      </c>
      <c r="AF78" s="82">
        <f t="shared" si="28"/>
        <v>0</v>
      </c>
      <c r="AG78" s="82">
        <f t="shared" si="29"/>
        <v>0</v>
      </c>
      <c r="AH78" s="82">
        <f t="shared" si="3"/>
        <v>168296.14406779659</v>
      </c>
      <c r="AJ78" s="18" t="s">
        <v>41</v>
      </c>
      <c r="AK78" s="1" t="s">
        <v>42</v>
      </c>
      <c r="AL78" s="1" t="s">
        <v>0</v>
      </c>
      <c r="AM78" s="82">
        <f t="shared" si="30"/>
        <v>5757.0847457627069</v>
      </c>
      <c r="AN78" s="82">
        <f t="shared" si="31"/>
        <v>11480.902542372873</v>
      </c>
      <c r="AO78" s="82">
        <f t="shared" si="6"/>
        <v>57023.847457627053</v>
      </c>
      <c r="AP78" s="82">
        <f t="shared" si="32"/>
        <v>6362.3559334999973</v>
      </c>
      <c r="AQ78" s="82">
        <f t="shared" si="33"/>
        <v>200000</v>
      </c>
      <c r="AR78" s="82">
        <f t="shared" si="34"/>
        <v>0</v>
      </c>
      <c r="AS78" s="82">
        <f t="shared" si="35"/>
        <v>0</v>
      </c>
      <c r="AT78" s="82">
        <f t="shared" si="36"/>
        <v>0</v>
      </c>
      <c r="AU78" s="82">
        <f t="shared" si="37"/>
        <v>0</v>
      </c>
      <c r="AV78" s="82">
        <f t="shared" si="38"/>
        <v>0</v>
      </c>
      <c r="AW78" s="82">
        <f t="shared" si="39"/>
        <v>0</v>
      </c>
      <c r="AX78" s="82">
        <f t="shared" si="40"/>
        <v>0</v>
      </c>
      <c r="AY78" s="82">
        <f t="shared" si="41"/>
        <v>280624.19067926263</v>
      </c>
    </row>
    <row r="79" spans="1:51" ht="14" x14ac:dyDescent="0.2">
      <c r="A79" s="254"/>
      <c r="B79" s="18" t="s">
        <v>1041</v>
      </c>
      <c r="C79" s="1" t="s">
        <v>1042</v>
      </c>
      <c r="D79" s="1" t="s">
        <v>1</v>
      </c>
      <c r="E79" s="83">
        <f>SUMIF('Incentive Report- Output'!$B$4:$B$93,'Incentive Summary Output'!C79,'Incentive Report- Output'!$AF$4:$AF$93)</f>
        <v>0</v>
      </c>
      <c r="F79" s="83">
        <f>SUMIF('Incentive Report- Output'!$B$98:$B$188,'Incentive Summary Output'!C79,'Incentive Report- Output'!$AF$98:$AF$188)</f>
        <v>0</v>
      </c>
      <c r="G79" s="83">
        <f>SUMIF('Incentive Report- Output'!$B$193:$B$283,'Incentive Summary Output'!C79,'Incentive Report- Output'!$AF$193:$AF$283)</f>
        <v>0</v>
      </c>
      <c r="H79" s="83">
        <f>SUMIF('Incentive Report- Output'!$B$288:$B$382,'Incentive Summary Output'!C79,'Incentive Report- Output'!$AF$288:$AF$382)</f>
        <v>0</v>
      </c>
      <c r="I79" s="83">
        <f>SUMIF('Incentive Report- Output'!$B$387:$B$480,'Incentive Summary Output'!C79,'Incentive Report- Output'!$AF$387:$AF$480)</f>
        <v>0</v>
      </c>
      <c r="J79" s="83"/>
      <c r="K79" s="83"/>
      <c r="L79" s="83"/>
      <c r="M79" s="83"/>
      <c r="N79" s="83"/>
      <c r="O79" s="83"/>
      <c r="P79" s="83"/>
      <c r="Q79" s="174">
        <f t="shared" si="17"/>
        <v>0</v>
      </c>
      <c r="S79" s="18" t="s">
        <v>1041</v>
      </c>
      <c r="T79" s="1" t="s">
        <v>1042</v>
      </c>
      <c r="U79" s="1" t="s">
        <v>1</v>
      </c>
      <c r="V79" s="82">
        <f t="shared" si="18"/>
        <v>0</v>
      </c>
      <c r="W79" s="82">
        <f t="shared" si="19"/>
        <v>0</v>
      </c>
      <c r="X79" s="82">
        <f t="shared" si="20"/>
        <v>0</v>
      </c>
      <c r="Y79" s="82">
        <f t="shared" si="21"/>
        <v>0</v>
      </c>
      <c r="Z79" s="82">
        <f t="shared" si="22"/>
        <v>0</v>
      </c>
      <c r="AA79" s="82">
        <f t="shared" si="23"/>
        <v>0</v>
      </c>
      <c r="AB79" s="82">
        <f t="shared" si="24"/>
        <v>0</v>
      </c>
      <c r="AC79" s="82">
        <f t="shared" si="25"/>
        <v>0</v>
      </c>
      <c r="AD79" s="82">
        <f t="shared" si="26"/>
        <v>0</v>
      </c>
      <c r="AE79" s="82">
        <f t="shared" si="27"/>
        <v>0</v>
      </c>
      <c r="AF79" s="82">
        <f t="shared" si="28"/>
        <v>0</v>
      </c>
      <c r="AG79" s="82">
        <f t="shared" si="29"/>
        <v>0</v>
      </c>
      <c r="AH79" s="82">
        <f t="shared" si="3"/>
        <v>0</v>
      </c>
      <c r="AJ79" s="18" t="s">
        <v>1041</v>
      </c>
      <c r="AK79" s="1" t="s">
        <v>1042</v>
      </c>
      <c r="AL79" s="1" t="s">
        <v>1</v>
      </c>
      <c r="AM79" s="82">
        <f t="shared" si="30"/>
        <v>0</v>
      </c>
      <c r="AN79" s="82">
        <f t="shared" si="31"/>
        <v>0</v>
      </c>
      <c r="AO79" s="82">
        <f t="shared" si="6"/>
        <v>0</v>
      </c>
      <c r="AP79" s="82">
        <f t="shared" si="32"/>
        <v>0</v>
      </c>
      <c r="AQ79" s="82">
        <f t="shared" si="33"/>
        <v>0</v>
      </c>
      <c r="AR79" s="82">
        <f t="shared" si="34"/>
        <v>0</v>
      </c>
      <c r="AS79" s="82">
        <f t="shared" si="35"/>
        <v>0</v>
      </c>
      <c r="AT79" s="82">
        <f t="shared" si="36"/>
        <v>0</v>
      </c>
      <c r="AU79" s="82">
        <f t="shared" si="37"/>
        <v>0</v>
      </c>
      <c r="AV79" s="82">
        <f t="shared" si="38"/>
        <v>0</v>
      </c>
      <c r="AW79" s="82">
        <f t="shared" si="39"/>
        <v>0</v>
      </c>
      <c r="AX79" s="82">
        <f t="shared" si="40"/>
        <v>0</v>
      </c>
      <c r="AY79" s="82">
        <f t="shared" si="41"/>
        <v>0</v>
      </c>
    </row>
    <row r="80" spans="1:51" ht="14" x14ac:dyDescent="0.2">
      <c r="A80" s="254"/>
      <c r="B80" s="18" t="s">
        <v>304</v>
      </c>
      <c r="C80" s="1" t="s">
        <v>306</v>
      </c>
      <c r="D80" s="1" t="s">
        <v>1</v>
      </c>
      <c r="E80" s="83">
        <f>SUMIF('Incentive Report- Output'!$B$4:$B$93,'Incentive Summary Output'!C80,'Incentive Report- Output'!$AF$4:$AF$93)</f>
        <v>7320.8220338982974</v>
      </c>
      <c r="F80" s="83">
        <f>SUMIF('Incentive Report- Output'!$B$98:$B$188,'Incentive Summary Output'!C80,'Incentive Report- Output'!$AF$98:$AF$188)</f>
        <v>0</v>
      </c>
      <c r="G80" s="83">
        <f>SUMIF('Incentive Report- Output'!$B$193:$B$283,'Incentive Summary Output'!C80,'Incentive Report- Output'!$AF$193:$AF$283)</f>
        <v>0</v>
      </c>
      <c r="H80" s="83">
        <f>SUMIF('Incentive Report- Output'!$B$288:$B$382,'Incentive Summary Output'!C80,'Incentive Report- Output'!$AF$288:$AF$382)</f>
        <v>0</v>
      </c>
      <c r="I80" s="83">
        <f>SUMIF('Incentive Report- Output'!$B$387:$B$480,'Incentive Summary Output'!C80,'Incentive Report- Output'!$AF$387:$AF$480)</f>
        <v>0</v>
      </c>
      <c r="J80" s="83"/>
      <c r="K80" s="83"/>
      <c r="L80" s="83"/>
      <c r="M80" s="83"/>
      <c r="N80" s="83"/>
      <c r="O80" s="83"/>
      <c r="P80" s="83"/>
      <c r="Q80" s="174">
        <f t="shared" si="17"/>
        <v>7320.8220338982974</v>
      </c>
      <c r="S80" s="18" t="s">
        <v>304</v>
      </c>
      <c r="T80" s="1" t="s">
        <v>306</v>
      </c>
      <c r="U80" s="1" t="s">
        <v>1</v>
      </c>
      <c r="V80" s="82">
        <f t="shared" si="18"/>
        <v>0</v>
      </c>
      <c r="W80" s="82">
        <f t="shared" si="19"/>
        <v>0</v>
      </c>
      <c r="X80" s="82">
        <f t="shared" si="20"/>
        <v>0</v>
      </c>
      <c r="Y80" s="82">
        <f t="shared" si="21"/>
        <v>0</v>
      </c>
      <c r="Z80" s="82">
        <f t="shared" si="22"/>
        <v>0</v>
      </c>
      <c r="AA80" s="82">
        <f t="shared" si="23"/>
        <v>0</v>
      </c>
      <c r="AB80" s="82">
        <f t="shared" si="24"/>
        <v>0</v>
      </c>
      <c r="AC80" s="82">
        <f t="shared" si="25"/>
        <v>0</v>
      </c>
      <c r="AD80" s="82">
        <f t="shared" si="26"/>
        <v>0</v>
      </c>
      <c r="AE80" s="82">
        <f t="shared" si="27"/>
        <v>0</v>
      </c>
      <c r="AF80" s="82">
        <f t="shared" si="28"/>
        <v>0</v>
      </c>
      <c r="AG80" s="82">
        <f t="shared" si="29"/>
        <v>0</v>
      </c>
      <c r="AH80" s="82">
        <f t="shared" si="3"/>
        <v>0</v>
      </c>
      <c r="AJ80" s="18" t="s">
        <v>304</v>
      </c>
      <c r="AK80" s="1" t="s">
        <v>306</v>
      </c>
      <c r="AL80" s="1" t="s">
        <v>1</v>
      </c>
      <c r="AM80" s="82">
        <f t="shared" si="30"/>
        <v>7320.8220338982974</v>
      </c>
      <c r="AN80" s="82">
        <f t="shared" si="31"/>
        <v>0</v>
      </c>
      <c r="AO80" s="82">
        <f t="shared" si="6"/>
        <v>0</v>
      </c>
      <c r="AP80" s="82">
        <f t="shared" si="32"/>
        <v>0</v>
      </c>
      <c r="AQ80" s="82">
        <f t="shared" si="33"/>
        <v>0</v>
      </c>
      <c r="AR80" s="82">
        <f t="shared" si="34"/>
        <v>0</v>
      </c>
      <c r="AS80" s="82">
        <f t="shared" si="35"/>
        <v>0</v>
      </c>
      <c r="AT80" s="82">
        <f t="shared" si="36"/>
        <v>0</v>
      </c>
      <c r="AU80" s="82">
        <f t="shared" si="37"/>
        <v>0</v>
      </c>
      <c r="AV80" s="82">
        <f t="shared" si="38"/>
        <v>0</v>
      </c>
      <c r="AW80" s="82">
        <f t="shared" si="39"/>
        <v>0</v>
      </c>
      <c r="AX80" s="82">
        <f t="shared" si="40"/>
        <v>0</v>
      </c>
      <c r="AY80" s="82">
        <f t="shared" si="41"/>
        <v>7320.8220338982974</v>
      </c>
    </row>
    <row r="81" spans="1:51" ht="14" x14ac:dyDescent="0.2">
      <c r="A81" s="254"/>
      <c r="B81" s="18" t="s">
        <v>659</v>
      </c>
      <c r="C81" s="1" t="s">
        <v>660</v>
      </c>
      <c r="D81" s="1" t="s">
        <v>1</v>
      </c>
      <c r="E81" s="83">
        <f>SUMIF('Incentive Report- Output'!$B$4:$B$93,'Incentive Summary Output'!C81,'Incentive Report- Output'!$AF$4:$AF$93)</f>
        <v>5497.555084745758</v>
      </c>
      <c r="F81" s="83">
        <f>SUMIF('Incentive Report- Output'!$B$98:$B$188,'Incentive Summary Output'!C81,'Incentive Report- Output'!$AF$98:$AF$188)</f>
        <v>6153.9152542372849</v>
      </c>
      <c r="G81" s="83">
        <f>SUMIF('Incentive Report- Output'!$B$193:$B$283,'Incentive Summary Output'!C81,'Incentive Report- Output'!$AF$193:$AF$283)</f>
        <v>0</v>
      </c>
      <c r="H81" s="83">
        <f>SUMIF('Incentive Report- Output'!$B$288:$B$382,'Incentive Summary Output'!C81,'Incentive Report- Output'!$AF$288:$AF$382)</f>
        <v>0</v>
      </c>
      <c r="I81" s="83">
        <f>SUMIF('Incentive Report- Output'!$B$387:$B$480,'Incentive Summary Output'!C81,'Incentive Report- Output'!$AF$387:$AF$480)</f>
        <v>174899.55508474581</v>
      </c>
      <c r="J81" s="83"/>
      <c r="K81" s="83"/>
      <c r="L81" s="83"/>
      <c r="M81" s="83"/>
      <c r="N81" s="83"/>
      <c r="O81" s="83"/>
      <c r="P81" s="83"/>
      <c r="Q81" s="174">
        <f t="shared" ref="Q81:Q103" si="42">SUM(E81:P81)</f>
        <v>186551.02542372886</v>
      </c>
      <c r="S81" s="18" t="s">
        <v>659</v>
      </c>
      <c r="T81" s="1" t="s">
        <v>660</v>
      </c>
      <c r="U81" s="1" t="s">
        <v>1</v>
      </c>
      <c r="V81" s="82">
        <f t="shared" si="18"/>
        <v>0</v>
      </c>
      <c r="W81" s="82">
        <f t="shared" si="19"/>
        <v>0</v>
      </c>
      <c r="X81" s="82">
        <f t="shared" si="20"/>
        <v>0</v>
      </c>
      <c r="Y81" s="82">
        <f t="shared" si="21"/>
        <v>0</v>
      </c>
      <c r="Z81" s="82">
        <f t="shared" si="22"/>
        <v>0</v>
      </c>
      <c r="AA81" s="82">
        <f t="shared" si="23"/>
        <v>0</v>
      </c>
      <c r="AB81" s="82">
        <f t="shared" si="24"/>
        <v>0</v>
      </c>
      <c r="AC81" s="82">
        <f t="shared" si="25"/>
        <v>0</v>
      </c>
      <c r="AD81" s="82">
        <f t="shared" si="26"/>
        <v>0</v>
      </c>
      <c r="AE81" s="82">
        <f t="shared" si="27"/>
        <v>0</v>
      </c>
      <c r="AF81" s="82">
        <f t="shared" si="28"/>
        <v>0</v>
      </c>
      <c r="AG81" s="82">
        <f t="shared" si="29"/>
        <v>0</v>
      </c>
      <c r="AH81" s="82">
        <f t="shared" ref="AH81:AH103" si="43">SUM(V81:AG81)</f>
        <v>0</v>
      </c>
      <c r="AJ81" s="18" t="s">
        <v>659</v>
      </c>
      <c r="AK81" s="1" t="s">
        <v>660</v>
      </c>
      <c r="AL81" s="1" t="s">
        <v>1</v>
      </c>
      <c r="AM81" s="82">
        <f t="shared" ref="AM81:AM85" si="44">E81-V81</f>
        <v>5497.555084745758</v>
      </c>
      <c r="AN81" s="82">
        <f t="shared" ref="AN81:AO85" si="45">F81-W81</f>
        <v>6153.9152542372849</v>
      </c>
      <c r="AO81" s="82">
        <f t="shared" si="45"/>
        <v>0</v>
      </c>
      <c r="AP81" s="82">
        <f t="shared" ref="AP81:AP85" si="46">H81-Y81</f>
        <v>0</v>
      </c>
      <c r="AQ81" s="82">
        <f t="shared" ref="AQ81:AQ94" si="47">I81-Z81</f>
        <v>174899.55508474581</v>
      </c>
      <c r="AR81" s="82">
        <f t="shared" ref="AR81:AR96" si="48">J81-AA81</f>
        <v>0</v>
      </c>
      <c r="AS81" s="82">
        <f t="shared" ref="AS81:AS96" si="49">K81-AB81</f>
        <v>0</v>
      </c>
      <c r="AT81" s="82">
        <f t="shared" ref="AT81:AT103" si="50">L81-AC81</f>
        <v>0</v>
      </c>
      <c r="AU81" s="82">
        <f t="shared" ref="AU81:AU103" si="51">M81-AD81</f>
        <v>0</v>
      </c>
      <c r="AV81" s="82">
        <f t="shared" ref="AV81:AV103" si="52">N81-AE81</f>
        <v>0</v>
      </c>
      <c r="AW81" s="82">
        <f t="shared" ref="AW81:AW103" si="53">O81-AF81</f>
        <v>0</v>
      </c>
      <c r="AX81" s="82">
        <f t="shared" ref="AX81:AX103" si="54">P81-AG81</f>
        <v>0</v>
      </c>
      <c r="AY81" s="82">
        <f t="shared" si="41"/>
        <v>186551.02542372886</v>
      </c>
    </row>
    <row r="82" spans="1:51" ht="14" x14ac:dyDescent="0.2">
      <c r="A82" s="254"/>
      <c r="B82" s="18" t="s">
        <v>117</v>
      </c>
      <c r="C82" s="1" t="s">
        <v>196</v>
      </c>
      <c r="D82" s="1" t="s">
        <v>1185</v>
      </c>
      <c r="E82" s="83">
        <f>SUMIF('Incentive Report- Output'!$B$4:$B$93,'Incentive Summary Output'!C82,'Incentive Report- Output'!$AF$4:$AF$93)</f>
        <v>77556.20338983032</v>
      </c>
      <c r="F82" s="83">
        <f>SUMIF('Incentive Report- Output'!$B$98:$B$188,'Incentive Summary Output'!C82,'Incentive Report- Output'!$AF$98:$AF$188)</f>
        <v>0</v>
      </c>
      <c r="G82" s="83">
        <f>SUMIF('Incentive Report- Output'!$B$193:$B$283,'Incentive Summary Output'!C82,'Incentive Report- Output'!$AF$193:$AF$283)</f>
        <v>103339.01694915231</v>
      </c>
      <c r="H82" s="83">
        <f>SUMIF('Incentive Report- Output'!$B$288:$B$382,'Incentive Summary Output'!C82,'Incentive Report- Output'!$AF$288:$AF$382)</f>
        <v>49455.838988999967</v>
      </c>
      <c r="I82" s="83">
        <f>SUMIF('Incentive Report- Output'!$B$387:$B$480,'Incentive Summary Output'!C82,'Incentive Report- Output'!$AF$387:$AF$480)</f>
        <v>234864.74364406778</v>
      </c>
      <c r="J82" s="83"/>
      <c r="K82" s="83"/>
      <c r="L82" s="83"/>
      <c r="M82" s="83"/>
      <c r="N82" s="83"/>
      <c r="O82" s="83"/>
      <c r="P82" s="83"/>
      <c r="Q82" s="174">
        <f t="shared" si="42"/>
        <v>465215.80297205038</v>
      </c>
      <c r="S82" s="18" t="s">
        <v>117</v>
      </c>
      <c r="T82" s="1" t="s">
        <v>196</v>
      </c>
      <c r="U82" s="1" t="s">
        <v>1185</v>
      </c>
      <c r="V82" s="82">
        <f t="shared" si="18"/>
        <v>0</v>
      </c>
      <c r="W82" s="82">
        <f t="shared" si="19"/>
        <v>0</v>
      </c>
      <c r="X82" s="82">
        <f t="shared" si="20"/>
        <v>0</v>
      </c>
      <c r="Y82" s="82">
        <f t="shared" si="21"/>
        <v>0</v>
      </c>
      <c r="Z82" s="82">
        <f t="shared" si="22"/>
        <v>34864.743644067785</v>
      </c>
      <c r="AA82" s="82">
        <f t="shared" si="23"/>
        <v>0</v>
      </c>
      <c r="AB82" s="82">
        <f t="shared" si="24"/>
        <v>0</v>
      </c>
      <c r="AC82" s="82">
        <f t="shared" si="25"/>
        <v>0</v>
      </c>
      <c r="AD82" s="82">
        <f t="shared" si="26"/>
        <v>0</v>
      </c>
      <c r="AE82" s="82">
        <f t="shared" si="27"/>
        <v>0</v>
      </c>
      <c r="AF82" s="82">
        <f t="shared" si="28"/>
        <v>0</v>
      </c>
      <c r="AG82" s="82">
        <f t="shared" si="29"/>
        <v>0</v>
      </c>
      <c r="AH82" s="82">
        <f t="shared" si="43"/>
        <v>34864.743644067785</v>
      </c>
      <c r="AJ82" s="18" t="s">
        <v>117</v>
      </c>
      <c r="AK82" s="1" t="s">
        <v>196</v>
      </c>
      <c r="AL82" s="1" t="s">
        <v>1185</v>
      </c>
      <c r="AM82" s="82">
        <f t="shared" si="44"/>
        <v>77556.20338983032</v>
      </c>
      <c r="AN82" s="82">
        <f t="shared" si="45"/>
        <v>0</v>
      </c>
      <c r="AO82" s="82">
        <f t="shared" si="45"/>
        <v>103339.01694915231</v>
      </c>
      <c r="AP82" s="82">
        <f t="shared" si="46"/>
        <v>49455.838988999967</v>
      </c>
      <c r="AQ82" s="82">
        <f t="shared" si="47"/>
        <v>200000</v>
      </c>
      <c r="AR82" s="82">
        <f t="shared" si="48"/>
        <v>0</v>
      </c>
      <c r="AS82" s="82">
        <f t="shared" si="49"/>
        <v>0</v>
      </c>
      <c r="AT82" s="82">
        <f t="shared" si="50"/>
        <v>0</v>
      </c>
      <c r="AU82" s="82">
        <f t="shared" si="51"/>
        <v>0</v>
      </c>
      <c r="AV82" s="82">
        <f t="shared" si="52"/>
        <v>0</v>
      </c>
      <c r="AW82" s="82">
        <f t="shared" si="53"/>
        <v>0</v>
      </c>
      <c r="AX82" s="82">
        <f t="shared" si="54"/>
        <v>0</v>
      </c>
      <c r="AY82" s="82">
        <f t="shared" ref="AY82:AY85" si="55">SUM(AM82:AX82)</f>
        <v>430351.0593279826</v>
      </c>
    </row>
    <row r="83" spans="1:51" ht="14" x14ac:dyDescent="0.2">
      <c r="A83" s="254"/>
      <c r="B83" s="18" t="s">
        <v>765</v>
      </c>
      <c r="C83" s="1" t="s">
        <v>766</v>
      </c>
      <c r="D83" s="1" t="s">
        <v>1</v>
      </c>
      <c r="E83" s="83">
        <f>SUMIF('Incentive Report- Output'!$B$4:$B$93,'Incentive Summary Output'!C83,'Incentive Report- Output'!$AF$4:$AF$93)</f>
        <v>6835.8559322033825</v>
      </c>
      <c r="F83" s="83">
        <f>SUMIF('Incentive Report- Output'!$B$98:$B$188,'Incentive Summary Output'!C83,'Incentive Report- Output'!$AF$98:$AF$188)</f>
        <v>0</v>
      </c>
      <c r="G83" s="83">
        <f>SUMIF('Incentive Report- Output'!$B$193:$B$283,'Incentive Summary Output'!C83,'Incentive Report- Output'!$AF$193:$AF$283)</f>
        <v>59605.455508474486</v>
      </c>
      <c r="H83" s="83">
        <f>SUMIF('Incentive Report- Output'!$B$288:$B$382,'Incentive Summary Output'!C83,'Incentive Report- Output'!$AF$288:$AF$382)</f>
        <v>55234.500008999988</v>
      </c>
      <c r="I83" s="83">
        <f>SUMIF('Incentive Report- Output'!$B$387:$B$480,'Incentive Summary Output'!C83,'Incentive Report- Output'!$AF$387:$AF$480)</f>
        <v>519268.98305084679</v>
      </c>
      <c r="J83" s="83"/>
      <c r="K83" s="83"/>
      <c r="L83" s="83"/>
      <c r="M83" s="83"/>
      <c r="N83" s="83"/>
      <c r="O83" s="83"/>
      <c r="P83" s="83"/>
      <c r="Q83" s="174">
        <f t="shared" si="42"/>
        <v>640944.79450052464</v>
      </c>
      <c r="S83" s="18" t="s">
        <v>765</v>
      </c>
      <c r="T83" s="1" t="s">
        <v>766</v>
      </c>
      <c r="U83" s="1" t="s">
        <v>1</v>
      </c>
      <c r="V83" s="82">
        <f t="shared" si="18"/>
        <v>0</v>
      </c>
      <c r="W83" s="82">
        <f t="shared" si="19"/>
        <v>0</v>
      </c>
      <c r="X83" s="82">
        <f t="shared" si="20"/>
        <v>0</v>
      </c>
      <c r="Y83" s="82">
        <f t="shared" si="21"/>
        <v>0</v>
      </c>
      <c r="Z83" s="82">
        <f t="shared" si="22"/>
        <v>319268.98305084679</v>
      </c>
      <c r="AA83" s="82">
        <f t="shared" si="23"/>
        <v>0</v>
      </c>
      <c r="AB83" s="82">
        <f t="shared" si="24"/>
        <v>0</v>
      </c>
      <c r="AC83" s="82">
        <f t="shared" si="25"/>
        <v>0</v>
      </c>
      <c r="AD83" s="82">
        <f t="shared" si="26"/>
        <v>0</v>
      </c>
      <c r="AE83" s="82">
        <f t="shared" si="27"/>
        <v>0</v>
      </c>
      <c r="AF83" s="82">
        <f t="shared" si="28"/>
        <v>0</v>
      </c>
      <c r="AG83" s="82">
        <f t="shared" si="29"/>
        <v>0</v>
      </c>
      <c r="AH83" s="82">
        <f t="shared" si="43"/>
        <v>319268.98305084679</v>
      </c>
      <c r="AJ83" s="18" t="s">
        <v>765</v>
      </c>
      <c r="AK83" s="1" t="s">
        <v>766</v>
      </c>
      <c r="AL83" s="1" t="s">
        <v>1</v>
      </c>
      <c r="AM83" s="82">
        <f t="shared" si="44"/>
        <v>6835.8559322033825</v>
      </c>
      <c r="AN83" s="82">
        <f t="shared" si="45"/>
        <v>0</v>
      </c>
      <c r="AO83" s="82">
        <f t="shared" si="45"/>
        <v>59605.455508474486</v>
      </c>
      <c r="AP83" s="82">
        <f t="shared" si="46"/>
        <v>55234.500008999988</v>
      </c>
      <c r="AQ83" s="82">
        <f t="shared" si="47"/>
        <v>200000</v>
      </c>
      <c r="AR83" s="82">
        <f t="shared" si="48"/>
        <v>0</v>
      </c>
      <c r="AS83" s="82">
        <f t="shared" si="49"/>
        <v>0</v>
      </c>
      <c r="AT83" s="82">
        <f t="shared" si="50"/>
        <v>0</v>
      </c>
      <c r="AU83" s="82">
        <f t="shared" si="51"/>
        <v>0</v>
      </c>
      <c r="AV83" s="82">
        <f t="shared" si="52"/>
        <v>0</v>
      </c>
      <c r="AW83" s="82">
        <f t="shared" si="53"/>
        <v>0</v>
      </c>
      <c r="AX83" s="82">
        <f t="shared" si="54"/>
        <v>0</v>
      </c>
      <c r="AY83" s="82">
        <f t="shared" si="55"/>
        <v>321675.81144967786</v>
      </c>
    </row>
    <row r="84" spans="1:51" ht="15.75" customHeight="1" x14ac:dyDescent="0.2">
      <c r="A84" s="254"/>
      <c r="B84" s="18" t="s">
        <v>240</v>
      </c>
      <c r="C84" s="1" t="s">
        <v>241</v>
      </c>
      <c r="D84" s="1" t="s">
        <v>1</v>
      </c>
      <c r="E84" s="83">
        <f>SUMIF('Incentive Report- Output'!$B$4:$B$93,'Incentive Summary Output'!C84,'Incentive Report- Output'!$AF$4:$AF$93)</f>
        <v>0</v>
      </c>
      <c r="F84" s="83">
        <f>SUMIF('Incentive Report- Output'!$B$98:$B$188,'Incentive Summary Output'!C84,'Incentive Report- Output'!$AF$98:$AF$188)</f>
        <v>0</v>
      </c>
      <c r="G84" s="83">
        <f>SUMIF('Incentive Report- Output'!$B$193:$B$283,'Incentive Summary Output'!C84,'Incentive Report- Output'!$AF$193:$AF$283)</f>
        <v>9336.656779661007</v>
      </c>
      <c r="H84" s="83">
        <f>SUMIF('Incentive Report- Output'!$B$288:$B$382,'Incentive Summary Output'!C84,'Incentive Report- Output'!$AF$288:$AF$382)</f>
        <v>43809.235159499993</v>
      </c>
      <c r="I84" s="83">
        <f>SUMIF('Incentive Report- Output'!$B$387:$B$480,'Incentive Summary Output'!C84,'Incentive Report- Output'!$AF$387:$AF$480)</f>
        <v>154276.91313559323</v>
      </c>
      <c r="J84" s="83"/>
      <c r="K84" s="83"/>
      <c r="L84" s="83"/>
      <c r="M84" s="83"/>
      <c r="N84" s="83"/>
      <c r="O84" s="83"/>
      <c r="P84" s="83"/>
      <c r="Q84" s="174">
        <f t="shared" si="42"/>
        <v>207422.80507475423</v>
      </c>
      <c r="S84" s="18" t="s">
        <v>240</v>
      </c>
      <c r="T84" s="1" t="s">
        <v>241</v>
      </c>
      <c r="U84" s="1" t="s">
        <v>1</v>
      </c>
      <c r="V84" s="82">
        <f t="shared" si="18"/>
        <v>0</v>
      </c>
      <c r="W84" s="82">
        <f t="shared" si="19"/>
        <v>0</v>
      </c>
      <c r="X84" s="82">
        <f t="shared" si="20"/>
        <v>0</v>
      </c>
      <c r="Y84" s="82">
        <f t="shared" si="21"/>
        <v>0</v>
      </c>
      <c r="Z84" s="82">
        <f t="shared" si="22"/>
        <v>0</v>
      </c>
      <c r="AA84" s="82">
        <f t="shared" si="23"/>
        <v>0</v>
      </c>
      <c r="AB84" s="82">
        <f t="shared" si="24"/>
        <v>0</v>
      </c>
      <c r="AC84" s="82">
        <f t="shared" si="25"/>
        <v>0</v>
      </c>
      <c r="AD84" s="82">
        <f t="shared" si="26"/>
        <v>0</v>
      </c>
      <c r="AE84" s="82">
        <f t="shared" si="27"/>
        <v>0</v>
      </c>
      <c r="AF84" s="82">
        <f t="shared" si="28"/>
        <v>0</v>
      </c>
      <c r="AG84" s="82">
        <f t="shared" si="29"/>
        <v>0</v>
      </c>
      <c r="AH84" s="82">
        <f t="shared" si="43"/>
        <v>0</v>
      </c>
      <c r="AJ84" s="18" t="s">
        <v>240</v>
      </c>
      <c r="AK84" s="1" t="s">
        <v>241</v>
      </c>
      <c r="AL84" s="1" t="s">
        <v>1</v>
      </c>
      <c r="AM84" s="82">
        <f t="shared" si="44"/>
        <v>0</v>
      </c>
      <c r="AN84" s="82">
        <f t="shared" si="45"/>
        <v>0</v>
      </c>
      <c r="AO84" s="82">
        <f t="shared" si="45"/>
        <v>9336.656779661007</v>
      </c>
      <c r="AP84" s="82">
        <f t="shared" si="46"/>
        <v>43809.235159499993</v>
      </c>
      <c r="AQ84" s="82">
        <f t="shared" si="47"/>
        <v>154276.91313559323</v>
      </c>
      <c r="AR84" s="82">
        <f t="shared" si="48"/>
        <v>0</v>
      </c>
      <c r="AS84" s="82">
        <f t="shared" si="49"/>
        <v>0</v>
      </c>
      <c r="AT84" s="82">
        <f t="shared" si="50"/>
        <v>0</v>
      </c>
      <c r="AU84" s="82">
        <f t="shared" si="51"/>
        <v>0</v>
      </c>
      <c r="AV84" s="82">
        <f t="shared" si="52"/>
        <v>0</v>
      </c>
      <c r="AW84" s="82">
        <f t="shared" si="53"/>
        <v>0</v>
      </c>
      <c r="AX84" s="82">
        <f t="shared" si="54"/>
        <v>0</v>
      </c>
      <c r="AY84" s="82">
        <f t="shared" si="55"/>
        <v>207422.80507475423</v>
      </c>
    </row>
    <row r="85" spans="1:51" ht="15.75" customHeight="1" x14ac:dyDescent="0.2">
      <c r="A85" s="254"/>
      <c r="B85" s="18" t="s">
        <v>352</v>
      </c>
      <c r="C85" s="1" t="s">
        <v>289</v>
      </c>
      <c r="D85" s="1" t="s">
        <v>1185</v>
      </c>
      <c r="E85" s="83">
        <f>SUMIF('Incentive Report- Output'!$B$4:$B$93,'Incentive Summary Output'!C85,'Incentive Report- Output'!$AF$4:$AF$93)</f>
        <v>6748.3601694915187</v>
      </c>
      <c r="F85" s="83">
        <f>SUMIF('Incentive Report- Output'!$B$98:$B$188,'Incentive Summary Output'!C85,'Incentive Report- Output'!$AF$98:$AF$188)</f>
        <v>0</v>
      </c>
      <c r="G85" s="83">
        <f>SUMIF('Incentive Report- Output'!$B$193:$B$283,'Incentive Summary Output'!C85,'Incentive Report- Output'!$AF$193:$AF$283)</f>
        <v>10378.97881355931</v>
      </c>
      <c r="H85" s="83">
        <f>SUMIF('Incentive Report- Output'!$B$288:$B$382,'Incentive Summary Output'!C85,'Incentive Report- Output'!$AF$288:$AF$382)</f>
        <v>73672.525422000035</v>
      </c>
      <c r="I85" s="83">
        <f>SUMIF('Incentive Report- Output'!$B$387:$B$480,'Incentive Summary Output'!C85,'Incentive Report- Output'!$AF$387:$AF$480)</f>
        <v>172798.01694915254</v>
      </c>
      <c r="J85" s="83"/>
      <c r="K85" s="83"/>
      <c r="L85" s="83"/>
      <c r="M85" s="83"/>
      <c r="N85" s="83"/>
      <c r="O85" s="83"/>
      <c r="P85" s="83"/>
      <c r="Q85" s="174">
        <f t="shared" si="42"/>
        <v>263597.88135420339</v>
      </c>
      <c r="S85" s="18" t="s">
        <v>352</v>
      </c>
      <c r="T85" s="1" t="s">
        <v>289</v>
      </c>
      <c r="U85" s="1" t="s">
        <v>1185</v>
      </c>
      <c r="V85" s="82">
        <f t="shared" si="18"/>
        <v>0</v>
      </c>
      <c r="W85" s="82">
        <f t="shared" si="19"/>
        <v>0</v>
      </c>
      <c r="X85" s="82">
        <f t="shared" si="20"/>
        <v>0</v>
      </c>
      <c r="Y85" s="82">
        <f t="shared" si="21"/>
        <v>0</v>
      </c>
      <c r="Z85" s="82">
        <f t="shared" si="22"/>
        <v>0</v>
      </c>
      <c r="AA85" s="82">
        <f t="shared" si="23"/>
        <v>0</v>
      </c>
      <c r="AB85" s="82">
        <f t="shared" si="24"/>
        <v>0</v>
      </c>
      <c r="AC85" s="82">
        <f t="shared" si="25"/>
        <v>0</v>
      </c>
      <c r="AD85" s="82">
        <f t="shared" si="26"/>
        <v>0</v>
      </c>
      <c r="AE85" s="82">
        <f t="shared" si="27"/>
        <v>0</v>
      </c>
      <c r="AF85" s="82">
        <f t="shared" si="28"/>
        <v>0</v>
      </c>
      <c r="AG85" s="82">
        <f t="shared" si="29"/>
        <v>0</v>
      </c>
      <c r="AH85" s="82">
        <f t="shared" si="43"/>
        <v>0</v>
      </c>
      <c r="AJ85" s="18" t="s">
        <v>352</v>
      </c>
      <c r="AK85" s="1" t="s">
        <v>289</v>
      </c>
      <c r="AL85" s="1" t="s">
        <v>1185</v>
      </c>
      <c r="AM85" s="82">
        <f t="shared" si="44"/>
        <v>6748.3601694915187</v>
      </c>
      <c r="AN85" s="82">
        <f t="shared" si="45"/>
        <v>0</v>
      </c>
      <c r="AO85" s="82">
        <f t="shared" si="45"/>
        <v>10378.97881355931</v>
      </c>
      <c r="AP85" s="82">
        <f t="shared" si="46"/>
        <v>73672.525422000035</v>
      </c>
      <c r="AQ85" s="82">
        <f t="shared" si="47"/>
        <v>172798.01694915254</v>
      </c>
      <c r="AR85" s="82">
        <f t="shared" si="48"/>
        <v>0</v>
      </c>
      <c r="AS85" s="82">
        <f t="shared" si="49"/>
        <v>0</v>
      </c>
      <c r="AT85" s="82">
        <f t="shared" si="50"/>
        <v>0</v>
      </c>
      <c r="AU85" s="82">
        <f t="shared" si="51"/>
        <v>0</v>
      </c>
      <c r="AV85" s="82">
        <f t="shared" si="52"/>
        <v>0</v>
      </c>
      <c r="AW85" s="82">
        <f t="shared" si="53"/>
        <v>0</v>
      </c>
      <c r="AX85" s="82">
        <f t="shared" si="54"/>
        <v>0</v>
      </c>
      <c r="AY85" s="82">
        <f t="shared" si="55"/>
        <v>263597.88135420339</v>
      </c>
    </row>
    <row r="86" spans="1:51" ht="15.75" customHeight="1" x14ac:dyDescent="0.2">
      <c r="A86" s="254"/>
      <c r="B86" s="136" t="s">
        <v>1186</v>
      </c>
      <c r="C86" s="137" t="s">
        <v>1187</v>
      </c>
      <c r="D86" s="137" t="s">
        <v>1</v>
      </c>
      <c r="E86" s="83">
        <f>SUMIF('Incentive Report- Output'!$B$4:$B$93,'Incentive Summary Output'!C86,'Incentive Report- Output'!$AF$4:$AF$93)</f>
        <v>0</v>
      </c>
      <c r="F86" s="83">
        <f>SUMIF('Incentive Report- Output'!$B$98:$B$188,'Incentive Summary Output'!C86,'Incentive Report- Output'!$AF$98:$AF$188)</f>
        <v>0</v>
      </c>
      <c r="G86" s="83">
        <f>SUMIF('Incentive Report- Output'!$B$193:$B$283,'Incentive Summary Output'!C86,'Incentive Report- Output'!$AF$193:$AF$283)</f>
        <v>0</v>
      </c>
      <c r="H86" s="83">
        <f>SUMIF('Incentive Report- Output'!$B$288:$B$382,'Incentive Summary Output'!C86,'Incentive Report- Output'!$AF$288:$AF$382)</f>
        <v>0</v>
      </c>
      <c r="I86" s="83">
        <f>SUMIF('Incentive Report- Output'!$B$387:$B$480,'Incentive Summary Output'!C86,'Incentive Report- Output'!$AF$387:$AF$480)</f>
        <v>0</v>
      </c>
      <c r="J86" s="83"/>
      <c r="K86" s="83"/>
      <c r="L86" s="83"/>
      <c r="M86" s="83"/>
      <c r="N86" s="83"/>
      <c r="O86" s="83"/>
      <c r="P86" s="83"/>
      <c r="Q86" s="174">
        <f t="shared" si="42"/>
        <v>0</v>
      </c>
      <c r="S86" s="136" t="s">
        <v>1186</v>
      </c>
      <c r="T86" s="137" t="s">
        <v>1187</v>
      </c>
      <c r="U86" s="137" t="s">
        <v>1</v>
      </c>
      <c r="V86" s="82">
        <f t="shared" si="18"/>
        <v>0</v>
      </c>
      <c r="W86" s="82">
        <f t="shared" si="19"/>
        <v>0</v>
      </c>
      <c r="X86" s="82">
        <f t="shared" si="20"/>
        <v>0</v>
      </c>
      <c r="Y86" s="82">
        <f t="shared" si="21"/>
        <v>0</v>
      </c>
      <c r="Z86" s="82">
        <f t="shared" si="22"/>
        <v>0</v>
      </c>
      <c r="AA86" s="82">
        <f t="shared" si="23"/>
        <v>0</v>
      </c>
      <c r="AB86" s="82">
        <f t="shared" si="24"/>
        <v>0</v>
      </c>
      <c r="AC86" s="82">
        <f t="shared" si="25"/>
        <v>0</v>
      </c>
      <c r="AD86" s="82">
        <f t="shared" si="26"/>
        <v>0</v>
      </c>
      <c r="AE86" s="82">
        <f t="shared" si="27"/>
        <v>0</v>
      </c>
      <c r="AF86" s="82">
        <f t="shared" si="28"/>
        <v>0</v>
      </c>
      <c r="AG86" s="82">
        <f t="shared" si="29"/>
        <v>0</v>
      </c>
      <c r="AH86" s="82">
        <f t="shared" si="43"/>
        <v>0</v>
      </c>
      <c r="AJ86" s="136" t="s">
        <v>1186</v>
      </c>
      <c r="AK86" s="137" t="s">
        <v>1187</v>
      </c>
      <c r="AL86" s="137" t="s">
        <v>1</v>
      </c>
      <c r="AM86" s="82">
        <f t="shared" ref="AM86:AM94" si="56">E86-V86</f>
        <v>0</v>
      </c>
      <c r="AN86" s="82">
        <f t="shared" ref="AN86:AN94" si="57">F86-W86</f>
        <v>0</v>
      </c>
      <c r="AO86" s="82">
        <f t="shared" ref="AO86:AO94" si="58">G86-X86</f>
        <v>0</v>
      </c>
      <c r="AP86" s="82">
        <f t="shared" ref="AP86:AP94" si="59">H86-Y86</f>
        <v>0</v>
      </c>
      <c r="AQ86" s="82">
        <f t="shared" si="47"/>
        <v>0</v>
      </c>
      <c r="AR86" s="82">
        <f t="shared" si="48"/>
        <v>0</v>
      </c>
      <c r="AS86" s="82">
        <f t="shared" si="49"/>
        <v>0</v>
      </c>
      <c r="AT86" s="82">
        <f t="shared" si="50"/>
        <v>0</v>
      </c>
      <c r="AU86" s="82">
        <f t="shared" si="51"/>
        <v>0</v>
      </c>
      <c r="AV86" s="82">
        <f t="shared" si="52"/>
        <v>0</v>
      </c>
      <c r="AW86" s="82">
        <f t="shared" si="53"/>
        <v>0</v>
      </c>
      <c r="AX86" s="82">
        <f t="shared" si="54"/>
        <v>0</v>
      </c>
      <c r="AY86" s="82">
        <f t="shared" ref="AY86:AY94" si="60">SUM(AM86:AX86)</f>
        <v>0</v>
      </c>
    </row>
    <row r="87" spans="1:51" ht="15.75" customHeight="1" x14ac:dyDescent="0.2">
      <c r="A87" s="254"/>
      <c r="B87" s="136" t="s">
        <v>230</v>
      </c>
      <c r="C87" s="137" t="s">
        <v>35</v>
      </c>
      <c r="D87" s="137" t="s">
        <v>1</v>
      </c>
      <c r="E87" s="83">
        <f>SUMIF('Incentive Report- Output'!$B$4:$B$93,'Incentive Summary Output'!C87,'Incentive Report- Output'!$AF$4:$AF$93)</f>
        <v>0</v>
      </c>
      <c r="F87" s="83">
        <f>SUMIF('Incentive Report- Output'!$B$98:$B$188,'Incentive Summary Output'!C87,'Incentive Report- Output'!$AF$98:$AF$188)</f>
        <v>0</v>
      </c>
      <c r="G87" s="83">
        <f>SUMIF('Incentive Report- Output'!$B$193:$B$283,'Incentive Summary Output'!C87,'Incentive Report- Output'!$AF$193:$AF$283)</f>
        <v>0</v>
      </c>
      <c r="H87" s="83">
        <f>SUMIF('Incentive Report- Output'!$B$288:$B$382,'Incentive Summary Output'!C87,'Incentive Report- Output'!$AF$288:$AF$382)</f>
        <v>0</v>
      </c>
      <c r="I87" s="83">
        <f>SUMIF('Incentive Report- Output'!$B$387:$B$480,'Incentive Summary Output'!C87,'Incentive Report- Output'!$AF$387:$AF$480)</f>
        <v>39575.635593220286</v>
      </c>
      <c r="J87" s="83"/>
      <c r="K87" s="83"/>
      <c r="L87" s="83"/>
      <c r="M87" s="83"/>
      <c r="N87" s="83"/>
      <c r="O87" s="83"/>
      <c r="P87" s="83"/>
      <c r="Q87" s="174">
        <f t="shared" si="42"/>
        <v>39575.635593220286</v>
      </c>
      <c r="S87" s="136" t="s">
        <v>230</v>
      </c>
      <c r="T87" s="137" t="s">
        <v>35</v>
      </c>
      <c r="U87" s="137" t="s">
        <v>1</v>
      </c>
      <c r="V87" s="82">
        <f t="shared" si="18"/>
        <v>0</v>
      </c>
      <c r="W87" s="82">
        <f t="shared" si="19"/>
        <v>0</v>
      </c>
      <c r="X87" s="82">
        <f t="shared" si="20"/>
        <v>0</v>
      </c>
      <c r="Y87" s="82">
        <f t="shared" si="21"/>
        <v>0</v>
      </c>
      <c r="Z87" s="82">
        <f t="shared" si="22"/>
        <v>0</v>
      </c>
      <c r="AA87" s="82">
        <f t="shared" si="23"/>
        <v>0</v>
      </c>
      <c r="AB87" s="82">
        <f t="shared" si="24"/>
        <v>0</v>
      </c>
      <c r="AC87" s="82">
        <f t="shared" si="25"/>
        <v>0</v>
      </c>
      <c r="AD87" s="82">
        <f t="shared" si="26"/>
        <v>0</v>
      </c>
      <c r="AE87" s="82">
        <f t="shared" si="27"/>
        <v>0</v>
      </c>
      <c r="AF87" s="82">
        <f t="shared" si="28"/>
        <v>0</v>
      </c>
      <c r="AG87" s="82">
        <f t="shared" si="29"/>
        <v>0</v>
      </c>
      <c r="AH87" s="82">
        <f t="shared" si="43"/>
        <v>0</v>
      </c>
      <c r="AJ87" s="136" t="s">
        <v>230</v>
      </c>
      <c r="AK87" s="137" t="s">
        <v>35</v>
      </c>
      <c r="AL87" s="137" t="s">
        <v>1</v>
      </c>
      <c r="AM87" s="82">
        <f t="shared" si="56"/>
        <v>0</v>
      </c>
      <c r="AN87" s="82">
        <f t="shared" si="57"/>
        <v>0</v>
      </c>
      <c r="AO87" s="82">
        <f t="shared" si="58"/>
        <v>0</v>
      </c>
      <c r="AP87" s="82">
        <f t="shared" si="59"/>
        <v>0</v>
      </c>
      <c r="AQ87" s="82">
        <f t="shared" si="47"/>
        <v>39575.635593220286</v>
      </c>
      <c r="AR87" s="82">
        <f t="shared" si="48"/>
        <v>0</v>
      </c>
      <c r="AS87" s="82">
        <f t="shared" si="49"/>
        <v>0</v>
      </c>
      <c r="AT87" s="82">
        <f t="shared" si="50"/>
        <v>0</v>
      </c>
      <c r="AU87" s="82">
        <f t="shared" si="51"/>
        <v>0</v>
      </c>
      <c r="AV87" s="82">
        <f t="shared" si="52"/>
        <v>0</v>
      </c>
      <c r="AW87" s="82">
        <f t="shared" si="53"/>
        <v>0</v>
      </c>
      <c r="AX87" s="82">
        <f t="shared" si="54"/>
        <v>0</v>
      </c>
      <c r="AY87" s="82">
        <f t="shared" si="60"/>
        <v>39575.635593220286</v>
      </c>
    </row>
    <row r="88" spans="1:51" ht="15.75" customHeight="1" x14ac:dyDescent="0.2">
      <c r="A88" s="254"/>
      <c r="B88" s="136" t="s">
        <v>57</v>
      </c>
      <c r="C88" s="137" t="s">
        <v>58</v>
      </c>
      <c r="D88" s="137" t="s">
        <v>0</v>
      </c>
      <c r="E88" s="83">
        <f>SUMIF('Incentive Report- Output'!$B$4:$B$93,'Incentive Summary Output'!C88,'Incentive Report- Output'!$AF$4:$AF$93)</f>
        <v>0</v>
      </c>
      <c r="F88" s="83">
        <f>SUMIF('Incentive Report- Output'!$B$98:$B$188,'Incentive Summary Output'!C88,'Incentive Report- Output'!$AF$98:$AF$188)</f>
        <v>0</v>
      </c>
      <c r="G88" s="83">
        <f>SUMIF('Incentive Report- Output'!$B$193:$B$283,'Incentive Summary Output'!C88,'Incentive Report- Output'!$AF$193:$AF$283)</f>
        <v>0</v>
      </c>
      <c r="H88" s="83">
        <f>SUMIF('Incentive Report- Output'!$B$288:$B$382,'Incentive Summary Output'!C88,'Incentive Report- Output'!$AF$288:$AF$382)</f>
        <v>0</v>
      </c>
      <c r="I88" s="83">
        <f>SUMIF('Incentive Report- Output'!$B$387:$B$480,'Incentive Summary Output'!C88,'Incentive Report- Output'!$AF$387:$AF$480)</f>
        <v>126970.56991525429</v>
      </c>
      <c r="J88" s="83"/>
      <c r="K88" s="83"/>
      <c r="L88" s="83"/>
      <c r="M88" s="83"/>
      <c r="N88" s="83"/>
      <c r="O88" s="83"/>
      <c r="P88" s="83"/>
      <c r="Q88" s="174">
        <f t="shared" si="42"/>
        <v>126970.56991525429</v>
      </c>
      <c r="S88" s="136" t="s">
        <v>57</v>
      </c>
      <c r="T88" s="137" t="s">
        <v>58</v>
      </c>
      <c r="U88" s="137" t="s">
        <v>0</v>
      </c>
      <c r="V88" s="82">
        <f t="shared" si="18"/>
        <v>0</v>
      </c>
      <c r="W88" s="82">
        <f t="shared" si="19"/>
        <v>0</v>
      </c>
      <c r="X88" s="82">
        <f t="shared" si="20"/>
        <v>0</v>
      </c>
      <c r="Y88" s="82">
        <f t="shared" si="21"/>
        <v>0</v>
      </c>
      <c r="Z88" s="82">
        <f t="shared" si="22"/>
        <v>0</v>
      </c>
      <c r="AA88" s="82">
        <f t="shared" si="23"/>
        <v>0</v>
      </c>
      <c r="AB88" s="82">
        <f t="shared" si="24"/>
        <v>0</v>
      </c>
      <c r="AC88" s="82">
        <f t="shared" si="25"/>
        <v>0</v>
      </c>
      <c r="AD88" s="82">
        <f t="shared" si="26"/>
        <v>0</v>
      </c>
      <c r="AE88" s="82">
        <f t="shared" si="27"/>
        <v>0</v>
      </c>
      <c r="AF88" s="82">
        <f t="shared" si="28"/>
        <v>0</v>
      </c>
      <c r="AG88" s="82">
        <f t="shared" si="29"/>
        <v>0</v>
      </c>
      <c r="AH88" s="82">
        <f t="shared" si="43"/>
        <v>0</v>
      </c>
      <c r="AJ88" s="136" t="s">
        <v>57</v>
      </c>
      <c r="AK88" s="137" t="s">
        <v>58</v>
      </c>
      <c r="AL88" s="137" t="s">
        <v>0</v>
      </c>
      <c r="AM88" s="82">
        <f t="shared" si="56"/>
        <v>0</v>
      </c>
      <c r="AN88" s="82">
        <f t="shared" si="57"/>
        <v>0</v>
      </c>
      <c r="AO88" s="82">
        <f t="shared" si="58"/>
        <v>0</v>
      </c>
      <c r="AP88" s="82">
        <f t="shared" si="59"/>
        <v>0</v>
      </c>
      <c r="AQ88" s="82">
        <f t="shared" si="47"/>
        <v>126970.56991525429</v>
      </c>
      <c r="AR88" s="82">
        <f t="shared" si="48"/>
        <v>0</v>
      </c>
      <c r="AS88" s="82">
        <f t="shared" si="49"/>
        <v>0</v>
      </c>
      <c r="AT88" s="82">
        <f t="shared" si="50"/>
        <v>0</v>
      </c>
      <c r="AU88" s="82">
        <f t="shared" si="51"/>
        <v>0</v>
      </c>
      <c r="AV88" s="82">
        <f t="shared" si="52"/>
        <v>0</v>
      </c>
      <c r="AW88" s="82">
        <f t="shared" si="53"/>
        <v>0</v>
      </c>
      <c r="AX88" s="82">
        <f t="shared" si="54"/>
        <v>0</v>
      </c>
      <c r="AY88" s="82">
        <f t="shared" si="60"/>
        <v>126970.56991525429</v>
      </c>
    </row>
    <row r="89" spans="1:51" ht="15.75" customHeight="1" x14ac:dyDescent="0.2">
      <c r="A89" s="254"/>
      <c r="B89" s="136" t="s">
        <v>207</v>
      </c>
      <c r="C89" s="137" t="s">
        <v>201</v>
      </c>
      <c r="D89" s="137" t="s">
        <v>1</v>
      </c>
      <c r="E89" s="83">
        <f>SUMIF('Incentive Report- Output'!$B$4:$B$93,'Incentive Summary Output'!C89,'Incentive Report- Output'!$AF$4:$AF$93)</f>
        <v>0</v>
      </c>
      <c r="F89" s="83">
        <f>SUMIF('Incentive Report- Output'!$B$98:$B$188,'Incentive Summary Output'!C89,'Incentive Report- Output'!$AF$98:$AF$188)</f>
        <v>7233.1016949152554</v>
      </c>
      <c r="G89" s="83">
        <f>SUMIF('Incentive Report- Output'!$B$193:$B$283,'Incentive Summary Output'!C89,'Incentive Report- Output'!$AF$193:$AF$283)</f>
        <v>0</v>
      </c>
      <c r="H89" s="83">
        <f>SUMIF('Incentive Report- Output'!$B$288:$B$382,'Incentive Summary Output'!C89,'Incentive Report- Output'!$AF$288:$AF$382)</f>
        <v>43266.584741999985</v>
      </c>
      <c r="I89" s="83">
        <f>SUMIF('Incentive Report- Output'!$B$387:$B$480,'Incentive Summary Output'!C89,'Incentive Report- Output'!$AF$387:$AF$480)</f>
        <v>53190.635593220301</v>
      </c>
      <c r="J89" s="83"/>
      <c r="K89" s="83"/>
      <c r="L89" s="83"/>
      <c r="M89" s="83"/>
      <c r="N89" s="83"/>
      <c r="O89" s="83"/>
      <c r="P89" s="83"/>
      <c r="Q89" s="174">
        <f t="shared" si="42"/>
        <v>103690.32203013555</v>
      </c>
      <c r="S89" s="136" t="s">
        <v>207</v>
      </c>
      <c r="T89" s="137" t="s">
        <v>201</v>
      </c>
      <c r="U89" s="137" t="s">
        <v>1</v>
      </c>
      <c r="V89" s="82">
        <f t="shared" si="18"/>
        <v>0</v>
      </c>
      <c r="W89" s="82">
        <f t="shared" si="19"/>
        <v>0</v>
      </c>
      <c r="X89" s="82">
        <f t="shared" si="20"/>
        <v>0</v>
      </c>
      <c r="Y89" s="82">
        <f t="shared" si="21"/>
        <v>0</v>
      </c>
      <c r="Z89" s="82">
        <f t="shared" si="22"/>
        <v>0</v>
      </c>
      <c r="AA89" s="82">
        <f t="shared" si="23"/>
        <v>0</v>
      </c>
      <c r="AB89" s="82">
        <f t="shared" si="24"/>
        <v>0</v>
      </c>
      <c r="AC89" s="82">
        <f t="shared" si="25"/>
        <v>0</v>
      </c>
      <c r="AD89" s="82">
        <f t="shared" si="26"/>
        <v>0</v>
      </c>
      <c r="AE89" s="82">
        <f t="shared" si="27"/>
        <v>0</v>
      </c>
      <c r="AF89" s="82">
        <f t="shared" si="28"/>
        <v>0</v>
      </c>
      <c r="AG89" s="82">
        <f t="shared" si="29"/>
        <v>0</v>
      </c>
      <c r="AH89" s="82">
        <f t="shared" si="43"/>
        <v>0</v>
      </c>
      <c r="AJ89" s="136" t="s">
        <v>207</v>
      </c>
      <c r="AK89" s="137" t="s">
        <v>201</v>
      </c>
      <c r="AL89" s="137" t="s">
        <v>1</v>
      </c>
      <c r="AM89" s="82">
        <f t="shared" si="56"/>
        <v>0</v>
      </c>
      <c r="AN89" s="82">
        <f t="shared" si="57"/>
        <v>7233.1016949152554</v>
      </c>
      <c r="AO89" s="82">
        <f t="shared" si="58"/>
        <v>0</v>
      </c>
      <c r="AP89" s="82">
        <f t="shared" si="59"/>
        <v>43266.584741999985</v>
      </c>
      <c r="AQ89" s="82">
        <f t="shared" si="47"/>
        <v>53190.635593220301</v>
      </c>
      <c r="AR89" s="82">
        <f t="shared" si="48"/>
        <v>0</v>
      </c>
      <c r="AS89" s="82">
        <f t="shared" si="49"/>
        <v>0</v>
      </c>
      <c r="AT89" s="82">
        <f t="shared" si="50"/>
        <v>0</v>
      </c>
      <c r="AU89" s="82">
        <f t="shared" si="51"/>
        <v>0</v>
      </c>
      <c r="AV89" s="82">
        <f t="shared" si="52"/>
        <v>0</v>
      </c>
      <c r="AW89" s="82">
        <f t="shared" si="53"/>
        <v>0</v>
      </c>
      <c r="AX89" s="82">
        <f t="shared" si="54"/>
        <v>0</v>
      </c>
      <c r="AY89" s="82">
        <f t="shared" si="60"/>
        <v>103690.32203013555</v>
      </c>
    </row>
    <row r="90" spans="1:51" ht="15.75" customHeight="1" x14ac:dyDescent="0.2">
      <c r="A90" s="254"/>
      <c r="B90" s="136" t="s">
        <v>299</v>
      </c>
      <c r="C90" s="137" t="s">
        <v>290</v>
      </c>
      <c r="D90" s="137" t="s">
        <v>1</v>
      </c>
      <c r="E90" s="83">
        <f>SUMIF('Incentive Report- Output'!$B$4:$B$93,'Incentive Summary Output'!C90,'Incentive Report- Output'!$AF$4:$AF$93)</f>
        <v>0</v>
      </c>
      <c r="F90" s="83">
        <f>SUMIF('Incentive Report- Output'!$B$98:$B$188,'Incentive Summary Output'!C90,'Incentive Report- Output'!$AF$98:$AF$188)</f>
        <v>8858.4745762711809</v>
      </c>
      <c r="G90" s="83">
        <f>SUMIF('Incentive Report- Output'!$B$193:$B$283,'Incentive Summary Output'!C90,'Incentive Report- Output'!$AF$193:$AF$283)</f>
        <v>0</v>
      </c>
      <c r="H90" s="83">
        <f>SUMIF('Incentive Report- Output'!$B$288:$B$382,'Incentive Summary Output'!C90,'Incentive Report- Output'!$AF$288:$AF$382)</f>
        <v>0</v>
      </c>
      <c r="I90" s="83">
        <f>SUMIF('Incentive Report- Output'!$B$387:$B$480,'Incentive Summary Output'!C90,'Incentive Report- Output'!$AF$387:$AF$480)</f>
        <v>41058.635593220286</v>
      </c>
      <c r="J90" s="83"/>
      <c r="K90" s="83"/>
      <c r="L90" s="83"/>
      <c r="M90" s="83"/>
      <c r="N90" s="83"/>
      <c r="O90" s="83"/>
      <c r="P90" s="83"/>
      <c r="Q90" s="174">
        <f t="shared" si="42"/>
        <v>49917.110169491469</v>
      </c>
      <c r="S90" s="136" t="s">
        <v>299</v>
      </c>
      <c r="T90" s="137" t="s">
        <v>290</v>
      </c>
      <c r="U90" s="137" t="s">
        <v>1</v>
      </c>
      <c r="V90" s="82">
        <f t="shared" ref="V90:V103" si="61">IF(E90&gt;200000,E90-200000,0)</f>
        <v>0</v>
      </c>
      <c r="W90" s="82">
        <f t="shared" si="19"/>
        <v>0</v>
      </c>
      <c r="X90" s="82">
        <f t="shared" si="20"/>
        <v>0</v>
      </c>
      <c r="Y90" s="82">
        <f t="shared" si="21"/>
        <v>0</v>
      </c>
      <c r="Z90" s="82">
        <f t="shared" si="22"/>
        <v>0</v>
      </c>
      <c r="AA90" s="82">
        <f t="shared" si="23"/>
        <v>0</v>
      </c>
      <c r="AB90" s="82">
        <f t="shared" si="24"/>
        <v>0</v>
      </c>
      <c r="AC90" s="82">
        <f t="shared" si="25"/>
        <v>0</v>
      </c>
      <c r="AD90" s="82">
        <f t="shared" si="26"/>
        <v>0</v>
      </c>
      <c r="AE90" s="82">
        <f t="shared" si="27"/>
        <v>0</v>
      </c>
      <c r="AF90" s="82">
        <f t="shared" si="28"/>
        <v>0</v>
      </c>
      <c r="AG90" s="82">
        <f t="shared" si="29"/>
        <v>0</v>
      </c>
      <c r="AH90" s="82">
        <f t="shared" si="43"/>
        <v>0</v>
      </c>
      <c r="AJ90" s="136" t="s">
        <v>299</v>
      </c>
      <c r="AK90" s="137" t="s">
        <v>290</v>
      </c>
      <c r="AL90" s="137" t="s">
        <v>1</v>
      </c>
      <c r="AM90" s="82">
        <f t="shared" si="56"/>
        <v>0</v>
      </c>
      <c r="AN90" s="82">
        <f t="shared" si="57"/>
        <v>8858.4745762711809</v>
      </c>
      <c r="AO90" s="82">
        <f t="shared" si="58"/>
        <v>0</v>
      </c>
      <c r="AP90" s="82">
        <f t="shared" si="59"/>
        <v>0</v>
      </c>
      <c r="AQ90" s="82">
        <f t="shared" si="47"/>
        <v>41058.635593220286</v>
      </c>
      <c r="AR90" s="82">
        <f t="shared" si="48"/>
        <v>0</v>
      </c>
      <c r="AS90" s="82">
        <f t="shared" si="49"/>
        <v>0</v>
      </c>
      <c r="AT90" s="82">
        <f t="shared" si="50"/>
        <v>0</v>
      </c>
      <c r="AU90" s="82">
        <f t="shared" si="51"/>
        <v>0</v>
      </c>
      <c r="AV90" s="82">
        <f t="shared" si="52"/>
        <v>0</v>
      </c>
      <c r="AW90" s="82">
        <f t="shared" si="53"/>
        <v>0</v>
      </c>
      <c r="AX90" s="82">
        <f t="shared" si="54"/>
        <v>0</v>
      </c>
      <c r="AY90" s="82">
        <f t="shared" si="60"/>
        <v>49917.110169491469</v>
      </c>
    </row>
    <row r="91" spans="1:51" ht="15.75" customHeight="1" x14ac:dyDescent="0.2">
      <c r="A91" s="254"/>
      <c r="B91" s="136" t="s">
        <v>837</v>
      </c>
      <c r="C91" s="137" t="s">
        <v>838</v>
      </c>
      <c r="D91" s="137" t="s">
        <v>1</v>
      </c>
      <c r="E91" s="83">
        <f>SUMIF('Incentive Report- Output'!$B$4:$B$93,'Incentive Summary Output'!C91,'Incentive Report- Output'!$AF$4:$AF$93)</f>
        <v>0</v>
      </c>
      <c r="F91" s="83">
        <f>SUMIF('Incentive Report- Output'!$B$98:$B$188,'Incentive Summary Output'!C91,'Incentive Report- Output'!$AF$98:$AF$188)</f>
        <v>0</v>
      </c>
      <c r="G91" s="83">
        <f>SUMIF('Incentive Report- Output'!$B$193:$B$283,'Incentive Summary Output'!C91,'Incentive Report- Output'!$AF$193:$AF$283)</f>
        <v>0</v>
      </c>
      <c r="H91" s="83">
        <f>SUMIF('Incentive Report- Output'!$B$288:$B$382,'Incentive Summary Output'!C91,'Incentive Report- Output'!$AF$288:$AF$382)</f>
        <v>5285.0466094999992</v>
      </c>
      <c r="I91" s="83">
        <f>SUMIF('Incentive Report- Output'!$B$387:$B$480,'Incentive Summary Output'!C91,'Incentive Report- Output'!$AF$387:$AF$480)</f>
        <v>157020.65466101689</v>
      </c>
      <c r="J91" s="83"/>
      <c r="K91" s="83"/>
      <c r="L91" s="83"/>
      <c r="M91" s="83"/>
      <c r="N91" s="83"/>
      <c r="O91" s="83"/>
      <c r="P91" s="83"/>
      <c r="Q91" s="174">
        <f t="shared" si="42"/>
        <v>162305.70127051687</v>
      </c>
      <c r="S91" s="136" t="s">
        <v>837</v>
      </c>
      <c r="T91" s="137" t="s">
        <v>838</v>
      </c>
      <c r="U91" s="137" t="s">
        <v>1</v>
      </c>
      <c r="V91" s="82">
        <f t="shared" si="61"/>
        <v>0</v>
      </c>
      <c r="W91" s="82">
        <f t="shared" si="19"/>
        <v>0</v>
      </c>
      <c r="X91" s="82">
        <f t="shared" si="20"/>
        <v>0</v>
      </c>
      <c r="Y91" s="82">
        <f t="shared" si="21"/>
        <v>0</v>
      </c>
      <c r="Z91" s="82">
        <f t="shared" si="22"/>
        <v>0</v>
      </c>
      <c r="AA91" s="82">
        <f t="shared" si="23"/>
        <v>0</v>
      </c>
      <c r="AB91" s="82">
        <f t="shared" si="24"/>
        <v>0</v>
      </c>
      <c r="AC91" s="82">
        <f t="shared" si="25"/>
        <v>0</v>
      </c>
      <c r="AD91" s="82">
        <f t="shared" si="26"/>
        <v>0</v>
      </c>
      <c r="AE91" s="82">
        <f t="shared" si="27"/>
        <v>0</v>
      </c>
      <c r="AF91" s="82">
        <f t="shared" si="28"/>
        <v>0</v>
      </c>
      <c r="AG91" s="82">
        <f t="shared" si="29"/>
        <v>0</v>
      </c>
      <c r="AH91" s="82">
        <f t="shared" si="43"/>
        <v>0</v>
      </c>
      <c r="AJ91" s="136" t="s">
        <v>837</v>
      </c>
      <c r="AK91" s="137" t="s">
        <v>838</v>
      </c>
      <c r="AL91" s="137" t="s">
        <v>1</v>
      </c>
      <c r="AM91" s="82">
        <f t="shared" si="56"/>
        <v>0</v>
      </c>
      <c r="AN91" s="82">
        <f t="shared" si="57"/>
        <v>0</v>
      </c>
      <c r="AO91" s="82">
        <f t="shared" si="58"/>
        <v>0</v>
      </c>
      <c r="AP91" s="82">
        <f t="shared" si="59"/>
        <v>5285.0466094999992</v>
      </c>
      <c r="AQ91" s="82">
        <f t="shared" si="47"/>
        <v>157020.65466101689</v>
      </c>
      <c r="AR91" s="82">
        <f t="shared" si="48"/>
        <v>0</v>
      </c>
      <c r="AS91" s="82">
        <f t="shared" si="49"/>
        <v>0</v>
      </c>
      <c r="AT91" s="82">
        <f t="shared" si="50"/>
        <v>0</v>
      </c>
      <c r="AU91" s="82">
        <f t="shared" si="51"/>
        <v>0</v>
      </c>
      <c r="AV91" s="82">
        <f t="shared" si="52"/>
        <v>0</v>
      </c>
      <c r="AW91" s="82">
        <f t="shared" si="53"/>
        <v>0</v>
      </c>
      <c r="AX91" s="82">
        <f t="shared" si="54"/>
        <v>0</v>
      </c>
      <c r="AY91" s="82">
        <f t="shared" si="60"/>
        <v>162305.70127051687</v>
      </c>
    </row>
    <row r="92" spans="1:51" ht="15.75" customHeight="1" x14ac:dyDescent="0.2">
      <c r="A92" s="254"/>
      <c r="B92" s="136" t="s">
        <v>221</v>
      </c>
      <c r="C92" s="137" t="s">
        <v>45</v>
      </c>
      <c r="D92" s="137" t="s">
        <v>1</v>
      </c>
      <c r="E92" s="83">
        <f>SUMIF('Incentive Report- Output'!$B$4:$B$93,'Incentive Summary Output'!C92,'Incentive Report- Output'!$AF$4:$AF$93)</f>
        <v>0</v>
      </c>
      <c r="F92" s="83">
        <f>SUMIF('Incentive Report- Output'!$B$98:$B$188,'Incentive Summary Output'!C92,'Incentive Report- Output'!$AF$98:$AF$188)</f>
        <v>24105.703389830487</v>
      </c>
      <c r="G92" s="83">
        <f>SUMIF('Incentive Report- Output'!$B$193:$B$283,'Incentive Summary Output'!C92,'Incentive Report- Output'!$AF$193:$AF$283)</f>
        <v>0</v>
      </c>
      <c r="H92" s="83">
        <f>SUMIF('Incentive Report- Output'!$B$288:$B$382,'Incentive Summary Output'!C92,'Incentive Report- Output'!$AF$288:$AF$382)</f>
        <v>0</v>
      </c>
      <c r="I92" s="83">
        <f>SUMIF('Incentive Report- Output'!$B$387:$B$480,'Incentive Summary Output'!C92,'Incentive Report- Output'!$AF$387:$AF$480)</f>
        <v>166058.90466101706</v>
      </c>
      <c r="J92" s="83"/>
      <c r="K92" s="83"/>
      <c r="L92" s="83"/>
      <c r="M92" s="83"/>
      <c r="N92" s="83"/>
      <c r="O92" s="83"/>
      <c r="P92" s="83"/>
      <c r="Q92" s="174">
        <f t="shared" si="42"/>
        <v>190164.60805084754</v>
      </c>
      <c r="S92" s="136" t="s">
        <v>221</v>
      </c>
      <c r="T92" s="137" t="s">
        <v>45</v>
      </c>
      <c r="U92" s="137" t="s">
        <v>1</v>
      </c>
      <c r="V92" s="82">
        <f t="shared" si="61"/>
        <v>0</v>
      </c>
      <c r="W92" s="82">
        <f t="shared" si="19"/>
        <v>0</v>
      </c>
      <c r="X92" s="82">
        <f t="shared" si="20"/>
        <v>0</v>
      </c>
      <c r="Y92" s="82">
        <f t="shared" si="21"/>
        <v>0</v>
      </c>
      <c r="Z92" s="82">
        <f t="shared" si="22"/>
        <v>0</v>
      </c>
      <c r="AA92" s="82">
        <f t="shared" si="23"/>
        <v>0</v>
      </c>
      <c r="AB92" s="82">
        <f t="shared" si="24"/>
        <v>0</v>
      </c>
      <c r="AC92" s="82">
        <f t="shared" si="25"/>
        <v>0</v>
      </c>
      <c r="AD92" s="82">
        <f t="shared" si="26"/>
        <v>0</v>
      </c>
      <c r="AE92" s="82">
        <f t="shared" si="27"/>
        <v>0</v>
      </c>
      <c r="AF92" s="82">
        <f t="shared" si="28"/>
        <v>0</v>
      </c>
      <c r="AG92" s="82">
        <f t="shared" si="29"/>
        <v>0</v>
      </c>
      <c r="AH92" s="82">
        <f t="shared" si="43"/>
        <v>0</v>
      </c>
      <c r="AJ92" s="136" t="s">
        <v>221</v>
      </c>
      <c r="AK92" s="137" t="s">
        <v>45</v>
      </c>
      <c r="AL92" s="137" t="s">
        <v>1</v>
      </c>
      <c r="AM92" s="82">
        <f t="shared" si="56"/>
        <v>0</v>
      </c>
      <c r="AN92" s="82">
        <f t="shared" si="57"/>
        <v>24105.703389830487</v>
      </c>
      <c r="AO92" s="82">
        <f t="shared" si="58"/>
        <v>0</v>
      </c>
      <c r="AP92" s="82">
        <f t="shared" si="59"/>
        <v>0</v>
      </c>
      <c r="AQ92" s="82">
        <f t="shared" si="47"/>
        <v>166058.90466101706</v>
      </c>
      <c r="AR92" s="82">
        <f t="shared" si="48"/>
        <v>0</v>
      </c>
      <c r="AS92" s="82">
        <f t="shared" si="49"/>
        <v>0</v>
      </c>
      <c r="AT92" s="82">
        <f t="shared" si="50"/>
        <v>0</v>
      </c>
      <c r="AU92" s="82">
        <f t="shared" si="51"/>
        <v>0</v>
      </c>
      <c r="AV92" s="82">
        <f t="shared" si="52"/>
        <v>0</v>
      </c>
      <c r="AW92" s="82">
        <f t="shared" si="53"/>
        <v>0</v>
      </c>
      <c r="AX92" s="82">
        <f t="shared" si="54"/>
        <v>0</v>
      </c>
      <c r="AY92" s="82">
        <f t="shared" si="60"/>
        <v>190164.60805084754</v>
      </c>
    </row>
    <row r="93" spans="1:51" ht="15.75" customHeight="1" x14ac:dyDescent="0.2">
      <c r="A93" s="254"/>
      <c r="B93" s="136" t="s">
        <v>1165</v>
      </c>
      <c r="C93" s="137" t="s">
        <v>1166</v>
      </c>
      <c r="D93" s="137" t="s">
        <v>1</v>
      </c>
      <c r="E93" s="83">
        <f>SUMIF('Incentive Report- Output'!$B$4:$B$93,'Incentive Summary Output'!C93,'Incentive Report- Output'!$AF$4:$AF$93)</f>
        <v>4558.5805084745716</v>
      </c>
      <c r="F93" s="83">
        <f>SUMIF('Incentive Report- Output'!$B$98:$B$188,'Incentive Summary Output'!C93,'Incentive Report- Output'!$AF$98:$AF$188)</f>
        <v>9161.8559322033907</v>
      </c>
      <c r="G93" s="83">
        <f>SUMIF('Incentive Report- Output'!$B$193:$B$283,'Incentive Summary Output'!C93,'Incentive Report- Output'!$AF$193:$AF$283)</f>
        <v>6699.2203389830438</v>
      </c>
      <c r="H93" s="83">
        <f>SUMIF('Incentive Report- Output'!$B$288:$B$382,'Incentive Summary Output'!C93,'Incentive Report- Output'!$AF$288:$AF$382)</f>
        <v>0</v>
      </c>
      <c r="I93" s="83">
        <f>SUMIF('Incentive Report- Output'!$B$387:$B$480,'Incentive Summary Output'!C93,'Incentive Report- Output'!$AF$387:$AF$480)</f>
        <v>305069.79661016993</v>
      </c>
      <c r="J93" s="83"/>
      <c r="K93" s="83"/>
      <c r="L93" s="83"/>
      <c r="M93" s="83"/>
      <c r="N93" s="83"/>
      <c r="O93" s="83"/>
      <c r="P93" s="83"/>
      <c r="Q93" s="174">
        <f t="shared" si="42"/>
        <v>325489.45338983095</v>
      </c>
      <c r="S93" s="136" t="s">
        <v>1165</v>
      </c>
      <c r="T93" s="137" t="s">
        <v>1166</v>
      </c>
      <c r="U93" s="137" t="s">
        <v>1</v>
      </c>
      <c r="V93" s="82">
        <f t="shared" si="61"/>
        <v>0</v>
      </c>
      <c r="W93" s="82">
        <f t="shared" si="19"/>
        <v>0</v>
      </c>
      <c r="X93" s="82">
        <f t="shared" si="20"/>
        <v>0</v>
      </c>
      <c r="Y93" s="82">
        <f t="shared" si="21"/>
        <v>0</v>
      </c>
      <c r="Z93" s="82">
        <f t="shared" si="22"/>
        <v>105069.79661016993</v>
      </c>
      <c r="AA93" s="82">
        <f t="shared" si="23"/>
        <v>0</v>
      </c>
      <c r="AB93" s="82">
        <f t="shared" si="24"/>
        <v>0</v>
      </c>
      <c r="AC93" s="82">
        <f t="shared" si="25"/>
        <v>0</v>
      </c>
      <c r="AD93" s="82">
        <f t="shared" si="26"/>
        <v>0</v>
      </c>
      <c r="AE93" s="82">
        <f t="shared" si="27"/>
        <v>0</v>
      </c>
      <c r="AF93" s="82">
        <f t="shared" si="28"/>
        <v>0</v>
      </c>
      <c r="AG93" s="82">
        <f t="shared" si="29"/>
        <v>0</v>
      </c>
      <c r="AH93" s="82">
        <f t="shared" si="43"/>
        <v>105069.79661016993</v>
      </c>
      <c r="AJ93" s="136" t="s">
        <v>1165</v>
      </c>
      <c r="AK93" s="137" t="s">
        <v>1166</v>
      </c>
      <c r="AL93" s="137" t="s">
        <v>1</v>
      </c>
      <c r="AM93" s="82">
        <f t="shared" si="56"/>
        <v>4558.5805084745716</v>
      </c>
      <c r="AN93" s="82">
        <f t="shared" si="57"/>
        <v>9161.8559322033907</v>
      </c>
      <c r="AO93" s="82">
        <f t="shared" si="58"/>
        <v>6699.2203389830438</v>
      </c>
      <c r="AP93" s="82">
        <f t="shared" si="59"/>
        <v>0</v>
      </c>
      <c r="AQ93" s="82">
        <f t="shared" si="47"/>
        <v>200000</v>
      </c>
      <c r="AR93" s="82">
        <f t="shared" si="48"/>
        <v>0</v>
      </c>
      <c r="AS93" s="82">
        <f t="shared" si="49"/>
        <v>0</v>
      </c>
      <c r="AT93" s="82">
        <f t="shared" si="50"/>
        <v>0</v>
      </c>
      <c r="AU93" s="82">
        <f t="shared" si="51"/>
        <v>0</v>
      </c>
      <c r="AV93" s="82">
        <f t="shared" si="52"/>
        <v>0</v>
      </c>
      <c r="AW93" s="82">
        <f t="shared" si="53"/>
        <v>0</v>
      </c>
      <c r="AX93" s="82">
        <f t="shared" si="54"/>
        <v>0</v>
      </c>
      <c r="AY93" s="82">
        <f t="shared" si="60"/>
        <v>220419.65677966102</v>
      </c>
    </row>
    <row r="94" spans="1:51" ht="15.75" customHeight="1" x14ac:dyDescent="0.2">
      <c r="A94" s="254"/>
      <c r="B94" s="136" t="s">
        <v>216</v>
      </c>
      <c r="C94" s="137" t="s">
        <v>18</v>
      </c>
      <c r="D94" s="137" t="s">
        <v>0</v>
      </c>
      <c r="E94" s="83">
        <f>SUMIF('Incentive Report- Output'!$B$4:$B$93,'Incentive Summary Output'!C94,'Incentive Report- Output'!$AF$4:$AF$93)</f>
        <v>5279.5550847457562</v>
      </c>
      <c r="F94" s="83">
        <f>SUMIF('Incentive Report- Output'!$B$98:$B$188,'Incentive Summary Output'!C94,'Incentive Report- Output'!$AF$98:$AF$188)</f>
        <v>0</v>
      </c>
      <c r="G94" s="83">
        <f>SUMIF('Incentive Report- Output'!$B$193:$B$283,'Incentive Summary Output'!C94,'Incentive Report- Output'!$AF$193:$AF$283)</f>
        <v>5132.5211864406683</v>
      </c>
      <c r="H94" s="83">
        <f>SUMIF('Incentive Report- Output'!$B$288:$B$382,'Incentive Summary Output'!C94,'Incentive Report- Output'!$AF$288:$AF$382)</f>
        <v>50109.152552699983</v>
      </c>
      <c r="I94" s="83">
        <f>SUMIF('Incentive Report- Output'!$B$387:$B$480,'Incentive Summary Output'!C94,'Incentive Report- Output'!$AF$387:$AF$480)</f>
        <v>13046.394067796589</v>
      </c>
      <c r="J94" s="83"/>
      <c r="K94" s="83"/>
      <c r="L94" s="83"/>
      <c r="M94" s="83"/>
      <c r="N94" s="83"/>
      <c r="O94" s="83"/>
      <c r="P94" s="83"/>
      <c r="Q94" s="174">
        <f t="shared" si="42"/>
        <v>73567.622891683</v>
      </c>
      <c r="S94" s="136" t="s">
        <v>216</v>
      </c>
      <c r="T94" s="137" t="s">
        <v>18</v>
      </c>
      <c r="U94" s="137" t="s">
        <v>0</v>
      </c>
      <c r="V94" s="82">
        <f t="shared" si="61"/>
        <v>0</v>
      </c>
      <c r="W94" s="82">
        <f t="shared" si="19"/>
        <v>0</v>
      </c>
      <c r="X94" s="82">
        <f t="shared" si="20"/>
        <v>0</v>
      </c>
      <c r="Y94" s="82">
        <f t="shared" si="21"/>
        <v>0</v>
      </c>
      <c r="Z94" s="82">
        <f t="shared" si="22"/>
        <v>0</v>
      </c>
      <c r="AA94" s="82">
        <f t="shared" si="23"/>
        <v>0</v>
      </c>
      <c r="AB94" s="82">
        <f t="shared" si="24"/>
        <v>0</v>
      </c>
      <c r="AC94" s="82">
        <f t="shared" si="25"/>
        <v>0</v>
      </c>
      <c r="AD94" s="82">
        <f t="shared" si="26"/>
        <v>0</v>
      </c>
      <c r="AE94" s="82">
        <f t="shared" si="27"/>
        <v>0</v>
      </c>
      <c r="AF94" s="82">
        <f t="shared" si="28"/>
        <v>0</v>
      </c>
      <c r="AG94" s="82">
        <f t="shared" si="29"/>
        <v>0</v>
      </c>
      <c r="AH94" s="82">
        <f t="shared" si="43"/>
        <v>0</v>
      </c>
      <c r="AJ94" s="136" t="s">
        <v>216</v>
      </c>
      <c r="AK94" s="137" t="s">
        <v>18</v>
      </c>
      <c r="AL94" s="137" t="s">
        <v>0</v>
      </c>
      <c r="AM94" s="82">
        <f t="shared" si="56"/>
        <v>5279.5550847457562</v>
      </c>
      <c r="AN94" s="82">
        <f t="shared" si="57"/>
        <v>0</v>
      </c>
      <c r="AO94" s="82">
        <f t="shared" si="58"/>
        <v>5132.5211864406683</v>
      </c>
      <c r="AP94" s="82">
        <f t="shared" si="59"/>
        <v>50109.152552699983</v>
      </c>
      <c r="AQ94" s="82">
        <f t="shared" si="47"/>
        <v>13046.394067796589</v>
      </c>
      <c r="AR94" s="82">
        <f t="shared" si="48"/>
        <v>0</v>
      </c>
      <c r="AS94" s="82">
        <f t="shared" si="49"/>
        <v>0</v>
      </c>
      <c r="AT94" s="82">
        <f t="shared" si="50"/>
        <v>0</v>
      </c>
      <c r="AU94" s="82">
        <f t="shared" si="51"/>
        <v>0</v>
      </c>
      <c r="AV94" s="82">
        <f t="shared" si="52"/>
        <v>0</v>
      </c>
      <c r="AW94" s="82">
        <f t="shared" si="53"/>
        <v>0</v>
      </c>
      <c r="AX94" s="82">
        <f t="shared" si="54"/>
        <v>0</v>
      </c>
      <c r="AY94" s="82">
        <f t="shared" si="60"/>
        <v>73567.622891683</v>
      </c>
    </row>
    <row r="95" spans="1:51" ht="15.75" customHeight="1" x14ac:dyDescent="0.2">
      <c r="A95" s="254"/>
      <c r="B95" s="136" t="s">
        <v>701</v>
      </c>
      <c r="C95" s="137" t="s">
        <v>702</v>
      </c>
      <c r="D95" s="137" t="s">
        <v>1</v>
      </c>
      <c r="E95" s="83">
        <f>SUMIF('Incentive Report- Output'!$B$4:$B$93,'Incentive Summary Output'!C95,'Incentive Report- Output'!$AF$4:$AF$93)</f>
        <v>14593.805084745751</v>
      </c>
      <c r="F95" s="83">
        <f>SUMIF('Incentive Report- Output'!$B$98:$B$188,'Incentive Summary Output'!C95,'Incentive Report- Output'!$AF$98:$AF$188)</f>
        <v>0</v>
      </c>
      <c r="G95" s="83">
        <f>SUMIF('Incentive Report- Output'!$B$193:$B$283,'Incentive Summary Output'!C95,'Incentive Report- Output'!$AF$193:$AF$283)</f>
        <v>5207.5338983050797</v>
      </c>
      <c r="H95" s="83">
        <f>SUMIF('Incentive Report- Output'!$B$288:$B$382,'Incentive Summary Output'!C95,'Incentive Report- Output'!$AF$288:$AF$382)</f>
        <v>5410.9110175000014</v>
      </c>
      <c r="I95" s="83">
        <f>SUMIF('Incentive Report- Output'!$B$387:$B$480,'Incentive Summary Output'!C95,'Incentive Report- Output'!$AF$387:$AF$480)</f>
        <v>34937.127118644021</v>
      </c>
      <c r="J95" s="83"/>
      <c r="K95" s="83"/>
      <c r="L95" s="83"/>
      <c r="M95" s="83"/>
      <c r="N95" s="83"/>
      <c r="O95" s="83"/>
      <c r="P95" s="83"/>
      <c r="Q95" s="174">
        <f t="shared" si="42"/>
        <v>60149.377119194854</v>
      </c>
      <c r="S95" s="136" t="s">
        <v>701</v>
      </c>
      <c r="T95" s="137" t="s">
        <v>702</v>
      </c>
      <c r="U95" s="137" t="s">
        <v>1</v>
      </c>
      <c r="V95" s="82">
        <f t="shared" si="61"/>
        <v>0</v>
      </c>
      <c r="W95" s="82">
        <f t="shared" si="19"/>
        <v>0</v>
      </c>
      <c r="X95" s="82">
        <f t="shared" si="20"/>
        <v>0</v>
      </c>
      <c r="Y95" s="82">
        <f t="shared" si="21"/>
        <v>0</v>
      </c>
      <c r="Z95" s="82">
        <f t="shared" si="22"/>
        <v>0</v>
      </c>
      <c r="AA95" s="82">
        <f t="shared" si="23"/>
        <v>0</v>
      </c>
      <c r="AB95" s="82">
        <f t="shared" si="24"/>
        <v>0</v>
      </c>
      <c r="AC95" s="82">
        <f t="shared" si="25"/>
        <v>0</v>
      </c>
      <c r="AD95" s="82">
        <f t="shared" si="26"/>
        <v>0</v>
      </c>
      <c r="AE95" s="82">
        <f t="shared" si="27"/>
        <v>0</v>
      </c>
      <c r="AF95" s="82">
        <f t="shared" si="28"/>
        <v>0</v>
      </c>
      <c r="AG95" s="82">
        <f t="shared" si="29"/>
        <v>0</v>
      </c>
      <c r="AH95" s="82">
        <f t="shared" si="43"/>
        <v>0</v>
      </c>
      <c r="AJ95" s="136" t="s">
        <v>701</v>
      </c>
      <c r="AK95" s="137" t="s">
        <v>702</v>
      </c>
      <c r="AL95" s="137" t="s">
        <v>1</v>
      </c>
      <c r="AM95" s="82">
        <f t="shared" ref="AM95:AM96" si="62">E95-V95</f>
        <v>14593.805084745751</v>
      </c>
      <c r="AN95" s="82">
        <f t="shared" ref="AN95:AN96" si="63">F95-W95</f>
        <v>0</v>
      </c>
      <c r="AO95" s="82">
        <f t="shared" ref="AO95:AO96" si="64">G95-X95</f>
        <v>5207.5338983050797</v>
      </c>
      <c r="AP95" s="82">
        <f t="shared" ref="AP95:AP96" si="65">H95-Y95</f>
        <v>5410.9110175000014</v>
      </c>
      <c r="AQ95" s="82">
        <f t="shared" ref="AQ95:AQ96" si="66">I95-Z95</f>
        <v>34937.127118644021</v>
      </c>
      <c r="AR95" s="82">
        <f t="shared" si="48"/>
        <v>0</v>
      </c>
      <c r="AS95" s="82">
        <f t="shared" si="49"/>
        <v>0</v>
      </c>
      <c r="AT95" s="82">
        <f t="shared" si="50"/>
        <v>0</v>
      </c>
      <c r="AU95" s="82">
        <f t="shared" si="51"/>
        <v>0</v>
      </c>
      <c r="AV95" s="82">
        <f t="shared" si="52"/>
        <v>0</v>
      </c>
      <c r="AW95" s="82">
        <f t="shared" si="53"/>
        <v>0</v>
      </c>
      <c r="AX95" s="82">
        <f t="shared" si="54"/>
        <v>0</v>
      </c>
      <c r="AY95" s="82">
        <f t="shared" ref="AY95:AY103" si="67">SUM(AM95:AX95)</f>
        <v>60149.377119194854</v>
      </c>
    </row>
    <row r="96" spans="1:51" ht="15.75" customHeight="1" x14ac:dyDescent="0.2">
      <c r="A96" s="254"/>
      <c r="B96" s="136" t="s">
        <v>671</v>
      </c>
      <c r="C96" s="137" t="s">
        <v>200</v>
      </c>
      <c r="D96" s="137" t="s">
        <v>1</v>
      </c>
      <c r="E96" s="83">
        <f>SUMIF('Incentive Report- Output'!$B$4:$B$93,'Incentive Summary Output'!C96,'Incentive Report- Output'!$AF$4:$AF$93)</f>
        <v>78529.652542372773</v>
      </c>
      <c r="F96" s="83">
        <f>SUMIF('Incentive Report- Output'!$B$98:$B$188,'Incentive Summary Output'!C96,'Incentive Report- Output'!$AF$98:$AF$188)</f>
        <v>0</v>
      </c>
      <c r="G96" s="83">
        <f>SUMIF('Incentive Report- Output'!$B$193:$B$283,'Incentive Summary Output'!C96,'Incentive Report- Output'!$AF$193:$AF$283)</f>
        <v>37554.273305084687</v>
      </c>
      <c r="H96" s="83">
        <f>SUMIF('Incentive Report- Output'!$B$288:$B$382,'Incentive Summary Output'!C96,'Incentive Report- Output'!$AF$288:$AF$382)</f>
        <v>0</v>
      </c>
      <c r="I96" s="83">
        <f>SUMIF('Incentive Report- Output'!$B$387:$B$480,'Incentive Summary Output'!C96,'Incentive Report- Output'!$AF$387:$AF$480)</f>
        <v>271521.00000000006</v>
      </c>
      <c r="J96" s="83"/>
      <c r="K96" s="83"/>
      <c r="L96" s="83"/>
      <c r="M96" s="83"/>
      <c r="N96" s="83"/>
      <c r="O96" s="83"/>
      <c r="P96" s="83"/>
      <c r="Q96" s="174">
        <f t="shared" si="42"/>
        <v>387604.92584745749</v>
      </c>
      <c r="S96" s="136" t="s">
        <v>671</v>
      </c>
      <c r="T96" s="137" t="s">
        <v>200</v>
      </c>
      <c r="U96" s="137" t="s">
        <v>1</v>
      </c>
      <c r="V96" s="82">
        <f t="shared" si="61"/>
        <v>0</v>
      </c>
      <c r="W96" s="82">
        <f t="shared" si="19"/>
        <v>0</v>
      </c>
      <c r="X96" s="82">
        <f t="shared" si="20"/>
        <v>0</v>
      </c>
      <c r="Y96" s="82">
        <f t="shared" si="21"/>
        <v>0</v>
      </c>
      <c r="Z96" s="82">
        <f t="shared" si="22"/>
        <v>71521.000000000058</v>
      </c>
      <c r="AA96" s="82">
        <f t="shared" si="23"/>
        <v>0</v>
      </c>
      <c r="AB96" s="82">
        <f t="shared" si="24"/>
        <v>0</v>
      </c>
      <c r="AC96" s="82">
        <f t="shared" si="25"/>
        <v>0</v>
      </c>
      <c r="AD96" s="82">
        <f t="shared" si="26"/>
        <v>0</v>
      </c>
      <c r="AE96" s="82">
        <f t="shared" si="27"/>
        <v>0</v>
      </c>
      <c r="AF96" s="82">
        <f t="shared" si="28"/>
        <v>0</v>
      </c>
      <c r="AG96" s="82">
        <f t="shared" si="29"/>
        <v>0</v>
      </c>
      <c r="AH96" s="82">
        <f t="shared" si="43"/>
        <v>71521.000000000058</v>
      </c>
      <c r="AJ96" s="136" t="s">
        <v>671</v>
      </c>
      <c r="AK96" s="137" t="s">
        <v>200</v>
      </c>
      <c r="AL96" s="137" t="s">
        <v>1</v>
      </c>
      <c r="AM96" s="82">
        <f t="shared" si="62"/>
        <v>78529.652542372773</v>
      </c>
      <c r="AN96" s="82">
        <f t="shared" si="63"/>
        <v>0</v>
      </c>
      <c r="AO96" s="82">
        <f t="shared" si="64"/>
        <v>37554.273305084687</v>
      </c>
      <c r="AP96" s="82">
        <f t="shared" si="65"/>
        <v>0</v>
      </c>
      <c r="AQ96" s="82">
        <f t="shared" si="66"/>
        <v>200000</v>
      </c>
      <c r="AR96" s="82">
        <f t="shared" si="48"/>
        <v>0</v>
      </c>
      <c r="AS96" s="82">
        <f t="shared" si="49"/>
        <v>0</v>
      </c>
      <c r="AT96" s="82">
        <f t="shared" si="50"/>
        <v>0</v>
      </c>
      <c r="AU96" s="82">
        <f t="shared" si="51"/>
        <v>0</v>
      </c>
      <c r="AV96" s="82">
        <f t="shared" si="52"/>
        <v>0</v>
      </c>
      <c r="AW96" s="82">
        <f t="shared" si="53"/>
        <v>0</v>
      </c>
      <c r="AX96" s="82">
        <f t="shared" si="54"/>
        <v>0</v>
      </c>
      <c r="AY96" s="82">
        <f t="shared" si="67"/>
        <v>316083.92584745749</v>
      </c>
    </row>
    <row r="97" spans="1:51" ht="15.75" customHeight="1" x14ac:dyDescent="0.2">
      <c r="A97" s="254"/>
      <c r="B97" s="136" t="s">
        <v>19</v>
      </c>
      <c r="C97" s="137" t="s">
        <v>205</v>
      </c>
      <c r="D97" s="137" t="s">
        <v>1185</v>
      </c>
      <c r="E97" s="83">
        <f>SUMIF('Incentive Report- Output'!$B$4:$B$93,'Incentive Summary Output'!C97,'Incentive Report- Output'!$AF$4:$AF$93)</f>
        <v>24236.612288135566</v>
      </c>
      <c r="F97" s="83">
        <f>SUMIF('Incentive Report- Output'!$B$98:$B$188,'Incentive Summary Output'!C97,'Incentive Report- Output'!$AF$98:$AF$188)</f>
        <v>0</v>
      </c>
      <c r="G97" s="83">
        <f>SUMIF('Incentive Report- Output'!$B$193:$B$283,'Incentive Summary Output'!C97,'Incentive Report- Output'!$AF$193:$AF$283)</f>
        <v>81179.635169491376</v>
      </c>
      <c r="H97" s="83">
        <f>SUMIF('Incentive Report- Output'!$B$288:$B$382,'Incentive Summary Output'!C97,'Incentive Report- Output'!$AF$288:$AF$382)</f>
        <v>4220.2584760000009</v>
      </c>
      <c r="I97" s="83">
        <f>SUMIF('Incentive Report- Output'!$B$387:$B$480,'Incentive Summary Output'!C97,'Incentive Report- Output'!$AF$387:$AF$480)</f>
        <v>131499.97881355922</v>
      </c>
      <c r="J97" s="83"/>
      <c r="K97" s="83"/>
      <c r="L97" s="83"/>
      <c r="M97" s="83"/>
      <c r="N97" s="83"/>
      <c r="O97" s="83"/>
      <c r="P97" s="83"/>
      <c r="Q97" s="174">
        <f t="shared" si="42"/>
        <v>241136.48474718619</v>
      </c>
      <c r="S97" s="136" t="s">
        <v>19</v>
      </c>
      <c r="T97" s="137" t="s">
        <v>205</v>
      </c>
      <c r="U97" s="137" t="s">
        <v>1185</v>
      </c>
      <c r="V97" s="82">
        <f t="shared" si="61"/>
        <v>0</v>
      </c>
      <c r="W97" s="82">
        <f t="shared" si="19"/>
        <v>0</v>
      </c>
      <c r="X97" s="82">
        <f t="shared" si="20"/>
        <v>0</v>
      </c>
      <c r="Y97" s="82">
        <f t="shared" si="21"/>
        <v>0</v>
      </c>
      <c r="Z97" s="82">
        <f t="shared" si="22"/>
        <v>0</v>
      </c>
      <c r="AA97" s="82">
        <f t="shared" si="23"/>
        <v>0</v>
      </c>
      <c r="AB97" s="82">
        <f t="shared" si="24"/>
        <v>0</v>
      </c>
      <c r="AC97" s="82">
        <f t="shared" si="25"/>
        <v>0</v>
      </c>
      <c r="AD97" s="82">
        <f t="shared" si="26"/>
        <v>0</v>
      </c>
      <c r="AE97" s="82">
        <f t="shared" si="27"/>
        <v>0</v>
      </c>
      <c r="AF97" s="82">
        <f t="shared" si="28"/>
        <v>0</v>
      </c>
      <c r="AG97" s="82">
        <f t="shared" si="29"/>
        <v>0</v>
      </c>
      <c r="AH97" s="82">
        <f t="shared" si="43"/>
        <v>0</v>
      </c>
      <c r="AJ97" s="136" t="s">
        <v>19</v>
      </c>
      <c r="AK97" s="137" t="s">
        <v>205</v>
      </c>
      <c r="AL97" s="137" t="s">
        <v>1185</v>
      </c>
      <c r="AM97" s="82">
        <f t="shared" ref="AM97:AM103" si="68">E97-V97</f>
        <v>24236.612288135566</v>
      </c>
      <c r="AN97" s="82">
        <f t="shared" ref="AN97:AN103" si="69">F97-W97</f>
        <v>0</v>
      </c>
      <c r="AO97" s="82">
        <f t="shared" ref="AO97:AO103" si="70">G97-X97</f>
        <v>81179.635169491376</v>
      </c>
      <c r="AP97" s="82">
        <f t="shared" ref="AP97:AP103" si="71">H97-Y97</f>
        <v>4220.2584760000009</v>
      </c>
      <c r="AQ97" s="82">
        <f t="shared" ref="AQ97:AQ103" si="72">I97-Z97</f>
        <v>131499.97881355922</v>
      </c>
      <c r="AR97" s="82">
        <f t="shared" ref="AR97:AR103" si="73">J97-AA97</f>
        <v>0</v>
      </c>
      <c r="AS97" s="82">
        <f t="shared" ref="AS97:AS103" si="74">K97-AB97</f>
        <v>0</v>
      </c>
      <c r="AT97" s="82">
        <f t="shared" si="50"/>
        <v>0</v>
      </c>
      <c r="AU97" s="82">
        <f t="shared" si="51"/>
        <v>0</v>
      </c>
      <c r="AV97" s="82">
        <f t="shared" si="52"/>
        <v>0</v>
      </c>
      <c r="AW97" s="82">
        <f t="shared" si="53"/>
        <v>0</v>
      </c>
      <c r="AX97" s="82">
        <f t="shared" si="54"/>
        <v>0</v>
      </c>
      <c r="AY97" s="82">
        <f t="shared" si="67"/>
        <v>241136.48474718619</v>
      </c>
    </row>
    <row r="98" spans="1:51" ht="15.75" customHeight="1" x14ac:dyDescent="0.2">
      <c r="A98" s="254"/>
      <c r="B98" s="136" t="s">
        <v>1432</v>
      </c>
      <c r="C98" s="137" t="s">
        <v>1431</v>
      </c>
      <c r="D98" s="137" t="s">
        <v>1</v>
      </c>
      <c r="E98" s="83">
        <f>SUMIF('Incentive Report- Output'!$B$4:$B$93,'Incentive Summary Output'!C98,'Incentive Report- Output'!$AF$4:$AF$93)</f>
        <v>0</v>
      </c>
      <c r="F98" s="83">
        <f>SUMIF('Incentive Report- Output'!$B$98:$B$188,'Incentive Summary Output'!C98,'Incentive Report- Output'!$AF$98:$AF$188)</f>
        <v>5989.9194915254229</v>
      </c>
      <c r="G98" s="83">
        <f>SUMIF('Incentive Report- Output'!$B$193:$B$283,'Incentive Summary Output'!C98,'Incentive Report- Output'!$AF$193:$AF$283)</f>
        <v>42127.417372881297</v>
      </c>
      <c r="H98" s="83">
        <f>SUMIF('Incentive Report- Output'!$B$288:$B$382,'Incentive Summary Output'!C98,'Incentive Report- Output'!$AF$288:$AF$382)</f>
        <v>54062.415275999978</v>
      </c>
      <c r="I98" s="83">
        <f>SUMIF('Incentive Report- Output'!$B$387:$B$480,'Incentive Summary Output'!C98,'Incentive Report- Output'!$AF$387:$AF$480)</f>
        <v>226123.24576271189</v>
      </c>
      <c r="J98" s="83"/>
      <c r="K98" s="83"/>
      <c r="L98" s="83"/>
      <c r="M98" s="83"/>
      <c r="N98" s="83"/>
      <c r="O98" s="83"/>
      <c r="P98" s="83"/>
      <c r="Q98" s="174">
        <f t="shared" si="42"/>
        <v>328302.99790311861</v>
      </c>
      <c r="S98" s="136" t="s">
        <v>1432</v>
      </c>
      <c r="T98" s="137" t="s">
        <v>1431</v>
      </c>
      <c r="U98" s="137" t="s">
        <v>1</v>
      </c>
      <c r="V98" s="82">
        <f t="shared" ref="V98" si="75">IF(E98&gt;200000,E98-200000,0)</f>
        <v>0</v>
      </c>
      <c r="W98" s="82">
        <f t="shared" ref="W98" si="76">IF(F98&gt;200000,F98-200000,0)</f>
        <v>0</v>
      </c>
      <c r="X98" s="82">
        <f t="shared" ref="X98" si="77">IF(G98&gt;200000,G98-200000,0)</f>
        <v>0</v>
      </c>
      <c r="Y98" s="82">
        <f t="shared" ref="Y98" si="78">IF(H98&gt;200000,H98-200000,0)</f>
        <v>0</v>
      </c>
      <c r="Z98" s="82">
        <f t="shared" ref="Z98" si="79">IF(I98&gt;200000,I98-200000,0)</f>
        <v>26123.245762711886</v>
      </c>
      <c r="AA98" s="82">
        <f t="shared" ref="AA98" si="80">IF(J98&gt;200000,J98-200000,0)</f>
        <v>0</v>
      </c>
      <c r="AB98" s="82">
        <f t="shared" ref="AB98" si="81">IF(K98&gt;200000,K98-200000,0)</f>
        <v>0</v>
      </c>
      <c r="AC98" s="82">
        <f t="shared" ref="AC98" si="82">IF(L98&gt;200000,L98-200000,0)</f>
        <v>0</v>
      </c>
      <c r="AD98" s="82">
        <f t="shared" ref="AD98" si="83">IF(M98&gt;200000,M98-200000,0)</f>
        <v>0</v>
      </c>
      <c r="AE98" s="82">
        <f t="shared" ref="AE98" si="84">IF(N98&gt;200000,N98-200000,0)</f>
        <v>0</v>
      </c>
      <c r="AF98" s="82">
        <f t="shared" ref="AF98" si="85">IF(O98&gt;200000,O98-200000,0)</f>
        <v>0</v>
      </c>
      <c r="AG98" s="82">
        <f t="shared" ref="AG98" si="86">IF(P98&gt;200000,P98-200000,0)</f>
        <v>0</v>
      </c>
      <c r="AH98" s="82">
        <f t="shared" ref="AH98" si="87">SUM(V98:AG98)</f>
        <v>26123.245762711886</v>
      </c>
      <c r="AJ98" s="136" t="s">
        <v>1432</v>
      </c>
      <c r="AK98" s="137" t="s">
        <v>1431</v>
      </c>
      <c r="AL98" s="137" t="s">
        <v>1</v>
      </c>
      <c r="AM98" s="82">
        <f t="shared" ref="AM98" si="88">E98-V98</f>
        <v>0</v>
      </c>
      <c r="AN98" s="82">
        <f t="shared" ref="AN98" si="89">F98-W98</f>
        <v>5989.9194915254229</v>
      </c>
      <c r="AO98" s="82">
        <f t="shared" ref="AO98" si="90">G98-X98</f>
        <v>42127.417372881297</v>
      </c>
      <c r="AP98" s="82">
        <f t="shared" ref="AP98" si="91">H98-Y98</f>
        <v>54062.415275999978</v>
      </c>
      <c r="AQ98" s="82">
        <f t="shared" ref="AQ98" si="92">I98-Z98</f>
        <v>200000</v>
      </c>
      <c r="AR98" s="82">
        <f t="shared" ref="AR98" si="93">J98-AA98</f>
        <v>0</v>
      </c>
      <c r="AS98" s="82">
        <f t="shared" ref="AS98" si="94">K98-AB98</f>
        <v>0</v>
      </c>
      <c r="AT98" s="82">
        <f t="shared" ref="AT98" si="95">L98-AC98</f>
        <v>0</v>
      </c>
      <c r="AU98" s="82">
        <f t="shared" ref="AU98" si="96">M98-AD98</f>
        <v>0</v>
      </c>
      <c r="AV98" s="82">
        <f t="shared" ref="AV98" si="97">N98-AE98</f>
        <v>0</v>
      </c>
      <c r="AW98" s="82">
        <f t="shared" ref="AW98" si="98">O98-AF98</f>
        <v>0</v>
      </c>
      <c r="AX98" s="82">
        <f t="shared" ref="AX98" si="99">P98-AG98</f>
        <v>0</v>
      </c>
      <c r="AY98" s="82">
        <f t="shared" ref="AY98" si="100">SUM(AM98:AX98)</f>
        <v>302179.75214040669</v>
      </c>
    </row>
    <row r="99" spans="1:51" ht="15.75" customHeight="1" x14ac:dyDescent="0.2">
      <c r="A99" s="254"/>
      <c r="B99" s="136" t="s">
        <v>2091</v>
      </c>
      <c r="C99" s="137" t="s">
        <v>2092</v>
      </c>
      <c r="D99" s="137" t="s">
        <v>1</v>
      </c>
      <c r="E99" s="83">
        <f>SUMIF('Incentive Report- Output'!$B$4:$B$93,'Incentive Summary Output'!C99,'Incentive Report- Output'!$AF$4:$AF$93)</f>
        <v>0</v>
      </c>
      <c r="F99" s="83">
        <f>SUMIF('Incentive Report- Output'!$B$98:$B$188,'Incentive Summary Output'!C99,'Incentive Report- Output'!$AF$98:$AF$188)</f>
        <v>0</v>
      </c>
      <c r="G99" s="83">
        <f>SUMIF('Incentive Report- Output'!$B$193:$B$283,'Incentive Summary Output'!C99,'Incentive Report- Output'!$AF$193:$AF$283)</f>
        <v>0</v>
      </c>
      <c r="H99" s="83">
        <f>SUMIF('Incentive Report- Output'!$B$288:$B$382,'Incentive Summary Output'!C99,'Incentive Report- Output'!$AF$288:$AF$382)</f>
        <v>4039.3389825000004</v>
      </c>
      <c r="I99" s="83">
        <f>SUMIF('Incentive Report- Output'!$B$387:$B$480,'Incentive Summary Output'!C99,'Incentive Report- Output'!$AF$387:$AF$480)</f>
        <v>6847.3474576271155</v>
      </c>
      <c r="J99" s="83"/>
      <c r="K99" s="83"/>
      <c r="L99" s="83"/>
      <c r="M99" s="83"/>
      <c r="N99" s="83"/>
      <c r="O99" s="83"/>
      <c r="P99" s="83"/>
      <c r="Q99" s="174">
        <f t="shared" si="42"/>
        <v>10886.686440127116</v>
      </c>
      <c r="S99" s="136" t="s">
        <v>2091</v>
      </c>
      <c r="T99" s="137" t="s">
        <v>2092</v>
      </c>
      <c r="U99" s="137" t="s">
        <v>1</v>
      </c>
      <c r="V99" s="82">
        <f t="shared" ref="V99" si="101">IF(E99&gt;200000,E99-200000,0)</f>
        <v>0</v>
      </c>
      <c r="W99" s="82">
        <f t="shared" ref="W99" si="102">IF(F99&gt;200000,F99-200000,0)</f>
        <v>0</v>
      </c>
      <c r="X99" s="82">
        <f t="shared" ref="X99" si="103">IF(G99&gt;200000,G99-200000,0)</f>
        <v>0</v>
      </c>
      <c r="Y99" s="82">
        <f t="shared" ref="Y99" si="104">IF(H99&gt;200000,H99-200000,0)</f>
        <v>0</v>
      </c>
      <c r="Z99" s="82">
        <f t="shared" ref="Z99" si="105">IF(I99&gt;200000,I99-200000,0)</f>
        <v>0</v>
      </c>
      <c r="AA99" s="82">
        <f t="shared" ref="AA99" si="106">IF(J99&gt;200000,J99-200000,0)</f>
        <v>0</v>
      </c>
      <c r="AB99" s="82">
        <f t="shared" ref="AB99" si="107">IF(K99&gt;200000,K99-200000,0)</f>
        <v>0</v>
      </c>
      <c r="AC99" s="82">
        <f t="shared" ref="AC99" si="108">IF(L99&gt;200000,L99-200000,0)</f>
        <v>0</v>
      </c>
      <c r="AD99" s="82">
        <f t="shared" ref="AD99" si="109">IF(M99&gt;200000,M99-200000,0)</f>
        <v>0</v>
      </c>
      <c r="AE99" s="82">
        <f t="shared" ref="AE99" si="110">IF(N99&gt;200000,N99-200000,0)</f>
        <v>0</v>
      </c>
      <c r="AF99" s="82">
        <f t="shared" ref="AF99" si="111">IF(O99&gt;200000,O99-200000,0)</f>
        <v>0</v>
      </c>
      <c r="AG99" s="82">
        <f t="shared" ref="AG99" si="112">IF(P99&gt;200000,P99-200000,0)</f>
        <v>0</v>
      </c>
      <c r="AH99" s="82">
        <f t="shared" ref="AH99" si="113">SUM(V99:AG99)</f>
        <v>0</v>
      </c>
      <c r="AJ99" s="136" t="s">
        <v>2091</v>
      </c>
      <c r="AK99" s="137" t="s">
        <v>2092</v>
      </c>
      <c r="AL99" s="137" t="s">
        <v>1</v>
      </c>
      <c r="AM99" s="82">
        <f t="shared" ref="AM99" si="114">E99-V99</f>
        <v>0</v>
      </c>
      <c r="AN99" s="82">
        <f t="shared" ref="AN99" si="115">F99-W99</f>
        <v>0</v>
      </c>
      <c r="AO99" s="82">
        <f t="shared" ref="AO99" si="116">G99-X99</f>
        <v>0</v>
      </c>
      <c r="AP99" s="82">
        <f t="shared" ref="AP99" si="117">H99-Y99</f>
        <v>4039.3389825000004</v>
      </c>
      <c r="AQ99" s="82">
        <f t="shared" ref="AQ99" si="118">I99-Z99</f>
        <v>6847.3474576271155</v>
      </c>
      <c r="AR99" s="82">
        <f t="shared" ref="AR99" si="119">J99-AA99</f>
        <v>0</v>
      </c>
      <c r="AS99" s="82">
        <f t="shared" ref="AS99" si="120">K99-AB99</f>
        <v>0</v>
      </c>
      <c r="AT99" s="82">
        <f t="shared" ref="AT99" si="121">L99-AC99</f>
        <v>0</v>
      </c>
      <c r="AU99" s="82">
        <f t="shared" ref="AU99" si="122">M99-AD99</f>
        <v>0</v>
      </c>
      <c r="AV99" s="82">
        <f t="shared" ref="AV99" si="123">N99-AE99</f>
        <v>0</v>
      </c>
      <c r="AW99" s="82">
        <f t="shared" ref="AW99" si="124">O99-AF99</f>
        <v>0</v>
      </c>
      <c r="AX99" s="82">
        <f t="shared" ref="AX99" si="125">P99-AG99</f>
        <v>0</v>
      </c>
      <c r="AY99" s="82">
        <f t="shared" ref="AY99" si="126">SUM(AM99:AX99)</f>
        <v>10886.686440127116</v>
      </c>
    </row>
    <row r="100" spans="1:51" ht="15.75" customHeight="1" x14ac:dyDescent="0.2">
      <c r="A100" s="254"/>
      <c r="B100" s="136" t="s">
        <v>2520</v>
      </c>
      <c r="C100" s="137" t="s">
        <v>2521</v>
      </c>
      <c r="D100" s="137" t="s">
        <v>1</v>
      </c>
      <c r="E100" s="83">
        <f>SUMIF('Incentive Report- Output'!$B$4:$B$93,'Incentive Summary Output'!C100,'Incentive Report- Output'!$AF$4:$AF$93)</f>
        <v>0</v>
      </c>
      <c r="F100" s="83">
        <f>SUMIF('Incentive Report- Output'!$B$98:$B$188,'Incentive Summary Output'!C100,'Incentive Report- Output'!$AF$98:$AF$188)</f>
        <v>0</v>
      </c>
      <c r="G100" s="83">
        <f>SUMIF('Incentive Report- Output'!$B$193:$B$283,'Incentive Summary Output'!C100,'Incentive Report- Output'!$AF$193:$AF$283)</f>
        <v>0</v>
      </c>
      <c r="H100" s="83">
        <f>SUMIF('Incentive Report- Output'!$B$288:$B$382,'Incentive Summary Output'!C100,'Incentive Report- Output'!$AF$288:$AF$382)</f>
        <v>3946.0805065000027</v>
      </c>
      <c r="I100" s="83">
        <f>SUMIF('Incentive Report- Output'!$B$387:$B$480,'Incentive Summary Output'!C100,'Incentive Report- Output'!$AF$387:$AF$480)</f>
        <v>34803.781779660974</v>
      </c>
      <c r="J100" s="83"/>
      <c r="K100" s="83"/>
      <c r="L100" s="83"/>
      <c r="M100" s="83"/>
      <c r="N100" s="83"/>
      <c r="O100" s="83"/>
      <c r="P100" s="83"/>
      <c r="Q100" s="174">
        <f t="shared" si="42"/>
        <v>38749.862286160977</v>
      </c>
      <c r="S100" s="136" t="s">
        <v>2520</v>
      </c>
      <c r="T100" s="137" t="s">
        <v>2521</v>
      </c>
      <c r="U100" s="137" t="s">
        <v>1</v>
      </c>
      <c r="V100" s="82">
        <f t="shared" ref="V100:V101" si="127">IF(E100&gt;200000,E100-200000,0)</f>
        <v>0</v>
      </c>
      <c r="W100" s="82">
        <f t="shared" ref="W100:W101" si="128">IF(F100&gt;200000,F100-200000,0)</f>
        <v>0</v>
      </c>
      <c r="X100" s="82">
        <f t="shared" ref="X100:X101" si="129">IF(G100&gt;200000,G100-200000,0)</f>
        <v>0</v>
      </c>
      <c r="Y100" s="82">
        <f t="shared" ref="Y100:Y101" si="130">IF(H100&gt;200000,H100-200000,0)</f>
        <v>0</v>
      </c>
      <c r="Z100" s="82">
        <f t="shared" ref="Z100:Z101" si="131">IF(I100&gt;200000,I100-200000,0)</f>
        <v>0</v>
      </c>
      <c r="AA100" s="82">
        <f t="shared" ref="AA100:AA101" si="132">IF(J100&gt;200000,J100-200000,0)</f>
        <v>0</v>
      </c>
      <c r="AB100" s="82">
        <f t="shared" ref="AB100:AB101" si="133">IF(K100&gt;200000,K100-200000,0)</f>
        <v>0</v>
      </c>
      <c r="AC100" s="82">
        <f t="shared" ref="AC100:AC101" si="134">IF(L100&gt;200000,L100-200000,0)</f>
        <v>0</v>
      </c>
      <c r="AD100" s="82">
        <f t="shared" ref="AD100:AD101" si="135">IF(M100&gt;200000,M100-200000,0)</f>
        <v>0</v>
      </c>
      <c r="AE100" s="82">
        <f t="shared" ref="AE100:AE101" si="136">IF(N100&gt;200000,N100-200000,0)</f>
        <v>0</v>
      </c>
      <c r="AF100" s="82">
        <f t="shared" ref="AF100:AF101" si="137">IF(O100&gt;200000,O100-200000,0)</f>
        <v>0</v>
      </c>
      <c r="AG100" s="82">
        <f t="shared" ref="AG100:AG101" si="138">IF(P100&gt;200000,P100-200000,0)</f>
        <v>0</v>
      </c>
      <c r="AH100" s="82">
        <f t="shared" ref="AH100:AH101" si="139">SUM(V100:AG100)</f>
        <v>0</v>
      </c>
      <c r="AJ100" s="136" t="s">
        <v>2520</v>
      </c>
      <c r="AK100" s="137" t="s">
        <v>2521</v>
      </c>
      <c r="AL100" s="137" t="s">
        <v>1</v>
      </c>
      <c r="AM100" s="82">
        <f t="shared" ref="AM100:AM101" si="140">E100-V100</f>
        <v>0</v>
      </c>
      <c r="AN100" s="82">
        <f t="shared" ref="AN100:AN101" si="141">F100-W100</f>
        <v>0</v>
      </c>
      <c r="AO100" s="82">
        <f t="shared" ref="AO100:AO101" si="142">G100-X100</f>
        <v>0</v>
      </c>
      <c r="AP100" s="82">
        <f t="shared" ref="AP100:AP101" si="143">H100-Y100</f>
        <v>3946.0805065000027</v>
      </c>
      <c r="AQ100" s="82">
        <f t="shared" ref="AQ100:AQ101" si="144">I100-Z100</f>
        <v>34803.781779660974</v>
      </c>
      <c r="AR100" s="82">
        <f t="shared" ref="AR100:AR101" si="145">J100-AA100</f>
        <v>0</v>
      </c>
      <c r="AS100" s="82">
        <f t="shared" ref="AS100:AS101" si="146">K100-AB100</f>
        <v>0</v>
      </c>
      <c r="AT100" s="82">
        <f t="shared" ref="AT100:AT101" si="147">L100-AC100</f>
        <v>0</v>
      </c>
      <c r="AU100" s="82">
        <f t="shared" ref="AU100:AU101" si="148">M100-AD100</f>
        <v>0</v>
      </c>
      <c r="AV100" s="82">
        <f t="shared" ref="AV100:AV101" si="149">N100-AE100</f>
        <v>0</v>
      </c>
      <c r="AW100" s="82">
        <f t="shared" ref="AW100:AW101" si="150">O100-AF100</f>
        <v>0</v>
      </c>
      <c r="AX100" s="82">
        <f t="shared" ref="AX100:AX101" si="151">P100-AG100</f>
        <v>0</v>
      </c>
      <c r="AY100" s="82">
        <f t="shared" ref="AY100:AY101" si="152">SUM(AM100:AX100)</f>
        <v>38749.862286160977</v>
      </c>
    </row>
    <row r="101" spans="1:51" ht="15.75" customHeight="1" x14ac:dyDescent="0.2">
      <c r="A101" s="254"/>
      <c r="B101" s="136" t="s">
        <v>2524</v>
      </c>
      <c r="C101" s="137" t="s">
        <v>2523</v>
      </c>
      <c r="D101" s="137" t="s">
        <v>1</v>
      </c>
      <c r="E101" s="83">
        <f>SUMIF('Incentive Report- Output'!$B$4:$B$93,'Incentive Summary Output'!C101,'Incentive Report- Output'!$AF$4:$AF$93)</f>
        <v>0</v>
      </c>
      <c r="F101" s="83">
        <f>SUMIF('Incentive Report- Output'!$B$98:$B$188,'Incentive Summary Output'!C101,'Incentive Report- Output'!$AF$98:$AF$188)</f>
        <v>0</v>
      </c>
      <c r="G101" s="83">
        <f>SUMIF('Incentive Report- Output'!$B$193:$B$283,'Incentive Summary Output'!C101,'Incentive Report- Output'!$AF$193:$AF$283)</f>
        <v>0</v>
      </c>
      <c r="H101" s="83">
        <f>SUMIF('Incentive Report- Output'!$B$288:$B$382,'Incentive Summary Output'!C101,'Incentive Report- Output'!$AF$288:$AF$382)</f>
        <v>10155.279662000001</v>
      </c>
      <c r="I101" s="83">
        <f>SUMIF('Incentive Report- Output'!$B$387:$B$480,'Incentive Summary Output'!C101,'Incentive Report- Output'!$AF$387:$AF$480)</f>
        <v>104867.38983050834</v>
      </c>
      <c r="J101" s="83"/>
      <c r="K101" s="83"/>
      <c r="L101" s="83"/>
      <c r="M101" s="83"/>
      <c r="N101" s="83"/>
      <c r="O101" s="83"/>
      <c r="P101" s="83"/>
      <c r="Q101" s="174">
        <f t="shared" si="42"/>
        <v>115022.66949250834</v>
      </c>
      <c r="S101" s="136" t="s">
        <v>2524</v>
      </c>
      <c r="T101" s="137" t="s">
        <v>2523</v>
      </c>
      <c r="U101" s="137" t="s">
        <v>1</v>
      </c>
      <c r="V101" s="82">
        <f t="shared" si="127"/>
        <v>0</v>
      </c>
      <c r="W101" s="82">
        <f t="shared" si="128"/>
        <v>0</v>
      </c>
      <c r="X101" s="82">
        <f t="shared" si="129"/>
        <v>0</v>
      </c>
      <c r="Y101" s="82">
        <f t="shared" si="130"/>
        <v>0</v>
      </c>
      <c r="Z101" s="82">
        <f t="shared" si="131"/>
        <v>0</v>
      </c>
      <c r="AA101" s="82">
        <f t="shared" si="132"/>
        <v>0</v>
      </c>
      <c r="AB101" s="82">
        <f t="shared" si="133"/>
        <v>0</v>
      </c>
      <c r="AC101" s="82">
        <f t="shared" si="134"/>
        <v>0</v>
      </c>
      <c r="AD101" s="82">
        <f t="shared" si="135"/>
        <v>0</v>
      </c>
      <c r="AE101" s="82">
        <f t="shared" si="136"/>
        <v>0</v>
      </c>
      <c r="AF101" s="82">
        <f t="shared" si="137"/>
        <v>0</v>
      </c>
      <c r="AG101" s="82">
        <f t="shared" si="138"/>
        <v>0</v>
      </c>
      <c r="AH101" s="82">
        <f t="shared" si="139"/>
        <v>0</v>
      </c>
      <c r="AJ101" s="136" t="s">
        <v>2524</v>
      </c>
      <c r="AK101" s="137" t="s">
        <v>2523</v>
      </c>
      <c r="AL101" s="137" t="s">
        <v>1</v>
      </c>
      <c r="AM101" s="82">
        <f t="shared" si="140"/>
        <v>0</v>
      </c>
      <c r="AN101" s="82">
        <f t="shared" si="141"/>
        <v>0</v>
      </c>
      <c r="AO101" s="82">
        <f t="shared" si="142"/>
        <v>0</v>
      </c>
      <c r="AP101" s="82">
        <f t="shared" si="143"/>
        <v>10155.279662000001</v>
      </c>
      <c r="AQ101" s="82">
        <f t="shared" si="144"/>
        <v>104867.38983050834</v>
      </c>
      <c r="AR101" s="82">
        <f t="shared" si="145"/>
        <v>0</v>
      </c>
      <c r="AS101" s="82">
        <f t="shared" si="146"/>
        <v>0</v>
      </c>
      <c r="AT101" s="82">
        <f t="shared" si="147"/>
        <v>0</v>
      </c>
      <c r="AU101" s="82">
        <f t="shared" si="148"/>
        <v>0</v>
      </c>
      <c r="AV101" s="82">
        <f t="shared" si="149"/>
        <v>0</v>
      </c>
      <c r="AW101" s="82">
        <f t="shared" si="150"/>
        <v>0</v>
      </c>
      <c r="AX101" s="82">
        <f t="shared" si="151"/>
        <v>0</v>
      </c>
      <c r="AY101" s="82">
        <f t="shared" si="152"/>
        <v>115022.66949250834</v>
      </c>
    </row>
    <row r="102" spans="1:51" ht="15.75" customHeight="1" x14ac:dyDescent="0.2">
      <c r="A102" s="254"/>
      <c r="B102" s="136" t="s">
        <v>2780</v>
      </c>
      <c r="C102" s="137" t="s">
        <v>2781</v>
      </c>
      <c r="D102" s="137" t="s">
        <v>1</v>
      </c>
      <c r="E102" s="83">
        <f>SUMIF('Incentive Report- Output'!$B$4:$B$93,'Incentive Summary Output'!C102,'Incentive Report- Output'!$AF$4:$AF$93)</f>
        <v>0</v>
      </c>
      <c r="F102" s="83">
        <f>SUMIF('Incentive Report- Output'!$B$98:$B$188,'Incentive Summary Output'!C102,'Incentive Report- Output'!$AF$98:$AF$188)</f>
        <v>0</v>
      </c>
      <c r="G102" s="83">
        <f>SUMIF('Incentive Report- Output'!$B$193:$B$283,'Incentive Summary Output'!C102,'Incentive Report- Output'!$AF$193:$AF$283)</f>
        <v>0</v>
      </c>
      <c r="H102" s="83">
        <f>SUMIF('Incentive Report- Output'!$B$288:$B$382,'Incentive Summary Output'!C102,'Incentive Report- Output'!$AF$288:$AF$382)</f>
        <v>0</v>
      </c>
      <c r="I102" s="83">
        <f>SUMIF('Incentive Report- Output'!$B$387:$B$480,'Incentive Summary Output'!C102,'Incentive Report- Output'!$AF$387:$AF$480)</f>
        <v>50128.417372881297</v>
      </c>
      <c r="J102" s="83"/>
      <c r="K102" s="83"/>
      <c r="L102" s="83"/>
      <c r="M102" s="83"/>
      <c r="N102" s="83"/>
      <c r="O102" s="83"/>
      <c r="P102" s="83"/>
      <c r="Q102" s="174">
        <f t="shared" ref="Q102" si="153">SUM(E102:P102)</f>
        <v>50128.417372881297</v>
      </c>
      <c r="S102" s="136" t="s">
        <v>2780</v>
      </c>
      <c r="T102" s="137" t="s">
        <v>2781</v>
      </c>
      <c r="U102" s="137" t="s">
        <v>1</v>
      </c>
      <c r="V102" s="82">
        <f t="shared" ref="V102" si="154">IF(E102&gt;200000,E102-200000,0)</f>
        <v>0</v>
      </c>
      <c r="W102" s="82">
        <f t="shared" ref="W102" si="155">IF(F102&gt;200000,F102-200000,0)</f>
        <v>0</v>
      </c>
      <c r="X102" s="82">
        <f t="shared" ref="X102" si="156">IF(G102&gt;200000,G102-200000,0)</f>
        <v>0</v>
      </c>
      <c r="Y102" s="82">
        <f t="shared" ref="Y102" si="157">IF(H102&gt;200000,H102-200000,0)</f>
        <v>0</v>
      </c>
      <c r="Z102" s="82">
        <f t="shared" ref="Z102" si="158">IF(I102&gt;200000,I102-200000,0)</f>
        <v>0</v>
      </c>
      <c r="AA102" s="82">
        <f t="shared" ref="AA102" si="159">IF(J102&gt;200000,J102-200000,0)</f>
        <v>0</v>
      </c>
      <c r="AB102" s="82">
        <f t="shared" ref="AB102" si="160">IF(K102&gt;200000,K102-200000,0)</f>
        <v>0</v>
      </c>
      <c r="AC102" s="82">
        <f t="shared" ref="AC102" si="161">IF(L102&gt;200000,L102-200000,0)</f>
        <v>0</v>
      </c>
      <c r="AD102" s="82">
        <f t="shared" ref="AD102" si="162">IF(M102&gt;200000,M102-200000,0)</f>
        <v>0</v>
      </c>
      <c r="AE102" s="82">
        <f t="shared" ref="AE102" si="163">IF(N102&gt;200000,N102-200000,0)</f>
        <v>0</v>
      </c>
      <c r="AF102" s="82">
        <f t="shared" ref="AF102" si="164">IF(O102&gt;200000,O102-200000,0)</f>
        <v>0</v>
      </c>
      <c r="AG102" s="82">
        <f t="shared" ref="AG102" si="165">IF(P102&gt;200000,P102-200000,0)</f>
        <v>0</v>
      </c>
      <c r="AH102" s="82">
        <f t="shared" ref="AH102" si="166">SUM(V102:AG102)</f>
        <v>0</v>
      </c>
      <c r="AJ102" s="136" t="s">
        <v>2780</v>
      </c>
      <c r="AK102" s="137" t="s">
        <v>2781</v>
      </c>
      <c r="AL102" s="137" t="s">
        <v>1</v>
      </c>
      <c r="AM102" s="82">
        <f t="shared" ref="AM102" si="167">E102-V102</f>
        <v>0</v>
      </c>
      <c r="AN102" s="82">
        <f t="shared" ref="AN102" si="168">F102-W102</f>
        <v>0</v>
      </c>
      <c r="AO102" s="82">
        <f t="shared" ref="AO102" si="169">G102-X102</f>
        <v>0</v>
      </c>
      <c r="AP102" s="82">
        <f t="shared" ref="AP102" si="170">H102-Y102</f>
        <v>0</v>
      </c>
      <c r="AQ102" s="82">
        <f t="shared" ref="AQ102" si="171">I102-Z102</f>
        <v>50128.417372881297</v>
      </c>
      <c r="AR102" s="82">
        <f t="shared" ref="AR102" si="172">J102-AA102</f>
        <v>0</v>
      </c>
      <c r="AS102" s="82">
        <f t="shared" ref="AS102" si="173">K102-AB102</f>
        <v>0</v>
      </c>
      <c r="AT102" s="82">
        <f t="shared" ref="AT102" si="174">L102-AC102</f>
        <v>0</v>
      </c>
      <c r="AU102" s="82">
        <f t="shared" ref="AU102" si="175">M102-AD102</f>
        <v>0</v>
      </c>
      <c r="AV102" s="82">
        <f t="shared" ref="AV102" si="176">N102-AE102</f>
        <v>0</v>
      </c>
      <c r="AW102" s="82">
        <f t="shared" ref="AW102" si="177">O102-AF102</f>
        <v>0</v>
      </c>
      <c r="AX102" s="82">
        <f t="shared" ref="AX102" si="178">P102-AG102</f>
        <v>0</v>
      </c>
      <c r="AY102" s="82">
        <f t="shared" ref="AY102" si="179">SUM(AM102:AX102)</f>
        <v>50128.417372881297</v>
      </c>
    </row>
    <row r="103" spans="1:51" ht="15.75" customHeight="1" x14ac:dyDescent="0.2">
      <c r="A103" s="254"/>
      <c r="B103" s="136" t="s">
        <v>333</v>
      </c>
      <c r="C103" s="137" t="s">
        <v>340</v>
      </c>
      <c r="D103" s="137" t="s">
        <v>1</v>
      </c>
      <c r="E103" s="83">
        <f>SUMIF('Incentive Report- Output'!$B$4:$B$93,'Incentive Summary Output'!C103,'Incentive Report- Output'!$AF$4:$AF$93)</f>
        <v>5050.3093220338933</v>
      </c>
      <c r="F103" s="83">
        <f>SUMIF('Incentive Report- Output'!$B$98:$B$188,'Incentive Summary Output'!C103,'Incentive Report- Output'!$AF$98:$AF$188)</f>
        <v>0</v>
      </c>
      <c r="G103" s="83">
        <f>SUMIF('Incentive Report- Output'!$B$193:$B$283,'Incentive Summary Output'!C103,'Incentive Report- Output'!$AF$193:$AF$283)</f>
        <v>0</v>
      </c>
      <c r="H103" s="83">
        <f>SUMIF('Incentive Report- Output'!$B$288:$B$382,'Incentive Summary Output'!C103,'Incentive Report- Output'!$AF$288:$AF$382)</f>
        <v>0</v>
      </c>
      <c r="I103" s="83">
        <f>SUMIF('Incentive Report- Output'!$B$387:$B$480,'Incentive Summary Output'!C103,'Incentive Report- Output'!$AF$387:$AF$480)</f>
        <v>0</v>
      </c>
      <c r="J103" s="83"/>
      <c r="K103" s="83"/>
      <c r="L103" s="83"/>
      <c r="M103" s="83"/>
      <c r="N103" s="83"/>
      <c r="O103" s="83"/>
      <c r="P103" s="83"/>
      <c r="Q103" s="174">
        <f t="shared" si="42"/>
        <v>5050.3093220338933</v>
      </c>
      <c r="S103" s="136" t="s">
        <v>333</v>
      </c>
      <c r="T103" s="137" t="s">
        <v>340</v>
      </c>
      <c r="U103" s="137" t="s">
        <v>1</v>
      </c>
      <c r="V103" s="82">
        <f t="shared" si="61"/>
        <v>0</v>
      </c>
      <c r="W103" s="82">
        <f t="shared" si="19"/>
        <v>0</v>
      </c>
      <c r="X103" s="82">
        <f t="shared" si="20"/>
        <v>0</v>
      </c>
      <c r="Y103" s="82">
        <f t="shared" si="21"/>
        <v>0</v>
      </c>
      <c r="Z103" s="82">
        <f t="shared" si="22"/>
        <v>0</v>
      </c>
      <c r="AA103" s="82">
        <f t="shared" si="23"/>
        <v>0</v>
      </c>
      <c r="AB103" s="82">
        <f t="shared" si="24"/>
        <v>0</v>
      </c>
      <c r="AC103" s="82">
        <f t="shared" si="25"/>
        <v>0</v>
      </c>
      <c r="AD103" s="82">
        <f t="shared" si="26"/>
        <v>0</v>
      </c>
      <c r="AE103" s="82">
        <f t="shared" si="27"/>
        <v>0</v>
      </c>
      <c r="AF103" s="82">
        <f t="shared" si="28"/>
        <v>0</v>
      </c>
      <c r="AG103" s="82">
        <f t="shared" si="29"/>
        <v>0</v>
      </c>
      <c r="AH103" s="82">
        <f t="shared" si="43"/>
        <v>0</v>
      </c>
      <c r="AJ103" s="136" t="s">
        <v>333</v>
      </c>
      <c r="AK103" s="137" t="s">
        <v>340</v>
      </c>
      <c r="AL103" s="137" t="s">
        <v>1</v>
      </c>
      <c r="AM103" s="82">
        <f t="shared" si="68"/>
        <v>5050.3093220338933</v>
      </c>
      <c r="AN103" s="82">
        <f t="shared" si="69"/>
        <v>0</v>
      </c>
      <c r="AO103" s="82">
        <f t="shared" si="70"/>
        <v>0</v>
      </c>
      <c r="AP103" s="82">
        <f t="shared" si="71"/>
        <v>0</v>
      </c>
      <c r="AQ103" s="82">
        <f t="shared" si="72"/>
        <v>0</v>
      </c>
      <c r="AR103" s="82">
        <f t="shared" si="73"/>
        <v>0</v>
      </c>
      <c r="AS103" s="82">
        <f t="shared" si="74"/>
        <v>0</v>
      </c>
      <c r="AT103" s="82">
        <f t="shared" si="50"/>
        <v>0</v>
      </c>
      <c r="AU103" s="82">
        <f t="shared" si="51"/>
        <v>0</v>
      </c>
      <c r="AV103" s="82">
        <f t="shared" si="52"/>
        <v>0</v>
      </c>
      <c r="AW103" s="82">
        <f t="shared" si="53"/>
        <v>0</v>
      </c>
      <c r="AX103" s="82">
        <f t="shared" si="54"/>
        <v>0</v>
      </c>
      <c r="AY103" s="82">
        <f t="shared" si="67"/>
        <v>5050.3093220338933</v>
      </c>
    </row>
    <row r="104" spans="1:51" ht="15.75" customHeight="1" x14ac:dyDescent="0.2">
      <c r="B104" s="138"/>
      <c r="C104" s="139" t="s">
        <v>9</v>
      </c>
      <c r="D104" s="140"/>
      <c r="E104" s="124">
        <f t="shared" ref="E104:Q104" si="180">SUM(E25:E103)</f>
        <v>1153970.2415254219</v>
      </c>
      <c r="F104" s="124">
        <f t="shared" si="180"/>
        <v>1764141.8495762704</v>
      </c>
      <c r="G104" s="124">
        <f t="shared" si="180"/>
        <v>1533549.2898305056</v>
      </c>
      <c r="H104" s="124">
        <f t="shared" si="180"/>
        <v>1354845.1151169753</v>
      </c>
      <c r="I104" s="124">
        <f t="shared" si="180"/>
        <v>22414108.787288126</v>
      </c>
      <c r="J104" s="124">
        <f t="shared" si="180"/>
        <v>0</v>
      </c>
      <c r="K104" s="124">
        <f t="shared" si="180"/>
        <v>0</v>
      </c>
      <c r="L104" s="124">
        <f t="shared" si="180"/>
        <v>0</v>
      </c>
      <c r="M104" s="124">
        <f t="shared" si="180"/>
        <v>0</v>
      </c>
      <c r="N104" s="124">
        <f t="shared" si="180"/>
        <v>0</v>
      </c>
      <c r="O104" s="124">
        <f t="shared" si="180"/>
        <v>0</v>
      </c>
      <c r="P104" s="124">
        <f t="shared" si="180"/>
        <v>0</v>
      </c>
      <c r="Q104" s="124">
        <f t="shared" si="180"/>
        <v>28220615.283337291</v>
      </c>
      <c r="S104" s="141"/>
      <c r="T104" s="142" t="s">
        <v>9</v>
      </c>
      <c r="U104" s="143"/>
      <c r="V104" s="135">
        <f t="shared" ref="V104:AH104" si="181">SUM(V25:V103)</f>
        <v>0</v>
      </c>
      <c r="W104" s="135">
        <f t="shared" si="181"/>
        <v>0</v>
      </c>
      <c r="X104" s="135">
        <f t="shared" si="181"/>
        <v>0</v>
      </c>
      <c r="Y104" s="135">
        <f t="shared" si="181"/>
        <v>0</v>
      </c>
      <c r="Z104" s="135">
        <f t="shared" si="181"/>
        <v>10767559.422881341</v>
      </c>
      <c r="AA104" s="135">
        <f t="shared" si="181"/>
        <v>0</v>
      </c>
      <c r="AB104" s="135">
        <f t="shared" si="181"/>
        <v>0</v>
      </c>
      <c r="AC104" s="135">
        <f t="shared" si="181"/>
        <v>0</v>
      </c>
      <c r="AD104" s="135">
        <f t="shared" si="181"/>
        <v>0</v>
      </c>
      <c r="AE104" s="135">
        <f t="shared" si="181"/>
        <v>0</v>
      </c>
      <c r="AF104" s="135">
        <f t="shared" si="181"/>
        <v>0</v>
      </c>
      <c r="AG104" s="135">
        <f t="shared" si="181"/>
        <v>0</v>
      </c>
      <c r="AH104" s="135">
        <f t="shared" si="181"/>
        <v>10767559.422881341</v>
      </c>
      <c r="AJ104" s="141"/>
      <c r="AK104" s="142" t="s">
        <v>9</v>
      </c>
      <c r="AL104" s="143"/>
      <c r="AM104" s="135">
        <f t="shared" ref="AM104:AY104" si="182">SUM(AM25:AM103)</f>
        <v>1153970.2415254219</v>
      </c>
      <c r="AN104" s="135">
        <f t="shared" si="182"/>
        <v>1764141.8495762704</v>
      </c>
      <c r="AO104" s="135">
        <f t="shared" si="182"/>
        <v>1533549.2898305056</v>
      </c>
      <c r="AP104" s="135">
        <f t="shared" si="182"/>
        <v>1354845.1151169753</v>
      </c>
      <c r="AQ104" s="135">
        <f t="shared" si="182"/>
        <v>11646549.364406778</v>
      </c>
      <c r="AR104" s="135">
        <f t="shared" si="182"/>
        <v>0</v>
      </c>
      <c r="AS104" s="135">
        <f t="shared" si="182"/>
        <v>0</v>
      </c>
      <c r="AT104" s="135">
        <f t="shared" si="182"/>
        <v>0</v>
      </c>
      <c r="AU104" s="135">
        <f t="shared" si="182"/>
        <v>0</v>
      </c>
      <c r="AV104" s="135">
        <f t="shared" si="182"/>
        <v>0</v>
      </c>
      <c r="AW104" s="135">
        <f t="shared" si="182"/>
        <v>0</v>
      </c>
      <c r="AX104" s="135">
        <f t="shared" si="182"/>
        <v>0</v>
      </c>
      <c r="AY104" s="135">
        <f t="shared" si="182"/>
        <v>17453055.86045596</v>
      </c>
    </row>
    <row r="105" spans="1:51" ht="15.75" customHeight="1" x14ac:dyDescent="0.2">
      <c r="E105" s="158"/>
    </row>
    <row r="106" spans="1:51" ht="15.75" customHeight="1" x14ac:dyDescent="0.2">
      <c r="F106" s="335"/>
    </row>
    <row r="114" spans="5:15" ht="15.75" customHeight="1" x14ac:dyDescent="0.2">
      <c r="E114" s="160"/>
      <c r="F114" s="160"/>
      <c r="G114" s="160"/>
      <c r="H114" s="160"/>
      <c r="I114" s="160"/>
      <c r="J114" s="160"/>
      <c r="K114" s="160"/>
      <c r="L114" s="160"/>
      <c r="M114" s="160"/>
    </row>
    <row r="115" spans="5:15" ht="15.75" customHeight="1" x14ac:dyDescent="0.2">
      <c r="E115" s="160"/>
      <c r="F115" s="160"/>
      <c r="G115" s="160"/>
      <c r="H115" s="160"/>
      <c r="I115" s="160"/>
      <c r="J115" s="160"/>
      <c r="K115" s="160"/>
      <c r="L115" s="160"/>
      <c r="M115" s="160"/>
    </row>
    <row r="116" spans="5:15" ht="15.75" customHeight="1" x14ac:dyDescent="0.2">
      <c r="E116" s="160"/>
      <c r="F116" s="160"/>
      <c r="G116" s="160"/>
      <c r="H116" s="160"/>
      <c r="I116" s="160"/>
      <c r="J116" s="160"/>
      <c r="K116" s="160"/>
      <c r="L116" s="160"/>
      <c r="M116" s="160"/>
    </row>
    <row r="117" spans="5:15" ht="15.75" customHeight="1" x14ac:dyDescent="0.2">
      <c r="E117" s="160"/>
      <c r="F117" s="160"/>
      <c r="G117" s="160"/>
      <c r="H117" s="160"/>
      <c r="I117" s="160"/>
      <c r="J117" s="160"/>
      <c r="K117" s="160"/>
      <c r="L117" s="160"/>
      <c r="M117" s="160"/>
      <c r="N117" s="160"/>
      <c r="O117" s="160"/>
    </row>
    <row r="118" spans="5:15" ht="15.75" customHeight="1" x14ac:dyDescent="0.2">
      <c r="E118" s="160"/>
      <c r="F118" s="160"/>
      <c r="G118" s="160"/>
      <c r="H118" s="160"/>
      <c r="I118" s="160"/>
      <c r="J118" s="160"/>
      <c r="K118" s="160"/>
      <c r="L118" s="160"/>
      <c r="M118" s="160"/>
      <c r="N118" s="160"/>
      <c r="O118" s="160"/>
    </row>
    <row r="119" spans="5:15" ht="15.75" customHeight="1" x14ac:dyDescent="0.2">
      <c r="E119" s="160"/>
      <c r="F119" s="160"/>
      <c r="G119" s="160"/>
      <c r="H119" s="160"/>
      <c r="I119" s="160"/>
      <c r="J119" s="160"/>
      <c r="K119" s="160"/>
      <c r="L119" s="160"/>
      <c r="M119" s="160"/>
      <c r="N119" s="160"/>
      <c r="O119" s="160"/>
    </row>
    <row r="120" spans="5:15" ht="15.75" customHeight="1" x14ac:dyDescent="0.2">
      <c r="E120" s="160"/>
      <c r="F120" s="160"/>
      <c r="G120" s="160"/>
      <c r="H120" s="160"/>
      <c r="I120" s="160"/>
      <c r="J120" s="160"/>
      <c r="K120" s="160"/>
      <c r="L120" s="160"/>
      <c r="M120" s="160"/>
      <c r="N120" s="160"/>
      <c r="O120" s="160"/>
    </row>
    <row r="121" spans="5:15" ht="15.75" customHeight="1" x14ac:dyDescent="0.2">
      <c r="E121" s="160"/>
      <c r="F121" s="160"/>
      <c r="G121" s="160"/>
      <c r="H121" s="160"/>
      <c r="I121" s="160"/>
      <c r="J121" s="160"/>
      <c r="K121" s="160"/>
      <c r="L121" s="160"/>
      <c r="M121" s="160"/>
      <c r="N121" s="160"/>
      <c r="O121" s="160"/>
    </row>
    <row r="122" spans="5:15" ht="15.75" customHeight="1" x14ac:dyDescent="0.2">
      <c r="E122" s="160"/>
      <c r="F122" s="160"/>
      <c r="G122" s="160"/>
      <c r="H122" s="160"/>
      <c r="I122" s="160"/>
      <c r="J122" s="160"/>
      <c r="K122" s="160"/>
      <c r="L122" s="160"/>
      <c r="M122" s="160"/>
      <c r="N122" s="160"/>
      <c r="O122" s="160"/>
    </row>
    <row r="123" spans="5:15" ht="15.75" customHeight="1" x14ac:dyDescent="0.2">
      <c r="E123" s="160"/>
      <c r="F123" s="160"/>
      <c r="G123" s="160"/>
      <c r="H123" s="160"/>
      <c r="I123" s="160"/>
      <c r="J123" s="160"/>
      <c r="K123" s="160"/>
      <c r="L123" s="160"/>
      <c r="M123" s="160"/>
      <c r="N123" s="160"/>
      <c r="O123" s="160"/>
    </row>
    <row r="124" spans="5:15" ht="15.75" customHeight="1" x14ac:dyDescent="0.2">
      <c r="E124" s="160"/>
      <c r="F124" s="160"/>
      <c r="G124" s="160"/>
      <c r="H124" s="160"/>
      <c r="I124" s="160"/>
      <c r="J124" s="160"/>
      <c r="K124" s="160"/>
      <c r="L124" s="160"/>
      <c r="M124" s="160"/>
      <c r="N124" s="160"/>
      <c r="O124" s="160"/>
    </row>
  </sheetData>
  <autoFilter ref="A24:AY24" xr:uid="{33632E64-0B96-5E4E-A5C4-2A73DCFF58DF}"/>
  <mergeCells count="6">
    <mergeCell ref="B2:F2"/>
    <mergeCell ref="B15:D15"/>
    <mergeCell ref="B16:D16"/>
    <mergeCell ref="B18:D18"/>
    <mergeCell ref="B22:D22"/>
    <mergeCell ref="B19:D19"/>
  </mergeCells>
  <phoneticPr fontId="22" type="noConversion"/>
  <conditionalFormatting sqref="C25:C104">
    <cfRule type="duplicateValues" dxfId="14" priority="28"/>
  </conditionalFormatting>
  <conditionalFormatting sqref="T97 T103">
    <cfRule type="duplicateValues" dxfId="13" priority="23"/>
  </conditionalFormatting>
  <conditionalFormatting sqref="T98:T101">
    <cfRule type="duplicateValues" dxfId="12" priority="4"/>
  </conditionalFormatting>
  <conditionalFormatting sqref="T102">
    <cfRule type="duplicateValues" dxfId="11" priority="2"/>
  </conditionalFormatting>
  <conditionalFormatting sqref="AK97 AK103">
    <cfRule type="duplicateValues" dxfId="10" priority="24"/>
  </conditionalFormatting>
  <conditionalFormatting sqref="AK98:AK101">
    <cfRule type="duplicateValues" dxfId="9" priority="3"/>
  </conditionalFormatting>
  <conditionalFormatting sqref="AK102">
    <cfRule type="duplicateValues" dxfId="8" priority="1"/>
  </conditionalFormatting>
  <pageMargins left="0.7" right="0.7" top="0.75" bottom="0.75" header="0.3" footer="0.3"/>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FFFF99"/>
    <outlinePr summaryBelow="0" summaryRight="0"/>
  </sheetPr>
  <dimension ref="A1:AC466"/>
  <sheetViews>
    <sheetView showGridLines="0" topLeftCell="A404" zoomScaleNormal="82" workbookViewId="0">
      <selection activeCell="G375" sqref="G375:G447"/>
    </sheetView>
  </sheetViews>
  <sheetFormatPr baseColWidth="10" defaultColWidth="14.5" defaultRowHeight="15.75" customHeight="1" outlineLevelRow="1" x14ac:dyDescent="0.2"/>
  <cols>
    <col min="1" max="1" width="20" style="3" bestFit="1" customWidth="1"/>
    <col min="2" max="2" width="12.5" style="3" bestFit="1" customWidth="1"/>
    <col min="3" max="3" width="12.1640625" style="3" bestFit="1" customWidth="1"/>
    <col min="4" max="4" width="18.1640625" style="3" bestFit="1" customWidth="1"/>
    <col min="5" max="5" width="12.6640625" style="3" bestFit="1" customWidth="1"/>
    <col min="6" max="6" width="14.6640625" style="3" bestFit="1" customWidth="1"/>
    <col min="7" max="7" width="14.1640625" style="3" bestFit="1" customWidth="1"/>
    <col min="8" max="8" width="12.6640625" style="3" bestFit="1" customWidth="1"/>
    <col min="9" max="9" width="2" style="100" customWidth="1"/>
    <col min="10" max="10" width="23.83203125" style="3" bestFit="1" customWidth="1"/>
    <col min="11" max="11" width="18.6640625" style="3" bestFit="1" customWidth="1"/>
    <col min="12" max="12" width="9.6640625" style="3" bestFit="1" customWidth="1"/>
    <col min="13" max="13" width="15" style="3" bestFit="1" customWidth="1"/>
    <col min="14" max="14" width="23.5" style="3" bestFit="1" customWidth="1"/>
    <col min="15" max="15" width="15" style="3" bestFit="1" customWidth="1"/>
    <col min="16" max="16" width="2.1640625" style="100" customWidth="1"/>
    <col min="17" max="17" width="23.83203125" style="3" bestFit="1" customWidth="1"/>
    <col min="18" max="18" width="18.6640625" style="3" bestFit="1" customWidth="1"/>
    <col min="19" max="19" width="9.6640625" style="3" bestFit="1" customWidth="1"/>
    <col min="20" max="20" width="15" style="3" bestFit="1" customWidth="1"/>
    <col min="21" max="21" width="23.5" style="3" bestFit="1" customWidth="1"/>
    <col min="22" max="22" width="15" style="3" bestFit="1" customWidth="1"/>
    <col min="23" max="23" width="2.6640625" style="100" customWidth="1"/>
    <col min="24" max="24" width="23.83203125" style="3" bestFit="1" customWidth="1"/>
    <col min="25" max="25" width="18.6640625" style="3" bestFit="1" customWidth="1"/>
    <col min="26" max="26" width="9.6640625" style="3" bestFit="1" customWidth="1"/>
    <col min="27" max="27" width="15" style="3" bestFit="1" customWidth="1"/>
    <col min="28" max="28" width="23.5" style="3" bestFit="1" customWidth="1"/>
    <col min="29" max="29" width="15" style="3" bestFit="1" customWidth="1"/>
    <col min="30" max="30" width="16.6640625" style="3" bestFit="1" customWidth="1"/>
    <col min="31" max="31" width="16.1640625" style="3" bestFit="1" customWidth="1"/>
    <col min="32" max="16384" width="14.5" style="3"/>
  </cols>
  <sheetData>
    <row r="1" spans="1:29" ht="15.75" customHeight="1" collapsed="1" x14ac:dyDescent="0.2">
      <c r="A1" s="101">
        <v>46113</v>
      </c>
      <c r="J1" s="2" t="s">
        <v>231</v>
      </c>
      <c r="Q1" s="2" t="s">
        <v>214</v>
      </c>
      <c r="X1" s="2" t="s">
        <v>946</v>
      </c>
    </row>
    <row r="2" spans="1:29" ht="15.75" hidden="1" customHeight="1" outlineLevel="1" x14ac:dyDescent="0.2">
      <c r="A2" s="383" t="s">
        <v>1140</v>
      </c>
      <c r="B2" s="384"/>
      <c r="C2" s="384"/>
      <c r="D2" s="384"/>
      <c r="E2" s="384"/>
      <c r="F2" s="384"/>
      <c r="G2" s="384"/>
      <c r="H2" s="375"/>
      <c r="J2" s="99" t="s">
        <v>68</v>
      </c>
      <c r="K2" s="99" t="s">
        <v>73</v>
      </c>
      <c r="L2" s="99" t="s">
        <v>16</v>
      </c>
      <c r="M2" s="99" t="s">
        <v>65</v>
      </c>
      <c r="N2" s="99" t="s">
        <v>66</v>
      </c>
      <c r="O2" s="99" t="s">
        <v>67</v>
      </c>
      <c r="Q2" s="99" t="s">
        <v>68</v>
      </c>
      <c r="R2" s="99" t="s">
        <v>73</v>
      </c>
      <c r="S2" s="99" t="s">
        <v>16</v>
      </c>
      <c r="T2" s="99" t="s">
        <v>65</v>
      </c>
      <c r="U2" s="99" t="s">
        <v>66</v>
      </c>
      <c r="V2" s="99" t="s">
        <v>67</v>
      </c>
      <c r="X2" s="99" t="s">
        <v>68</v>
      </c>
      <c r="Y2" s="99" t="s">
        <v>73</v>
      </c>
      <c r="Z2" s="99" t="s">
        <v>16</v>
      </c>
      <c r="AA2" s="99" t="s">
        <v>65</v>
      </c>
      <c r="AB2" s="99" t="s">
        <v>66</v>
      </c>
      <c r="AC2" s="99" t="s">
        <v>67</v>
      </c>
    </row>
    <row r="3" spans="1:29" ht="15.75" hidden="1" customHeight="1" outlineLevel="1" x14ac:dyDescent="0.2">
      <c r="A3" s="178" t="s">
        <v>799</v>
      </c>
      <c r="B3" s="178" t="s">
        <v>800</v>
      </c>
      <c r="C3" s="264" t="s">
        <v>801</v>
      </c>
      <c r="D3" s="178" t="s">
        <v>3</v>
      </c>
      <c r="E3" s="178" t="s">
        <v>0</v>
      </c>
      <c r="F3" s="178" t="s">
        <v>772</v>
      </c>
      <c r="G3" s="179" t="s">
        <v>802</v>
      </c>
      <c r="H3" s="179" t="s">
        <v>803</v>
      </c>
      <c r="J3" s="112" t="s">
        <v>640</v>
      </c>
      <c r="K3" s="79" t="s">
        <v>191</v>
      </c>
      <c r="L3" s="79" t="s">
        <v>195</v>
      </c>
      <c r="M3" s="113">
        <v>1387763</v>
      </c>
      <c r="N3" s="113">
        <v>1176070.3389830492</v>
      </c>
      <c r="O3" s="113">
        <v>37</v>
      </c>
      <c r="Q3" s="112" t="s">
        <v>640</v>
      </c>
      <c r="R3" s="79" t="s">
        <v>191</v>
      </c>
      <c r="S3" s="79" t="s">
        <v>195</v>
      </c>
      <c r="T3" s="113">
        <v>199995</v>
      </c>
      <c r="U3" s="113">
        <v>169487.288135593</v>
      </c>
      <c r="V3" s="113">
        <v>5</v>
      </c>
      <c r="X3" s="112" t="s">
        <v>640</v>
      </c>
      <c r="Y3" s="79" t="s">
        <v>191</v>
      </c>
      <c r="Z3" s="79" t="s">
        <v>195</v>
      </c>
      <c r="AA3" s="113">
        <v>11998</v>
      </c>
      <c r="AB3" s="113">
        <v>10167.79661016948</v>
      </c>
      <c r="AC3" s="113">
        <v>2</v>
      </c>
    </row>
    <row r="4" spans="1:29" ht="15.75" hidden="1" customHeight="1" outlineLevel="1" x14ac:dyDescent="0.2">
      <c r="A4" s="278" t="s">
        <v>191</v>
      </c>
      <c r="B4" s="198" t="s">
        <v>195</v>
      </c>
      <c r="C4" s="265"/>
      <c r="D4" s="279" t="s">
        <v>640</v>
      </c>
      <c r="E4" s="278" t="s">
        <v>191</v>
      </c>
      <c r="F4" s="278" t="s">
        <v>297</v>
      </c>
      <c r="G4" s="182">
        <v>60</v>
      </c>
      <c r="H4" s="182">
        <v>78</v>
      </c>
      <c r="J4" s="112" t="s">
        <v>640</v>
      </c>
      <c r="K4" s="79" t="s">
        <v>31</v>
      </c>
      <c r="L4" s="79" t="s">
        <v>32</v>
      </c>
      <c r="M4" s="113">
        <v>1999998</v>
      </c>
      <c r="N4" s="113">
        <v>1694913.5593220307</v>
      </c>
      <c r="O4" s="113">
        <v>52</v>
      </c>
      <c r="Q4" s="112" t="s">
        <v>640</v>
      </c>
      <c r="R4" s="79" t="s">
        <v>31</v>
      </c>
      <c r="S4" s="79" t="s">
        <v>32</v>
      </c>
      <c r="T4" s="113">
        <v>66648</v>
      </c>
      <c r="U4" s="113">
        <v>56481.355932203296</v>
      </c>
      <c r="V4" s="113">
        <v>2</v>
      </c>
      <c r="X4" s="112" t="s">
        <v>640</v>
      </c>
      <c r="Y4" s="79" t="s">
        <v>31</v>
      </c>
      <c r="Z4" s="79" t="s">
        <v>32</v>
      </c>
      <c r="AA4" s="113">
        <v>34995</v>
      </c>
      <c r="AB4" s="113">
        <v>29656.77966101695</v>
      </c>
      <c r="AC4" s="113">
        <v>5</v>
      </c>
    </row>
    <row r="5" spans="1:29" ht="15.75" hidden="1" customHeight="1" outlineLevel="1" x14ac:dyDescent="0.2">
      <c r="A5" s="278" t="s">
        <v>31</v>
      </c>
      <c r="B5" s="198" t="s">
        <v>32</v>
      </c>
      <c r="C5" s="265"/>
      <c r="D5" s="279" t="s">
        <v>640</v>
      </c>
      <c r="E5" s="278" t="s">
        <v>191</v>
      </c>
      <c r="F5" s="278" t="s">
        <v>297</v>
      </c>
      <c r="G5" s="182">
        <v>60</v>
      </c>
      <c r="H5" s="182">
        <v>78</v>
      </c>
      <c r="J5" s="112" t="s">
        <v>640</v>
      </c>
      <c r="K5" s="79" t="s">
        <v>756</v>
      </c>
      <c r="L5" s="79" t="s">
        <v>757</v>
      </c>
      <c r="M5" s="113">
        <v>982522</v>
      </c>
      <c r="N5" s="113">
        <v>832645.76271186327</v>
      </c>
      <c r="O5" s="113">
        <v>28</v>
      </c>
      <c r="Q5" s="112" t="s">
        <v>640</v>
      </c>
      <c r="R5" s="79" t="s">
        <v>756</v>
      </c>
      <c r="S5" s="79" t="s">
        <v>757</v>
      </c>
      <c r="T5" s="113">
        <v>141996</v>
      </c>
      <c r="U5" s="113">
        <v>120335.59322033889</v>
      </c>
      <c r="V5" s="113">
        <v>4</v>
      </c>
      <c r="X5" s="112" t="s">
        <v>640</v>
      </c>
      <c r="Y5" s="79" t="s">
        <v>756</v>
      </c>
      <c r="Z5" s="79" t="s">
        <v>757</v>
      </c>
      <c r="AA5" s="113">
        <v>46993</v>
      </c>
      <c r="AB5" s="113">
        <v>39824.57627118643</v>
      </c>
      <c r="AC5" s="113">
        <v>7</v>
      </c>
    </row>
    <row r="6" spans="1:29" ht="15.75" hidden="1" customHeight="1" outlineLevel="1" x14ac:dyDescent="0.2">
      <c r="A6" s="278" t="s">
        <v>756</v>
      </c>
      <c r="B6" s="198" t="s">
        <v>757</v>
      </c>
      <c r="C6" s="265"/>
      <c r="D6" s="279" t="s">
        <v>640</v>
      </c>
      <c r="E6" s="278" t="s">
        <v>191</v>
      </c>
      <c r="F6" s="278" t="s">
        <v>297</v>
      </c>
      <c r="G6" s="182">
        <v>50</v>
      </c>
      <c r="H6" s="182">
        <v>65</v>
      </c>
      <c r="J6" s="112" t="s">
        <v>640</v>
      </c>
      <c r="K6" s="79" t="s">
        <v>705</v>
      </c>
      <c r="L6" s="79" t="s">
        <v>686</v>
      </c>
      <c r="M6" s="113">
        <v>1616955</v>
      </c>
      <c r="N6" s="113">
        <v>1370300.8474576247</v>
      </c>
      <c r="O6" s="113">
        <v>45</v>
      </c>
      <c r="Q6" s="112" t="s">
        <v>640</v>
      </c>
      <c r="R6" s="79" t="s">
        <v>705</v>
      </c>
      <c r="S6" s="79" t="s">
        <v>686</v>
      </c>
      <c r="T6" s="113">
        <v>39999</v>
      </c>
      <c r="U6" s="113">
        <v>33897.457627118602</v>
      </c>
      <c r="V6" s="113">
        <v>1</v>
      </c>
      <c r="X6" s="112" t="s">
        <v>640</v>
      </c>
      <c r="Y6" s="79" t="s">
        <v>705</v>
      </c>
      <c r="Z6" s="79" t="s">
        <v>686</v>
      </c>
      <c r="AA6" s="113">
        <v>5999</v>
      </c>
      <c r="AB6" s="113">
        <v>5083.8983050847401</v>
      </c>
      <c r="AC6" s="113">
        <v>1</v>
      </c>
    </row>
    <row r="7" spans="1:29" ht="15.75" hidden="1" customHeight="1" outlineLevel="1" x14ac:dyDescent="0.2">
      <c r="A7" s="278" t="s">
        <v>705</v>
      </c>
      <c r="B7" s="198" t="s">
        <v>686</v>
      </c>
      <c r="C7" s="265"/>
      <c r="D7" s="279" t="s">
        <v>640</v>
      </c>
      <c r="E7" s="278" t="s">
        <v>191</v>
      </c>
      <c r="F7" s="278" t="s">
        <v>297</v>
      </c>
      <c r="G7" s="182">
        <v>50</v>
      </c>
      <c r="H7" s="182">
        <v>65</v>
      </c>
      <c r="J7" s="112" t="s">
        <v>640</v>
      </c>
      <c r="K7" s="79" t="s">
        <v>248</v>
      </c>
      <c r="L7" s="79" t="s">
        <v>251</v>
      </c>
      <c r="M7" s="113">
        <v>1773949</v>
      </c>
      <c r="N7" s="113">
        <v>1503346.6101694892</v>
      </c>
      <c r="O7" s="113">
        <v>51</v>
      </c>
      <c r="Q7" s="112" t="s">
        <v>640</v>
      </c>
      <c r="R7" s="79" t="s">
        <v>248</v>
      </c>
      <c r="S7" s="79" t="s">
        <v>251</v>
      </c>
      <c r="T7" s="113">
        <v>39999</v>
      </c>
      <c r="U7" s="113">
        <v>33897.457627118602</v>
      </c>
      <c r="V7" s="113">
        <v>1</v>
      </c>
      <c r="X7" s="112" t="s">
        <v>640</v>
      </c>
      <c r="Y7" s="79" t="s">
        <v>248</v>
      </c>
      <c r="Z7" s="79" t="s">
        <v>251</v>
      </c>
      <c r="AA7" s="113">
        <v>0</v>
      </c>
      <c r="AB7" s="113"/>
      <c r="AC7" s="113"/>
    </row>
    <row r="8" spans="1:29" ht="15.75" hidden="1" customHeight="1" outlineLevel="1" x14ac:dyDescent="0.2">
      <c r="A8" s="278" t="s">
        <v>248</v>
      </c>
      <c r="B8" s="198" t="s">
        <v>251</v>
      </c>
      <c r="C8" s="265"/>
      <c r="D8" s="279" t="s">
        <v>640</v>
      </c>
      <c r="E8" s="278" t="s">
        <v>191</v>
      </c>
      <c r="F8" s="278" t="s">
        <v>297</v>
      </c>
      <c r="G8" s="182">
        <v>60</v>
      </c>
      <c r="H8" s="182">
        <v>78</v>
      </c>
      <c r="J8" s="112" t="s">
        <v>929</v>
      </c>
      <c r="K8" s="79"/>
      <c r="L8" s="79"/>
      <c r="M8" s="261">
        <v>7761187</v>
      </c>
      <c r="N8" s="261">
        <v>6577277.1186440568</v>
      </c>
      <c r="O8" s="261">
        <v>213</v>
      </c>
      <c r="Q8" s="112" t="s">
        <v>929</v>
      </c>
      <c r="R8" s="79"/>
      <c r="S8" s="79"/>
      <c r="T8" s="261">
        <v>488637</v>
      </c>
      <c r="U8" s="261">
        <v>414099.15254237247</v>
      </c>
      <c r="V8" s="261">
        <v>13</v>
      </c>
      <c r="X8" s="112" t="s">
        <v>929</v>
      </c>
      <c r="Y8" s="79"/>
      <c r="Z8" s="79"/>
      <c r="AA8" s="261">
        <v>99985</v>
      </c>
      <c r="AB8" s="261">
        <v>84733.050847457605</v>
      </c>
      <c r="AC8" s="261">
        <v>15</v>
      </c>
    </row>
    <row r="9" spans="1:29" ht="15.75" hidden="1" customHeight="1" outlineLevel="1" x14ac:dyDescent="0.2">
      <c r="A9" s="278" t="s">
        <v>224</v>
      </c>
      <c r="B9" s="198" t="s">
        <v>33</v>
      </c>
      <c r="C9" s="265"/>
      <c r="D9" s="279" t="s">
        <v>1141</v>
      </c>
      <c r="E9" s="278" t="s">
        <v>224</v>
      </c>
      <c r="F9" s="278" t="s">
        <v>297</v>
      </c>
      <c r="G9" s="182">
        <v>50</v>
      </c>
      <c r="H9" s="182">
        <v>65</v>
      </c>
      <c r="J9" s="112" t="s">
        <v>1141</v>
      </c>
      <c r="K9" s="79" t="s">
        <v>224</v>
      </c>
      <c r="L9" s="79" t="s">
        <v>33</v>
      </c>
      <c r="M9" s="113">
        <v>1156621</v>
      </c>
      <c r="N9" s="113">
        <v>980187.28813559155</v>
      </c>
      <c r="O9" s="113">
        <v>29</v>
      </c>
      <c r="Q9" s="112" t="s">
        <v>1141</v>
      </c>
      <c r="R9" s="79" t="s">
        <v>224</v>
      </c>
      <c r="S9" s="79" t="s">
        <v>33</v>
      </c>
      <c r="T9" s="113">
        <v>0</v>
      </c>
      <c r="U9" s="113"/>
      <c r="V9" s="113"/>
      <c r="X9" s="112" t="s">
        <v>1141</v>
      </c>
      <c r="Y9" s="79" t="s">
        <v>224</v>
      </c>
      <c r="Z9" s="79" t="s">
        <v>33</v>
      </c>
      <c r="AA9" s="113">
        <v>0</v>
      </c>
      <c r="AB9" s="113"/>
      <c r="AC9" s="113"/>
    </row>
    <row r="10" spans="1:29" ht="15.75" hidden="1" customHeight="1" outlineLevel="1" x14ac:dyDescent="0.2">
      <c r="A10" s="278" t="s">
        <v>787</v>
      </c>
      <c r="B10" s="198" t="s">
        <v>788</v>
      </c>
      <c r="C10" s="265"/>
      <c r="D10" s="278" t="s">
        <v>1141</v>
      </c>
      <c r="E10" s="278" t="s">
        <v>224</v>
      </c>
      <c r="F10" s="278" t="s">
        <v>297</v>
      </c>
      <c r="G10" s="182">
        <v>50</v>
      </c>
      <c r="H10" s="182">
        <v>65</v>
      </c>
      <c r="J10" s="112" t="s">
        <v>1141</v>
      </c>
      <c r="K10" s="79" t="s">
        <v>787</v>
      </c>
      <c r="L10" s="79" t="s">
        <v>788</v>
      </c>
      <c r="M10" s="113">
        <v>1225766</v>
      </c>
      <c r="N10" s="113">
        <v>1038784.7457627103</v>
      </c>
      <c r="O10" s="113">
        <v>34</v>
      </c>
      <c r="Q10" s="112" t="s">
        <v>1141</v>
      </c>
      <c r="R10" s="79" t="s">
        <v>787</v>
      </c>
      <c r="S10" s="79" t="s">
        <v>788</v>
      </c>
      <c r="T10" s="113">
        <v>53298</v>
      </c>
      <c r="U10" s="113">
        <v>45167.796610169396</v>
      </c>
      <c r="V10" s="113">
        <v>2</v>
      </c>
      <c r="X10" s="112" t="s">
        <v>1141</v>
      </c>
      <c r="Y10" s="79" t="s">
        <v>787</v>
      </c>
      <c r="Z10" s="79" t="s">
        <v>788</v>
      </c>
      <c r="AA10" s="113">
        <v>29995</v>
      </c>
      <c r="AB10" s="113">
        <v>25419.491525423698</v>
      </c>
      <c r="AC10" s="113">
        <v>5</v>
      </c>
    </row>
    <row r="11" spans="1:29" ht="15.75" hidden="1" customHeight="1" outlineLevel="1" x14ac:dyDescent="0.2">
      <c r="A11" s="278" t="s">
        <v>218</v>
      </c>
      <c r="B11" s="198" t="s">
        <v>219</v>
      </c>
      <c r="C11" s="265"/>
      <c r="D11" s="278" t="s">
        <v>1141</v>
      </c>
      <c r="E11" s="278" t="s">
        <v>224</v>
      </c>
      <c r="F11" s="278" t="s">
        <v>297</v>
      </c>
      <c r="G11" s="182">
        <v>60</v>
      </c>
      <c r="H11" s="182">
        <v>78</v>
      </c>
      <c r="J11" s="112" t="s">
        <v>1141</v>
      </c>
      <c r="K11" s="79" t="s">
        <v>218</v>
      </c>
      <c r="L11" s="79" t="s">
        <v>219</v>
      </c>
      <c r="M11" s="113">
        <v>1102419</v>
      </c>
      <c r="N11" s="113">
        <v>934253.38983050722</v>
      </c>
      <c r="O11" s="113">
        <v>31</v>
      </c>
      <c r="Q11" s="112" t="s">
        <v>1141</v>
      </c>
      <c r="R11" s="79" t="s">
        <v>218</v>
      </c>
      <c r="S11" s="79" t="s">
        <v>219</v>
      </c>
      <c r="T11" s="113">
        <v>261293</v>
      </c>
      <c r="U11" s="113">
        <v>221434.74576271162</v>
      </c>
      <c r="V11" s="113">
        <v>7</v>
      </c>
      <c r="X11" s="112" t="s">
        <v>1141</v>
      </c>
      <c r="Y11" s="79" t="s">
        <v>218</v>
      </c>
      <c r="Z11" s="79" t="s">
        <v>219</v>
      </c>
      <c r="AA11" s="113">
        <v>35994</v>
      </c>
      <c r="AB11" s="113">
        <v>30503.389830508437</v>
      </c>
      <c r="AC11" s="113">
        <v>6</v>
      </c>
    </row>
    <row r="12" spans="1:29" ht="15.75" hidden="1" customHeight="1" outlineLevel="1" x14ac:dyDescent="0.2">
      <c r="A12" s="278" t="s">
        <v>782</v>
      </c>
      <c r="B12" s="198" t="s">
        <v>781</v>
      </c>
      <c r="C12" s="181"/>
      <c r="D12" s="278" t="s">
        <v>1141</v>
      </c>
      <c r="E12" s="278" t="s">
        <v>224</v>
      </c>
      <c r="F12" s="278" t="s">
        <v>297</v>
      </c>
      <c r="G12" s="182">
        <v>50</v>
      </c>
      <c r="H12" s="182">
        <v>65</v>
      </c>
      <c r="J12" s="112" t="s">
        <v>1141</v>
      </c>
      <c r="K12" s="79" t="s">
        <v>780</v>
      </c>
      <c r="L12" s="79" t="s">
        <v>781</v>
      </c>
      <c r="M12" s="113">
        <v>1390868</v>
      </c>
      <c r="N12" s="113">
        <v>1178701.6949152523</v>
      </c>
      <c r="O12" s="113">
        <v>32</v>
      </c>
      <c r="Q12" s="112" t="s">
        <v>1141</v>
      </c>
      <c r="R12" s="79" t="s">
        <v>780</v>
      </c>
      <c r="S12" s="79" t="s">
        <v>781</v>
      </c>
      <c r="T12" s="113">
        <v>0</v>
      </c>
      <c r="U12" s="113"/>
      <c r="V12" s="113"/>
      <c r="X12" s="112" t="s">
        <v>1141</v>
      </c>
      <c r="Y12" s="79" t="s">
        <v>780</v>
      </c>
      <c r="Z12" s="79" t="s">
        <v>781</v>
      </c>
      <c r="AA12" s="113">
        <v>11998</v>
      </c>
      <c r="AB12" s="113">
        <v>10167.79661016948</v>
      </c>
      <c r="AC12" s="113">
        <v>2</v>
      </c>
    </row>
    <row r="13" spans="1:29" ht="15.75" hidden="1" customHeight="1" outlineLevel="1" x14ac:dyDescent="0.2">
      <c r="A13" s="278" t="s">
        <v>1109</v>
      </c>
      <c r="B13" s="198" t="s">
        <v>1110</v>
      </c>
      <c r="C13" s="265"/>
      <c r="D13" s="278" t="s">
        <v>646</v>
      </c>
      <c r="E13" s="278" t="s">
        <v>48</v>
      </c>
      <c r="F13" s="278" t="s">
        <v>297</v>
      </c>
      <c r="G13" s="182">
        <v>50</v>
      </c>
      <c r="H13" s="182">
        <v>65</v>
      </c>
      <c r="J13" s="112" t="s">
        <v>1170</v>
      </c>
      <c r="K13" s="79"/>
      <c r="L13" s="79"/>
      <c r="M13" s="261">
        <v>4875674</v>
      </c>
      <c r="N13" s="261">
        <v>4131927.1186440615</v>
      </c>
      <c r="O13" s="261">
        <v>126</v>
      </c>
      <c r="Q13" s="112" t="s">
        <v>1170</v>
      </c>
      <c r="R13" s="79"/>
      <c r="S13" s="79"/>
      <c r="T13" s="261">
        <v>314591</v>
      </c>
      <c r="U13" s="261">
        <v>266602.54237288103</v>
      </c>
      <c r="V13" s="261">
        <v>9</v>
      </c>
      <c r="X13" s="112" t="s">
        <v>1170</v>
      </c>
      <c r="Y13" s="79"/>
      <c r="Z13" s="79"/>
      <c r="AA13" s="261">
        <v>77987</v>
      </c>
      <c r="AB13" s="261">
        <v>66090.677966101619</v>
      </c>
      <c r="AC13" s="261">
        <v>13</v>
      </c>
    </row>
    <row r="14" spans="1:29" ht="15.75" hidden="1" customHeight="1" outlineLevel="1" x14ac:dyDescent="0.2">
      <c r="A14" s="278" t="s">
        <v>25</v>
      </c>
      <c r="B14" s="198" t="s">
        <v>26</v>
      </c>
      <c r="C14" s="181"/>
      <c r="D14" s="278" t="s">
        <v>646</v>
      </c>
      <c r="E14" s="278" t="s">
        <v>48</v>
      </c>
      <c r="F14" s="278" t="s">
        <v>297</v>
      </c>
      <c r="G14" s="182">
        <v>70</v>
      </c>
      <c r="H14" s="182">
        <v>91</v>
      </c>
      <c r="J14" s="112" t="s">
        <v>646</v>
      </c>
      <c r="K14" s="79" t="s">
        <v>1109</v>
      </c>
      <c r="L14" s="79" t="s">
        <v>1110</v>
      </c>
      <c r="M14" s="113">
        <v>1646160</v>
      </c>
      <c r="N14" s="113">
        <v>1395050.8474576252</v>
      </c>
      <c r="O14" s="113">
        <v>40</v>
      </c>
      <c r="Q14" s="112" t="s">
        <v>646</v>
      </c>
      <c r="R14" s="79" t="s">
        <v>1109</v>
      </c>
      <c r="S14" s="79" t="s">
        <v>1110</v>
      </c>
      <c r="T14" s="113">
        <v>0</v>
      </c>
      <c r="U14" s="113"/>
      <c r="V14" s="113"/>
      <c r="X14" s="112" t="s">
        <v>646</v>
      </c>
      <c r="Y14" s="79" t="s">
        <v>1109</v>
      </c>
      <c r="Z14" s="79" t="s">
        <v>1110</v>
      </c>
      <c r="AA14" s="113">
        <v>0</v>
      </c>
      <c r="AB14" s="113"/>
      <c r="AC14" s="113"/>
    </row>
    <row r="15" spans="1:29" ht="15.75" hidden="1" customHeight="1" outlineLevel="1" x14ac:dyDescent="0.2">
      <c r="A15" s="278" t="s">
        <v>48</v>
      </c>
      <c r="B15" s="198" t="s">
        <v>49</v>
      </c>
      <c r="C15" s="181"/>
      <c r="D15" s="278" t="s">
        <v>646</v>
      </c>
      <c r="E15" s="278" t="s">
        <v>48</v>
      </c>
      <c r="F15" s="278" t="s">
        <v>297</v>
      </c>
      <c r="G15" s="182">
        <v>50</v>
      </c>
      <c r="H15" s="182">
        <v>65</v>
      </c>
      <c r="J15" s="112" t="s">
        <v>646</v>
      </c>
      <c r="K15" s="79" t="s">
        <v>25</v>
      </c>
      <c r="L15" s="79" t="s">
        <v>26</v>
      </c>
      <c r="M15" s="113">
        <v>2078651</v>
      </c>
      <c r="N15" s="113">
        <v>1761568.6440677941</v>
      </c>
      <c r="O15" s="113">
        <v>49</v>
      </c>
      <c r="Q15" s="112" t="s">
        <v>646</v>
      </c>
      <c r="R15" s="79" t="s">
        <v>25</v>
      </c>
      <c r="S15" s="79" t="s">
        <v>26</v>
      </c>
      <c r="T15" s="113">
        <v>257995</v>
      </c>
      <c r="U15" s="113">
        <v>218639.83050847432</v>
      </c>
      <c r="V15" s="113">
        <v>5</v>
      </c>
      <c r="X15" s="112" t="s">
        <v>646</v>
      </c>
      <c r="Y15" s="79" t="s">
        <v>25</v>
      </c>
      <c r="Z15" s="79" t="s">
        <v>26</v>
      </c>
      <c r="AA15" s="113">
        <v>11998</v>
      </c>
      <c r="AB15" s="113">
        <v>10167.79661016948</v>
      </c>
      <c r="AC15" s="113">
        <v>2</v>
      </c>
    </row>
    <row r="16" spans="1:29" ht="15.75" hidden="1" customHeight="1" outlineLevel="1" x14ac:dyDescent="0.2">
      <c r="A16" s="278" t="s">
        <v>209</v>
      </c>
      <c r="B16" s="198" t="s">
        <v>52</v>
      </c>
      <c r="C16" s="181"/>
      <c r="D16" s="278" t="s">
        <v>646</v>
      </c>
      <c r="E16" s="278" t="s">
        <v>48</v>
      </c>
      <c r="F16" s="278" t="s">
        <v>297</v>
      </c>
      <c r="G16" s="182">
        <v>70</v>
      </c>
      <c r="H16" s="182">
        <v>91</v>
      </c>
      <c r="J16" s="112" t="s">
        <v>646</v>
      </c>
      <c r="K16" s="79" t="s">
        <v>298</v>
      </c>
      <c r="L16" s="79" t="s">
        <v>49</v>
      </c>
      <c r="M16" s="113">
        <v>567639</v>
      </c>
      <c r="N16" s="113">
        <v>481049.99999999942</v>
      </c>
      <c r="O16" s="113">
        <v>11</v>
      </c>
      <c r="Q16" s="112" t="s">
        <v>646</v>
      </c>
      <c r="R16" s="79" t="s">
        <v>298</v>
      </c>
      <c r="S16" s="79" t="s">
        <v>49</v>
      </c>
      <c r="T16" s="113">
        <v>567639</v>
      </c>
      <c r="U16" s="113">
        <v>481049.99999999942</v>
      </c>
      <c r="V16" s="113">
        <v>11</v>
      </c>
      <c r="X16" s="112" t="s">
        <v>646</v>
      </c>
      <c r="Y16" s="79" t="s">
        <v>298</v>
      </c>
      <c r="Z16" s="79" t="s">
        <v>49</v>
      </c>
      <c r="AA16" s="113">
        <v>0</v>
      </c>
      <c r="AB16" s="113"/>
      <c r="AC16" s="113"/>
    </row>
    <row r="17" spans="1:29" ht="15.75" hidden="1" customHeight="1" outlineLevel="1" x14ac:dyDescent="0.2">
      <c r="A17" s="278" t="s">
        <v>303</v>
      </c>
      <c r="B17" s="198" t="s">
        <v>305</v>
      </c>
      <c r="C17" s="280" t="s">
        <v>209</v>
      </c>
      <c r="D17" s="278" t="s">
        <v>646</v>
      </c>
      <c r="E17" s="278" t="s">
        <v>48</v>
      </c>
      <c r="F17" s="278" t="s">
        <v>297</v>
      </c>
      <c r="G17" s="182">
        <v>70</v>
      </c>
      <c r="H17" s="182">
        <v>91</v>
      </c>
      <c r="J17" s="112" t="s">
        <v>646</v>
      </c>
      <c r="K17" s="79" t="s">
        <v>209</v>
      </c>
      <c r="L17" s="79" t="s">
        <v>52</v>
      </c>
      <c r="M17" s="113">
        <v>2314593</v>
      </c>
      <c r="N17" s="113">
        <v>1961519.4915254212</v>
      </c>
      <c r="O17" s="113">
        <v>57</v>
      </c>
      <c r="Q17" s="112" t="s">
        <v>646</v>
      </c>
      <c r="R17" s="79" t="s">
        <v>209</v>
      </c>
      <c r="S17" s="79" t="s">
        <v>52</v>
      </c>
      <c r="T17" s="113">
        <v>0</v>
      </c>
      <c r="U17" s="113"/>
      <c r="V17" s="113"/>
      <c r="X17" s="112" t="s">
        <v>646</v>
      </c>
      <c r="Y17" s="79" t="s">
        <v>209</v>
      </c>
      <c r="Z17" s="79" t="s">
        <v>52</v>
      </c>
      <c r="AA17" s="113">
        <v>23996</v>
      </c>
      <c r="AB17" s="113">
        <v>20335.59322033896</v>
      </c>
      <c r="AC17" s="113">
        <v>4</v>
      </c>
    </row>
    <row r="18" spans="1:29" ht="15.75" hidden="1" customHeight="1" outlineLevel="1" x14ac:dyDescent="0.2">
      <c r="A18" s="278" t="s">
        <v>1142</v>
      </c>
      <c r="B18" s="198" t="s">
        <v>54</v>
      </c>
      <c r="C18" s="265"/>
      <c r="D18" s="279" t="s">
        <v>646</v>
      </c>
      <c r="E18" s="278" t="s">
        <v>48</v>
      </c>
      <c r="F18" s="278" t="s">
        <v>297</v>
      </c>
      <c r="G18" s="182">
        <v>70</v>
      </c>
      <c r="H18" s="182">
        <v>91</v>
      </c>
      <c r="J18" s="42" t="s">
        <v>646</v>
      </c>
      <c r="K18" s="42" t="s">
        <v>303</v>
      </c>
      <c r="L18" s="42" t="s">
        <v>305</v>
      </c>
      <c r="M18" s="113">
        <v>1283266</v>
      </c>
      <c r="N18" s="113">
        <v>1087513.5593220321</v>
      </c>
      <c r="O18" s="113">
        <v>34</v>
      </c>
      <c r="Q18" s="42" t="s">
        <v>646</v>
      </c>
      <c r="R18" s="42" t="s">
        <v>303</v>
      </c>
      <c r="S18" s="42" t="s">
        <v>305</v>
      </c>
      <c r="T18" s="113">
        <v>0</v>
      </c>
      <c r="U18" s="113"/>
      <c r="V18" s="113"/>
      <c r="X18" s="42" t="s">
        <v>646</v>
      </c>
      <c r="Y18" s="42" t="s">
        <v>303</v>
      </c>
      <c r="Z18" s="42" t="s">
        <v>305</v>
      </c>
      <c r="AA18" s="113">
        <v>11998</v>
      </c>
      <c r="AB18" s="113">
        <v>10167.79661016948</v>
      </c>
      <c r="AC18" s="113">
        <v>2</v>
      </c>
    </row>
    <row r="19" spans="1:29" ht="15.75" hidden="1" customHeight="1" outlineLevel="1" x14ac:dyDescent="0.2">
      <c r="A19" s="281" t="s">
        <v>334</v>
      </c>
      <c r="B19" s="198" t="s">
        <v>341</v>
      </c>
      <c r="C19" s="265"/>
      <c r="D19" s="279" t="s">
        <v>646</v>
      </c>
      <c r="E19" s="278" t="s">
        <v>48</v>
      </c>
      <c r="F19" s="278" t="s">
        <v>297</v>
      </c>
      <c r="G19" s="182">
        <v>70</v>
      </c>
      <c r="H19" s="182">
        <v>91</v>
      </c>
      <c r="J19" s="42" t="s">
        <v>646</v>
      </c>
      <c r="K19" s="79" t="s">
        <v>285</v>
      </c>
      <c r="L19" s="79" t="s">
        <v>54</v>
      </c>
      <c r="M19" s="113">
        <v>2593239</v>
      </c>
      <c r="N19" s="113">
        <v>2197660.1694915225</v>
      </c>
      <c r="O19" s="113">
        <v>61</v>
      </c>
      <c r="Q19" s="42" t="s">
        <v>646</v>
      </c>
      <c r="R19" s="79" t="s">
        <v>285</v>
      </c>
      <c r="S19" s="79" t="s">
        <v>54</v>
      </c>
      <c r="T19" s="113">
        <v>319994</v>
      </c>
      <c r="U19" s="113">
        <v>271181.35593220312</v>
      </c>
      <c r="V19" s="113">
        <v>6</v>
      </c>
      <c r="X19" s="42" t="s">
        <v>646</v>
      </c>
      <c r="Y19" s="79" t="s">
        <v>285</v>
      </c>
      <c r="Z19" s="79" t="s">
        <v>54</v>
      </c>
      <c r="AA19" s="113">
        <v>11998</v>
      </c>
      <c r="AB19" s="113">
        <v>10167.79661016948</v>
      </c>
      <c r="AC19" s="113">
        <v>2</v>
      </c>
    </row>
    <row r="20" spans="1:29" ht="15.75" hidden="1" customHeight="1" outlineLevel="1" x14ac:dyDescent="0.2">
      <c r="A20" s="278" t="s">
        <v>246</v>
      </c>
      <c r="B20" s="198" t="s">
        <v>247</v>
      </c>
      <c r="C20" s="265"/>
      <c r="D20" s="279" t="s">
        <v>646</v>
      </c>
      <c r="E20" s="278" t="s">
        <v>48</v>
      </c>
      <c r="F20" s="278" t="s">
        <v>297</v>
      </c>
      <c r="G20" s="182">
        <v>60</v>
      </c>
      <c r="H20" s="182">
        <v>78</v>
      </c>
      <c r="J20" s="79" t="s">
        <v>646</v>
      </c>
      <c r="K20" s="79" t="s">
        <v>246</v>
      </c>
      <c r="L20" s="79" t="s">
        <v>247</v>
      </c>
      <c r="M20" s="113">
        <v>832680</v>
      </c>
      <c r="N20" s="113">
        <v>705661.01694915141</v>
      </c>
      <c r="O20" s="113">
        <v>20</v>
      </c>
      <c r="Q20" s="79" t="s">
        <v>646</v>
      </c>
      <c r="R20" s="79" t="s">
        <v>246</v>
      </c>
      <c r="S20" s="79" t="s">
        <v>247</v>
      </c>
      <c r="T20" s="113">
        <v>101797</v>
      </c>
      <c r="U20" s="113">
        <v>86268.644067796442</v>
      </c>
      <c r="V20" s="113">
        <v>3</v>
      </c>
      <c r="X20" s="79" t="s">
        <v>646</v>
      </c>
      <c r="Y20" s="79" t="s">
        <v>246</v>
      </c>
      <c r="Z20" s="79" t="s">
        <v>247</v>
      </c>
      <c r="AA20" s="113">
        <v>5999</v>
      </c>
      <c r="AB20" s="113">
        <v>5083.8983050847401</v>
      </c>
      <c r="AC20" s="113">
        <v>1</v>
      </c>
    </row>
    <row r="21" spans="1:29" ht="15.75" hidden="1" customHeight="1" outlineLevel="1" x14ac:dyDescent="0.2">
      <c r="A21" s="278" t="s">
        <v>689</v>
      </c>
      <c r="B21" s="198" t="s">
        <v>690</v>
      </c>
      <c r="C21" s="265"/>
      <c r="D21" s="279" t="s">
        <v>1143</v>
      </c>
      <c r="E21" s="278" t="s">
        <v>61</v>
      </c>
      <c r="F21" s="278" t="s">
        <v>297</v>
      </c>
      <c r="G21" s="182">
        <v>50</v>
      </c>
      <c r="H21" s="182">
        <v>65</v>
      </c>
      <c r="J21" s="79" t="s">
        <v>646</v>
      </c>
      <c r="K21" s="79" t="s">
        <v>334</v>
      </c>
      <c r="L21" s="79" t="s">
        <v>341</v>
      </c>
      <c r="M21" s="113">
        <v>1826908</v>
      </c>
      <c r="N21" s="113">
        <v>1548227.1186440652</v>
      </c>
      <c r="O21" s="113">
        <v>42</v>
      </c>
      <c r="Q21" s="79" t="s">
        <v>646</v>
      </c>
      <c r="R21" s="79" t="s">
        <v>334</v>
      </c>
      <c r="S21" s="79" t="s">
        <v>341</v>
      </c>
      <c r="T21" s="113">
        <v>0</v>
      </c>
      <c r="U21" s="113"/>
      <c r="V21" s="113"/>
      <c r="X21" s="79" t="s">
        <v>646</v>
      </c>
      <c r="Y21" s="79" t="s">
        <v>334</v>
      </c>
      <c r="Z21" s="79" t="s">
        <v>341</v>
      </c>
      <c r="AA21" s="113">
        <v>20997</v>
      </c>
      <c r="AB21" s="113">
        <v>17794.067796610168</v>
      </c>
      <c r="AC21" s="113">
        <v>3</v>
      </c>
    </row>
    <row r="22" spans="1:29" ht="15.75" hidden="1" customHeight="1" outlineLevel="1" x14ac:dyDescent="0.2">
      <c r="A22" s="278" t="s">
        <v>706</v>
      </c>
      <c r="B22" s="198" t="s">
        <v>688</v>
      </c>
      <c r="C22" s="265"/>
      <c r="D22" s="279" t="s">
        <v>1143</v>
      </c>
      <c r="E22" s="278" t="s">
        <v>61</v>
      </c>
      <c r="F22" s="278" t="s">
        <v>297</v>
      </c>
      <c r="G22" s="182">
        <v>50</v>
      </c>
      <c r="H22" s="182">
        <v>65</v>
      </c>
      <c r="J22" s="79" t="s">
        <v>930</v>
      </c>
      <c r="K22" s="79"/>
      <c r="L22" s="79"/>
      <c r="M22" s="261">
        <v>13143136</v>
      </c>
      <c r="N22" s="261">
        <v>11138250.84745761</v>
      </c>
      <c r="O22" s="261">
        <v>314</v>
      </c>
      <c r="Q22" s="79" t="s">
        <v>930</v>
      </c>
      <c r="R22" s="79"/>
      <c r="S22" s="79"/>
      <c r="T22" s="261">
        <v>1247425</v>
      </c>
      <c r="U22" s="261">
        <v>1057139.8305084733</v>
      </c>
      <c r="V22" s="261">
        <v>25</v>
      </c>
      <c r="X22" s="79" t="s">
        <v>930</v>
      </c>
      <c r="Y22" s="79"/>
      <c r="Z22" s="79"/>
      <c r="AA22" s="261">
        <v>86986</v>
      </c>
      <c r="AB22" s="261">
        <v>73716.949152542307</v>
      </c>
      <c r="AC22" s="261">
        <v>14</v>
      </c>
    </row>
    <row r="23" spans="1:29" ht="15.75" hidden="1" customHeight="1" outlineLevel="1" x14ac:dyDescent="0.2">
      <c r="A23" s="278" t="s">
        <v>61</v>
      </c>
      <c r="B23" s="198" t="s">
        <v>62</v>
      </c>
      <c r="C23" s="265"/>
      <c r="D23" s="279" t="s">
        <v>1143</v>
      </c>
      <c r="E23" s="278" t="s">
        <v>61</v>
      </c>
      <c r="F23" s="278" t="s">
        <v>297</v>
      </c>
      <c r="G23" s="182">
        <v>60</v>
      </c>
      <c r="H23" s="182">
        <v>78</v>
      </c>
      <c r="J23" s="79" t="s">
        <v>1143</v>
      </c>
      <c r="K23" s="79" t="s">
        <v>689</v>
      </c>
      <c r="L23" s="79" t="s">
        <v>690</v>
      </c>
      <c r="M23" s="113">
        <v>1096521</v>
      </c>
      <c r="N23" s="113">
        <v>929255.08474576112</v>
      </c>
      <c r="O23" s="113">
        <v>29</v>
      </c>
      <c r="Q23" s="79" t="s">
        <v>1143</v>
      </c>
      <c r="R23" s="79" t="s">
        <v>689</v>
      </c>
      <c r="S23" s="79" t="s">
        <v>690</v>
      </c>
      <c r="T23" s="113">
        <v>136446</v>
      </c>
      <c r="U23" s="113">
        <v>115632.20338983031</v>
      </c>
      <c r="V23" s="113">
        <v>4</v>
      </c>
      <c r="X23" s="79" t="s">
        <v>1143</v>
      </c>
      <c r="Y23" s="79" t="s">
        <v>689</v>
      </c>
      <c r="Z23" s="79" t="s">
        <v>690</v>
      </c>
      <c r="AA23" s="113">
        <v>30995</v>
      </c>
      <c r="AB23" s="113">
        <v>26266.949152542351</v>
      </c>
      <c r="AC23" s="113">
        <v>5</v>
      </c>
    </row>
    <row r="24" spans="1:29" ht="15.75" hidden="1" customHeight="1" outlineLevel="1" x14ac:dyDescent="0.2">
      <c r="A24" s="278" t="s">
        <v>194</v>
      </c>
      <c r="B24" s="198" t="s">
        <v>199</v>
      </c>
      <c r="C24" s="265"/>
      <c r="D24" s="279" t="s">
        <v>1144</v>
      </c>
      <c r="E24" s="278" t="s">
        <v>249</v>
      </c>
      <c r="F24" s="278" t="s">
        <v>17</v>
      </c>
      <c r="G24" s="182">
        <v>65</v>
      </c>
      <c r="H24" s="182">
        <v>84.5</v>
      </c>
      <c r="J24" s="79" t="s">
        <v>1143</v>
      </c>
      <c r="K24" s="79" t="s">
        <v>706</v>
      </c>
      <c r="L24" s="79" t="s">
        <v>688</v>
      </c>
      <c r="M24" s="113">
        <v>815227</v>
      </c>
      <c r="N24" s="113">
        <v>690870.33898304997</v>
      </c>
      <c r="O24" s="113">
        <v>23</v>
      </c>
      <c r="Q24" s="79" t="s">
        <v>1143</v>
      </c>
      <c r="R24" s="79" t="s">
        <v>706</v>
      </c>
      <c r="S24" s="79" t="s">
        <v>688</v>
      </c>
      <c r="T24" s="113">
        <v>229794</v>
      </c>
      <c r="U24" s="113">
        <v>194740.67796610142</v>
      </c>
      <c r="V24" s="113">
        <v>6</v>
      </c>
      <c r="X24" s="79" t="s">
        <v>1143</v>
      </c>
      <c r="Y24" s="79" t="s">
        <v>706</v>
      </c>
      <c r="Z24" s="79" t="s">
        <v>688</v>
      </c>
      <c r="AA24" s="113">
        <v>23996</v>
      </c>
      <c r="AB24" s="113">
        <v>20335.59322033896</v>
      </c>
      <c r="AC24" s="113">
        <v>4</v>
      </c>
    </row>
    <row r="25" spans="1:29" ht="15.75" hidden="1" customHeight="1" outlineLevel="1" x14ac:dyDescent="0.2">
      <c r="A25" s="278" t="s">
        <v>1107</v>
      </c>
      <c r="B25" s="198" t="s">
        <v>1108</v>
      </c>
      <c r="C25" s="265"/>
      <c r="D25" s="279" t="s">
        <v>1144</v>
      </c>
      <c r="E25" s="278" t="s">
        <v>249</v>
      </c>
      <c r="F25" s="278" t="s">
        <v>17</v>
      </c>
      <c r="G25" s="182">
        <v>30</v>
      </c>
      <c r="H25" s="182">
        <v>39</v>
      </c>
      <c r="J25" s="79" t="s">
        <v>1143</v>
      </c>
      <c r="K25" s="79" t="s">
        <v>61</v>
      </c>
      <c r="L25" s="79" t="s">
        <v>62</v>
      </c>
      <c r="M25" s="113">
        <v>1818156</v>
      </c>
      <c r="N25" s="113">
        <v>1540810.1694915239</v>
      </c>
      <c r="O25" s="113">
        <v>44</v>
      </c>
      <c r="Q25" s="79" t="s">
        <v>1143</v>
      </c>
      <c r="R25" s="79" t="s">
        <v>61</v>
      </c>
      <c r="S25" s="79" t="s">
        <v>62</v>
      </c>
      <c r="T25" s="113">
        <v>119997</v>
      </c>
      <c r="U25" s="113">
        <v>101692.37288135581</v>
      </c>
      <c r="V25" s="113">
        <v>3</v>
      </c>
      <c r="X25" s="79" t="s">
        <v>1143</v>
      </c>
      <c r="Y25" s="79" t="s">
        <v>61</v>
      </c>
      <c r="Z25" s="79" t="s">
        <v>62</v>
      </c>
      <c r="AA25" s="113">
        <v>30995</v>
      </c>
      <c r="AB25" s="113">
        <v>26266.949152542351</v>
      </c>
      <c r="AC25" s="113">
        <v>5</v>
      </c>
    </row>
    <row r="26" spans="1:29" ht="15.75" hidden="1" customHeight="1" outlineLevel="1" x14ac:dyDescent="0.2">
      <c r="A26" s="278" t="s">
        <v>707</v>
      </c>
      <c r="B26" s="198" t="s">
        <v>696</v>
      </c>
      <c r="C26" s="282" t="s">
        <v>194</v>
      </c>
      <c r="D26" s="279" t="s">
        <v>1144</v>
      </c>
      <c r="E26" s="278" t="s">
        <v>249</v>
      </c>
      <c r="F26" s="278" t="s">
        <v>17</v>
      </c>
      <c r="G26" s="182">
        <v>50</v>
      </c>
      <c r="H26" s="182">
        <v>65</v>
      </c>
      <c r="J26" s="79" t="s">
        <v>1171</v>
      </c>
      <c r="K26" s="79"/>
      <c r="L26" s="79"/>
      <c r="M26" s="261">
        <v>3729904</v>
      </c>
      <c r="N26" s="261">
        <v>3160935.593220335</v>
      </c>
      <c r="O26" s="261">
        <v>96</v>
      </c>
      <c r="Q26" s="79" t="s">
        <v>1171</v>
      </c>
      <c r="R26" s="79"/>
      <c r="S26" s="79"/>
      <c r="T26" s="261">
        <v>486237</v>
      </c>
      <c r="U26" s="261">
        <v>412065.25423728756</v>
      </c>
      <c r="V26" s="261">
        <v>13</v>
      </c>
      <c r="X26" s="79" t="s">
        <v>1171</v>
      </c>
      <c r="Y26" s="79"/>
      <c r="Z26" s="79"/>
      <c r="AA26" s="261">
        <v>85986</v>
      </c>
      <c r="AB26" s="261">
        <v>72869.491525423655</v>
      </c>
      <c r="AC26" s="261">
        <v>14</v>
      </c>
    </row>
    <row r="27" spans="1:29" ht="15.75" hidden="1" customHeight="1" outlineLevel="1" x14ac:dyDescent="0.2">
      <c r="A27" s="278" t="s">
        <v>804</v>
      </c>
      <c r="B27" s="198" t="s">
        <v>805</v>
      </c>
      <c r="C27" s="282" t="s">
        <v>23</v>
      </c>
      <c r="D27" s="279" t="s">
        <v>1144</v>
      </c>
      <c r="E27" s="278" t="s">
        <v>249</v>
      </c>
      <c r="F27" s="278" t="s">
        <v>17</v>
      </c>
      <c r="G27" s="182">
        <v>60</v>
      </c>
      <c r="H27" s="182">
        <v>78</v>
      </c>
      <c r="J27" s="79" t="s">
        <v>1144</v>
      </c>
      <c r="K27" s="79" t="s">
        <v>194</v>
      </c>
      <c r="L27" s="79" t="s">
        <v>199</v>
      </c>
      <c r="M27" s="113">
        <v>2390739</v>
      </c>
      <c r="N27" s="113">
        <v>2026049.9999999972</v>
      </c>
      <c r="O27" s="113">
        <v>61</v>
      </c>
      <c r="Q27" s="79" t="s">
        <v>1144</v>
      </c>
      <c r="R27" s="79" t="s">
        <v>194</v>
      </c>
      <c r="S27" s="79" t="s">
        <v>199</v>
      </c>
      <c r="T27" s="113">
        <v>0</v>
      </c>
      <c r="U27" s="113"/>
      <c r="V27" s="113"/>
      <c r="X27" s="79" t="s">
        <v>1144</v>
      </c>
      <c r="Y27" s="79" t="s">
        <v>194</v>
      </c>
      <c r="Z27" s="79" t="s">
        <v>199</v>
      </c>
      <c r="AA27" s="113">
        <v>35994</v>
      </c>
      <c r="AB27" s="113">
        <v>30503.389830508437</v>
      </c>
      <c r="AC27" s="113">
        <v>6</v>
      </c>
    </row>
    <row r="28" spans="1:29" ht="15.75" hidden="1" customHeight="1" outlineLevel="1" x14ac:dyDescent="0.2">
      <c r="A28" s="279" t="s">
        <v>1145</v>
      </c>
      <c r="B28" s="198" t="s">
        <v>1146</v>
      </c>
      <c r="C28" s="280" t="s">
        <v>194</v>
      </c>
      <c r="D28" s="278" t="s">
        <v>1144</v>
      </c>
      <c r="E28" s="278" t="s">
        <v>249</v>
      </c>
      <c r="F28" s="278" t="s">
        <v>17</v>
      </c>
      <c r="G28" s="182">
        <v>50</v>
      </c>
      <c r="H28" s="182">
        <v>65</v>
      </c>
      <c r="J28" s="79" t="s">
        <v>1144</v>
      </c>
      <c r="K28" s="79" t="s">
        <v>1107</v>
      </c>
      <c r="L28" s="79" t="s">
        <v>1108</v>
      </c>
      <c r="M28" s="113">
        <v>680078</v>
      </c>
      <c r="N28" s="113">
        <v>576337.28813559271</v>
      </c>
      <c r="O28" s="113">
        <v>22</v>
      </c>
      <c r="Q28" s="79" t="s">
        <v>1144</v>
      </c>
      <c r="R28" s="79" t="s">
        <v>1107</v>
      </c>
      <c r="S28" s="79" t="s">
        <v>1108</v>
      </c>
      <c r="T28" s="113">
        <v>125994</v>
      </c>
      <c r="U28" s="113">
        <v>106774.57627118636</v>
      </c>
      <c r="V28" s="113">
        <v>6</v>
      </c>
      <c r="X28" s="79" t="s">
        <v>1144</v>
      </c>
      <c r="Y28" s="79" t="s">
        <v>1107</v>
      </c>
      <c r="Z28" s="79" t="s">
        <v>1108</v>
      </c>
      <c r="AA28" s="113">
        <v>41993</v>
      </c>
      <c r="AB28" s="113">
        <v>35587.288135593175</v>
      </c>
      <c r="AC28" s="113">
        <v>7</v>
      </c>
    </row>
    <row r="29" spans="1:29" ht="15.75" hidden="1" customHeight="1" outlineLevel="1" x14ac:dyDescent="0.2">
      <c r="A29" s="278" t="s">
        <v>313</v>
      </c>
      <c r="B29" s="198" t="s">
        <v>314</v>
      </c>
      <c r="C29" s="265"/>
      <c r="D29" s="278" t="s">
        <v>1144</v>
      </c>
      <c r="E29" s="278" t="s">
        <v>249</v>
      </c>
      <c r="F29" s="278" t="s">
        <v>17</v>
      </c>
      <c r="G29" s="182">
        <v>65</v>
      </c>
      <c r="H29" s="182">
        <v>84.5</v>
      </c>
      <c r="J29" s="79" t="s">
        <v>1144</v>
      </c>
      <c r="K29" s="79" t="s">
        <v>707</v>
      </c>
      <c r="L29" s="79" t="s">
        <v>696</v>
      </c>
      <c r="M29" s="113">
        <v>1659358</v>
      </c>
      <c r="N29" s="113">
        <v>1406235.5932203371</v>
      </c>
      <c r="O29" s="113">
        <v>42</v>
      </c>
      <c r="Q29" s="79" t="s">
        <v>1144</v>
      </c>
      <c r="R29" s="79" t="s">
        <v>707</v>
      </c>
      <c r="S29" s="79" t="s">
        <v>696</v>
      </c>
      <c r="T29" s="113">
        <v>0</v>
      </c>
      <c r="U29" s="113"/>
      <c r="V29" s="113"/>
      <c r="X29" s="79" t="s">
        <v>1144</v>
      </c>
      <c r="Y29" s="79" t="s">
        <v>707</v>
      </c>
      <c r="Z29" s="79" t="s">
        <v>696</v>
      </c>
      <c r="AA29" s="113">
        <v>24996</v>
      </c>
      <c r="AB29" s="113">
        <v>21183.050847457613</v>
      </c>
      <c r="AC29" s="113">
        <v>4</v>
      </c>
    </row>
    <row r="30" spans="1:29" ht="15.75" hidden="1" customHeight="1" outlineLevel="1" x14ac:dyDescent="0.2">
      <c r="A30" s="278" t="s">
        <v>23</v>
      </c>
      <c r="B30" s="198" t="s">
        <v>24</v>
      </c>
      <c r="C30" s="181"/>
      <c r="D30" s="278" t="s">
        <v>1144</v>
      </c>
      <c r="E30" s="278" t="s">
        <v>249</v>
      </c>
      <c r="F30" s="278" t="s">
        <v>17</v>
      </c>
      <c r="G30" s="182">
        <v>65</v>
      </c>
      <c r="H30" s="182">
        <v>84.5</v>
      </c>
      <c r="J30" s="42" t="s">
        <v>1144</v>
      </c>
      <c r="K30" s="42" t="s">
        <v>804</v>
      </c>
      <c r="L30" s="42" t="s">
        <v>805</v>
      </c>
      <c r="M30" s="113">
        <v>1854207</v>
      </c>
      <c r="N30" s="113">
        <v>1571361.8644067782</v>
      </c>
      <c r="O30" s="113">
        <v>43</v>
      </c>
      <c r="Q30" s="42" t="s">
        <v>1144</v>
      </c>
      <c r="R30" s="42" t="s">
        <v>804</v>
      </c>
      <c r="S30" s="42" t="s">
        <v>805</v>
      </c>
      <c r="T30" s="113">
        <v>0</v>
      </c>
      <c r="U30" s="113"/>
      <c r="V30" s="113"/>
      <c r="X30" s="42" t="s">
        <v>1144</v>
      </c>
      <c r="Y30" s="42" t="s">
        <v>804</v>
      </c>
      <c r="Z30" s="42" t="s">
        <v>805</v>
      </c>
      <c r="AA30" s="113">
        <v>23996</v>
      </c>
      <c r="AB30" s="113">
        <v>20335.59322033896</v>
      </c>
      <c r="AC30" s="113">
        <v>4</v>
      </c>
    </row>
    <row r="31" spans="1:29" ht="15.75" hidden="1" customHeight="1" outlineLevel="1" x14ac:dyDescent="0.2">
      <c r="A31" s="278" t="s">
        <v>249</v>
      </c>
      <c r="B31" s="198" t="s">
        <v>250</v>
      </c>
      <c r="C31" s="181"/>
      <c r="D31" s="278" t="s">
        <v>1144</v>
      </c>
      <c r="E31" s="278" t="s">
        <v>249</v>
      </c>
      <c r="F31" s="278" t="s">
        <v>17</v>
      </c>
      <c r="G31" s="182">
        <v>70</v>
      </c>
      <c r="H31" s="182">
        <v>91</v>
      </c>
      <c r="J31" s="79" t="s">
        <v>1144</v>
      </c>
      <c r="K31" s="79" t="s">
        <v>313</v>
      </c>
      <c r="L31" s="79" t="s">
        <v>314</v>
      </c>
      <c r="M31" s="113">
        <v>3472358</v>
      </c>
      <c r="N31" s="113">
        <v>2942676.2711864356</v>
      </c>
      <c r="O31" s="113">
        <v>92</v>
      </c>
      <c r="Q31" s="79" t="s">
        <v>1144</v>
      </c>
      <c r="R31" s="79" t="s">
        <v>313</v>
      </c>
      <c r="S31" s="79" t="s">
        <v>314</v>
      </c>
      <c r="T31" s="113">
        <v>0</v>
      </c>
      <c r="U31" s="113"/>
      <c r="V31" s="113"/>
      <c r="X31" s="79" t="s">
        <v>1144</v>
      </c>
      <c r="Y31" s="79" t="s">
        <v>313</v>
      </c>
      <c r="Z31" s="79" t="s">
        <v>314</v>
      </c>
      <c r="AA31" s="113">
        <v>96984</v>
      </c>
      <c r="AB31" s="113">
        <v>82189.830508474493</v>
      </c>
      <c r="AC31" s="113">
        <v>16</v>
      </c>
    </row>
    <row r="32" spans="1:29" ht="15.75" hidden="1" customHeight="1" outlineLevel="1" x14ac:dyDescent="0.2">
      <c r="A32" s="281" t="s">
        <v>225</v>
      </c>
      <c r="B32" s="198" t="s">
        <v>27</v>
      </c>
      <c r="C32" s="181"/>
      <c r="D32" s="281" t="s">
        <v>1147</v>
      </c>
      <c r="E32" s="198"/>
      <c r="F32" s="281" t="s">
        <v>17</v>
      </c>
      <c r="G32" s="182">
        <v>50</v>
      </c>
      <c r="H32" s="182">
        <v>65</v>
      </c>
      <c r="J32" s="79" t="s">
        <v>1144</v>
      </c>
      <c r="K32" s="79" t="s">
        <v>23</v>
      </c>
      <c r="L32" s="79" t="s">
        <v>24</v>
      </c>
      <c r="M32" s="113">
        <v>3447765</v>
      </c>
      <c r="N32" s="113">
        <v>2921834.7457627072</v>
      </c>
      <c r="O32" s="113">
        <v>85</v>
      </c>
      <c r="Q32" s="79" t="s">
        <v>1144</v>
      </c>
      <c r="R32" s="79" t="s">
        <v>23</v>
      </c>
      <c r="S32" s="79" t="s">
        <v>24</v>
      </c>
      <c r="T32" s="113">
        <v>0</v>
      </c>
      <c r="U32" s="113"/>
      <c r="V32" s="113"/>
      <c r="X32" s="79" t="s">
        <v>1144</v>
      </c>
      <c r="Y32" s="79" t="s">
        <v>23</v>
      </c>
      <c r="Z32" s="79" t="s">
        <v>24</v>
      </c>
      <c r="AA32" s="113">
        <v>41993</v>
      </c>
      <c r="AB32" s="113">
        <v>35587.288135593175</v>
      </c>
      <c r="AC32" s="113">
        <v>7</v>
      </c>
    </row>
    <row r="33" spans="1:29" ht="15.75" hidden="1" customHeight="1" outlineLevel="1" x14ac:dyDescent="0.2">
      <c r="A33" s="281" t="s">
        <v>29</v>
      </c>
      <c r="B33" s="198" t="s">
        <v>30</v>
      </c>
      <c r="C33" s="181"/>
      <c r="D33" s="281" t="s">
        <v>1147</v>
      </c>
      <c r="E33" s="199"/>
      <c r="F33" s="281" t="s">
        <v>17</v>
      </c>
      <c r="G33" s="182">
        <v>60</v>
      </c>
      <c r="H33" s="182">
        <v>78</v>
      </c>
      <c r="J33" s="79" t="s">
        <v>1144</v>
      </c>
      <c r="K33" s="79" t="s">
        <v>249</v>
      </c>
      <c r="L33" s="79" t="s">
        <v>250</v>
      </c>
      <c r="M33" s="113">
        <v>4975016</v>
      </c>
      <c r="N33" s="113">
        <v>4216115.2542372793</v>
      </c>
      <c r="O33" s="113">
        <v>134</v>
      </c>
      <c r="Q33" s="79" t="s">
        <v>1144</v>
      </c>
      <c r="R33" s="79" t="s">
        <v>249</v>
      </c>
      <c r="S33" s="79" t="s">
        <v>250</v>
      </c>
      <c r="T33" s="113">
        <v>0</v>
      </c>
      <c r="U33" s="113"/>
      <c r="V33" s="113"/>
      <c r="X33" s="79" t="s">
        <v>1144</v>
      </c>
      <c r="Y33" s="79" t="s">
        <v>249</v>
      </c>
      <c r="Z33" s="79" t="s">
        <v>250</v>
      </c>
      <c r="AA33" s="113">
        <v>119980</v>
      </c>
      <c r="AB33" s="113">
        <v>101677.96610169482</v>
      </c>
      <c r="AC33" s="113">
        <v>20</v>
      </c>
    </row>
    <row r="34" spans="1:29" ht="15.75" hidden="1" customHeight="1" outlineLevel="1" x14ac:dyDescent="0.2">
      <c r="A34" s="281" t="s">
        <v>244</v>
      </c>
      <c r="B34" s="198" t="s">
        <v>245</v>
      </c>
      <c r="C34" s="181"/>
      <c r="D34" s="281" t="s">
        <v>1147</v>
      </c>
      <c r="E34" s="199"/>
      <c r="F34" s="281" t="s">
        <v>17</v>
      </c>
      <c r="G34" s="182">
        <v>60</v>
      </c>
      <c r="H34" s="182">
        <v>78</v>
      </c>
      <c r="J34" s="79" t="s">
        <v>1144</v>
      </c>
      <c r="K34" s="79" t="s">
        <v>1145</v>
      </c>
      <c r="L34" s="79" t="s">
        <v>1146</v>
      </c>
      <c r="M34" s="113">
        <v>1043673</v>
      </c>
      <c r="N34" s="113">
        <v>884468.64406779571</v>
      </c>
      <c r="O34" s="113">
        <v>27</v>
      </c>
      <c r="Q34" s="79" t="s">
        <v>1144</v>
      </c>
      <c r="R34" s="79" t="s">
        <v>1145</v>
      </c>
      <c r="S34" s="79" t="s">
        <v>1146</v>
      </c>
      <c r="T34" s="113">
        <v>0</v>
      </c>
      <c r="U34" s="113"/>
      <c r="V34" s="113"/>
      <c r="X34" s="79" t="s">
        <v>1144</v>
      </c>
      <c r="Y34" s="79" t="s">
        <v>1145</v>
      </c>
      <c r="Z34" s="79" t="s">
        <v>1146</v>
      </c>
      <c r="AA34" s="113">
        <v>17997</v>
      </c>
      <c r="AB34" s="113">
        <v>15251.69491525422</v>
      </c>
      <c r="AC34" s="113">
        <v>3</v>
      </c>
    </row>
    <row r="35" spans="1:29" ht="15.75" hidden="1" customHeight="1" outlineLevel="1" x14ac:dyDescent="0.2">
      <c r="A35" s="281" t="s">
        <v>20</v>
      </c>
      <c r="B35" s="198" t="s">
        <v>21</v>
      </c>
      <c r="C35" s="181"/>
      <c r="D35" s="281" t="s">
        <v>1147</v>
      </c>
      <c r="E35" s="199"/>
      <c r="F35" s="281" t="s">
        <v>17</v>
      </c>
      <c r="G35" s="182">
        <v>60</v>
      </c>
      <c r="H35" s="182">
        <v>78</v>
      </c>
      <c r="J35" s="79" t="s">
        <v>1172</v>
      </c>
      <c r="K35" s="79"/>
      <c r="L35" s="79"/>
      <c r="M35" s="261">
        <v>19523194</v>
      </c>
      <c r="N35" s="261">
        <v>16545079.661016924</v>
      </c>
      <c r="O35" s="261">
        <v>506</v>
      </c>
      <c r="Q35" s="79" t="s">
        <v>1172</v>
      </c>
      <c r="R35" s="79"/>
      <c r="S35" s="79"/>
      <c r="T35" s="261">
        <v>125994</v>
      </c>
      <c r="U35" s="261">
        <v>106774.57627118636</v>
      </c>
      <c r="V35" s="261">
        <v>6</v>
      </c>
      <c r="X35" s="79" t="s">
        <v>1172</v>
      </c>
      <c r="Y35" s="79"/>
      <c r="Z35" s="79"/>
      <c r="AA35" s="261">
        <v>403933</v>
      </c>
      <c r="AB35" s="261">
        <v>342316.10169491486</v>
      </c>
      <c r="AC35" s="261">
        <v>67</v>
      </c>
    </row>
    <row r="36" spans="1:29" ht="15.75" hidden="1" customHeight="1" outlineLevel="1" x14ac:dyDescent="0.2">
      <c r="A36" s="281" t="s">
        <v>699</v>
      </c>
      <c r="B36" s="198" t="s">
        <v>700</v>
      </c>
      <c r="C36" s="265"/>
      <c r="D36" s="283" t="s">
        <v>1147</v>
      </c>
      <c r="E36" s="198"/>
      <c r="F36" s="281" t="s">
        <v>17</v>
      </c>
      <c r="G36" s="182">
        <v>70</v>
      </c>
      <c r="H36" s="182">
        <v>91</v>
      </c>
      <c r="J36" s="79" t="s">
        <v>1147</v>
      </c>
      <c r="K36" s="79" t="s">
        <v>225</v>
      </c>
      <c r="L36" s="79" t="s">
        <v>27</v>
      </c>
      <c r="M36" s="113">
        <v>2046854</v>
      </c>
      <c r="N36" s="113">
        <v>1734622.0338983033</v>
      </c>
      <c r="O36" s="113">
        <v>46</v>
      </c>
      <c r="Q36" s="79" t="s">
        <v>1147</v>
      </c>
      <c r="R36" s="79" t="s">
        <v>225</v>
      </c>
      <c r="S36" s="79" t="s">
        <v>27</v>
      </c>
      <c r="T36" s="113">
        <v>0</v>
      </c>
      <c r="U36" s="113"/>
      <c r="V36" s="113"/>
      <c r="X36" s="79" t="s">
        <v>1147</v>
      </c>
      <c r="Y36" s="79" t="s">
        <v>225</v>
      </c>
      <c r="Z36" s="79" t="s">
        <v>27</v>
      </c>
      <c r="AA36" s="113">
        <v>11998</v>
      </c>
      <c r="AB36" s="113">
        <v>10167.79661016948</v>
      </c>
      <c r="AC36" s="113">
        <v>2</v>
      </c>
    </row>
    <row r="37" spans="1:29" ht="15.75" hidden="1" customHeight="1" outlineLevel="1" x14ac:dyDescent="0.2">
      <c r="A37" s="281" t="s">
        <v>222</v>
      </c>
      <c r="B37" s="198" t="s">
        <v>223</v>
      </c>
      <c r="C37" s="265"/>
      <c r="D37" s="283" t="s">
        <v>1147</v>
      </c>
      <c r="E37" s="198"/>
      <c r="F37" s="281" t="s">
        <v>17</v>
      </c>
      <c r="G37" s="182">
        <v>65</v>
      </c>
      <c r="H37" s="182">
        <v>84.5</v>
      </c>
      <c r="J37" s="79" t="s">
        <v>1147</v>
      </c>
      <c r="K37" s="42" t="s">
        <v>29</v>
      </c>
      <c r="L37" s="42" t="s">
        <v>30</v>
      </c>
      <c r="M37" s="113">
        <v>1380666</v>
      </c>
      <c r="N37" s="113">
        <v>1170055.9322033885</v>
      </c>
      <c r="O37" s="113">
        <v>34</v>
      </c>
      <c r="Q37" s="79" t="s">
        <v>1147</v>
      </c>
      <c r="R37" s="42" t="s">
        <v>29</v>
      </c>
      <c r="S37" s="42" t="s">
        <v>30</v>
      </c>
      <c r="T37" s="113">
        <v>116998</v>
      </c>
      <c r="U37" s="113">
        <v>99150.847457627009</v>
      </c>
      <c r="V37" s="113">
        <v>2</v>
      </c>
      <c r="X37" s="79" t="s">
        <v>1147</v>
      </c>
      <c r="Y37" s="42" t="s">
        <v>29</v>
      </c>
      <c r="Z37" s="42" t="s">
        <v>30</v>
      </c>
      <c r="AA37" s="113">
        <v>47992</v>
      </c>
      <c r="AB37" s="113">
        <v>40671.186440677913</v>
      </c>
      <c r="AC37" s="113">
        <v>8</v>
      </c>
    </row>
    <row r="38" spans="1:29" ht="15.75" hidden="1" customHeight="1" outlineLevel="1" x14ac:dyDescent="0.2">
      <c r="A38" s="281" t="s">
        <v>70</v>
      </c>
      <c r="B38" s="198" t="s">
        <v>34</v>
      </c>
      <c r="C38" s="265"/>
      <c r="D38" s="283" t="s">
        <v>1147</v>
      </c>
      <c r="E38" s="198"/>
      <c r="F38" s="281" t="s">
        <v>17</v>
      </c>
      <c r="G38" s="182">
        <v>50</v>
      </c>
      <c r="H38" s="182">
        <v>65</v>
      </c>
      <c r="J38" s="79" t="s">
        <v>1147</v>
      </c>
      <c r="K38" s="79" t="s">
        <v>244</v>
      </c>
      <c r="L38" s="79" t="s">
        <v>245</v>
      </c>
      <c r="M38" s="113">
        <v>895175</v>
      </c>
      <c r="N38" s="113">
        <v>758622.88135593117</v>
      </c>
      <c r="O38" s="113">
        <v>25</v>
      </c>
      <c r="Q38" s="79" t="s">
        <v>1147</v>
      </c>
      <c r="R38" s="79" t="s">
        <v>244</v>
      </c>
      <c r="S38" s="79" t="s">
        <v>245</v>
      </c>
      <c r="T38" s="113">
        <v>0</v>
      </c>
      <c r="U38" s="113"/>
      <c r="V38" s="113"/>
      <c r="X38" s="79" t="s">
        <v>1147</v>
      </c>
      <c r="Y38" s="79" t="s">
        <v>244</v>
      </c>
      <c r="Z38" s="79" t="s">
        <v>245</v>
      </c>
      <c r="AA38" s="113">
        <v>35994</v>
      </c>
      <c r="AB38" s="113">
        <v>30503.389830508437</v>
      </c>
      <c r="AC38" s="113">
        <v>6</v>
      </c>
    </row>
    <row r="39" spans="1:29" ht="15.75" hidden="1" customHeight="1" outlineLevel="1" x14ac:dyDescent="0.2">
      <c r="A39" s="278" t="s">
        <v>1148</v>
      </c>
      <c r="B39" s="198" t="s">
        <v>807</v>
      </c>
      <c r="C39" s="265"/>
      <c r="D39" s="279" t="s">
        <v>1149</v>
      </c>
      <c r="E39" s="278" t="s">
        <v>63</v>
      </c>
      <c r="F39" s="278" t="s">
        <v>55</v>
      </c>
      <c r="G39" s="182">
        <v>60</v>
      </c>
      <c r="H39" s="182">
        <v>78</v>
      </c>
      <c r="J39" s="79" t="s">
        <v>1147</v>
      </c>
      <c r="K39" s="79" t="s">
        <v>20</v>
      </c>
      <c r="L39" s="79" t="s">
        <v>21</v>
      </c>
      <c r="M39" s="113">
        <v>2690736</v>
      </c>
      <c r="N39" s="113">
        <v>2280284.7457627095</v>
      </c>
      <c r="O39" s="113">
        <v>64</v>
      </c>
      <c r="Q39" s="79" t="s">
        <v>1147</v>
      </c>
      <c r="R39" s="79" t="s">
        <v>20</v>
      </c>
      <c r="S39" s="79" t="s">
        <v>21</v>
      </c>
      <c r="T39" s="113">
        <v>137997</v>
      </c>
      <c r="U39" s="113">
        <v>116946.61016949135</v>
      </c>
      <c r="V39" s="113">
        <v>3</v>
      </c>
      <c r="X39" s="79" t="s">
        <v>1147</v>
      </c>
      <c r="Y39" s="79" t="s">
        <v>20</v>
      </c>
      <c r="Z39" s="79" t="s">
        <v>21</v>
      </c>
      <c r="AA39" s="113">
        <v>49992</v>
      </c>
      <c r="AB39" s="113">
        <v>42366.101694915204</v>
      </c>
      <c r="AC39" s="113">
        <v>8</v>
      </c>
    </row>
    <row r="40" spans="1:29" ht="15.75" hidden="1" customHeight="1" outlineLevel="1" x14ac:dyDescent="0.2">
      <c r="A40" s="278" t="s">
        <v>301</v>
      </c>
      <c r="B40" s="198" t="s">
        <v>302</v>
      </c>
      <c r="C40" s="265"/>
      <c r="D40" s="279" t="s">
        <v>1149</v>
      </c>
      <c r="E40" s="278" t="s">
        <v>63</v>
      </c>
      <c r="F40" s="278" t="s">
        <v>55</v>
      </c>
      <c r="G40" s="182">
        <v>70</v>
      </c>
      <c r="H40" s="182">
        <v>91</v>
      </c>
      <c r="J40" s="112" t="s">
        <v>1147</v>
      </c>
      <c r="K40" s="161" t="s">
        <v>699</v>
      </c>
      <c r="L40" s="79" t="s">
        <v>700</v>
      </c>
      <c r="M40" s="113">
        <v>5457486</v>
      </c>
      <c r="N40" s="113">
        <v>4624988.1355932103</v>
      </c>
      <c r="O40" s="113">
        <v>114</v>
      </c>
      <c r="Q40" s="112" t="s">
        <v>1147</v>
      </c>
      <c r="R40" s="161" t="s">
        <v>699</v>
      </c>
      <c r="S40" s="79" t="s">
        <v>700</v>
      </c>
      <c r="T40" s="113">
        <v>0</v>
      </c>
      <c r="U40" s="113"/>
      <c r="V40" s="113"/>
      <c r="X40" s="112" t="s">
        <v>1147</v>
      </c>
      <c r="Y40" s="161" t="s">
        <v>699</v>
      </c>
      <c r="Z40" s="79" t="s">
        <v>700</v>
      </c>
      <c r="AA40" s="113">
        <v>47992</v>
      </c>
      <c r="AB40" s="113">
        <v>40671.186440677913</v>
      </c>
      <c r="AC40" s="113">
        <v>8</v>
      </c>
    </row>
    <row r="41" spans="1:29" ht="15.75" hidden="1" customHeight="1" outlineLevel="1" x14ac:dyDescent="0.2">
      <c r="A41" s="278" t="s">
        <v>1150</v>
      </c>
      <c r="B41" s="198" t="s">
        <v>1151</v>
      </c>
      <c r="C41" s="181"/>
      <c r="D41" s="279" t="s">
        <v>1149</v>
      </c>
      <c r="E41" s="278" t="s">
        <v>63</v>
      </c>
      <c r="F41" s="278" t="s">
        <v>55</v>
      </c>
      <c r="G41" s="182">
        <v>35</v>
      </c>
      <c r="H41" s="182">
        <v>45.5</v>
      </c>
      <c r="J41" s="112" t="s">
        <v>1147</v>
      </c>
      <c r="K41" s="161" t="s">
        <v>222</v>
      </c>
      <c r="L41" s="79" t="s">
        <v>223</v>
      </c>
      <c r="M41" s="113">
        <v>1057425</v>
      </c>
      <c r="N41" s="113">
        <v>896122.88135593117</v>
      </c>
      <c r="O41" s="113">
        <v>25</v>
      </c>
      <c r="Q41" s="112" t="s">
        <v>1147</v>
      </c>
      <c r="R41" s="161" t="s">
        <v>222</v>
      </c>
      <c r="S41" s="79" t="s">
        <v>223</v>
      </c>
      <c r="T41" s="113">
        <v>50999</v>
      </c>
      <c r="U41" s="113">
        <v>43219.491525423698</v>
      </c>
      <c r="V41" s="113">
        <v>1</v>
      </c>
      <c r="X41" s="112" t="s">
        <v>1147</v>
      </c>
      <c r="Y41" s="161" t="s">
        <v>222</v>
      </c>
      <c r="Z41" s="79" t="s">
        <v>223</v>
      </c>
      <c r="AA41" s="113">
        <v>17997</v>
      </c>
      <c r="AB41" s="113">
        <v>15251.69491525422</v>
      </c>
      <c r="AC41" s="113">
        <v>3</v>
      </c>
    </row>
    <row r="42" spans="1:29" ht="15.75" hidden="1" customHeight="1" outlineLevel="1" x14ac:dyDescent="0.2">
      <c r="A42" s="278" t="s">
        <v>63</v>
      </c>
      <c r="B42" s="198" t="s">
        <v>64</v>
      </c>
      <c r="C42" s="265"/>
      <c r="D42" s="279" t="s">
        <v>1149</v>
      </c>
      <c r="E42" s="278" t="s">
        <v>63</v>
      </c>
      <c r="F42" s="278" t="s">
        <v>55</v>
      </c>
      <c r="G42" s="182">
        <v>60</v>
      </c>
      <c r="H42" s="182">
        <v>78</v>
      </c>
      <c r="J42" s="112" t="s">
        <v>1147</v>
      </c>
      <c r="K42" s="161" t="s">
        <v>70</v>
      </c>
      <c r="L42" s="79" t="s">
        <v>34</v>
      </c>
      <c r="M42" s="113">
        <v>674588</v>
      </c>
      <c r="N42" s="113">
        <v>571684.74576271104</v>
      </c>
      <c r="O42" s="113">
        <v>12</v>
      </c>
      <c r="Q42" s="112" t="s">
        <v>1147</v>
      </c>
      <c r="R42" s="161" t="s">
        <v>70</v>
      </c>
      <c r="S42" s="79" t="s">
        <v>34</v>
      </c>
      <c r="T42" s="113">
        <v>176596</v>
      </c>
      <c r="U42" s="113">
        <v>149657.62711864381</v>
      </c>
      <c r="V42" s="113">
        <v>4</v>
      </c>
      <c r="X42" s="112" t="s">
        <v>1147</v>
      </c>
      <c r="Y42" s="161" t="s">
        <v>70</v>
      </c>
      <c r="Z42" s="79" t="s">
        <v>34</v>
      </c>
      <c r="AA42" s="113">
        <v>0</v>
      </c>
      <c r="AB42" s="113"/>
      <c r="AC42" s="113"/>
    </row>
    <row r="43" spans="1:29" ht="15.75" hidden="1" customHeight="1" outlineLevel="1" x14ac:dyDescent="0.2">
      <c r="A43" s="279" t="s">
        <v>1152</v>
      </c>
      <c r="B43" s="198" t="s">
        <v>1153</v>
      </c>
      <c r="C43" s="181"/>
      <c r="D43" s="279" t="s">
        <v>1154</v>
      </c>
      <c r="E43" s="278" t="s">
        <v>307</v>
      </c>
      <c r="F43" s="278" t="s">
        <v>55</v>
      </c>
      <c r="G43" s="182">
        <v>46</v>
      </c>
      <c r="H43" s="182">
        <v>59.8</v>
      </c>
      <c r="J43" s="112" t="s">
        <v>1173</v>
      </c>
      <c r="K43" s="161"/>
      <c r="L43" s="79"/>
      <c r="M43" s="261">
        <v>14202930</v>
      </c>
      <c r="N43" s="261">
        <v>12036381.355932187</v>
      </c>
      <c r="O43" s="261">
        <v>320</v>
      </c>
      <c r="Q43" s="112" t="s">
        <v>1173</v>
      </c>
      <c r="R43" s="161"/>
      <c r="S43" s="79"/>
      <c r="T43" s="261">
        <v>482590</v>
      </c>
      <c r="U43" s="261">
        <v>408974.57627118588</v>
      </c>
      <c r="V43" s="261">
        <v>10</v>
      </c>
      <c r="X43" s="112" t="s">
        <v>1173</v>
      </c>
      <c r="Y43" s="161"/>
      <c r="Z43" s="79"/>
      <c r="AA43" s="261">
        <v>211965</v>
      </c>
      <c r="AB43" s="261">
        <v>179631.35593220318</v>
      </c>
      <c r="AC43" s="261">
        <v>35</v>
      </c>
    </row>
    <row r="44" spans="1:29" ht="15.75" hidden="1" customHeight="1" outlineLevel="1" x14ac:dyDescent="0.2">
      <c r="A44" s="279" t="s">
        <v>335</v>
      </c>
      <c r="B44" s="198" t="s">
        <v>342</v>
      </c>
      <c r="C44" s="181"/>
      <c r="D44" s="278" t="s">
        <v>1154</v>
      </c>
      <c r="E44" s="278" t="s">
        <v>307</v>
      </c>
      <c r="F44" s="278" t="s">
        <v>55</v>
      </c>
      <c r="G44" s="182">
        <v>70</v>
      </c>
      <c r="H44" s="182">
        <v>91</v>
      </c>
      <c r="J44" s="42" t="s">
        <v>1149</v>
      </c>
      <c r="K44" s="42" t="s">
        <v>806</v>
      </c>
      <c r="L44" s="42" t="s">
        <v>807</v>
      </c>
      <c r="M44" s="113">
        <v>3667233</v>
      </c>
      <c r="N44" s="113">
        <v>3107824.5762711801</v>
      </c>
      <c r="O44" s="113">
        <v>67</v>
      </c>
      <c r="Q44" s="42" t="s">
        <v>1149</v>
      </c>
      <c r="R44" s="42" t="s">
        <v>806</v>
      </c>
      <c r="S44" s="42" t="s">
        <v>807</v>
      </c>
      <c r="T44" s="113">
        <v>0</v>
      </c>
      <c r="U44" s="113"/>
      <c r="V44" s="113"/>
      <c r="X44" s="42" t="s">
        <v>1149</v>
      </c>
      <c r="Y44" s="42" t="s">
        <v>806</v>
      </c>
      <c r="Z44" s="42" t="s">
        <v>807</v>
      </c>
      <c r="AA44" s="113">
        <v>11998</v>
      </c>
      <c r="AB44" s="113">
        <v>10167.79661016948</v>
      </c>
      <c r="AC44" s="113">
        <v>2</v>
      </c>
    </row>
    <row r="45" spans="1:29" ht="15.75" hidden="1" customHeight="1" outlineLevel="1" x14ac:dyDescent="0.2">
      <c r="A45" s="279" t="s">
        <v>307</v>
      </c>
      <c r="B45" s="198" t="s">
        <v>308</v>
      </c>
      <c r="C45" s="181"/>
      <c r="D45" s="278" t="s">
        <v>1154</v>
      </c>
      <c r="E45" s="278" t="s">
        <v>307</v>
      </c>
      <c r="F45" s="278" t="s">
        <v>55</v>
      </c>
      <c r="G45" s="182">
        <v>70</v>
      </c>
      <c r="H45" s="182">
        <v>91</v>
      </c>
      <c r="J45" s="79" t="s">
        <v>1149</v>
      </c>
      <c r="K45" s="79" t="s">
        <v>301</v>
      </c>
      <c r="L45" s="79" t="s">
        <v>302</v>
      </c>
      <c r="M45" s="113">
        <v>997473</v>
      </c>
      <c r="N45" s="113">
        <v>845316.10169491381</v>
      </c>
      <c r="O45" s="113">
        <v>27</v>
      </c>
      <c r="Q45" s="79" t="s">
        <v>1149</v>
      </c>
      <c r="R45" s="79" t="s">
        <v>301</v>
      </c>
      <c r="S45" s="79" t="s">
        <v>302</v>
      </c>
      <c r="T45" s="113">
        <v>0</v>
      </c>
      <c r="U45" s="113"/>
      <c r="V45" s="113"/>
      <c r="X45" s="79" t="s">
        <v>1149</v>
      </c>
      <c r="Y45" s="79" t="s">
        <v>301</v>
      </c>
      <c r="Z45" s="79" t="s">
        <v>302</v>
      </c>
      <c r="AA45" s="113">
        <v>11998</v>
      </c>
      <c r="AB45" s="113">
        <v>10167.79661016948</v>
      </c>
      <c r="AC45" s="113">
        <v>2</v>
      </c>
    </row>
    <row r="46" spans="1:29" ht="15.75" hidden="1" customHeight="1" outlineLevel="1" x14ac:dyDescent="0.2">
      <c r="A46" s="278" t="s">
        <v>217</v>
      </c>
      <c r="B46" s="198" t="s">
        <v>197</v>
      </c>
      <c r="C46" s="265"/>
      <c r="D46" s="278" t="s">
        <v>1154</v>
      </c>
      <c r="E46" s="278" t="s">
        <v>307</v>
      </c>
      <c r="F46" s="278" t="s">
        <v>55</v>
      </c>
      <c r="G46" s="182">
        <v>70</v>
      </c>
      <c r="H46" s="182">
        <v>91</v>
      </c>
      <c r="J46" s="79" t="s">
        <v>1149</v>
      </c>
      <c r="K46" s="79" t="s">
        <v>1150</v>
      </c>
      <c r="L46" s="79" t="s">
        <v>1151</v>
      </c>
      <c r="M46" s="113">
        <v>1667513</v>
      </c>
      <c r="N46" s="113">
        <v>1413146.6101694899</v>
      </c>
      <c r="O46" s="113">
        <v>37</v>
      </c>
      <c r="Q46" s="79" t="s">
        <v>1149</v>
      </c>
      <c r="R46" s="79" t="s">
        <v>1150</v>
      </c>
      <c r="S46" s="79" t="s">
        <v>1151</v>
      </c>
      <c r="T46" s="113">
        <v>393992</v>
      </c>
      <c r="U46" s="113">
        <v>333891.5254237284</v>
      </c>
      <c r="V46" s="113">
        <v>8</v>
      </c>
      <c r="X46" s="79" t="s">
        <v>1149</v>
      </c>
      <c r="Y46" s="79" t="s">
        <v>1150</v>
      </c>
      <c r="Z46" s="79" t="s">
        <v>1151</v>
      </c>
      <c r="AA46" s="113">
        <v>0</v>
      </c>
      <c r="AB46" s="113"/>
      <c r="AC46" s="113"/>
    </row>
    <row r="47" spans="1:29" ht="15.75" hidden="1" customHeight="1" outlineLevel="1" x14ac:dyDescent="0.2">
      <c r="A47" s="278" t="s">
        <v>286</v>
      </c>
      <c r="B47" s="198" t="s">
        <v>37</v>
      </c>
      <c r="C47" s="265"/>
      <c r="D47" s="278" t="s">
        <v>1155</v>
      </c>
      <c r="E47" s="278" t="s">
        <v>286</v>
      </c>
      <c r="F47" s="278" t="s">
        <v>55</v>
      </c>
      <c r="G47" s="182">
        <v>60</v>
      </c>
      <c r="H47" s="182">
        <v>78</v>
      </c>
      <c r="J47" s="79" t="s">
        <v>1149</v>
      </c>
      <c r="K47" s="79" t="s">
        <v>63</v>
      </c>
      <c r="L47" s="79" t="s">
        <v>64</v>
      </c>
      <c r="M47" s="113">
        <v>1990654</v>
      </c>
      <c r="N47" s="113">
        <v>1686994.9152542346</v>
      </c>
      <c r="O47" s="113">
        <v>46</v>
      </c>
      <c r="Q47" s="79" t="s">
        <v>1149</v>
      </c>
      <c r="R47" s="79" t="s">
        <v>63</v>
      </c>
      <c r="S47" s="79" t="s">
        <v>64</v>
      </c>
      <c r="T47" s="113">
        <v>647788</v>
      </c>
      <c r="U47" s="113">
        <v>548972.8813559314</v>
      </c>
      <c r="V47" s="113">
        <v>12</v>
      </c>
      <c r="X47" s="79" t="s">
        <v>1149</v>
      </c>
      <c r="Y47" s="79" t="s">
        <v>63</v>
      </c>
      <c r="Z47" s="79" t="s">
        <v>64</v>
      </c>
      <c r="AA47" s="113">
        <v>11998</v>
      </c>
      <c r="AB47" s="113">
        <v>10167.79661016948</v>
      </c>
      <c r="AC47" s="113">
        <v>2</v>
      </c>
    </row>
    <row r="48" spans="1:29" ht="15.75" hidden="1" customHeight="1" outlineLevel="1" x14ac:dyDescent="0.2">
      <c r="A48" s="278" t="s">
        <v>657</v>
      </c>
      <c r="B48" s="198" t="s">
        <v>39</v>
      </c>
      <c r="C48" s="265"/>
      <c r="D48" s="278" t="s">
        <v>1155</v>
      </c>
      <c r="E48" s="278" t="s">
        <v>286</v>
      </c>
      <c r="F48" s="278" t="s">
        <v>55</v>
      </c>
      <c r="G48" s="182">
        <v>70</v>
      </c>
      <c r="H48" s="182">
        <v>91</v>
      </c>
      <c r="J48" s="79" t="s">
        <v>1174</v>
      </c>
      <c r="K48" s="79"/>
      <c r="L48" s="79"/>
      <c r="M48" s="261">
        <v>8322873</v>
      </c>
      <c r="N48" s="261">
        <v>7053282.2033898178</v>
      </c>
      <c r="O48" s="261">
        <v>177</v>
      </c>
      <c r="Q48" s="79" t="s">
        <v>1174</v>
      </c>
      <c r="R48" s="79"/>
      <c r="S48" s="79"/>
      <c r="T48" s="261">
        <v>1041780</v>
      </c>
      <c r="U48" s="261">
        <v>882864.4067796598</v>
      </c>
      <c r="V48" s="261">
        <v>20</v>
      </c>
      <c r="X48" s="79" t="s">
        <v>1174</v>
      </c>
      <c r="Y48" s="79"/>
      <c r="Z48" s="79"/>
      <c r="AA48" s="261">
        <v>35994</v>
      </c>
      <c r="AB48" s="261">
        <v>30503.38983050844</v>
      </c>
      <c r="AC48" s="261">
        <v>6</v>
      </c>
    </row>
    <row r="49" spans="1:29" ht="15.75" hidden="1" customHeight="1" outlineLevel="1" x14ac:dyDescent="0.2">
      <c r="A49" s="278" t="s">
        <v>1156</v>
      </c>
      <c r="B49" s="198" t="s">
        <v>1157</v>
      </c>
      <c r="C49" s="265"/>
      <c r="D49" s="278" t="s">
        <v>1155</v>
      </c>
      <c r="E49" s="278" t="s">
        <v>286</v>
      </c>
      <c r="F49" s="278" t="s">
        <v>55</v>
      </c>
      <c r="G49" s="182">
        <v>46</v>
      </c>
      <c r="H49" s="182">
        <v>59.8</v>
      </c>
      <c r="J49" s="79" t="s">
        <v>1154</v>
      </c>
      <c r="K49" s="79" t="s">
        <v>307</v>
      </c>
      <c r="L49" s="79" t="s">
        <v>308</v>
      </c>
      <c r="M49" s="113">
        <v>1100626</v>
      </c>
      <c r="N49" s="113">
        <v>932733.89830508339</v>
      </c>
      <c r="O49" s="113">
        <v>24</v>
      </c>
      <c r="Q49" s="79" t="s">
        <v>1154</v>
      </c>
      <c r="R49" s="79" t="s">
        <v>307</v>
      </c>
      <c r="S49" s="79" t="s">
        <v>308</v>
      </c>
      <c r="T49" s="113">
        <v>329243</v>
      </c>
      <c r="U49" s="113">
        <v>279019.49152542331</v>
      </c>
      <c r="V49" s="113">
        <v>7</v>
      </c>
      <c r="X49" s="79" t="s">
        <v>1154</v>
      </c>
      <c r="Y49" s="79" t="s">
        <v>307</v>
      </c>
      <c r="Z49" s="79" t="s">
        <v>308</v>
      </c>
      <c r="AA49" s="113">
        <v>5999</v>
      </c>
      <c r="AB49" s="113">
        <v>5083.8983050847401</v>
      </c>
      <c r="AC49" s="113">
        <v>1</v>
      </c>
    </row>
    <row r="50" spans="1:29" ht="15.75" hidden="1" customHeight="1" outlineLevel="1" x14ac:dyDescent="0.2">
      <c r="A50" s="278" t="s">
        <v>726</v>
      </c>
      <c r="B50" s="198" t="s">
        <v>727</v>
      </c>
      <c r="C50" s="265"/>
      <c r="D50" s="278" t="s">
        <v>1158</v>
      </c>
      <c r="E50" s="278" t="s">
        <v>72</v>
      </c>
      <c r="F50" s="278" t="s">
        <v>111</v>
      </c>
      <c r="G50" s="182">
        <v>55</v>
      </c>
      <c r="H50" s="182">
        <v>71.5</v>
      </c>
      <c r="J50" s="79" t="s">
        <v>1154</v>
      </c>
      <c r="K50" s="79" t="s">
        <v>217</v>
      </c>
      <c r="L50" s="79" t="s">
        <v>197</v>
      </c>
      <c r="M50" s="113">
        <v>929977</v>
      </c>
      <c r="N50" s="113">
        <v>788116.10169491416</v>
      </c>
      <c r="O50" s="113">
        <v>23</v>
      </c>
      <c r="Q50" s="79" t="s">
        <v>1154</v>
      </c>
      <c r="R50" s="79" t="s">
        <v>217</v>
      </c>
      <c r="S50" s="79" t="s">
        <v>197</v>
      </c>
      <c r="T50" s="113">
        <v>649984</v>
      </c>
      <c r="U50" s="113">
        <v>550833.89830508409</v>
      </c>
      <c r="V50" s="113">
        <v>16</v>
      </c>
      <c r="X50" s="79" t="s">
        <v>1154</v>
      </c>
      <c r="Y50" s="79" t="s">
        <v>217</v>
      </c>
      <c r="Z50" s="79" t="s">
        <v>197</v>
      </c>
      <c r="AA50" s="113">
        <v>12998</v>
      </c>
      <c r="AB50" s="113">
        <v>11015.254237288129</v>
      </c>
      <c r="AC50" s="113">
        <v>2</v>
      </c>
    </row>
    <row r="51" spans="1:29" ht="15.75" hidden="1" customHeight="1" outlineLevel="1" x14ac:dyDescent="0.2">
      <c r="A51" s="278" t="s">
        <v>758</v>
      </c>
      <c r="B51" s="198" t="s">
        <v>759</v>
      </c>
      <c r="C51" s="181"/>
      <c r="D51" s="278" t="s">
        <v>1158</v>
      </c>
      <c r="E51" s="278" t="s">
        <v>72</v>
      </c>
      <c r="F51" s="278" t="s">
        <v>111</v>
      </c>
      <c r="G51" s="182">
        <v>40</v>
      </c>
      <c r="H51" s="182">
        <v>52</v>
      </c>
      <c r="J51" s="79" t="s">
        <v>1154</v>
      </c>
      <c r="K51" s="79" t="s">
        <v>1152</v>
      </c>
      <c r="L51" s="79" t="s">
        <v>1153</v>
      </c>
      <c r="M51" s="113">
        <v>1590718</v>
      </c>
      <c r="N51" s="113">
        <v>1348066.101694914</v>
      </c>
      <c r="O51" s="113">
        <v>32</v>
      </c>
      <c r="Q51" s="79" t="s">
        <v>1154</v>
      </c>
      <c r="R51" s="79" t="s">
        <v>1152</v>
      </c>
      <c r="S51" s="79" t="s">
        <v>1153</v>
      </c>
      <c r="T51" s="113">
        <v>349994</v>
      </c>
      <c r="U51" s="113">
        <v>296605.08474576229</v>
      </c>
      <c r="V51" s="113">
        <v>6</v>
      </c>
      <c r="X51" s="79" t="s">
        <v>1154</v>
      </c>
      <c r="Y51" s="79" t="s">
        <v>1152</v>
      </c>
      <c r="Z51" s="79" t="s">
        <v>1153</v>
      </c>
      <c r="AA51" s="113">
        <v>23996</v>
      </c>
      <c r="AB51" s="113">
        <v>20335.59322033896</v>
      </c>
      <c r="AC51" s="113">
        <v>4</v>
      </c>
    </row>
    <row r="52" spans="1:29" ht="15.75" hidden="1" customHeight="1" outlineLevel="1" x14ac:dyDescent="0.2">
      <c r="A52" s="278" t="s">
        <v>1040</v>
      </c>
      <c r="B52" s="198" t="s">
        <v>1043</v>
      </c>
      <c r="C52" s="181"/>
      <c r="D52" s="278" t="s">
        <v>1158</v>
      </c>
      <c r="E52" s="278" t="s">
        <v>72</v>
      </c>
      <c r="F52" s="278" t="s">
        <v>111</v>
      </c>
      <c r="G52" s="182">
        <v>50</v>
      </c>
      <c r="H52" s="182">
        <v>65</v>
      </c>
      <c r="J52" s="79" t="s">
        <v>1154</v>
      </c>
      <c r="K52" s="79" t="s">
        <v>335</v>
      </c>
      <c r="L52" s="79" t="s">
        <v>342</v>
      </c>
      <c r="M52" s="113">
        <v>2056855</v>
      </c>
      <c r="N52" s="113">
        <v>1743097.4576271169</v>
      </c>
      <c r="O52" s="113">
        <v>45</v>
      </c>
      <c r="Q52" s="79" t="s">
        <v>1154</v>
      </c>
      <c r="R52" s="79" t="s">
        <v>335</v>
      </c>
      <c r="S52" s="79" t="s">
        <v>342</v>
      </c>
      <c r="T52" s="113">
        <v>958929</v>
      </c>
      <c r="U52" s="113">
        <v>812651.69491525344</v>
      </c>
      <c r="V52" s="113">
        <v>21</v>
      </c>
      <c r="X52" s="79" t="s">
        <v>1154</v>
      </c>
      <c r="Y52" s="79" t="s">
        <v>335</v>
      </c>
      <c r="Z52" s="79" t="s">
        <v>342</v>
      </c>
      <c r="AA52" s="113">
        <v>17997</v>
      </c>
      <c r="AB52" s="113">
        <v>15251.69491525422</v>
      </c>
      <c r="AC52" s="113">
        <v>3</v>
      </c>
    </row>
    <row r="53" spans="1:29" ht="15.75" hidden="1" customHeight="1" outlineLevel="1" x14ac:dyDescent="0.2">
      <c r="A53" s="278" t="s">
        <v>1159</v>
      </c>
      <c r="B53" s="198" t="s">
        <v>40</v>
      </c>
      <c r="C53" s="181"/>
      <c r="D53" s="278" t="s">
        <v>1158</v>
      </c>
      <c r="E53" s="278" t="s">
        <v>72</v>
      </c>
      <c r="F53" s="278" t="s">
        <v>111</v>
      </c>
      <c r="G53" s="182">
        <v>50</v>
      </c>
      <c r="H53" s="182">
        <v>65</v>
      </c>
      <c r="J53" s="79" t="s">
        <v>1175</v>
      </c>
      <c r="K53" s="79"/>
      <c r="L53" s="79"/>
      <c r="M53" s="261">
        <v>5678176</v>
      </c>
      <c r="N53" s="261">
        <v>4812013.5593220284</v>
      </c>
      <c r="O53" s="261">
        <v>124</v>
      </c>
      <c r="Q53" s="79" t="s">
        <v>1175</v>
      </c>
      <c r="R53" s="79"/>
      <c r="S53" s="79"/>
      <c r="T53" s="261">
        <v>2288150</v>
      </c>
      <c r="U53" s="261">
        <v>1939110.1694915232</v>
      </c>
      <c r="V53" s="261">
        <v>50</v>
      </c>
      <c r="X53" s="79" t="s">
        <v>1175</v>
      </c>
      <c r="Y53" s="79"/>
      <c r="Z53" s="79"/>
      <c r="AA53" s="261">
        <v>60990</v>
      </c>
      <c r="AB53" s="261">
        <v>51686.440677966049</v>
      </c>
      <c r="AC53" s="261">
        <v>10</v>
      </c>
    </row>
    <row r="54" spans="1:29" ht="15.75" hidden="1" customHeight="1" outlineLevel="1" x14ac:dyDescent="0.2">
      <c r="A54" s="278" t="s">
        <v>1160</v>
      </c>
      <c r="B54" s="198" t="s">
        <v>1074</v>
      </c>
      <c r="C54" s="181"/>
      <c r="D54" s="278" t="s">
        <v>1158</v>
      </c>
      <c r="E54" s="278" t="s">
        <v>72</v>
      </c>
      <c r="F54" s="278" t="s">
        <v>111</v>
      </c>
      <c r="G54" s="182">
        <v>55</v>
      </c>
      <c r="H54" s="182">
        <v>71.5</v>
      </c>
      <c r="J54" s="79" t="s">
        <v>1155</v>
      </c>
      <c r="K54" s="79" t="s">
        <v>657</v>
      </c>
      <c r="L54" s="79" t="s">
        <v>39</v>
      </c>
      <c r="M54" s="113">
        <v>2746982</v>
      </c>
      <c r="N54" s="113">
        <v>2327950.8474576236</v>
      </c>
      <c r="O54" s="113">
        <v>68</v>
      </c>
      <c r="Q54" s="79" t="s">
        <v>1155</v>
      </c>
      <c r="R54" s="79" t="s">
        <v>657</v>
      </c>
      <c r="S54" s="79" t="s">
        <v>39</v>
      </c>
      <c r="T54" s="113">
        <v>0</v>
      </c>
      <c r="U54" s="113"/>
      <c r="V54" s="113"/>
      <c r="X54" s="79" t="s">
        <v>1155</v>
      </c>
      <c r="Y54" s="79" t="s">
        <v>657</v>
      </c>
      <c r="Z54" s="79" t="s">
        <v>39</v>
      </c>
      <c r="AA54" s="113">
        <v>23996</v>
      </c>
      <c r="AB54" s="113">
        <v>20335.59322033896</v>
      </c>
      <c r="AC54" s="113">
        <v>4</v>
      </c>
    </row>
    <row r="55" spans="1:29" ht="15.75" hidden="1" customHeight="1" outlineLevel="1" x14ac:dyDescent="0.2">
      <c r="A55" s="278" t="s">
        <v>72</v>
      </c>
      <c r="B55" s="198" t="s">
        <v>43</v>
      </c>
      <c r="C55" s="181"/>
      <c r="D55" s="278" t="s">
        <v>1158</v>
      </c>
      <c r="E55" s="278" t="s">
        <v>72</v>
      </c>
      <c r="F55" s="278" t="s">
        <v>111</v>
      </c>
      <c r="G55" s="182">
        <v>50</v>
      </c>
      <c r="H55" s="182">
        <v>65</v>
      </c>
      <c r="J55" s="79" t="s">
        <v>1155</v>
      </c>
      <c r="K55" s="79" t="s">
        <v>1156</v>
      </c>
      <c r="L55" s="79" t="s">
        <v>1157</v>
      </c>
      <c r="M55" s="113">
        <v>1738769</v>
      </c>
      <c r="N55" s="113">
        <v>1473533.0508474563</v>
      </c>
      <c r="O55" s="113">
        <v>31</v>
      </c>
      <c r="Q55" s="79" t="s">
        <v>1155</v>
      </c>
      <c r="R55" s="79" t="s">
        <v>1156</v>
      </c>
      <c r="S55" s="79" t="s">
        <v>1157</v>
      </c>
      <c r="T55" s="113">
        <v>298994</v>
      </c>
      <c r="U55" s="113">
        <v>253384.74576271162</v>
      </c>
      <c r="V55" s="113">
        <v>6</v>
      </c>
      <c r="X55" s="79" t="s">
        <v>1155</v>
      </c>
      <c r="Y55" s="79" t="s">
        <v>1156</v>
      </c>
      <c r="Z55" s="79" t="s">
        <v>1157</v>
      </c>
      <c r="AA55" s="113">
        <v>0</v>
      </c>
      <c r="AB55" s="113"/>
      <c r="AC55" s="113"/>
    </row>
    <row r="56" spans="1:29" ht="15.75" hidden="1" customHeight="1" outlineLevel="1" x14ac:dyDescent="0.2">
      <c r="A56" s="278" t="s">
        <v>925</v>
      </c>
      <c r="B56" s="198" t="s">
        <v>764</v>
      </c>
      <c r="C56" s="181"/>
      <c r="D56" s="278" t="s">
        <v>1158</v>
      </c>
      <c r="E56" s="278" t="s">
        <v>72</v>
      </c>
      <c r="F56" s="278" t="s">
        <v>111</v>
      </c>
      <c r="G56" s="182">
        <v>60</v>
      </c>
      <c r="H56" s="182">
        <v>78</v>
      </c>
      <c r="J56" s="79" t="s">
        <v>1155</v>
      </c>
      <c r="K56" s="112" t="s">
        <v>286</v>
      </c>
      <c r="L56" s="79" t="s">
        <v>37</v>
      </c>
      <c r="M56" s="113">
        <v>1085223</v>
      </c>
      <c r="N56" s="113">
        <v>919680.50847457536</v>
      </c>
      <c r="O56" s="113">
        <v>27</v>
      </c>
      <c r="Q56" s="79" t="s">
        <v>1155</v>
      </c>
      <c r="R56" s="112" t="s">
        <v>286</v>
      </c>
      <c r="S56" s="79" t="s">
        <v>37</v>
      </c>
      <c r="T56" s="113">
        <v>0</v>
      </c>
      <c r="U56" s="113"/>
      <c r="V56" s="113"/>
      <c r="X56" s="79" t="s">
        <v>1155</v>
      </c>
      <c r="Y56" s="112" t="s">
        <v>286</v>
      </c>
      <c r="Z56" s="79" t="s">
        <v>37</v>
      </c>
      <c r="AA56" s="113">
        <v>35994</v>
      </c>
      <c r="AB56" s="113">
        <v>30503.389830508437</v>
      </c>
      <c r="AC56" s="113">
        <v>6</v>
      </c>
    </row>
    <row r="57" spans="1:29" ht="15.75" hidden="1" customHeight="1" outlineLevel="1" x14ac:dyDescent="0.2">
      <c r="A57" s="281" t="s">
        <v>1041</v>
      </c>
      <c r="B57" s="198" t="s">
        <v>1042</v>
      </c>
      <c r="C57" s="181"/>
      <c r="D57" s="278" t="s">
        <v>1161</v>
      </c>
      <c r="E57" s="278" t="s">
        <v>41</v>
      </c>
      <c r="F57" s="278" t="s">
        <v>111</v>
      </c>
      <c r="G57" s="182">
        <v>50</v>
      </c>
      <c r="H57" s="182">
        <v>65</v>
      </c>
      <c r="J57" s="79" t="s">
        <v>1176</v>
      </c>
      <c r="K57" s="79"/>
      <c r="L57" s="79"/>
      <c r="M57" s="261">
        <v>5570974</v>
      </c>
      <c r="N57" s="261">
        <v>4721164.4067796553</v>
      </c>
      <c r="O57" s="261">
        <v>126</v>
      </c>
      <c r="Q57" s="79" t="s">
        <v>1176</v>
      </c>
      <c r="R57" s="79"/>
      <c r="S57" s="79"/>
      <c r="T57" s="261">
        <v>298994</v>
      </c>
      <c r="U57" s="261">
        <v>253384.74576271162</v>
      </c>
      <c r="V57" s="261">
        <v>6</v>
      </c>
      <c r="X57" s="79" t="s">
        <v>1176</v>
      </c>
      <c r="Y57" s="79"/>
      <c r="Z57" s="79"/>
      <c r="AA57" s="261">
        <v>59990</v>
      </c>
      <c r="AB57" s="261">
        <v>50838.983050847397</v>
      </c>
      <c r="AC57" s="261">
        <v>10</v>
      </c>
    </row>
    <row r="58" spans="1:29" ht="15.75" hidden="1" customHeight="1" outlineLevel="1" x14ac:dyDescent="0.2">
      <c r="A58" s="281" t="s">
        <v>304</v>
      </c>
      <c r="B58" s="198" t="s">
        <v>306</v>
      </c>
      <c r="C58" s="284" t="s">
        <v>117</v>
      </c>
      <c r="D58" s="278" t="s">
        <v>1161</v>
      </c>
      <c r="E58" s="278" t="s">
        <v>41</v>
      </c>
      <c r="F58" s="278" t="s">
        <v>111</v>
      </c>
      <c r="G58" s="182">
        <v>60</v>
      </c>
      <c r="H58" s="182">
        <v>78</v>
      </c>
      <c r="J58" s="79" t="s">
        <v>1158</v>
      </c>
      <c r="K58" s="230" t="s">
        <v>726</v>
      </c>
      <c r="L58" s="22" t="s">
        <v>727</v>
      </c>
      <c r="M58" s="113">
        <v>671434</v>
      </c>
      <c r="N58" s="113">
        <v>569011.86440677906</v>
      </c>
      <c r="O58" s="113">
        <v>16</v>
      </c>
      <c r="Q58" s="79" t="s">
        <v>1158</v>
      </c>
      <c r="R58" s="230" t="s">
        <v>726</v>
      </c>
      <c r="S58" s="22" t="s">
        <v>727</v>
      </c>
      <c r="T58" s="113">
        <v>181445</v>
      </c>
      <c r="U58" s="113">
        <v>153766.94915254219</v>
      </c>
      <c r="V58" s="113">
        <v>5</v>
      </c>
      <c r="X58" s="79" t="s">
        <v>1158</v>
      </c>
      <c r="Y58" s="230" t="s">
        <v>726</v>
      </c>
      <c r="Z58" s="22" t="s">
        <v>727</v>
      </c>
      <c r="AA58" s="113">
        <v>13998</v>
      </c>
      <c r="AB58" s="113">
        <v>11862.71186440678</v>
      </c>
      <c r="AC58" s="113">
        <v>2</v>
      </c>
    </row>
    <row r="59" spans="1:29" ht="15.75" hidden="1" customHeight="1" outlineLevel="1" x14ac:dyDescent="0.2">
      <c r="A59" s="281" t="s">
        <v>659</v>
      </c>
      <c r="B59" s="198" t="s">
        <v>660</v>
      </c>
      <c r="C59" s="265"/>
      <c r="D59" s="278" t="s">
        <v>1161</v>
      </c>
      <c r="E59" s="278" t="s">
        <v>41</v>
      </c>
      <c r="F59" s="278" t="s">
        <v>111</v>
      </c>
      <c r="G59" s="182">
        <v>50</v>
      </c>
      <c r="H59" s="182">
        <v>65</v>
      </c>
      <c r="J59" s="79" t="s">
        <v>1158</v>
      </c>
      <c r="K59" s="79" t="s">
        <v>291</v>
      </c>
      <c r="L59" s="79" t="s">
        <v>40</v>
      </c>
      <c r="M59" s="113">
        <v>476090</v>
      </c>
      <c r="N59" s="113">
        <v>403466.10169491475</v>
      </c>
      <c r="O59" s="113">
        <v>10</v>
      </c>
      <c r="Q59" s="79" t="s">
        <v>1158</v>
      </c>
      <c r="R59" s="79" t="s">
        <v>291</v>
      </c>
      <c r="S59" s="79" t="s">
        <v>40</v>
      </c>
      <c r="T59" s="113">
        <v>257795</v>
      </c>
      <c r="U59" s="113">
        <v>218470.33898305049</v>
      </c>
      <c r="V59" s="113">
        <v>5</v>
      </c>
      <c r="X59" s="79" t="s">
        <v>1158</v>
      </c>
      <c r="Y59" s="79" t="s">
        <v>291</v>
      </c>
      <c r="Z59" s="79" t="s">
        <v>40</v>
      </c>
      <c r="AA59" s="113">
        <v>0</v>
      </c>
      <c r="AB59" s="113"/>
      <c r="AC59" s="113"/>
    </row>
    <row r="60" spans="1:29" ht="15.75" hidden="1" customHeight="1" outlineLevel="1" x14ac:dyDescent="0.2">
      <c r="A60" s="281" t="s">
        <v>117</v>
      </c>
      <c r="B60" s="198" t="s">
        <v>196</v>
      </c>
      <c r="C60" s="181"/>
      <c r="D60" s="278" t="s">
        <v>1161</v>
      </c>
      <c r="E60" s="278" t="s">
        <v>41</v>
      </c>
      <c r="F60" s="278" t="s">
        <v>111</v>
      </c>
      <c r="G60" s="182">
        <v>60</v>
      </c>
      <c r="H60" s="182">
        <v>78</v>
      </c>
      <c r="J60" s="42" t="s">
        <v>1158</v>
      </c>
      <c r="K60" s="42" t="s">
        <v>1073</v>
      </c>
      <c r="L60" s="42" t="s">
        <v>1074</v>
      </c>
      <c r="M60" s="113">
        <v>942982</v>
      </c>
      <c r="N60" s="113">
        <v>799137.28813559213</v>
      </c>
      <c r="O60" s="113">
        <v>18</v>
      </c>
      <c r="Q60" s="42" t="s">
        <v>1158</v>
      </c>
      <c r="R60" s="42" t="s">
        <v>1073</v>
      </c>
      <c r="S60" s="42" t="s">
        <v>1074</v>
      </c>
      <c r="T60" s="113">
        <v>378993</v>
      </c>
      <c r="U60" s="113">
        <v>321180.50847457594</v>
      </c>
      <c r="V60" s="113">
        <v>7</v>
      </c>
      <c r="X60" s="42" t="s">
        <v>1158</v>
      </c>
      <c r="Y60" s="42" t="s">
        <v>1073</v>
      </c>
      <c r="Z60" s="42" t="s">
        <v>1074</v>
      </c>
      <c r="AA60" s="113">
        <v>0</v>
      </c>
      <c r="AB60" s="113"/>
      <c r="AC60" s="113"/>
    </row>
    <row r="61" spans="1:29" ht="15.75" hidden="1" customHeight="1" outlineLevel="1" x14ac:dyDescent="0.2">
      <c r="A61" s="281" t="s">
        <v>765</v>
      </c>
      <c r="B61" s="198" t="s">
        <v>766</v>
      </c>
      <c r="C61" s="265"/>
      <c r="D61" s="278" t="s">
        <v>1161</v>
      </c>
      <c r="E61" s="278" t="s">
        <v>41</v>
      </c>
      <c r="F61" s="278" t="s">
        <v>111</v>
      </c>
      <c r="G61" s="182">
        <v>55</v>
      </c>
      <c r="H61" s="182">
        <v>71.5</v>
      </c>
      <c r="J61" s="79" t="s">
        <v>1158</v>
      </c>
      <c r="K61" s="79" t="s">
        <v>72</v>
      </c>
      <c r="L61" s="111" t="s">
        <v>43</v>
      </c>
      <c r="M61" s="113">
        <v>780080</v>
      </c>
      <c r="N61" s="113">
        <v>661084.74576271104</v>
      </c>
      <c r="O61" s="113">
        <v>20</v>
      </c>
      <c r="Q61" s="79" t="s">
        <v>1158</v>
      </c>
      <c r="R61" s="79" t="s">
        <v>72</v>
      </c>
      <c r="S61" s="111" t="s">
        <v>43</v>
      </c>
      <c r="T61" s="113">
        <v>290994</v>
      </c>
      <c r="U61" s="113">
        <v>246605.0847457624</v>
      </c>
      <c r="V61" s="113">
        <v>6</v>
      </c>
      <c r="X61" s="79" t="s">
        <v>1158</v>
      </c>
      <c r="Y61" s="79" t="s">
        <v>72</v>
      </c>
      <c r="Z61" s="111" t="s">
        <v>43</v>
      </c>
      <c r="AA61" s="113">
        <v>20997</v>
      </c>
      <c r="AB61" s="113">
        <v>17794.067796610168</v>
      </c>
      <c r="AC61" s="113">
        <v>3</v>
      </c>
    </row>
    <row r="62" spans="1:29" ht="15.75" hidden="1" customHeight="1" outlineLevel="1" x14ac:dyDescent="0.2">
      <c r="A62" s="281" t="s">
        <v>41</v>
      </c>
      <c r="B62" s="198" t="s">
        <v>42</v>
      </c>
      <c r="C62" s="181"/>
      <c r="D62" s="278" t="s">
        <v>1161</v>
      </c>
      <c r="E62" s="278" t="s">
        <v>41</v>
      </c>
      <c r="F62" s="278" t="s">
        <v>111</v>
      </c>
      <c r="G62" s="182">
        <v>60</v>
      </c>
      <c r="H62" s="182">
        <v>78</v>
      </c>
      <c r="J62" s="79" t="s">
        <v>1158</v>
      </c>
      <c r="K62" s="79" t="s">
        <v>925</v>
      </c>
      <c r="L62" s="79" t="s">
        <v>764</v>
      </c>
      <c r="M62" s="113">
        <v>2153357</v>
      </c>
      <c r="N62" s="113">
        <v>1824878.8135593194</v>
      </c>
      <c r="O62" s="113">
        <v>43</v>
      </c>
      <c r="Q62" s="79" t="s">
        <v>1158</v>
      </c>
      <c r="R62" s="79" t="s">
        <v>925</v>
      </c>
      <c r="S62" s="79" t="s">
        <v>764</v>
      </c>
      <c r="T62" s="113">
        <v>0</v>
      </c>
      <c r="U62" s="113"/>
      <c r="V62" s="113"/>
      <c r="X62" s="79" t="s">
        <v>1158</v>
      </c>
      <c r="Y62" s="79" t="s">
        <v>925</v>
      </c>
      <c r="Z62" s="79" t="s">
        <v>764</v>
      </c>
      <c r="AA62" s="113">
        <v>6999</v>
      </c>
      <c r="AB62" s="113">
        <v>5931.3559322033898</v>
      </c>
      <c r="AC62" s="113">
        <v>1</v>
      </c>
    </row>
    <row r="63" spans="1:29" ht="15.75" hidden="1" customHeight="1" outlineLevel="1" x14ac:dyDescent="0.2">
      <c r="A63" s="281" t="s">
        <v>240</v>
      </c>
      <c r="B63" s="198" t="s">
        <v>241</v>
      </c>
      <c r="C63" s="265"/>
      <c r="D63" s="278" t="s">
        <v>1162</v>
      </c>
      <c r="E63" s="233"/>
      <c r="F63" s="278" t="s">
        <v>111</v>
      </c>
      <c r="G63" s="182">
        <v>55</v>
      </c>
      <c r="H63" s="182">
        <v>71.5</v>
      </c>
      <c r="J63" s="79" t="s">
        <v>1158</v>
      </c>
      <c r="K63" s="79" t="s">
        <v>928</v>
      </c>
      <c r="L63" s="79" t="s">
        <v>759</v>
      </c>
      <c r="M63" s="113">
        <v>446439</v>
      </c>
      <c r="N63" s="113">
        <v>378338.13559322001</v>
      </c>
      <c r="O63" s="113">
        <v>11</v>
      </c>
      <c r="Q63" s="79" t="s">
        <v>1158</v>
      </c>
      <c r="R63" s="79" t="s">
        <v>928</v>
      </c>
      <c r="S63" s="79" t="s">
        <v>759</v>
      </c>
      <c r="T63" s="113">
        <v>244645</v>
      </c>
      <c r="U63" s="113">
        <v>207326.27118644048</v>
      </c>
      <c r="V63" s="113">
        <v>5</v>
      </c>
      <c r="X63" s="79" t="s">
        <v>1158</v>
      </c>
      <c r="Y63" s="79" t="s">
        <v>928</v>
      </c>
      <c r="Z63" s="79" t="s">
        <v>759</v>
      </c>
      <c r="AA63" s="113">
        <v>13998</v>
      </c>
      <c r="AB63" s="113">
        <v>11862.71186440678</v>
      </c>
      <c r="AC63" s="113">
        <v>2</v>
      </c>
    </row>
    <row r="64" spans="1:29" ht="15.75" hidden="1" customHeight="1" outlineLevel="1" x14ac:dyDescent="0.2">
      <c r="A64" s="283" t="s">
        <v>352</v>
      </c>
      <c r="B64" s="198" t="s">
        <v>289</v>
      </c>
      <c r="C64" s="265"/>
      <c r="D64" s="278" t="s">
        <v>1162</v>
      </c>
      <c r="E64" s="233"/>
      <c r="F64" s="278" t="s">
        <v>111</v>
      </c>
      <c r="G64" s="182">
        <v>60</v>
      </c>
      <c r="H64" s="182">
        <v>78</v>
      </c>
      <c r="J64" s="79" t="s">
        <v>1158</v>
      </c>
      <c r="K64" s="79" t="s">
        <v>1040</v>
      </c>
      <c r="L64" s="79" t="s">
        <v>1043</v>
      </c>
      <c r="M64" s="113">
        <v>885732</v>
      </c>
      <c r="N64" s="113">
        <v>750620.33898304997</v>
      </c>
      <c r="O64" s="113">
        <v>18</v>
      </c>
      <c r="Q64" s="79" t="s">
        <v>1158</v>
      </c>
      <c r="R64" s="79" t="s">
        <v>1040</v>
      </c>
      <c r="S64" s="79" t="s">
        <v>1043</v>
      </c>
      <c r="T64" s="113">
        <v>203997</v>
      </c>
      <c r="U64" s="113">
        <v>172878.8135593218</v>
      </c>
      <c r="V64" s="113">
        <v>3</v>
      </c>
      <c r="X64" s="79" t="s">
        <v>1158</v>
      </c>
      <c r="Y64" s="79" t="s">
        <v>1040</v>
      </c>
      <c r="Z64" s="79" t="s">
        <v>1043</v>
      </c>
      <c r="AA64" s="113">
        <v>6999</v>
      </c>
      <c r="AB64" s="113">
        <v>5931.3559322033898</v>
      </c>
      <c r="AC64" s="113">
        <v>1</v>
      </c>
    </row>
    <row r="65" spans="1:29" ht="15.75" hidden="1" customHeight="1" outlineLevel="1" x14ac:dyDescent="0.2">
      <c r="A65" s="283" t="s">
        <v>198</v>
      </c>
      <c r="B65" s="198" t="s">
        <v>35</v>
      </c>
      <c r="C65" s="181"/>
      <c r="D65" s="278" t="s">
        <v>1162</v>
      </c>
      <c r="E65" s="233"/>
      <c r="F65" s="278" t="s">
        <v>111</v>
      </c>
      <c r="G65" s="182">
        <v>50</v>
      </c>
      <c r="H65" s="182">
        <v>65</v>
      </c>
      <c r="J65" s="79" t="s">
        <v>1177</v>
      </c>
      <c r="K65" s="79"/>
      <c r="L65" s="79"/>
      <c r="M65" s="261">
        <v>6356114</v>
      </c>
      <c r="N65" s="261">
        <v>5386537.2881355854</v>
      </c>
      <c r="O65" s="261">
        <v>136</v>
      </c>
      <c r="Q65" s="79" t="s">
        <v>1177</v>
      </c>
      <c r="R65" s="79"/>
      <c r="S65" s="79"/>
      <c r="T65" s="261">
        <v>1557869</v>
      </c>
      <c r="U65" s="261">
        <v>1320227.9661016935</v>
      </c>
      <c r="V65" s="261">
        <v>31</v>
      </c>
      <c r="X65" s="79" t="s">
        <v>1177</v>
      </c>
      <c r="Y65" s="79"/>
      <c r="Z65" s="79"/>
      <c r="AA65" s="261">
        <v>62991</v>
      </c>
      <c r="AB65" s="261">
        <v>53382.203389830509</v>
      </c>
      <c r="AC65" s="261">
        <v>9</v>
      </c>
    </row>
    <row r="66" spans="1:29" ht="15.75" hidden="1" customHeight="1" outlineLevel="1" x14ac:dyDescent="0.2">
      <c r="A66" s="278" t="s">
        <v>207</v>
      </c>
      <c r="B66" s="198" t="s">
        <v>201</v>
      </c>
      <c r="C66" s="265"/>
      <c r="D66" s="278" t="s">
        <v>1163</v>
      </c>
      <c r="E66" s="279" t="s">
        <v>57</v>
      </c>
      <c r="F66" s="280" t="s">
        <v>1164</v>
      </c>
      <c r="G66" s="182">
        <v>60</v>
      </c>
      <c r="H66" s="182">
        <v>78</v>
      </c>
      <c r="J66" s="79" t="s">
        <v>1161</v>
      </c>
      <c r="K66" s="42" t="s">
        <v>1041</v>
      </c>
      <c r="L66" s="42" t="s">
        <v>1042</v>
      </c>
      <c r="M66" s="113">
        <v>1017626</v>
      </c>
      <c r="N66" s="113">
        <v>862394.91525423632</v>
      </c>
      <c r="O66" s="113">
        <v>24</v>
      </c>
      <c r="Q66" s="79" t="s">
        <v>1161</v>
      </c>
      <c r="R66" s="42" t="s">
        <v>1041</v>
      </c>
      <c r="S66" s="42" t="s">
        <v>1042</v>
      </c>
      <c r="T66" s="113">
        <v>581987</v>
      </c>
      <c r="U66" s="113">
        <v>493209.3220338978</v>
      </c>
      <c r="V66" s="113">
        <v>13</v>
      </c>
      <c r="X66" s="79" t="s">
        <v>1161</v>
      </c>
      <c r="Y66" s="42" t="s">
        <v>1041</v>
      </c>
      <c r="Z66" s="42" t="s">
        <v>1042</v>
      </c>
      <c r="AA66" s="113">
        <v>23996</v>
      </c>
      <c r="AB66" s="113">
        <v>20335.59322033896</v>
      </c>
      <c r="AC66" s="113">
        <v>4</v>
      </c>
    </row>
    <row r="67" spans="1:29" ht="15.75" hidden="1" customHeight="1" outlineLevel="1" x14ac:dyDescent="0.2">
      <c r="A67" s="278" t="s">
        <v>299</v>
      </c>
      <c r="B67" s="198" t="s">
        <v>290</v>
      </c>
      <c r="C67" s="265"/>
      <c r="D67" s="278" t="s">
        <v>1163</v>
      </c>
      <c r="E67" s="279" t="s">
        <v>57</v>
      </c>
      <c r="F67" s="280" t="s">
        <v>1164</v>
      </c>
      <c r="G67" s="182">
        <v>60</v>
      </c>
      <c r="H67" s="182">
        <v>78</v>
      </c>
      <c r="J67" s="79" t="s">
        <v>1161</v>
      </c>
      <c r="K67" s="42" t="s">
        <v>304</v>
      </c>
      <c r="L67" s="42" t="s">
        <v>306</v>
      </c>
      <c r="M67" s="113">
        <v>1727714</v>
      </c>
      <c r="N67" s="113">
        <v>1464164.4067796594</v>
      </c>
      <c r="O67" s="113">
        <v>36</v>
      </c>
      <c r="Q67" s="79" t="s">
        <v>1161</v>
      </c>
      <c r="R67" s="42" t="s">
        <v>304</v>
      </c>
      <c r="S67" s="42" t="s">
        <v>306</v>
      </c>
      <c r="T67" s="113">
        <v>0</v>
      </c>
      <c r="U67" s="113"/>
      <c r="V67" s="113"/>
      <c r="X67" s="79" t="s">
        <v>1161</v>
      </c>
      <c r="Y67" s="42" t="s">
        <v>304</v>
      </c>
      <c r="Z67" s="42" t="s">
        <v>306</v>
      </c>
      <c r="AA67" s="113">
        <v>11998</v>
      </c>
      <c r="AB67" s="113">
        <v>10167.79661016948</v>
      </c>
      <c r="AC67" s="113">
        <v>2</v>
      </c>
    </row>
    <row r="68" spans="1:29" ht="15.75" hidden="1" customHeight="1" outlineLevel="1" x14ac:dyDescent="0.2">
      <c r="A68" s="278" t="s">
        <v>1165</v>
      </c>
      <c r="B68" s="198" t="s">
        <v>1166</v>
      </c>
      <c r="C68" s="181"/>
      <c r="D68" s="278" t="s">
        <v>1163</v>
      </c>
      <c r="E68" s="278" t="s">
        <v>57</v>
      </c>
      <c r="F68" s="280" t="s">
        <v>1164</v>
      </c>
      <c r="G68" s="182">
        <v>55</v>
      </c>
      <c r="H68" s="182">
        <v>71.5</v>
      </c>
      <c r="J68" s="79" t="s">
        <v>1161</v>
      </c>
      <c r="K68" s="79" t="s">
        <v>659</v>
      </c>
      <c r="L68" s="79" t="s">
        <v>660</v>
      </c>
      <c r="M68" s="113">
        <v>1541067</v>
      </c>
      <c r="N68" s="113">
        <v>1305988.9830508463</v>
      </c>
      <c r="O68" s="113">
        <v>33</v>
      </c>
      <c r="Q68" s="79" t="s">
        <v>1161</v>
      </c>
      <c r="R68" s="79" t="s">
        <v>659</v>
      </c>
      <c r="S68" s="79" t="s">
        <v>660</v>
      </c>
      <c r="T68" s="113">
        <v>243644</v>
      </c>
      <c r="U68" s="113">
        <v>206477.96610169468</v>
      </c>
      <c r="V68" s="113">
        <v>6</v>
      </c>
      <c r="X68" s="79" t="s">
        <v>1161</v>
      </c>
      <c r="Y68" s="79" t="s">
        <v>659</v>
      </c>
      <c r="Z68" s="79" t="s">
        <v>660</v>
      </c>
      <c r="AA68" s="113">
        <v>11998</v>
      </c>
      <c r="AB68" s="113">
        <v>10167.79661016948</v>
      </c>
      <c r="AC68" s="113">
        <v>2</v>
      </c>
    </row>
    <row r="69" spans="1:29" ht="15.75" hidden="1" customHeight="1" outlineLevel="1" x14ac:dyDescent="0.2">
      <c r="A69" s="278" t="s">
        <v>57</v>
      </c>
      <c r="B69" s="198" t="s">
        <v>58</v>
      </c>
      <c r="C69" s="181"/>
      <c r="D69" s="278" t="s">
        <v>1163</v>
      </c>
      <c r="E69" s="278" t="s">
        <v>57</v>
      </c>
      <c r="F69" s="280" t="s">
        <v>1164</v>
      </c>
      <c r="G69" s="182">
        <v>55</v>
      </c>
      <c r="H69" s="182">
        <v>71.5</v>
      </c>
      <c r="J69" s="79" t="s">
        <v>1161</v>
      </c>
      <c r="K69" s="79" t="s">
        <v>117</v>
      </c>
      <c r="L69" s="79" t="s">
        <v>196</v>
      </c>
      <c r="M69" s="113">
        <v>3512535</v>
      </c>
      <c r="N69" s="113">
        <v>2976724.5762711801</v>
      </c>
      <c r="O69" s="113">
        <v>65</v>
      </c>
      <c r="Q69" s="79" t="s">
        <v>1161</v>
      </c>
      <c r="R69" s="79" t="s">
        <v>117</v>
      </c>
      <c r="S69" s="79" t="s">
        <v>196</v>
      </c>
      <c r="T69" s="113">
        <v>461991</v>
      </c>
      <c r="U69" s="113">
        <v>391517.79661016894</v>
      </c>
      <c r="V69" s="113">
        <v>9</v>
      </c>
      <c r="X69" s="79" t="s">
        <v>1161</v>
      </c>
      <c r="Y69" s="79" t="s">
        <v>117</v>
      </c>
      <c r="Z69" s="79" t="s">
        <v>196</v>
      </c>
      <c r="AA69" s="113">
        <v>23996</v>
      </c>
      <c r="AB69" s="113">
        <v>20335.59322033896</v>
      </c>
      <c r="AC69" s="113">
        <v>4</v>
      </c>
    </row>
    <row r="70" spans="1:29" ht="15.75" hidden="1" customHeight="1" outlineLevel="1" x14ac:dyDescent="0.2">
      <c r="A70" s="281" t="s">
        <v>837</v>
      </c>
      <c r="B70" s="198" t="s">
        <v>838</v>
      </c>
      <c r="C70" s="181"/>
      <c r="D70" s="281" t="s">
        <v>1163</v>
      </c>
      <c r="E70" s="281" t="s">
        <v>57</v>
      </c>
      <c r="F70" s="280" t="s">
        <v>1164</v>
      </c>
      <c r="G70" s="182">
        <v>55</v>
      </c>
      <c r="H70" s="182">
        <v>71.5</v>
      </c>
      <c r="J70" s="79" t="s">
        <v>1161</v>
      </c>
      <c r="K70" s="79" t="s">
        <v>765</v>
      </c>
      <c r="L70" s="79" t="s">
        <v>766</v>
      </c>
      <c r="M70" s="113">
        <v>2123251</v>
      </c>
      <c r="N70" s="113">
        <v>1799365.254237286</v>
      </c>
      <c r="O70" s="113">
        <v>49</v>
      </c>
      <c r="Q70" s="79" t="s">
        <v>1161</v>
      </c>
      <c r="R70" s="79" t="s">
        <v>765</v>
      </c>
      <c r="S70" s="79" t="s">
        <v>766</v>
      </c>
      <c r="T70" s="113">
        <v>509989</v>
      </c>
      <c r="U70" s="113">
        <v>432194.06779660971</v>
      </c>
      <c r="V70" s="113">
        <v>11</v>
      </c>
      <c r="X70" s="79" t="s">
        <v>1161</v>
      </c>
      <c r="Y70" s="79" t="s">
        <v>765</v>
      </c>
      <c r="Z70" s="79" t="s">
        <v>766</v>
      </c>
      <c r="AA70" s="113">
        <v>29995</v>
      </c>
      <c r="AB70" s="113">
        <v>25419.491525423698</v>
      </c>
      <c r="AC70" s="113">
        <v>5</v>
      </c>
    </row>
    <row r="71" spans="1:29" ht="15.75" hidden="1" customHeight="1" outlineLevel="1" x14ac:dyDescent="0.2">
      <c r="A71" s="278" t="s">
        <v>1167</v>
      </c>
      <c r="B71" s="198" t="s">
        <v>45</v>
      </c>
      <c r="C71" s="181"/>
      <c r="D71" s="278" t="s">
        <v>1163</v>
      </c>
      <c r="E71" s="278" t="s">
        <v>57</v>
      </c>
      <c r="F71" s="280" t="s">
        <v>1164</v>
      </c>
      <c r="G71" s="182">
        <v>60</v>
      </c>
      <c r="H71" s="182">
        <v>78</v>
      </c>
      <c r="J71" s="79" t="s">
        <v>1161</v>
      </c>
      <c r="K71" s="79" t="s">
        <v>41</v>
      </c>
      <c r="L71" s="79" t="s">
        <v>42</v>
      </c>
      <c r="M71" s="113">
        <v>2000309</v>
      </c>
      <c r="N71" s="113">
        <v>1695177.1186440662</v>
      </c>
      <c r="O71" s="113">
        <v>41</v>
      </c>
      <c r="Q71" s="79" t="s">
        <v>1161</v>
      </c>
      <c r="R71" s="79" t="s">
        <v>41</v>
      </c>
      <c r="S71" s="79" t="s">
        <v>42</v>
      </c>
      <c r="T71" s="113">
        <v>641637</v>
      </c>
      <c r="U71" s="113">
        <v>543760.16949152481</v>
      </c>
      <c r="V71" s="113">
        <v>13</v>
      </c>
      <c r="X71" s="79" t="s">
        <v>1161</v>
      </c>
      <c r="Y71" s="79" t="s">
        <v>41</v>
      </c>
      <c r="Z71" s="79" t="s">
        <v>42</v>
      </c>
      <c r="AA71" s="113">
        <v>5999</v>
      </c>
      <c r="AB71" s="113">
        <v>5083.8983050847401</v>
      </c>
      <c r="AC71" s="113">
        <v>1</v>
      </c>
    </row>
    <row r="72" spans="1:29" ht="15.75" hidden="1" customHeight="1" outlineLevel="1" x14ac:dyDescent="0.2">
      <c r="A72" s="278" t="s">
        <v>1168</v>
      </c>
      <c r="B72" s="198" t="s">
        <v>702</v>
      </c>
      <c r="C72" s="181"/>
      <c r="D72" s="278" t="s">
        <v>1169</v>
      </c>
      <c r="E72" s="278" t="s">
        <v>216</v>
      </c>
      <c r="F72" s="280" t="s">
        <v>1164</v>
      </c>
      <c r="G72" s="182">
        <v>50</v>
      </c>
      <c r="H72" s="182">
        <v>65</v>
      </c>
      <c r="J72" s="79" t="s">
        <v>1178</v>
      </c>
      <c r="K72" s="79"/>
      <c r="L72" s="79"/>
      <c r="M72" s="261">
        <v>11922502</v>
      </c>
      <c r="N72" s="261">
        <v>10103815.254237274</v>
      </c>
      <c r="O72" s="261">
        <v>248</v>
      </c>
      <c r="Q72" s="79" t="s">
        <v>1178</v>
      </c>
      <c r="R72" s="79"/>
      <c r="S72" s="79"/>
      <c r="T72" s="261">
        <v>2439248</v>
      </c>
      <c r="U72" s="261">
        <v>2067159.3220338961</v>
      </c>
      <c r="V72" s="261">
        <v>52</v>
      </c>
      <c r="X72" s="79" t="s">
        <v>1178</v>
      </c>
      <c r="Y72" s="79"/>
      <c r="Z72" s="79"/>
      <c r="AA72" s="261">
        <v>107982</v>
      </c>
      <c r="AB72" s="261">
        <v>91510.169491525317</v>
      </c>
      <c r="AC72" s="261">
        <v>18</v>
      </c>
    </row>
    <row r="73" spans="1:29" ht="15.75" hidden="1" customHeight="1" outlineLevel="1" x14ac:dyDescent="0.2">
      <c r="A73" s="278" t="s">
        <v>671</v>
      </c>
      <c r="B73" s="198" t="s">
        <v>200</v>
      </c>
      <c r="C73" s="278" t="s">
        <v>19</v>
      </c>
      <c r="D73" s="278" t="s">
        <v>1169</v>
      </c>
      <c r="E73" s="278" t="s">
        <v>216</v>
      </c>
      <c r="F73" s="280" t="s">
        <v>1164</v>
      </c>
      <c r="G73" s="182">
        <v>60</v>
      </c>
      <c r="H73" s="182">
        <v>78</v>
      </c>
      <c r="J73" s="79" t="s">
        <v>1162</v>
      </c>
      <c r="K73" s="79" t="s">
        <v>240</v>
      </c>
      <c r="L73" s="79" t="s">
        <v>241</v>
      </c>
      <c r="M73" s="113">
        <v>1408170</v>
      </c>
      <c r="N73" s="113">
        <v>1193364.4067796594</v>
      </c>
      <c r="O73" s="113">
        <v>30</v>
      </c>
      <c r="Q73" s="79" t="s">
        <v>1162</v>
      </c>
      <c r="R73" s="79" t="s">
        <v>240</v>
      </c>
      <c r="S73" s="79" t="s">
        <v>241</v>
      </c>
      <c r="T73" s="113">
        <v>382292</v>
      </c>
      <c r="U73" s="113">
        <v>323976.27118644014</v>
      </c>
      <c r="V73" s="113">
        <v>8</v>
      </c>
      <c r="X73" s="79" t="s">
        <v>1162</v>
      </c>
      <c r="Y73" s="79" t="s">
        <v>240</v>
      </c>
      <c r="Z73" s="79" t="s">
        <v>241</v>
      </c>
      <c r="AA73" s="113">
        <v>0</v>
      </c>
      <c r="AB73" s="113"/>
      <c r="AC73" s="113"/>
    </row>
    <row r="74" spans="1:29" ht="15.75" hidden="1" customHeight="1" outlineLevel="1" x14ac:dyDescent="0.2">
      <c r="A74" s="278" t="s">
        <v>333</v>
      </c>
      <c r="B74" s="198" t="s">
        <v>340</v>
      </c>
      <c r="C74" s="180"/>
      <c r="D74" s="278" t="s">
        <v>1169</v>
      </c>
      <c r="E74" s="278" t="s">
        <v>216</v>
      </c>
      <c r="F74" s="280" t="s">
        <v>1164</v>
      </c>
      <c r="G74" s="170">
        <v>50</v>
      </c>
      <c r="H74" s="285">
        <v>65</v>
      </c>
      <c r="J74" s="112" t="s">
        <v>1162</v>
      </c>
      <c r="K74" s="79" t="s">
        <v>352</v>
      </c>
      <c r="L74" s="79" t="s">
        <v>289</v>
      </c>
      <c r="M74" s="113">
        <v>1598612</v>
      </c>
      <c r="N74" s="113">
        <v>1354755.9322033885</v>
      </c>
      <c r="O74" s="113">
        <v>38</v>
      </c>
      <c r="Q74" s="112" t="s">
        <v>1162</v>
      </c>
      <c r="R74" s="79" t="s">
        <v>352</v>
      </c>
      <c r="S74" s="79" t="s">
        <v>289</v>
      </c>
      <c r="T74" s="113">
        <v>5999</v>
      </c>
      <c r="U74" s="113">
        <v>5083.8983050847401</v>
      </c>
      <c r="V74" s="113">
        <v>1</v>
      </c>
      <c r="X74" s="112" t="s">
        <v>1162</v>
      </c>
      <c r="Y74" s="79" t="s">
        <v>352</v>
      </c>
      <c r="Z74" s="79" t="s">
        <v>289</v>
      </c>
      <c r="AA74" s="113">
        <v>41993</v>
      </c>
      <c r="AB74" s="113">
        <v>35587.288135593175</v>
      </c>
      <c r="AC74" s="113">
        <v>7</v>
      </c>
    </row>
    <row r="75" spans="1:29" ht="15.75" hidden="1" customHeight="1" outlineLevel="1" x14ac:dyDescent="0.2">
      <c r="A75" s="278" t="s">
        <v>216</v>
      </c>
      <c r="B75" s="198" t="s">
        <v>18</v>
      </c>
      <c r="C75" s="180"/>
      <c r="D75" s="278" t="s">
        <v>1169</v>
      </c>
      <c r="E75" s="278" t="s">
        <v>216</v>
      </c>
      <c r="F75" s="280" t="s">
        <v>1164</v>
      </c>
      <c r="G75" s="170">
        <v>55</v>
      </c>
      <c r="H75" s="285">
        <v>71.5</v>
      </c>
      <c r="J75" s="112" t="s">
        <v>1162</v>
      </c>
      <c r="K75" s="79" t="s">
        <v>230</v>
      </c>
      <c r="L75" s="79" t="s">
        <v>35</v>
      </c>
      <c r="M75" s="113">
        <v>1307024</v>
      </c>
      <c r="N75" s="113">
        <v>1107647.4576271174</v>
      </c>
      <c r="O75" s="113">
        <v>26</v>
      </c>
      <c r="Q75" s="112" t="s">
        <v>1162</v>
      </c>
      <c r="R75" s="79" t="s">
        <v>230</v>
      </c>
      <c r="S75" s="79" t="s">
        <v>35</v>
      </c>
      <c r="T75" s="113">
        <v>645437</v>
      </c>
      <c r="U75" s="113">
        <v>546980.50847457547</v>
      </c>
      <c r="V75" s="113">
        <v>13</v>
      </c>
      <c r="X75" s="112" t="s">
        <v>1162</v>
      </c>
      <c r="Y75" s="79" t="s">
        <v>230</v>
      </c>
      <c r="Z75" s="79" t="s">
        <v>35</v>
      </c>
      <c r="AA75" s="113">
        <v>0</v>
      </c>
      <c r="AB75" s="113"/>
      <c r="AC75" s="113"/>
    </row>
    <row r="76" spans="1:29" ht="15.75" hidden="1" customHeight="1" outlineLevel="1" x14ac:dyDescent="0.2">
      <c r="A76" s="278" t="s">
        <v>19</v>
      </c>
      <c r="B76" s="198" t="s">
        <v>205</v>
      </c>
      <c r="C76" s="180"/>
      <c r="D76" s="278" t="s">
        <v>1169</v>
      </c>
      <c r="E76" s="278" t="s">
        <v>216</v>
      </c>
      <c r="F76" s="280" t="s">
        <v>1164</v>
      </c>
      <c r="G76" s="170">
        <v>60</v>
      </c>
      <c r="H76" s="285">
        <v>78</v>
      </c>
      <c r="J76" s="112" t="s">
        <v>1179</v>
      </c>
      <c r="K76" s="79"/>
      <c r="L76" s="79"/>
      <c r="M76" s="261">
        <v>4313806</v>
      </c>
      <c r="N76" s="261">
        <v>3655767.7966101654</v>
      </c>
      <c r="O76" s="261">
        <v>94</v>
      </c>
      <c r="Q76" s="112" t="s">
        <v>1179</v>
      </c>
      <c r="R76" s="79"/>
      <c r="S76" s="79"/>
      <c r="T76" s="261">
        <v>1033728</v>
      </c>
      <c r="U76" s="261">
        <v>876040.6779661004</v>
      </c>
      <c r="V76" s="261">
        <v>22</v>
      </c>
      <c r="X76" s="112" t="s">
        <v>1179</v>
      </c>
      <c r="Y76" s="79"/>
      <c r="Z76" s="79"/>
      <c r="AA76" s="261">
        <v>41993</v>
      </c>
      <c r="AB76" s="261">
        <v>35587.288135593175</v>
      </c>
      <c r="AC76" s="261">
        <v>7</v>
      </c>
    </row>
    <row r="77" spans="1:29" ht="15.75" hidden="1" customHeight="1" outlineLevel="1" x14ac:dyDescent="0.2">
      <c r="J77" s="112" t="s">
        <v>1163</v>
      </c>
      <c r="K77" s="79" t="s">
        <v>207</v>
      </c>
      <c r="L77" s="79" t="s">
        <v>201</v>
      </c>
      <c r="M77" s="113">
        <v>1147575</v>
      </c>
      <c r="N77" s="113">
        <v>972521.18644067703</v>
      </c>
      <c r="O77" s="113">
        <v>25</v>
      </c>
      <c r="Q77" s="112" t="s">
        <v>1163</v>
      </c>
      <c r="R77" s="79" t="s">
        <v>207</v>
      </c>
      <c r="S77" s="79" t="s">
        <v>201</v>
      </c>
      <c r="T77" s="113">
        <v>269292</v>
      </c>
      <c r="U77" s="113">
        <v>228213.55932203351</v>
      </c>
      <c r="V77" s="113">
        <v>8</v>
      </c>
      <c r="X77" s="112" t="s">
        <v>1163</v>
      </c>
      <c r="Y77" s="79" t="s">
        <v>207</v>
      </c>
      <c r="Z77" s="79" t="s">
        <v>201</v>
      </c>
      <c r="AA77" s="113">
        <v>23996</v>
      </c>
      <c r="AB77" s="113">
        <v>20335.59322033896</v>
      </c>
      <c r="AC77" s="113">
        <v>4</v>
      </c>
    </row>
    <row r="78" spans="1:29" ht="15.75" hidden="1" customHeight="1" outlineLevel="1" x14ac:dyDescent="0.2">
      <c r="J78" s="112" t="s">
        <v>1163</v>
      </c>
      <c r="K78" s="79" t="s">
        <v>299</v>
      </c>
      <c r="L78" s="79" t="s">
        <v>290</v>
      </c>
      <c r="M78" s="113">
        <v>678987</v>
      </c>
      <c r="N78" s="113">
        <v>575412.71186440613</v>
      </c>
      <c r="O78" s="113">
        <v>13</v>
      </c>
      <c r="Q78" s="112" t="s">
        <v>1163</v>
      </c>
      <c r="R78" s="79" t="s">
        <v>299</v>
      </c>
      <c r="S78" s="79" t="s">
        <v>290</v>
      </c>
      <c r="T78" s="113">
        <v>678987</v>
      </c>
      <c r="U78" s="113">
        <v>575412.71186440601</v>
      </c>
      <c r="V78" s="113">
        <v>13</v>
      </c>
      <c r="X78" s="112" t="s">
        <v>1163</v>
      </c>
      <c r="Y78" s="79" t="s">
        <v>299</v>
      </c>
      <c r="Z78" s="79" t="s">
        <v>290</v>
      </c>
      <c r="AA78" s="113">
        <v>5999</v>
      </c>
      <c r="AB78" s="113">
        <v>5083.8983050847401</v>
      </c>
      <c r="AC78" s="113">
        <v>1</v>
      </c>
    </row>
    <row r="79" spans="1:29" ht="15.75" hidden="1" customHeight="1" outlineLevel="1" x14ac:dyDescent="0.2">
      <c r="J79" s="112" t="s">
        <v>1163</v>
      </c>
      <c r="K79" s="79" t="s">
        <v>837</v>
      </c>
      <c r="L79" s="79" t="s">
        <v>838</v>
      </c>
      <c r="M79" s="113">
        <v>645737</v>
      </c>
      <c r="N79" s="113">
        <v>547234.74576271104</v>
      </c>
      <c r="O79" s="113">
        <v>13</v>
      </c>
      <c r="Q79" s="112" t="s">
        <v>1163</v>
      </c>
      <c r="R79" s="79" t="s">
        <v>837</v>
      </c>
      <c r="S79" s="79" t="s">
        <v>838</v>
      </c>
      <c r="T79" s="113">
        <v>645737</v>
      </c>
      <c r="U79" s="113">
        <v>547234.74576271104</v>
      </c>
      <c r="V79" s="113">
        <v>13</v>
      </c>
      <c r="X79" s="112" t="s">
        <v>1163</v>
      </c>
      <c r="Y79" s="79" t="s">
        <v>837</v>
      </c>
      <c r="Z79" s="79" t="s">
        <v>838</v>
      </c>
      <c r="AA79" s="113">
        <v>0</v>
      </c>
      <c r="AB79" s="113"/>
      <c r="AC79" s="113"/>
    </row>
    <row r="80" spans="1:29" ht="15.75" hidden="1" customHeight="1" outlineLevel="1" x14ac:dyDescent="0.2">
      <c r="J80" s="112" t="s">
        <v>1163</v>
      </c>
      <c r="K80" s="42" t="s">
        <v>221</v>
      </c>
      <c r="L80" s="42" t="s">
        <v>45</v>
      </c>
      <c r="M80" s="113">
        <v>1179175</v>
      </c>
      <c r="N80" s="113">
        <v>999300.84745762567</v>
      </c>
      <c r="O80" s="113">
        <v>25</v>
      </c>
      <c r="Q80" s="112" t="s">
        <v>1163</v>
      </c>
      <c r="R80" s="42" t="s">
        <v>221</v>
      </c>
      <c r="S80" s="42" t="s">
        <v>45</v>
      </c>
      <c r="T80" s="113">
        <v>116998</v>
      </c>
      <c r="U80" s="113">
        <v>99150.847457627009</v>
      </c>
      <c r="V80" s="113">
        <v>2</v>
      </c>
      <c r="X80" s="112" t="s">
        <v>1163</v>
      </c>
      <c r="Y80" s="42" t="s">
        <v>221</v>
      </c>
      <c r="Z80" s="42" t="s">
        <v>45</v>
      </c>
      <c r="AA80" s="113">
        <v>0</v>
      </c>
      <c r="AB80" s="113"/>
      <c r="AC80" s="113"/>
    </row>
    <row r="81" spans="1:29" ht="15.75" hidden="1" customHeight="1" outlineLevel="1" x14ac:dyDescent="0.2">
      <c r="J81" s="112" t="s">
        <v>1163</v>
      </c>
      <c r="K81" s="42" t="s">
        <v>1165</v>
      </c>
      <c r="L81" s="42" t="s">
        <v>1166</v>
      </c>
      <c r="M81" s="113">
        <v>1358469</v>
      </c>
      <c r="N81" s="113">
        <v>1151244.915254236</v>
      </c>
      <c r="O81" s="113">
        <v>31</v>
      </c>
      <c r="Q81" s="112" t="s">
        <v>1163</v>
      </c>
      <c r="R81" s="42" t="s">
        <v>1165</v>
      </c>
      <c r="S81" s="42" t="s">
        <v>1166</v>
      </c>
      <c r="T81" s="113">
        <v>282644</v>
      </c>
      <c r="U81" s="113">
        <v>239528.81355932169</v>
      </c>
      <c r="V81" s="113">
        <v>6</v>
      </c>
      <c r="X81" s="112" t="s">
        <v>1163</v>
      </c>
      <c r="Y81" s="42" t="s">
        <v>1165</v>
      </c>
      <c r="Z81" s="42" t="s">
        <v>1166</v>
      </c>
      <c r="AA81" s="113">
        <v>5999</v>
      </c>
      <c r="AB81" s="113">
        <v>5083.8983050847401</v>
      </c>
      <c r="AC81" s="113">
        <v>1</v>
      </c>
    </row>
    <row r="82" spans="1:29" ht="15.75" hidden="1" customHeight="1" outlineLevel="1" x14ac:dyDescent="0.2">
      <c r="J82" s="112" t="s">
        <v>1163</v>
      </c>
      <c r="K82" s="42" t="s">
        <v>57</v>
      </c>
      <c r="L82" s="42" t="s">
        <v>58</v>
      </c>
      <c r="M82" s="113">
        <v>1087630</v>
      </c>
      <c r="N82" s="113">
        <v>921720.33898304997</v>
      </c>
      <c r="O82" s="113">
        <v>20</v>
      </c>
      <c r="Q82" s="112" t="s">
        <v>1163</v>
      </c>
      <c r="R82" s="42" t="s">
        <v>57</v>
      </c>
      <c r="S82" s="42" t="s">
        <v>58</v>
      </c>
      <c r="T82" s="113">
        <v>1087630</v>
      </c>
      <c r="U82" s="113">
        <v>921720.33898305008</v>
      </c>
      <c r="V82" s="113">
        <v>20</v>
      </c>
      <c r="X82" s="112" t="s">
        <v>1163</v>
      </c>
      <c r="Y82" s="42" t="s">
        <v>57</v>
      </c>
      <c r="Z82" s="42" t="s">
        <v>58</v>
      </c>
      <c r="AA82" s="113">
        <v>0</v>
      </c>
      <c r="AB82" s="113"/>
      <c r="AC82" s="113"/>
    </row>
    <row r="83" spans="1:29" ht="15.75" hidden="1" customHeight="1" outlineLevel="1" x14ac:dyDescent="0.2">
      <c r="J83" s="112" t="s">
        <v>1180</v>
      </c>
      <c r="K83" s="161"/>
      <c r="L83" s="79"/>
      <c r="M83" s="261">
        <v>6097573</v>
      </c>
      <c r="N83" s="261">
        <v>5167434.7457627058</v>
      </c>
      <c r="O83" s="261">
        <v>127</v>
      </c>
      <c r="Q83" s="112" t="s">
        <v>1180</v>
      </c>
      <c r="R83" s="161"/>
      <c r="S83" s="79"/>
      <c r="T83" s="261">
        <v>3081288</v>
      </c>
      <c r="U83" s="261">
        <v>2611261.0169491498</v>
      </c>
      <c r="V83" s="261">
        <v>62</v>
      </c>
      <c r="X83" s="112" t="s">
        <v>1180</v>
      </c>
      <c r="Y83" s="161"/>
      <c r="Z83" s="79"/>
      <c r="AA83" s="261">
        <v>35994</v>
      </c>
      <c r="AB83" s="261">
        <v>30503.389830508437</v>
      </c>
      <c r="AC83" s="261">
        <v>6</v>
      </c>
    </row>
    <row r="84" spans="1:29" ht="15.75" hidden="1" customHeight="1" outlineLevel="1" x14ac:dyDescent="0.2">
      <c r="J84" s="112" t="s">
        <v>1169</v>
      </c>
      <c r="K84" s="161" t="s">
        <v>216</v>
      </c>
      <c r="L84" s="79" t="s">
        <v>18</v>
      </c>
      <c r="M84" s="113">
        <v>1272624</v>
      </c>
      <c r="N84" s="113">
        <v>1078494.915254236</v>
      </c>
      <c r="O84" s="113">
        <v>26</v>
      </c>
      <c r="Q84" s="112" t="s">
        <v>1169</v>
      </c>
      <c r="R84" s="161" t="s">
        <v>216</v>
      </c>
      <c r="S84" s="79" t="s">
        <v>18</v>
      </c>
      <c r="T84" s="113">
        <v>26649</v>
      </c>
      <c r="U84" s="113">
        <v>22583.898305084698</v>
      </c>
      <c r="V84" s="113">
        <v>1</v>
      </c>
      <c r="X84" s="112" t="s">
        <v>1169</v>
      </c>
      <c r="Y84" s="161" t="s">
        <v>216</v>
      </c>
      <c r="Z84" s="79" t="s">
        <v>18</v>
      </c>
      <c r="AA84" s="113">
        <v>5999</v>
      </c>
      <c r="AB84" s="113">
        <v>5083.8983050847401</v>
      </c>
      <c r="AC84" s="113">
        <v>1</v>
      </c>
    </row>
    <row r="85" spans="1:29" ht="15.75" hidden="1" customHeight="1" outlineLevel="1" x14ac:dyDescent="0.2">
      <c r="J85" s="112" t="s">
        <v>1169</v>
      </c>
      <c r="K85" s="161" t="s">
        <v>701</v>
      </c>
      <c r="L85" s="79" t="s">
        <v>702</v>
      </c>
      <c r="M85" s="113">
        <v>1722069</v>
      </c>
      <c r="N85" s="113">
        <v>1459380.5084745751</v>
      </c>
      <c r="O85" s="113">
        <v>31</v>
      </c>
      <c r="Q85" s="112" t="s">
        <v>1169</v>
      </c>
      <c r="R85" s="161" t="s">
        <v>701</v>
      </c>
      <c r="S85" s="79" t="s">
        <v>702</v>
      </c>
      <c r="T85" s="113">
        <v>0</v>
      </c>
      <c r="U85" s="113"/>
      <c r="V85" s="113"/>
      <c r="X85" s="112" t="s">
        <v>1169</v>
      </c>
      <c r="Y85" s="161" t="s">
        <v>701</v>
      </c>
      <c r="Z85" s="79" t="s">
        <v>702</v>
      </c>
      <c r="AA85" s="113">
        <v>0</v>
      </c>
      <c r="AB85" s="113"/>
      <c r="AC85" s="113"/>
    </row>
    <row r="86" spans="1:29" ht="15.75" hidden="1" customHeight="1" outlineLevel="1" x14ac:dyDescent="0.2">
      <c r="J86" s="112" t="s">
        <v>1169</v>
      </c>
      <c r="K86" s="79" t="s">
        <v>671</v>
      </c>
      <c r="L86" s="79" t="s">
        <v>200</v>
      </c>
      <c r="M86" s="113">
        <v>3088833</v>
      </c>
      <c r="N86" s="113">
        <v>2617655.0847457591</v>
      </c>
      <c r="O86" s="113">
        <v>67</v>
      </c>
      <c r="Q86" s="112" t="s">
        <v>1169</v>
      </c>
      <c r="R86" s="79" t="s">
        <v>671</v>
      </c>
      <c r="S86" s="79" t="s">
        <v>200</v>
      </c>
      <c r="T86" s="113">
        <v>0</v>
      </c>
      <c r="U86" s="113"/>
      <c r="V86" s="113"/>
      <c r="X86" s="112" t="s">
        <v>1169</v>
      </c>
      <c r="Y86" s="79" t="s">
        <v>671</v>
      </c>
      <c r="Z86" s="79" t="s">
        <v>200</v>
      </c>
      <c r="AA86" s="113">
        <v>11998</v>
      </c>
      <c r="AB86" s="113">
        <v>10167.79661016948</v>
      </c>
      <c r="AC86" s="113">
        <v>2</v>
      </c>
    </row>
    <row r="87" spans="1:29" ht="15.75" hidden="1" customHeight="1" outlineLevel="1" x14ac:dyDescent="0.2">
      <c r="J87" s="112" t="s">
        <v>1169</v>
      </c>
      <c r="K87" s="22" t="s">
        <v>19</v>
      </c>
      <c r="L87" s="22" t="s">
        <v>205</v>
      </c>
      <c r="M87" s="113">
        <v>2087712</v>
      </c>
      <c r="N87" s="113">
        <v>1769247.4576271169</v>
      </c>
      <c r="O87" s="113">
        <v>38</v>
      </c>
      <c r="Q87" s="112" t="s">
        <v>1169</v>
      </c>
      <c r="R87" s="22" t="s">
        <v>19</v>
      </c>
      <c r="S87" s="22" t="s">
        <v>205</v>
      </c>
      <c r="T87" s="113">
        <v>0</v>
      </c>
      <c r="U87" s="113"/>
      <c r="V87" s="113"/>
      <c r="X87" s="112" t="s">
        <v>1169</v>
      </c>
      <c r="Y87" s="22" t="s">
        <v>19</v>
      </c>
      <c r="Z87" s="22" t="s">
        <v>205</v>
      </c>
      <c r="AA87" s="113">
        <v>0</v>
      </c>
      <c r="AB87" s="113"/>
      <c r="AC87" s="113"/>
    </row>
    <row r="88" spans="1:29" ht="15.75" hidden="1" customHeight="1" outlineLevel="1" x14ac:dyDescent="0.2">
      <c r="J88" s="112" t="s">
        <v>1169</v>
      </c>
      <c r="K88" s="22" t="s">
        <v>333</v>
      </c>
      <c r="L88" s="22" t="s">
        <v>340</v>
      </c>
      <c r="M88" s="113">
        <v>1191873</v>
      </c>
      <c r="N88" s="113">
        <v>1010061.8644067787</v>
      </c>
      <c r="O88" s="113">
        <v>27</v>
      </c>
      <c r="Q88" s="112" t="s">
        <v>1169</v>
      </c>
      <c r="R88" s="22" t="s">
        <v>333</v>
      </c>
      <c r="S88" s="22" t="s">
        <v>340</v>
      </c>
      <c r="T88" s="113">
        <v>0</v>
      </c>
      <c r="U88" s="113"/>
      <c r="V88" s="113"/>
      <c r="X88" s="112" t="s">
        <v>1169</v>
      </c>
      <c r="Y88" s="22" t="s">
        <v>333</v>
      </c>
      <c r="Z88" s="22" t="s">
        <v>340</v>
      </c>
      <c r="AA88" s="113">
        <v>23996</v>
      </c>
      <c r="AB88" s="113">
        <v>20335.59322033896</v>
      </c>
      <c r="AC88" s="113">
        <v>4</v>
      </c>
    </row>
    <row r="89" spans="1:29" ht="15.75" hidden="1" customHeight="1" outlineLevel="1" x14ac:dyDescent="0.2">
      <c r="J89" s="112" t="s">
        <v>1181</v>
      </c>
      <c r="K89" s="20"/>
      <c r="L89" s="20"/>
      <c r="M89" s="261">
        <v>9363111</v>
      </c>
      <c r="N89" s="261">
        <v>7934839.8305084649</v>
      </c>
      <c r="O89" s="261">
        <v>189</v>
      </c>
      <c r="Q89" s="112" t="s">
        <v>1181</v>
      </c>
      <c r="R89" s="20"/>
      <c r="S89" s="20"/>
      <c r="T89" s="261">
        <v>26649</v>
      </c>
      <c r="U89" s="261">
        <v>22583.898305084698</v>
      </c>
      <c r="V89" s="261">
        <v>1</v>
      </c>
      <c r="X89" s="112" t="s">
        <v>1181</v>
      </c>
      <c r="Y89" s="20"/>
      <c r="Z89" s="20"/>
      <c r="AA89" s="261">
        <v>41993</v>
      </c>
      <c r="AB89" s="261">
        <v>35587.288135593182</v>
      </c>
      <c r="AC89" s="261">
        <v>7</v>
      </c>
    </row>
    <row r="90" spans="1:29" ht="15.75" hidden="1" customHeight="1" outlineLevel="1" x14ac:dyDescent="0.2">
      <c r="J90" s="228" t="s">
        <v>69</v>
      </c>
      <c r="K90" s="228"/>
      <c r="L90" s="228"/>
      <c r="M90" s="229">
        <f>+M8+M13+M22+M26+M35+M43+M48+M53+M57+M65+M72+M76+M83+M89</f>
        <v>120861154</v>
      </c>
      <c r="N90" s="229">
        <f>+N8+N13+N22+N26+N35+N43+N48+N53+N57+N65+N72+N76+N83+N89</f>
        <v>102424706.77966088</v>
      </c>
      <c r="O90" s="229">
        <f>+O8+O13+O22+O26+O35+O43+O48+O53+O57+O65+O72+O76+O83+O89</f>
        <v>2796</v>
      </c>
      <c r="Q90" s="228" t="s">
        <v>69</v>
      </c>
      <c r="R90" s="228"/>
      <c r="S90" s="228"/>
      <c r="T90" s="229">
        <f>+T8+T13+T22+T26+T35+T43+T48+T53+T57+T65+T72+T76+T83+T89</f>
        <v>14913180</v>
      </c>
      <c r="U90" s="229">
        <f>+U8+U13+U22+U26+U35+U43+U48+U53+U57+U65+U72+U76+U83+U89</f>
        <v>12638288.135593206</v>
      </c>
      <c r="V90" s="229">
        <f>+V8+V13+V22+V26+V35+V43+V48+V53+V57+V65+V72+V76+V83+V89</f>
        <v>320</v>
      </c>
      <c r="X90" s="228" t="s">
        <v>69</v>
      </c>
      <c r="Y90" s="228"/>
      <c r="Z90" s="228"/>
      <c r="AA90" s="229">
        <f>+AA8+AA13+AA22+AA26+AA35+AA43+AA48+AA53+AA57+AA65+AA72+AA76+AA83+AA89</f>
        <v>1414769</v>
      </c>
      <c r="AB90" s="229">
        <f>+AB8+AB13+AB22+AB26+AB35+AB43+AB48+AB53+AB57+AB65+AB72+AB76+AB83+AB89</f>
        <v>1198956.7796610158</v>
      </c>
      <c r="AC90" s="229">
        <f>+AC8+AC13+AC22+AC26+AC35+AC43+AC48+AC53+AC57+AC65+AC72+AC76+AC83+AC89</f>
        <v>231</v>
      </c>
    </row>
    <row r="92" spans="1:29" ht="15.75" customHeight="1" collapsed="1" x14ac:dyDescent="0.2">
      <c r="A92" s="101">
        <v>46143</v>
      </c>
      <c r="J92" s="2" t="s">
        <v>231</v>
      </c>
      <c r="Q92" s="2" t="s">
        <v>214</v>
      </c>
      <c r="X92" s="2" t="s">
        <v>946</v>
      </c>
    </row>
    <row r="93" spans="1:29" ht="15.75" hidden="1" customHeight="1" outlineLevel="1" x14ac:dyDescent="0.2">
      <c r="A93" s="383" t="s">
        <v>1427</v>
      </c>
      <c r="B93" s="384"/>
      <c r="C93" s="384"/>
      <c r="D93" s="384"/>
      <c r="E93" s="384"/>
      <c r="F93" s="384"/>
      <c r="G93" s="384"/>
      <c r="H93" s="375"/>
      <c r="J93" s="99" t="s">
        <v>68</v>
      </c>
      <c r="K93" s="99" t="s">
        <v>73</v>
      </c>
      <c r="L93" s="99" t="s">
        <v>16</v>
      </c>
      <c r="M93" s="99" t="s">
        <v>65</v>
      </c>
      <c r="N93" s="99" t="s">
        <v>66</v>
      </c>
      <c r="O93" s="99" t="s">
        <v>67</v>
      </c>
      <c r="Q93" s="99" t="s">
        <v>68</v>
      </c>
      <c r="R93" s="99" t="s">
        <v>73</v>
      </c>
      <c r="S93" s="99" t="s">
        <v>16</v>
      </c>
      <c r="T93" s="99" t="s">
        <v>65</v>
      </c>
      <c r="U93" s="99" t="s">
        <v>66</v>
      </c>
      <c r="V93" s="99" t="s">
        <v>67</v>
      </c>
      <c r="X93" s="99" t="s">
        <v>68</v>
      </c>
      <c r="Y93" s="99" t="s">
        <v>73</v>
      </c>
      <c r="Z93" s="99" t="s">
        <v>16</v>
      </c>
      <c r="AA93" s="99" t="s">
        <v>65</v>
      </c>
      <c r="AB93" s="99" t="s">
        <v>66</v>
      </c>
      <c r="AC93" s="99" t="s">
        <v>67</v>
      </c>
    </row>
    <row r="94" spans="1:29" ht="15.75" hidden="1" customHeight="1" outlineLevel="1" x14ac:dyDescent="0.2">
      <c r="A94" s="178" t="s">
        <v>799</v>
      </c>
      <c r="B94" s="178" t="s">
        <v>800</v>
      </c>
      <c r="C94" s="264" t="s">
        <v>801</v>
      </c>
      <c r="D94" s="178" t="s">
        <v>3</v>
      </c>
      <c r="E94" s="178" t="s">
        <v>0</v>
      </c>
      <c r="F94" s="178" t="s">
        <v>772</v>
      </c>
      <c r="G94" s="179" t="s">
        <v>1428</v>
      </c>
      <c r="H94" s="179" t="s">
        <v>1429</v>
      </c>
      <c r="J94" s="112" t="s">
        <v>640</v>
      </c>
      <c r="K94" s="79" t="s">
        <v>191</v>
      </c>
      <c r="L94" s="79" t="s">
        <v>195</v>
      </c>
      <c r="M94" s="113">
        <v>2887078</v>
      </c>
      <c r="N94" s="113">
        <v>2446676.2711864407</v>
      </c>
      <c r="O94" s="113">
        <v>72</v>
      </c>
      <c r="Q94" s="112" t="s">
        <v>640</v>
      </c>
      <c r="R94" s="79" t="s">
        <v>191</v>
      </c>
      <c r="S94" s="79" t="s">
        <v>195</v>
      </c>
      <c r="T94" s="113">
        <v>487788</v>
      </c>
      <c r="U94" s="113">
        <v>413379.66101694916</v>
      </c>
      <c r="V94" s="113">
        <v>12</v>
      </c>
      <c r="X94" s="112" t="s">
        <v>640</v>
      </c>
      <c r="Y94" s="79" t="s">
        <v>191</v>
      </c>
      <c r="Z94" s="79" t="s">
        <v>195</v>
      </c>
      <c r="AA94" s="113">
        <v>20997</v>
      </c>
      <c r="AB94" s="113">
        <v>17794.067796610168</v>
      </c>
      <c r="AC94" s="113">
        <v>3</v>
      </c>
    </row>
    <row r="95" spans="1:29" ht="15.75" hidden="1" customHeight="1" outlineLevel="1" x14ac:dyDescent="0.2">
      <c r="A95" s="278" t="s">
        <v>191</v>
      </c>
      <c r="B95" s="198" t="s">
        <v>195</v>
      </c>
      <c r="C95" s="265"/>
      <c r="D95" s="279" t="s">
        <v>640</v>
      </c>
      <c r="E95" s="278" t="s">
        <v>191</v>
      </c>
      <c r="F95" s="278" t="s">
        <v>297</v>
      </c>
      <c r="G95" s="182">
        <v>80</v>
      </c>
      <c r="H95" s="182">
        <v>104</v>
      </c>
      <c r="J95" s="112" t="s">
        <v>640</v>
      </c>
      <c r="K95" s="79" t="s">
        <v>31</v>
      </c>
      <c r="L95" s="79" t="s">
        <v>32</v>
      </c>
      <c r="M95" s="113">
        <v>2333544</v>
      </c>
      <c r="N95" s="113">
        <v>1977579.6610169495</v>
      </c>
      <c r="O95" s="113">
        <v>56</v>
      </c>
      <c r="Q95" s="112" t="s">
        <v>640</v>
      </c>
      <c r="R95" s="79" t="s">
        <v>31</v>
      </c>
      <c r="S95" s="79" t="s">
        <v>32</v>
      </c>
      <c r="T95" s="113">
        <v>0</v>
      </c>
      <c r="U95" s="113"/>
      <c r="V95" s="113"/>
      <c r="X95" s="112" t="s">
        <v>640</v>
      </c>
      <c r="Y95" s="79" t="s">
        <v>31</v>
      </c>
      <c r="Z95" s="79" t="s">
        <v>32</v>
      </c>
      <c r="AA95" s="113">
        <v>0</v>
      </c>
      <c r="AB95" s="113"/>
      <c r="AC95" s="113"/>
    </row>
    <row r="96" spans="1:29" ht="15.75" hidden="1" customHeight="1" outlineLevel="1" x14ac:dyDescent="0.2">
      <c r="A96" s="278" t="s">
        <v>31</v>
      </c>
      <c r="B96" s="198" t="s">
        <v>32</v>
      </c>
      <c r="C96" s="265"/>
      <c r="D96" s="279" t="s">
        <v>640</v>
      </c>
      <c r="E96" s="278" t="s">
        <v>191</v>
      </c>
      <c r="F96" s="278" t="s">
        <v>297</v>
      </c>
      <c r="G96" s="182">
        <v>80</v>
      </c>
      <c r="H96" s="182">
        <v>104</v>
      </c>
      <c r="J96" s="112" t="s">
        <v>640</v>
      </c>
      <c r="K96" s="79" t="s">
        <v>756</v>
      </c>
      <c r="L96" s="79" t="s">
        <v>757</v>
      </c>
      <c r="M96" s="113">
        <v>3456868</v>
      </c>
      <c r="N96" s="113">
        <v>2929549.1525423718</v>
      </c>
      <c r="O96" s="113">
        <v>82</v>
      </c>
      <c r="Q96" s="112" t="s">
        <v>640</v>
      </c>
      <c r="R96" s="79" t="s">
        <v>756</v>
      </c>
      <c r="S96" s="79" t="s">
        <v>757</v>
      </c>
      <c r="T96" s="113">
        <v>42999</v>
      </c>
      <c r="U96" s="113">
        <v>36439.830508474573</v>
      </c>
      <c r="V96" s="113">
        <v>1</v>
      </c>
      <c r="X96" s="112" t="s">
        <v>640</v>
      </c>
      <c r="Y96" s="79" t="s">
        <v>756</v>
      </c>
      <c r="Z96" s="79" t="s">
        <v>757</v>
      </c>
      <c r="AA96" s="113">
        <v>13998</v>
      </c>
      <c r="AB96" s="113">
        <v>11862.71186440678</v>
      </c>
      <c r="AC96" s="113">
        <v>2</v>
      </c>
    </row>
    <row r="97" spans="1:29" ht="15.75" hidden="1" customHeight="1" outlineLevel="1" x14ac:dyDescent="0.2">
      <c r="A97" s="278" t="s">
        <v>756</v>
      </c>
      <c r="B97" s="198" t="s">
        <v>757</v>
      </c>
      <c r="C97" s="265"/>
      <c r="D97" s="279" t="s">
        <v>640</v>
      </c>
      <c r="E97" s="278" t="s">
        <v>191</v>
      </c>
      <c r="F97" s="278" t="s">
        <v>297</v>
      </c>
      <c r="G97" s="182">
        <v>70</v>
      </c>
      <c r="H97" s="182">
        <v>91</v>
      </c>
      <c r="J97" s="112" t="s">
        <v>640</v>
      </c>
      <c r="K97" s="79" t="s">
        <v>705</v>
      </c>
      <c r="L97" s="79" t="s">
        <v>686</v>
      </c>
      <c r="M97" s="113">
        <v>1894498</v>
      </c>
      <c r="N97" s="113">
        <v>1605506.779661017</v>
      </c>
      <c r="O97" s="113">
        <v>52</v>
      </c>
      <c r="Q97" s="112" t="s">
        <v>640</v>
      </c>
      <c r="R97" s="79" t="s">
        <v>705</v>
      </c>
      <c r="S97" s="79" t="s">
        <v>686</v>
      </c>
      <c r="T97" s="113">
        <v>125297</v>
      </c>
      <c r="U97" s="113">
        <v>106183.89830508475</v>
      </c>
      <c r="V97" s="113">
        <v>3</v>
      </c>
      <c r="X97" s="112" t="s">
        <v>640</v>
      </c>
      <c r="Y97" s="79" t="s">
        <v>705</v>
      </c>
      <c r="Z97" s="79" t="s">
        <v>686</v>
      </c>
      <c r="AA97" s="113">
        <v>13998</v>
      </c>
      <c r="AB97" s="113">
        <v>11862.71186440678</v>
      </c>
      <c r="AC97" s="113">
        <v>2</v>
      </c>
    </row>
    <row r="98" spans="1:29" ht="15.75" hidden="1" customHeight="1" outlineLevel="1" x14ac:dyDescent="0.2">
      <c r="A98" s="278" t="s">
        <v>705</v>
      </c>
      <c r="B98" s="198" t="s">
        <v>686</v>
      </c>
      <c r="C98" s="265"/>
      <c r="D98" s="279" t="s">
        <v>640</v>
      </c>
      <c r="E98" s="278" t="s">
        <v>191</v>
      </c>
      <c r="F98" s="278" t="s">
        <v>297</v>
      </c>
      <c r="G98" s="182">
        <v>70</v>
      </c>
      <c r="H98" s="182">
        <v>91</v>
      </c>
      <c r="J98" s="112" t="s">
        <v>640</v>
      </c>
      <c r="K98" s="79" t="s">
        <v>248</v>
      </c>
      <c r="L98" s="79" t="s">
        <v>251</v>
      </c>
      <c r="M98" s="113">
        <v>2013644</v>
      </c>
      <c r="N98" s="113">
        <v>1706477.9661016949</v>
      </c>
      <c r="O98" s="113">
        <v>56</v>
      </c>
      <c r="Q98" s="112" t="s">
        <v>640</v>
      </c>
      <c r="R98" s="79" t="s">
        <v>248</v>
      </c>
      <c r="S98" s="79" t="s">
        <v>251</v>
      </c>
      <c r="T98" s="113">
        <v>33299</v>
      </c>
      <c r="U98" s="113">
        <v>28219.491525423728</v>
      </c>
      <c r="V98" s="113">
        <v>1</v>
      </c>
      <c r="X98" s="112" t="s">
        <v>640</v>
      </c>
      <c r="Y98" s="79" t="s">
        <v>248</v>
      </c>
      <c r="Z98" s="79" t="s">
        <v>251</v>
      </c>
      <c r="AA98" s="113">
        <v>27996</v>
      </c>
      <c r="AB98" s="113">
        <v>23725.423728813559</v>
      </c>
      <c r="AC98" s="113">
        <v>4</v>
      </c>
    </row>
    <row r="99" spans="1:29" ht="15.75" hidden="1" customHeight="1" outlineLevel="1" x14ac:dyDescent="0.2">
      <c r="A99" s="278" t="s">
        <v>248</v>
      </c>
      <c r="B99" s="198" t="s">
        <v>251</v>
      </c>
      <c r="C99" s="265"/>
      <c r="D99" s="279" t="s">
        <v>640</v>
      </c>
      <c r="E99" s="278" t="s">
        <v>191</v>
      </c>
      <c r="F99" s="278" t="s">
        <v>297</v>
      </c>
      <c r="G99" s="182">
        <v>80</v>
      </c>
      <c r="H99" s="182">
        <v>104</v>
      </c>
      <c r="J99" s="112" t="s">
        <v>929</v>
      </c>
      <c r="K99" s="79"/>
      <c r="L99" s="79"/>
      <c r="M99" s="113">
        <v>12585632</v>
      </c>
      <c r="N99" s="113">
        <v>10665789.830508472</v>
      </c>
      <c r="O99" s="113">
        <v>318</v>
      </c>
      <c r="Q99" s="112" t="s">
        <v>929</v>
      </c>
      <c r="R99" s="79"/>
      <c r="S99" s="79"/>
      <c r="T99" s="113">
        <v>689383</v>
      </c>
      <c r="U99" s="113">
        <v>584222.88135593222</v>
      </c>
      <c r="V99" s="113">
        <v>17</v>
      </c>
      <c r="X99" s="112" t="s">
        <v>929</v>
      </c>
      <c r="Y99" s="79"/>
      <c r="Z99" s="79"/>
      <c r="AA99" s="113">
        <v>76989</v>
      </c>
      <c r="AB99" s="113">
        <v>65244.91525423729</v>
      </c>
      <c r="AC99" s="113">
        <v>11</v>
      </c>
    </row>
    <row r="100" spans="1:29" ht="15.75" hidden="1" customHeight="1" outlineLevel="1" x14ac:dyDescent="0.2">
      <c r="A100" s="278" t="s">
        <v>224</v>
      </c>
      <c r="B100" s="198" t="s">
        <v>33</v>
      </c>
      <c r="C100" s="265"/>
      <c r="D100" s="279" t="s">
        <v>1141</v>
      </c>
      <c r="E100" s="278" t="s">
        <v>224</v>
      </c>
      <c r="F100" s="278" t="s">
        <v>297</v>
      </c>
      <c r="G100" s="182">
        <v>60</v>
      </c>
      <c r="H100" s="182">
        <v>78</v>
      </c>
      <c r="J100" s="112" t="s">
        <v>1141</v>
      </c>
      <c r="K100" s="79" t="s">
        <v>224</v>
      </c>
      <c r="L100" s="79" t="s">
        <v>33</v>
      </c>
      <c r="M100" s="113">
        <v>3606312</v>
      </c>
      <c r="N100" s="113">
        <v>3056196.6101694903</v>
      </c>
      <c r="O100" s="113">
        <v>88</v>
      </c>
      <c r="Q100" s="112" t="s">
        <v>1141</v>
      </c>
      <c r="R100" s="79" t="s">
        <v>224</v>
      </c>
      <c r="S100" s="79" t="s">
        <v>33</v>
      </c>
      <c r="T100" s="113">
        <v>25649</v>
      </c>
      <c r="U100" s="113">
        <v>21736.4406779661</v>
      </c>
      <c r="V100" s="113">
        <v>1</v>
      </c>
      <c r="X100" s="112" t="s">
        <v>1141</v>
      </c>
      <c r="Y100" s="79" t="s">
        <v>224</v>
      </c>
      <c r="Z100" s="79" t="s">
        <v>33</v>
      </c>
      <c r="AA100" s="113">
        <v>43993</v>
      </c>
      <c r="AB100" s="113">
        <v>37282.203389830509</v>
      </c>
      <c r="AC100" s="113">
        <v>7</v>
      </c>
    </row>
    <row r="101" spans="1:29" ht="15.75" hidden="1" customHeight="1" outlineLevel="1" x14ac:dyDescent="0.2">
      <c r="A101" s="278" t="s">
        <v>787</v>
      </c>
      <c r="B101" s="198" t="s">
        <v>788</v>
      </c>
      <c r="C101" s="265"/>
      <c r="D101" s="278" t="s">
        <v>1141</v>
      </c>
      <c r="E101" s="278" t="s">
        <v>224</v>
      </c>
      <c r="F101" s="278" t="s">
        <v>297</v>
      </c>
      <c r="G101" s="182">
        <v>70</v>
      </c>
      <c r="H101" s="182">
        <v>91</v>
      </c>
      <c r="J101" s="112" t="s">
        <v>1141</v>
      </c>
      <c r="K101" s="79" t="s">
        <v>787</v>
      </c>
      <c r="L101" s="79" t="s">
        <v>788</v>
      </c>
      <c r="M101" s="113">
        <v>2050994</v>
      </c>
      <c r="N101" s="113">
        <v>1738130.5084745756</v>
      </c>
      <c r="O101" s="113">
        <v>56</v>
      </c>
      <c r="Q101" s="112" t="s">
        <v>1141</v>
      </c>
      <c r="R101" s="79" t="s">
        <v>787</v>
      </c>
      <c r="S101" s="79" t="s">
        <v>788</v>
      </c>
      <c r="T101" s="113">
        <v>106197</v>
      </c>
      <c r="U101" s="113">
        <v>89997.457627118652</v>
      </c>
      <c r="V101" s="113">
        <v>3</v>
      </c>
      <c r="X101" s="112" t="s">
        <v>1141</v>
      </c>
      <c r="Y101" s="79" t="s">
        <v>787</v>
      </c>
      <c r="Z101" s="79" t="s">
        <v>788</v>
      </c>
      <c r="AA101" s="113">
        <v>11998</v>
      </c>
      <c r="AB101" s="113">
        <v>10167.796610169491</v>
      </c>
      <c r="AC101" s="113">
        <v>2</v>
      </c>
    </row>
    <row r="102" spans="1:29" ht="15.75" hidden="1" customHeight="1" outlineLevel="1" x14ac:dyDescent="0.2">
      <c r="A102" s="278" t="s">
        <v>218</v>
      </c>
      <c r="B102" s="198" t="s">
        <v>219</v>
      </c>
      <c r="C102" s="265"/>
      <c r="D102" s="278" t="s">
        <v>1141</v>
      </c>
      <c r="E102" s="278" t="s">
        <v>224</v>
      </c>
      <c r="F102" s="278" t="s">
        <v>297</v>
      </c>
      <c r="G102" s="182">
        <v>70</v>
      </c>
      <c r="H102" s="182">
        <v>91</v>
      </c>
      <c r="J102" s="112" t="s">
        <v>1141</v>
      </c>
      <c r="K102" s="79" t="s">
        <v>218</v>
      </c>
      <c r="L102" s="79" t="s">
        <v>219</v>
      </c>
      <c r="M102" s="113">
        <v>2199741</v>
      </c>
      <c r="N102" s="113">
        <v>1864187.2881355928</v>
      </c>
      <c r="O102" s="113">
        <v>59</v>
      </c>
      <c r="Q102" s="112" t="s">
        <v>1141</v>
      </c>
      <c r="R102" s="79" t="s">
        <v>218</v>
      </c>
      <c r="S102" s="79" t="s">
        <v>219</v>
      </c>
      <c r="T102" s="113">
        <v>154596</v>
      </c>
      <c r="U102" s="113">
        <v>131013.55932203389</v>
      </c>
      <c r="V102" s="113">
        <v>4</v>
      </c>
      <c r="X102" s="112" t="s">
        <v>1141</v>
      </c>
      <c r="Y102" s="79" t="s">
        <v>218</v>
      </c>
      <c r="Z102" s="79" t="s">
        <v>219</v>
      </c>
      <c r="AA102" s="113">
        <v>6999</v>
      </c>
      <c r="AB102" s="113">
        <v>5931.3559322033898</v>
      </c>
      <c r="AC102" s="113">
        <v>1</v>
      </c>
    </row>
    <row r="103" spans="1:29" ht="15.75" hidden="1" customHeight="1" outlineLevel="1" x14ac:dyDescent="0.2">
      <c r="A103" s="278" t="s">
        <v>782</v>
      </c>
      <c r="B103" s="198" t="s">
        <v>781</v>
      </c>
      <c r="C103" s="181"/>
      <c r="D103" s="278" t="s">
        <v>1141</v>
      </c>
      <c r="E103" s="278" t="s">
        <v>224</v>
      </c>
      <c r="F103" s="278" t="s">
        <v>297</v>
      </c>
      <c r="G103" s="182">
        <v>70</v>
      </c>
      <c r="H103" s="182">
        <v>91</v>
      </c>
      <c r="J103" s="112" t="s">
        <v>1141</v>
      </c>
      <c r="K103" s="79" t="s">
        <v>780</v>
      </c>
      <c r="L103" s="79" t="s">
        <v>781</v>
      </c>
      <c r="M103" s="113">
        <v>1766450</v>
      </c>
      <c r="N103" s="113">
        <v>1496991.5254237286</v>
      </c>
      <c r="O103" s="113">
        <v>50</v>
      </c>
      <c r="Q103" s="112" t="s">
        <v>1141</v>
      </c>
      <c r="R103" s="79" t="s">
        <v>780</v>
      </c>
      <c r="S103" s="79" t="s">
        <v>781</v>
      </c>
      <c r="T103" s="113">
        <v>238943</v>
      </c>
      <c r="U103" s="113">
        <v>202494.06779661018</v>
      </c>
      <c r="V103" s="113">
        <v>7</v>
      </c>
      <c r="X103" s="112" t="s">
        <v>1141</v>
      </c>
      <c r="Y103" s="79" t="s">
        <v>780</v>
      </c>
      <c r="Z103" s="79" t="s">
        <v>781</v>
      </c>
      <c r="AA103" s="113">
        <v>41993</v>
      </c>
      <c r="AB103" s="113">
        <v>35587.288135593219</v>
      </c>
      <c r="AC103" s="113">
        <v>7</v>
      </c>
    </row>
    <row r="104" spans="1:29" ht="15.75" hidden="1" customHeight="1" outlineLevel="1" x14ac:dyDescent="0.2">
      <c r="A104" s="278" t="s">
        <v>1109</v>
      </c>
      <c r="B104" s="198" t="s">
        <v>1110</v>
      </c>
      <c r="C104" s="265"/>
      <c r="D104" s="278" t="s">
        <v>646</v>
      </c>
      <c r="E104" s="278" t="s">
        <v>48</v>
      </c>
      <c r="F104" s="278" t="s">
        <v>297</v>
      </c>
      <c r="G104" s="182">
        <v>60</v>
      </c>
      <c r="H104" s="182">
        <v>78</v>
      </c>
      <c r="J104" s="112" t="s">
        <v>1170</v>
      </c>
      <c r="K104" s="79"/>
      <c r="L104" s="79"/>
      <c r="M104" s="113">
        <v>9623497</v>
      </c>
      <c r="N104" s="113">
        <v>8155505.9322033878</v>
      </c>
      <c r="O104" s="113">
        <v>253</v>
      </c>
      <c r="Q104" s="112" t="s">
        <v>1170</v>
      </c>
      <c r="R104" s="79"/>
      <c r="S104" s="79"/>
      <c r="T104" s="113">
        <v>525385</v>
      </c>
      <c r="U104" s="113">
        <v>445241.52542372886</v>
      </c>
      <c r="V104" s="113">
        <v>15</v>
      </c>
      <c r="X104" s="112" t="s">
        <v>1170</v>
      </c>
      <c r="Y104" s="79"/>
      <c r="Z104" s="79"/>
      <c r="AA104" s="113">
        <v>104983</v>
      </c>
      <c r="AB104" s="113">
        <v>88968.644067796617</v>
      </c>
      <c r="AC104" s="113">
        <v>17</v>
      </c>
    </row>
    <row r="105" spans="1:29" ht="15.75" hidden="1" customHeight="1" outlineLevel="1" x14ac:dyDescent="0.2">
      <c r="A105" s="278" t="s">
        <v>25</v>
      </c>
      <c r="B105" s="198" t="s">
        <v>26</v>
      </c>
      <c r="C105" s="181"/>
      <c r="D105" s="278" t="s">
        <v>646</v>
      </c>
      <c r="E105" s="278" t="s">
        <v>48</v>
      </c>
      <c r="F105" s="278" t="s">
        <v>297</v>
      </c>
      <c r="G105" s="182">
        <v>80</v>
      </c>
      <c r="H105" s="182">
        <v>104</v>
      </c>
      <c r="J105" s="112" t="s">
        <v>646</v>
      </c>
      <c r="K105" s="79" t="s">
        <v>1109</v>
      </c>
      <c r="L105" s="79" t="s">
        <v>1110</v>
      </c>
      <c r="M105" s="113">
        <v>3147178</v>
      </c>
      <c r="N105" s="113">
        <v>2667099.9999999995</v>
      </c>
      <c r="O105" s="113">
        <v>72</v>
      </c>
      <c r="Q105" s="112" t="s">
        <v>646</v>
      </c>
      <c r="R105" s="79" t="s">
        <v>1109</v>
      </c>
      <c r="S105" s="79" t="s">
        <v>1110</v>
      </c>
      <c r="T105" s="113">
        <v>75598</v>
      </c>
      <c r="U105" s="113">
        <v>64066.101694915254</v>
      </c>
      <c r="V105" s="113">
        <v>2</v>
      </c>
      <c r="X105" s="112" t="s">
        <v>646</v>
      </c>
      <c r="Y105" s="79" t="s">
        <v>1109</v>
      </c>
      <c r="Z105" s="79" t="s">
        <v>1110</v>
      </c>
      <c r="AA105" s="113">
        <v>0</v>
      </c>
      <c r="AB105" s="113"/>
      <c r="AC105" s="113"/>
    </row>
    <row r="106" spans="1:29" ht="15.75" hidden="1" customHeight="1" outlineLevel="1" x14ac:dyDescent="0.2">
      <c r="A106" s="278" t="s">
        <v>48</v>
      </c>
      <c r="B106" s="198" t="s">
        <v>49</v>
      </c>
      <c r="C106" s="181"/>
      <c r="D106" s="278" t="s">
        <v>646</v>
      </c>
      <c r="E106" s="278" t="s">
        <v>48</v>
      </c>
      <c r="F106" s="278" t="s">
        <v>297</v>
      </c>
      <c r="G106" s="182">
        <v>60</v>
      </c>
      <c r="H106" s="182">
        <v>78</v>
      </c>
      <c r="J106" s="112" t="s">
        <v>646</v>
      </c>
      <c r="K106" s="79" t="s">
        <v>25</v>
      </c>
      <c r="L106" s="79" t="s">
        <v>26</v>
      </c>
      <c r="M106" s="113">
        <v>3206323</v>
      </c>
      <c r="N106" s="113">
        <v>2717222.8813559301</v>
      </c>
      <c r="O106" s="113">
        <v>77</v>
      </c>
      <c r="Q106" s="112" t="s">
        <v>646</v>
      </c>
      <c r="R106" s="79" t="s">
        <v>25</v>
      </c>
      <c r="S106" s="79" t="s">
        <v>26</v>
      </c>
      <c r="T106" s="113">
        <v>35999</v>
      </c>
      <c r="U106" s="113">
        <v>30507.627118644068</v>
      </c>
      <c r="V106" s="113">
        <v>1</v>
      </c>
      <c r="X106" s="112" t="s">
        <v>646</v>
      </c>
      <c r="Y106" s="79" t="s">
        <v>25</v>
      </c>
      <c r="Z106" s="79" t="s">
        <v>26</v>
      </c>
      <c r="AA106" s="113">
        <v>0</v>
      </c>
      <c r="AB106" s="113"/>
      <c r="AC106" s="113"/>
    </row>
    <row r="107" spans="1:29" ht="15.75" hidden="1" customHeight="1" outlineLevel="1" x14ac:dyDescent="0.2">
      <c r="A107" s="278" t="s">
        <v>209</v>
      </c>
      <c r="B107" s="198" t="s">
        <v>52</v>
      </c>
      <c r="C107" s="181"/>
      <c r="D107" s="278" t="s">
        <v>646</v>
      </c>
      <c r="E107" s="278" t="s">
        <v>48</v>
      </c>
      <c r="F107" s="278" t="s">
        <v>297</v>
      </c>
      <c r="G107" s="182">
        <v>80</v>
      </c>
      <c r="H107" s="182">
        <v>104</v>
      </c>
      <c r="J107" s="112" t="s">
        <v>646</v>
      </c>
      <c r="K107" s="79" t="s">
        <v>298</v>
      </c>
      <c r="L107" s="79" t="s">
        <v>49</v>
      </c>
      <c r="M107" s="113">
        <v>1458463</v>
      </c>
      <c r="N107" s="113">
        <v>1235985.5932203389</v>
      </c>
      <c r="O107" s="113">
        <v>37</v>
      </c>
      <c r="Q107" s="112" t="s">
        <v>646</v>
      </c>
      <c r="R107" s="79" t="s">
        <v>298</v>
      </c>
      <c r="S107" s="79" t="s">
        <v>49</v>
      </c>
      <c r="T107" s="113">
        <v>512436</v>
      </c>
      <c r="U107" s="113">
        <v>434267.79661016946</v>
      </c>
      <c r="V107" s="113">
        <v>14</v>
      </c>
      <c r="X107" s="112" t="s">
        <v>646</v>
      </c>
      <c r="Y107" s="79" t="s">
        <v>298</v>
      </c>
      <c r="Z107" s="79" t="s">
        <v>49</v>
      </c>
      <c r="AA107" s="113">
        <v>0</v>
      </c>
      <c r="AB107" s="113"/>
      <c r="AC107" s="113"/>
    </row>
    <row r="108" spans="1:29" ht="15.75" hidden="1" customHeight="1" outlineLevel="1" x14ac:dyDescent="0.2">
      <c r="A108" s="278" t="s">
        <v>303</v>
      </c>
      <c r="B108" s="198" t="s">
        <v>305</v>
      </c>
      <c r="C108" s="280" t="s">
        <v>209</v>
      </c>
      <c r="D108" s="278" t="s">
        <v>646</v>
      </c>
      <c r="E108" s="278" t="s">
        <v>48</v>
      </c>
      <c r="F108" s="278" t="s">
        <v>297</v>
      </c>
      <c r="G108" s="182">
        <v>80</v>
      </c>
      <c r="H108" s="182">
        <v>104</v>
      </c>
      <c r="J108" s="112" t="s">
        <v>646</v>
      </c>
      <c r="K108" s="79" t="s">
        <v>209</v>
      </c>
      <c r="L108" s="79" t="s">
        <v>52</v>
      </c>
      <c r="M108" s="113">
        <v>4641291</v>
      </c>
      <c r="N108" s="113">
        <v>3933297.4576271148</v>
      </c>
      <c r="O108" s="113">
        <v>109</v>
      </c>
      <c r="Q108" s="112" t="s">
        <v>646</v>
      </c>
      <c r="R108" s="79" t="s">
        <v>209</v>
      </c>
      <c r="S108" s="79" t="s">
        <v>52</v>
      </c>
      <c r="T108" s="113">
        <v>0</v>
      </c>
      <c r="U108" s="113"/>
      <c r="V108" s="113"/>
      <c r="X108" s="112" t="s">
        <v>646</v>
      </c>
      <c r="Y108" s="79" t="s">
        <v>209</v>
      </c>
      <c r="Z108" s="79" t="s">
        <v>52</v>
      </c>
      <c r="AA108" s="113">
        <v>6999</v>
      </c>
      <c r="AB108" s="113">
        <v>5931.3559322033898</v>
      </c>
      <c r="AC108" s="113">
        <v>1</v>
      </c>
    </row>
    <row r="109" spans="1:29" ht="15.75" hidden="1" customHeight="1" outlineLevel="1" x14ac:dyDescent="0.2">
      <c r="A109" s="278" t="s">
        <v>1142</v>
      </c>
      <c r="B109" s="198" t="s">
        <v>54</v>
      </c>
      <c r="C109" s="265"/>
      <c r="D109" s="279" t="s">
        <v>646</v>
      </c>
      <c r="E109" s="278" t="s">
        <v>48</v>
      </c>
      <c r="F109" s="278" t="s">
        <v>297</v>
      </c>
      <c r="G109" s="182">
        <v>80</v>
      </c>
      <c r="H109" s="182">
        <v>104</v>
      </c>
      <c r="J109" s="42" t="s">
        <v>646</v>
      </c>
      <c r="K109" s="42" t="s">
        <v>303</v>
      </c>
      <c r="L109" s="42" t="s">
        <v>305</v>
      </c>
      <c r="M109" s="113">
        <v>2384639</v>
      </c>
      <c r="N109" s="113">
        <v>2020880.5084745756</v>
      </c>
      <c r="O109" s="113">
        <v>61</v>
      </c>
      <c r="Q109" s="42" t="s">
        <v>646</v>
      </c>
      <c r="R109" s="42" t="s">
        <v>303</v>
      </c>
      <c r="S109" s="42" t="s">
        <v>305</v>
      </c>
      <c r="T109" s="113">
        <v>234894</v>
      </c>
      <c r="U109" s="113">
        <v>199062.7118644068</v>
      </c>
      <c r="V109" s="113">
        <v>6</v>
      </c>
      <c r="X109" s="42" t="s">
        <v>646</v>
      </c>
      <c r="Y109" s="42" t="s">
        <v>303</v>
      </c>
      <c r="Z109" s="42" t="s">
        <v>305</v>
      </c>
      <c r="AA109" s="113">
        <v>12998</v>
      </c>
      <c r="AB109" s="113">
        <v>11015.254237288136</v>
      </c>
      <c r="AC109" s="113">
        <v>2</v>
      </c>
    </row>
    <row r="110" spans="1:29" ht="15.75" hidden="1" customHeight="1" outlineLevel="1" x14ac:dyDescent="0.2">
      <c r="A110" s="281" t="s">
        <v>334</v>
      </c>
      <c r="B110" s="198" t="s">
        <v>341</v>
      </c>
      <c r="C110" s="265"/>
      <c r="D110" s="279" t="s">
        <v>646</v>
      </c>
      <c r="E110" s="278" t="s">
        <v>48</v>
      </c>
      <c r="F110" s="278" t="s">
        <v>297</v>
      </c>
      <c r="G110" s="182">
        <v>80</v>
      </c>
      <c r="H110" s="182">
        <v>104</v>
      </c>
      <c r="J110" s="42" t="s">
        <v>646</v>
      </c>
      <c r="K110" s="79" t="s">
        <v>285</v>
      </c>
      <c r="L110" s="79" t="s">
        <v>54</v>
      </c>
      <c r="M110" s="113">
        <v>3753253</v>
      </c>
      <c r="N110" s="113">
        <v>3180722.8813559273</v>
      </c>
      <c r="O110" s="113">
        <v>97</v>
      </c>
      <c r="Q110" s="42" t="s">
        <v>646</v>
      </c>
      <c r="R110" s="79" t="s">
        <v>285</v>
      </c>
      <c r="S110" s="79" t="s">
        <v>54</v>
      </c>
      <c r="T110" s="113">
        <v>367490</v>
      </c>
      <c r="U110" s="113">
        <v>311432.20338983048</v>
      </c>
      <c r="V110" s="113">
        <v>10</v>
      </c>
      <c r="X110" s="42" t="s">
        <v>646</v>
      </c>
      <c r="Y110" s="79" t="s">
        <v>285</v>
      </c>
      <c r="Z110" s="79" t="s">
        <v>54</v>
      </c>
      <c r="AA110" s="113">
        <v>12998</v>
      </c>
      <c r="AB110" s="113">
        <v>11015.254237288136</v>
      </c>
      <c r="AC110" s="113">
        <v>2</v>
      </c>
    </row>
    <row r="111" spans="1:29" ht="15.75" hidden="1" customHeight="1" outlineLevel="1" x14ac:dyDescent="0.2">
      <c r="A111" s="278" t="s">
        <v>246</v>
      </c>
      <c r="B111" s="198" t="s">
        <v>247</v>
      </c>
      <c r="C111" s="265"/>
      <c r="D111" s="279" t="s">
        <v>646</v>
      </c>
      <c r="E111" s="278" t="s">
        <v>48</v>
      </c>
      <c r="F111" s="278" t="s">
        <v>297</v>
      </c>
      <c r="G111" s="182">
        <v>80</v>
      </c>
      <c r="H111" s="182">
        <v>104</v>
      </c>
      <c r="J111" s="79" t="s">
        <v>646</v>
      </c>
      <c r="K111" s="79" t="s">
        <v>246</v>
      </c>
      <c r="L111" s="79" t="s">
        <v>247</v>
      </c>
      <c r="M111" s="113">
        <v>2876282</v>
      </c>
      <c r="N111" s="113">
        <v>2437527.1186440662</v>
      </c>
      <c r="O111" s="113">
        <v>68</v>
      </c>
      <c r="Q111" s="79" t="s">
        <v>646</v>
      </c>
      <c r="R111" s="79" t="s">
        <v>246</v>
      </c>
      <c r="S111" s="79" t="s">
        <v>247</v>
      </c>
      <c r="T111" s="113">
        <v>332491</v>
      </c>
      <c r="U111" s="113">
        <v>281772.03389830509</v>
      </c>
      <c r="V111" s="113">
        <v>9</v>
      </c>
      <c r="X111" s="79" t="s">
        <v>646</v>
      </c>
      <c r="Y111" s="79" t="s">
        <v>246</v>
      </c>
      <c r="Z111" s="79" t="s">
        <v>247</v>
      </c>
      <c r="AA111" s="113">
        <v>6999</v>
      </c>
      <c r="AB111" s="113">
        <v>5931.3559322033898</v>
      </c>
      <c r="AC111" s="113">
        <v>1</v>
      </c>
    </row>
    <row r="112" spans="1:29" ht="15.75" hidden="1" customHeight="1" outlineLevel="1" x14ac:dyDescent="0.2">
      <c r="A112" s="278" t="s">
        <v>689</v>
      </c>
      <c r="B112" s="198" t="s">
        <v>690</v>
      </c>
      <c r="C112" s="265"/>
      <c r="D112" s="279" t="s">
        <v>1143</v>
      </c>
      <c r="E112" s="278" t="s">
        <v>61</v>
      </c>
      <c r="F112" s="278" t="s">
        <v>297</v>
      </c>
      <c r="G112" s="182">
        <v>70</v>
      </c>
      <c r="H112" s="182">
        <v>91</v>
      </c>
      <c r="J112" s="79" t="s">
        <v>646</v>
      </c>
      <c r="K112" s="79" t="s">
        <v>334</v>
      </c>
      <c r="L112" s="79" t="s">
        <v>341</v>
      </c>
      <c r="M112" s="113">
        <v>3503564</v>
      </c>
      <c r="N112" s="113">
        <v>2969122.0338983014</v>
      </c>
      <c r="O112" s="113">
        <v>86</v>
      </c>
      <c r="Q112" s="79" t="s">
        <v>646</v>
      </c>
      <c r="R112" s="79" t="s">
        <v>334</v>
      </c>
      <c r="S112" s="79" t="s">
        <v>341</v>
      </c>
      <c r="T112" s="113">
        <v>253293</v>
      </c>
      <c r="U112" s="113">
        <v>214655.08474576272</v>
      </c>
      <c r="V112" s="113">
        <v>7</v>
      </c>
      <c r="X112" s="79" t="s">
        <v>646</v>
      </c>
      <c r="Y112" s="79" t="s">
        <v>334</v>
      </c>
      <c r="Z112" s="79" t="s">
        <v>341</v>
      </c>
      <c r="AA112" s="113">
        <v>0</v>
      </c>
      <c r="AB112" s="113"/>
      <c r="AC112" s="113"/>
    </row>
    <row r="113" spans="1:29" ht="15.75" hidden="1" customHeight="1" outlineLevel="1" x14ac:dyDescent="0.2">
      <c r="A113" s="278" t="s">
        <v>706</v>
      </c>
      <c r="B113" s="198" t="s">
        <v>688</v>
      </c>
      <c r="C113" s="265"/>
      <c r="D113" s="279" t="s">
        <v>1143</v>
      </c>
      <c r="E113" s="278" t="s">
        <v>61</v>
      </c>
      <c r="F113" s="278" t="s">
        <v>297</v>
      </c>
      <c r="G113" s="182">
        <v>70</v>
      </c>
      <c r="H113" s="182">
        <v>91</v>
      </c>
      <c r="J113" s="79" t="s">
        <v>930</v>
      </c>
      <c r="K113" s="79"/>
      <c r="L113" s="79"/>
      <c r="M113" s="113">
        <v>24970993</v>
      </c>
      <c r="N113" s="113">
        <v>21161858.474576253</v>
      </c>
      <c r="O113" s="113">
        <v>607</v>
      </c>
      <c r="Q113" s="79" t="s">
        <v>930</v>
      </c>
      <c r="R113" s="79"/>
      <c r="S113" s="79"/>
      <c r="T113" s="113">
        <v>1812201</v>
      </c>
      <c r="U113" s="113">
        <v>1535763.5593220338</v>
      </c>
      <c r="V113" s="113">
        <v>49</v>
      </c>
      <c r="X113" s="79" t="s">
        <v>930</v>
      </c>
      <c r="Y113" s="79"/>
      <c r="Z113" s="79"/>
      <c r="AA113" s="113">
        <v>39994</v>
      </c>
      <c r="AB113" s="113">
        <v>33893.220338983054</v>
      </c>
      <c r="AC113" s="113">
        <v>6</v>
      </c>
    </row>
    <row r="114" spans="1:29" ht="15.75" hidden="1" customHeight="1" outlineLevel="1" x14ac:dyDescent="0.2">
      <c r="A114" s="278" t="s">
        <v>61</v>
      </c>
      <c r="B114" s="198" t="s">
        <v>62</v>
      </c>
      <c r="C114" s="265"/>
      <c r="D114" s="279" t="s">
        <v>1143</v>
      </c>
      <c r="E114" s="278" t="s">
        <v>61</v>
      </c>
      <c r="F114" s="278" t="s">
        <v>297</v>
      </c>
      <c r="G114" s="182">
        <v>70</v>
      </c>
      <c r="H114" s="182">
        <v>91</v>
      </c>
      <c r="J114" s="79" t="s">
        <v>1143</v>
      </c>
      <c r="K114" s="79" t="s">
        <v>689</v>
      </c>
      <c r="L114" s="79" t="s">
        <v>690</v>
      </c>
      <c r="M114" s="113">
        <v>3480317</v>
      </c>
      <c r="N114" s="113">
        <v>2949421.1864406751</v>
      </c>
      <c r="O114" s="113">
        <v>83</v>
      </c>
      <c r="Q114" s="79" t="s">
        <v>1143</v>
      </c>
      <c r="R114" s="79" t="s">
        <v>689</v>
      </c>
      <c r="S114" s="79" t="s">
        <v>690</v>
      </c>
      <c r="T114" s="113">
        <v>154596</v>
      </c>
      <c r="U114" s="113">
        <v>131013.55932203389</v>
      </c>
      <c r="V114" s="113">
        <v>4</v>
      </c>
      <c r="X114" s="79" t="s">
        <v>1143</v>
      </c>
      <c r="Y114" s="79" t="s">
        <v>689</v>
      </c>
      <c r="Z114" s="79" t="s">
        <v>690</v>
      </c>
      <c r="AA114" s="113">
        <v>13998</v>
      </c>
      <c r="AB114" s="113">
        <v>11862.71186440678</v>
      </c>
      <c r="AC114" s="113">
        <v>2</v>
      </c>
    </row>
    <row r="115" spans="1:29" ht="15.75" hidden="1" customHeight="1" outlineLevel="1" x14ac:dyDescent="0.2">
      <c r="A115" s="278" t="s">
        <v>194</v>
      </c>
      <c r="B115" s="198" t="s">
        <v>199</v>
      </c>
      <c r="C115" s="265"/>
      <c r="D115" s="279" t="s">
        <v>1144</v>
      </c>
      <c r="E115" s="278" t="s">
        <v>249</v>
      </c>
      <c r="F115" s="278" t="s">
        <v>17</v>
      </c>
      <c r="G115" s="182">
        <v>80</v>
      </c>
      <c r="H115" s="182">
        <v>104</v>
      </c>
      <c r="J115" s="79" t="s">
        <v>1143</v>
      </c>
      <c r="K115" s="79" t="s">
        <v>706</v>
      </c>
      <c r="L115" s="79" t="s">
        <v>688</v>
      </c>
      <c r="M115" s="113">
        <v>1174070</v>
      </c>
      <c r="N115" s="113">
        <v>994974.57627118658</v>
      </c>
      <c r="O115" s="113">
        <v>30</v>
      </c>
      <c r="Q115" s="79" t="s">
        <v>1143</v>
      </c>
      <c r="R115" s="79" t="s">
        <v>706</v>
      </c>
      <c r="S115" s="79" t="s">
        <v>688</v>
      </c>
      <c r="T115" s="113">
        <v>25649</v>
      </c>
      <c r="U115" s="113">
        <v>21736.4406779661</v>
      </c>
      <c r="V115" s="113">
        <v>1</v>
      </c>
      <c r="X115" s="79" t="s">
        <v>1143</v>
      </c>
      <c r="Y115" s="79" t="s">
        <v>706</v>
      </c>
      <c r="Z115" s="79" t="s">
        <v>688</v>
      </c>
      <c r="AA115" s="113">
        <v>6999</v>
      </c>
      <c r="AB115" s="113">
        <v>5931.3559322033898</v>
      </c>
      <c r="AC115" s="113">
        <v>1</v>
      </c>
    </row>
    <row r="116" spans="1:29" ht="15.75" hidden="1" customHeight="1" outlineLevel="1" x14ac:dyDescent="0.2">
      <c r="A116" s="278" t="s">
        <v>1107</v>
      </c>
      <c r="B116" s="198" t="s">
        <v>1108</v>
      </c>
      <c r="C116" s="265"/>
      <c r="D116" s="279" t="s">
        <v>1144</v>
      </c>
      <c r="E116" s="278" t="s">
        <v>249</v>
      </c>
      <c r="F116" s="278" t="s">
        <v>17</v>
      </c>
      <c r="G116" s="182">
        <v>30</v>
      </c>
      <c r="H116" s="182">
        <v>39</v>
      </c>
      <c r="J116" s="79" t="s">
        <v>1143</v>
      </c>
      <c r="K116" s="79" t="s">
        <v>61</v>
      </c>
      <c r="L116" s="79" t="s">
        <v>62</v>
      </c>
      <c r="M116" s="113">
        <v>2633388</v>
      </c>
      <c r="N116" s="113">
        <v>2231684.7457627109</v>
      </c>
      <c r="O116" s="113">
        <v>64</v>
      </c>
      <c r="Q116" s="79" t="s">
        <v>1143</v>
      </c>
      <c r="R116" s="79" t="s">
        <v>61</v>
      </c>
      <c r="S116" s="79" t="s">
        <v>62</v>
      </c>
      <c r="T116" s="113">
        <v>319694</v>
      </c>
      <c r="U116" s="113">
        <v>270927.11864406778</v>
      </c>
      <c r="V116" s="113">
        <v>8</v>
      </c>
      <c r="X116" s="79" t="s">
        <v>1143</v>
      </c>
      <c r="Y116" s="79" t="s">
        <v>61</v>
      </c>
      <c r="Z116" s="79" t="s">
        <v>62</v>
      </c>
      <c r="AA116" s="113">
        <v>0</v>
      </c>
      <c r="AB116" s="113"/>
      <c r="AC116" s="113"/>
    </row>
    <row r="117" spans="1:29" ht="15.75" hidden="1" customHeight="1" outlineLevel="1" x14ac:dyDescent="0.2">
      <c r="A117" s="278" t="s">
        <v>707</v>
      </c>
      <c r="B117" s="198" t="s">
        <v>696</v>
      </c>
      <c r="C117" s="282" t="s">
        <v>194</v>
      </c>
      <c r="D117" s="279" t="s">
        <v>1144</v>
      </c>
      <c r="E117" s="278" t="s">
        <v>249</v>
      </c>
      <c r="F117" s="278" t="s">
        <v>17</v>
      </c>
      <c r="G117" s="182">
        <v>65</v>
      </c>
      <c r="H117" s="182">
        <v>84.5</v>
      </c>
      <c r="J117" s="79" t="s">
        <v>1171</v>
      </c>
      <c r="K117" s="79"/>
      <c r="L117" s="79"/>
      <c r="M117" s="113">
        <v>7287775</v>
      </c>
      <c r="N117" s="113">
        <v>6176080.5084745726</v>
      </c>
      <c r="O117" s="113">
        <v>177</v>
      </c>
      <c r="Q117" s="79" t="s">
        <v>1171</v>
      </c>
      <c r="R117" s="79"/>
      <c r="S117" s="79"/>
      <c r="T117" s="113">
        <v>499939</v>
      </c>
      <c r="U117" s="113">
        <v>423677.11864406778</v>
      </c>
      <c r="V117" s="113">
        <v>13</v>
      </c>
      <c r="X117" s="79" t="s">
        <v>1171</v>
      </c>
      <c r="Y117" s="79"/>
      <c r="Z117" s="79"/>
      <c r="AA117" s="113">
        <v>20997</v>
      </c>
      <c r="AB117" s="113">
        <v>17794.067796610168</v>
      </c>
      <c r="AC117" s="113">
        <v>3</v>
      </c>
    </row>
    <row r="118" spans="1:29" ht="15.75" hidden="1" customHeight="1" outlineLevel="1" x14ac:dyDescent="0.2">
      <c r="A118" s="278" t="s">
        <v>804</v>
      </c>
      <c r="B118" s="198" t="s">
        <v>805</v>
      </c>
      <c r="C118" s="282" t="s">
        <v>23</v>
      </c>
      <c r="D118" s="279" t="s">
        <v>1144</v>
      </c>
      <c r="E118" s="278" t="s">
        <v>249</v>
      </c>
      <c r="F118" s="278" t="s">
        <v>17</v>
      </c>
      <c r="G118" s="182">
        <v>65</v>
      </c>
      <c r="H118" s="182">
        <v>84.5</v>
      </c>
      <c r="J118" s="79" t="s">
        <v>1144</v>
      </c>
      <c r="K118" s="79" t="s">
        <v>194</v>
      </c>
      <c r="L118" s="79" t="s">
        <v>199</v>
      </c>
      <c r="M118" s="113">
        <v>5150213</v>
      </c>
      <c r="N118" s="113">
        <v>4364587.2881355872</v>
      </c>
      <c r="O118" s="113">
        <v>137</v>
      </c>
      <c r="Q118" s="79" t="s">
        <v>1144</v>
      </c>
      <c r="R118" s="79" t="s">
        <v>194</v>
      </c>
      <c r="S118" s="79" t="s">
        <v>199</v>
      </c>
      <c r="T118" s="113">
        <v>0</v>
      </c>
      <c r="U118" s="113"/>
      <c r="V118" s="113"/>
      <c r="X118" s="79" t="s">
        <v>1144</v>
      </c>
      <c r="Y118" s="79" t="s">
        <v>194</v>
      </c>
      <c r="Z118" s="79" t="s">
        <v>199</v>
      </c>
      <c r="AA118" s="113">
        <v>65989</v>
      </c>
      <c r="AB118" s="113">
        <v>55922.881355932201</v>
      </c>
      <c r="AC118" s="113">
        <v>11</v>
      </c>
    </row>
    <row r="119" spans="1:29" ht="15.75" hidden="1" customHeight="1" outlineLevel="1" x14ac:dyDescent="0.2">
      <c r="A119" s="279" t="s">
        <v>1145</v>
      </c>
      <c r="B119" s="198" t="s">
        <v>1146</v>
      </c>
      <c r="C119" s="280" t="s">
        <v>194</v>
      </c>
      <c r="D119" s="278" t="s">
        <v>1144</v>
      </c>
      <c r="E119" s="278" t="s">
        <v>249</v>
      </c>
      <c r="F119" s="278" t="s">
        <v>17</v>
      </c>
      <c r="G119" s="182">
        <v>60</v>
      </c>
      <c r="H119" s="182">
        <v>78</v>
      </c>
      <c r="J119" s="79" t="s">
        <v>1144</v>
      </c>
      <c r="K119" s="79" t="s">
        <v>1107</v>
      </c>
      <c r="L119" s="79" t="s">
        <v>1108</v>
      </c>
      <c r="M119" s="113">
        <v>0</v>
      </c>
      <c r="N119" s="113"/>
      <c r="O119" s="113"/>
      <c r="Q119" s="79" t="s">
        <v>1144</v>
      </c>
      <c r="R119" s="79" t="s">
        <v>1107</v>
      </c>
      <c r="S119" s="79" t="s">
        <v>1108</v>
      </c>
      <c r="T119" s="113">
        <v>0</v>
      </c>
      <c r="U119" s="113"/>
      <c r="V119" s="113"/>
      <c r="X119" s="79" t="s">
        <v>1144</v>
      </c>
      <c r="Y119" s="79" t="s">
        <v>1107</v>
      </c>
      <c r="Z119" s="79" t="s">
        <v>1108</v>
      </c>
      <c r="AA119" s="113">
        <v>0</v>
      </c>
      <c r="AB119" s="113"/>
      <c r="AC119" s="113"/>
    </row>
    <row r="120" spans="1:29" ht="15.75" hidden="1" customHeight="1" outlineLevel="1" x14ac:dyDescent="0.2">
      <c r="A120" s="278" t="s">
        <v>313</v>
      </c>
      <c r="B120" s="198" t="s">
        <v>314</v>
      </c>
      <c r="C120" s="265"/>
      <c r="D120" s="278" t="s">
        <v>1144</v>
      </c>
      <c r="E120" s="278" t="s">
        <v>249</v>
      </c>
      <c r="F120" s="278" t="s">
        <v>17</v>
      </c>
      <c r="G120" s="182">
        <v>80</v>
      </c>
      <c r="H120" s="182">
        <v>104</v>
      </c>
      <c r="J120" s="79" t="s">
        <v>1144</v>
      </c>
      <c r="K120" s="79" t="s">
        <v>707</v>
      </c>
      <c r="L120" s="79" t="s">
        <v>696</v>
      </c>
      <c r="M120" s="113">
        <v>1576662</v>
      </c>
      <c r="N120" s="113">
        <v>1336154.2372881356</v>
      </c>
      <c r="O120" s="113">
        <v>38</v>
      </c>
      <c r="Q120" s="79" t="s">
        <v>1144</v>
      </c>
      <c r="R120" s="79" t="s">
        <v>707</v>
      </c>
      <c r="S120" s="79" t="s">
        <v>696</v>
      </c>
      <c r="T120" s="113">
        <v>0</v>
      </c>
      <c r="U120" s="113"/>
      <c r="V120" s="113"/>
      <c r="X120" s="79" t="s">
        <v>1144</v>
      </c>
      <c r="Y120" s="79" t="s">
        <v>707</v>
      </c>
      <c r="Z120" s="79" t="s">
        <v>696</v>
      </c>
      <c r="AA120" s="113">
        <v>11998</v>
      </c>
      <c r="AB120" s="113">
        <v>10167.796610169491</v>
      </c>
      <c r="AC120" s="113">
        <v>2</v>
      </c>
    </row>
    <row r="121" spans="1:29" ht="15.75" hidden="1" customHeight="1" outlineLevel="1" x14ac:dyDescent="0.2">
      <c r="A121" s="278" t="s">
        <v>23</v>
      </c>
      <c r="B121" s="198" t="s">
        <v>24</v>
      </c>
      <c r="C121" s="181"/>
      <c r="D121" s="278" t="s">
        <v>1144</v>
      </c>
      <c r="E121" s="278" t="s">
        <v>249</v>
      </c>
      <c r="F121" s="278" t="s">
        <v>17</v>
      </c>
      <c r="G121" s="182">
        <v>80</v>
      </c>
      <c r="H121" s="182">
        <v>104</v>
      </c>
      <c r="J121" s="42" t="s">
        <v>1144</v>
      </c>
      <c r="K121" s="42" t="s">
        <v>804</v>
      </c>
      <c r="L121" s="42" t="s">
        <v>805</v>
      </c>
      <c r="M121" s="113">
        <v>1442617</v>
      </c>
      <c r="N121" s="113">
        <v>1222556.7796610168</v>
      </c>
      <c r="O121" s="113">
        <v>33</v>
      </c>
      <c r="Q121" s="42" t="s">
        <v>1144</v>
      </c>
      <c r="R121" s="42" t="s">
        <v>804</v>
      </c>
      <c r="S121" s="42" t="s">
        <v>805</v>
      </c>
      <c r="T121" s="113">
        <v>0</v>
      </c>
      <c r="U121" s="113"/>
      <c r="V121" s="113"/>
      <c r="X121" s="42" t="s">
        <v>1144</v>
      </c>
      <c r="Y121" s="42" t="s">
        <v>804</v>
      </c>
      <c r="Z121" s="42" t="s">
        <v>805</v>
      </c>
      <c r="AA121" s="113">
        <v>29995</v>
      </c>
      <c r="AB121" s="113">
        <v>25419.491525423728</v>
      </c>
      <c r="AC121" s="113">
        <v>5</v>
      </c>
    </row>
    <row r="122" spans="1:29" ht="15.75" hidden="1" customHeight="1" outlineLevel="1" x14ac:dyDescent="0.2">
      <c r="A122" s="278" t="s">
        <v>249</v>
      </c>
      <c r="B122" s="198" t="s">
        <v>250</v>
      </c>
      <c r="C122" s="181"/>
      <c r="D122" s="278" t="s">
        <v>1144</v>
      </c>
      <c r="E122" s="278" t="s">
        <v>249</v>
      </c>
      <c r="F122" s="278" t="s">
        <v>17</v>
      </c>
      <c r="G122" s="182">
        <v>85</v>
      </c>
      <c r="H122" s="182">
        <v>110.5</v>
      </c>
      <c r="J122" s="79" t="s">
        <v>1144</v>
      </c>
      <c r="K122" s="79" t="s">
        <v>313</v>
      </c>
      <c r="L122" s="79" t="s">
        <v>314</v>
      </c>
      <c r="M122" s="113">
        <v>3753201</v>
      </c>
      <c r="N122" s="113">
        <v>3180678.8135593194</v>
      </c>
      <c r="O122" s="113">
        <v>99</v>
      </c>
      <c r="Q122" s="79" t="s">
        <v>1144</v>
      </c>
      <c r="R122" s="79" t="s">
        <v>313</v>
      </c>
      <c r="S122" s="79" t="s">
        <v>314</v>
      </c>
      <c r="T122" s="113">
        <v>0</v>
      </c>
      <c r="U122" s="113"/>
      <c r="V122" s="113"/>
      <c r="X122" s="79" t="s">
        <v>1144</v>
      </c>
      <c r="Y122" s="79" t="s">
        <v>313</v>
      </c>
      <c r="Z122" s="79" t="s">
        <v>314</v>
      </c>
      <c r="AA122" s="113">
        <v>41993</v>
      </c>
      <c r="AB122" s="113">
        <v>35587.288135593219</v>
      </c>
      <c r="AC122" s="113">
        <v>7</v>
      </c>
    </row>
    <row r="123" spans="1:29" ht="15.75" hidden="1" customHeight="1" outlineLevel="1" x14ac:dyDescent="0.2">
      <c r="A123" s="281" t="s">
        <v>225</v>
      </c>
      <c r="B123" s="198" t="s">
        <v>27</v>
      </c>
      <c r="C123" s="181"/>
      <c r="D123" s="281" t="s">
        <v>1147</v>
      </c>
      <c r="E123" s="198"/>
      <c r="F123" s="281" t="s">
        <v>17</v>
      </c>
      <c r="G123" s="182">
        <v>70</v>
      </c>
      <c r="H123" s="182">
        <v>91</v>
      </c>
      <c r="J123" s="79" t="s">
        <v>1144</v>
      </c>
      <c r="K123" s="79" t="s">
        <v>23</v>
      </c>
      <c r="L123" s="79" t="s">
        <v>24</v>
      </c>
      <c r="M123" s="113">
        <v>3836611</v>
      </c>
      <c r="N123" s="113">
        <v>3251365.2542372858</v>
      </c>
      <c r="O123" s="113">
        <v>91</v>
      </c>
      <c r="Q123" s="79" t="s">
        <v>1144</v>
      </c>
      <c r="R123" s="79" t="s">
        <v>23</v>
      </c>
      <c r="S123" s="79" t="s">
        <v>24</v>
      </c>
      <c r="T123" s="113">
        <v>78998</v>
      </c>
      <c r="U123" s="113">
        <v>66947.457627118638</v>
      </c>
      <c r="V123" s="113">
        <v>2</v>
      </c>
      <c r="X123" s="79" t="s">
        <v>1144</v>
      </c>
      <c r="Y123" s="79" t="s">
        <v>23</v>
      </c>
      <c r="Z123" s="79" t="s">
        <v>24</v>
      </c>
      <c r="AA123" s="113">
        <v>23996</v>
      </c>
      <c r="AB123" s="113">
        <v>20335.593220338982</v>
      </c>
      <c r="AC123" s="113">
        <v>4</v>
      </c>
    </row>
    <row r="124" spans="1:29" ht="15.75" hidden="1" customHeight="1" outlineLevel="1" x14ac:dyDescent="0.2">
      <c r="A124" s="281" t="s">
        <v>29</v>
      </c>
      <c r="B124" s="198" t="s">
        <v>30</v>
      </c>
      <c r="C124" s="181"/>
      <c r="D124" s="281" t="s">
        <v>1147</v>
      </c>
      <c r="E124" s="199"/>
      <c r="F124" s="281" t="s">
        <v>17</v>
      </c>
      <c r="G124" s="182">
        <v>70</v>
      </c>
      <c r="H124" s="182">
        <v>91</v>
      </c>
      <c r="J124" s="79" t="s">
        <v>1144</v>
      </c>
      <c r="K124" s="79" t="s">
        <v>249</v>
      </c>
      <c r="L124" s="79" t="s">
        <v>250</v>
      </c>
      <c r="M124" s="113">
        <v>7657896</v>
      </c>
      <c r="N124" s="113">
        <v>6489742.3728813529</v>
      </c>
      <c r="O124" s="113">
        <v>206</v>
      </c>
      <c r="Q124" s="79" t="s">
        <v>1144</v>
      </c>
      <c r="R124" s="79" t="s">
        <v>249</v>
      </c>
      <c r="S124" s="79" t="s">
        <v>250</v>
      </c>
      <c r="T124" s="113">
        <v>0</v>
      </c>
      <c r="U124" s="113"/>
      <c r="V124" s="113"/>
      <c r="X124" s="79" t="s">
        <v>1144</v>
      </c>
      <c r="Y124" s="79" t="s">
        <v>249</v>
      </c>
      <c r="Z124" s="79" t="s">
        <v>250</v>
      </c>
      <c r="AA124" s="113">
        <v>91985</v>
      </c>
      <c r="AB124" s="113">
        <v>77953.389830508473</v>
      </c>
      <c r="AC124" s="113">
        <v>15</v>
      </c>
    </row>
    <row r="125" spans="1:29" ht="15.75" hidden="1" customHeight="1" outlineLevel="1" x14ac:dyDescent="0.2">
      <c r="A125" s="281" t="s">
        <v>244</v>
      </c>
      <c r="B125" s="198" t="s">
        <v>245</v>
      </c>
      <c r="C125" s="181"/>
      <c r="D125" s="281" t="s">
        <v>1147</v>
      </c>
      <c r="E125" s="199"/>
      <c r="F125" s="281" t="s">
        <v>17</v>
      </c>
      <c r="G125" s="182">
        <v>70</v>
      </c>
      <c r="H125" s="182">
        <v>91</v>
      </c>
      <c r="J125" s="79" t="s">
        <v>1144</v>
      </c>
      <c r="K125" s="79" t="s">
        <v>1145</v>
      </c>
      <c r="L125" s="79" t="s">
        <v>1146</v>
      </c>
      <c r="M125" s="113">
        <v>1576860</v>
      </c>
      <c r="N125" s="113">
        <v>1336322.0338983049</v>
      </c>
      <c r="O125" s="113">
        <v>40</v>
      </c>
      <c r="Q125" s="79" t="s">
        <v>1144</v>
      </c>
      <c r="R125" s="79" t="s">
        <v>1145</v>
      </c>
      <c r="S125" s="79" t="s">
        <v>1146</v>
      </c>
      <c r="T125" s="113">
        <v>0</v>
      </c>
      <c r="U125" s="113"/>
      <c r="V125" s="113"/>
      <c r="X125" s="79" t="s">
        <v>1144</v>
      </c>
      <c r="Y125" s="79" t="s">
        <v>1145</v>
      </c>
      <c r="Z125" s="79" t="s">
        <v>1146</v>
      </c>
      <c r="AA125" s="113">
        <v>11998</v>
      </c>
      <c r="AB125" s="113">
        <v>10167.796610169491</v>
      </c>
      <c r="AC125" s="113">
        <v>2</v>
      </c>
    </row>
    <row r="126" spans="1:29" ht="15.75" hidden="1" customHeight="1" outlineLevel="1" x14ac:dyDescent="0.2">
      <c r="A126" s="281" t="s">
        <v>20</v>
      </c>
      <c r="B126" s="198" t="s">
        <v>21</v>
      </c>
      <c r="C126" s="181"/>
      <c r="D126" s="281" t="s">
        <v>1147</v>
      </c>
      <c r="E126" s="199"/>
      <c r="F126" s="281" t="s">
        <v>17</v>
      </c>
      <c r="G126" s="182">
        <v>70</v>
      </c>
      <c r="H126" s="182">
        <v>91</v>
      </c>
      <c r="J126" s="79" t="s">
        <v>1172</v>
      </c>
      <c r="K126" s="79"/>
      <c r="L126" s="79"/>
      <c r="M126" s="113">
        <v>24994060</v>
      </c>
      <c r="N126" s="113">
        <v>21181406.779661004</v>
      </c>
      <c r="O126" s="113">
        <v>644</v>
      </c>
      <c r="Q126" s="79" t="s">
        <v>1172</v>
      </c>
      <c r="R126" s="79"/>
      <c r="S126" s="79"/>
      <c r="T126" s="113">
        <v>78998</v>
      </c>
      <c r="U126" s="113">
        <v>66947.457627118638</v>
      </c>
      <c r="V126" s="113">
        <v>2</v>
      </c>
      <c r="X126" s="79" t="s">
        <v>1172</v>
      </c>
      <c r="Y126" s="79"/>
      <c r="Z126" s="79"/>
      <c r="AA126" s="113">
        <v>277954</v>
      </c>
      <c r="AB126" s="113">
        <v>235554.23728813557</v>
      </c>
      <c r="AC126" s="113">
        <v>46</v>
      </c>
    </row>
    <row r="127" spans="1:29" ht="15.75" hidden="1" customHeight="1" outlineLevel="1" x14ac:dyDescent="0.2">
      <c r="A127" s="281" t="s">
        <v>699</v>
      </c>
      <c r="B127" s="198" t="s">
        <v>700</v>
      </c>
      <c r="C127" s="265"/>
      <c r="D127" s="283" t="s">
        <v>1147</v>
      </c>
      <c r="E127" s="198"/>
      <c r="F127" s="281" t="s">
        <v>17</v>
      </c>
      <c r="G127" s="182">
        <v>70</v>
      </c>
      <c r="H127" s="182">
        <v>91</v>
      </c>
      <c r="J127" s="79" t="s">
        <v>1147</v>
      </c>
      <c r="K127" s="79" t="s">
        <v>225</v>
      </c>
      <c r="L127" s="79" t="s">
        <v>27</v>
      </c>
      <c r="M127" s="113">
        <v>1956349</v>
      </c>
      <c r="N127" s="113">
        <v>1657922.881355932</v>
      </c>
      <c r="O127" s="113">
        <v>51</v>
      </c>
      <c r="Q127" s="79" t="s">
        <v>1147</v>
      </c>
      <c r="R127" s="79" t="s">
        <v>225</v>
      </c>
      <c r="S127" s="79" t="s">
        <v>27</v>
      </c>
      <c r="T127" s="113">
        <v>177645</v>
      </c>
      <c r="U127" s="113">
        <v>150546.6101694915</v>
      </c>
      <c r="V127" s="113">
        <v>5</v>
      </c>
      <c r="X127" s="79" t="s">
        <v>1147</v>
      </c>
      <c r="Y127" s="79" t="s">
        <v>225</v>
      </c>
      <c r="Z127" s="79" t="s">
        <v>27</v>
      </c>
      <c r="AA127" s="113">
        <v>5999</v>
      </c>
      <c r="AB127" s="113">
        <v>5083.8983050847455</v>
      </c>
      <c r="AC127" s="113">
        <v>1</v>
      </c>
    </row>
    <row r="128" spans="1:29" ht="15.75" hidden="1" customHeight="1" outlineLevel="1" x14ac:dyDescent="0.2">
      <c r="A128" s="281" t="s">
        <v>222</v>
      </c>
      <c r="B128" s="198" t="s">
        <v>223</v>
      </c>
      <c r="C128" s="265"/>
      <c r="D128" s="283" t="s">
        <v>1147</v>
      </c>
      <c r="E128" s="198"/>
      <c r="F128" s="281" t="s">
        <v>17</v>
      </c>
      <c r="G128" s="182">
        <v>75</v>
      </c>
      <c r="H128" s="182">
        <v>97.5</v>
      </c>
      <c r="J128" s="79" t="s">
        <v>1147</v>
      </c>
      <c r="K128" s="42" t="s">
        <v>29</v>
      </c>
      <c r="L128" s="42" t="s">
        <v>30</v>
      </c>
      <c r="M128" s="113">
        <v>2919681</v>
      </c>
      <c r="N128" s="113">
        <v>2474305.9322033874</v>
      </c>
      <c r="O128" s="113">
        <v>69</v>
      </c>
      <c r="Q128" s="79" t="s">
        <v>1147</v>
      </c>
      <c r="R128" s="42" t="s">
        <v>29</v>
      </c>
      <c r="S128" s="42" t="s">
        <v>30</v>
      </c>
      <c r="T128" s="113">
        <v>457139</v>
      </c>
      <c r="U128" s="113">
        <v>387405.93220338988</v>
      </c>
      <c r="V128" s="113">
        <v>11</v>
      </c>
      <c r="X128" s="79" t="s">
        <v>1147</v>
      </c>
      <c r="Y128" s="42" t="s">
        <v>29</v>
      </c>
      <c r="Z128" s="42" t="s">
        <v>30</v>
      </c>
      <c r="AA128" s="113">
        <v>36994</v>
      </c>
      <c r="AB128" s="113">
        <v>31350.847457627118</v>
      </c>
      <c r="AC128" s="113">
        <v>6</v>
      </c>
    </row>
    <row r="129" spans="1:29" ht="15.75" hidden="1" customHeight="1" outlineLevel="1" x14ac:dyDescent="0.2">
      <c r="A129" s="281" t="s">
        <v>70</v>
      </c>
      <c r="B129" s="198" t="s">
        <v>34</v>
      </c>
      <c r="C129" s="265"/>
      <c r="D129" s="283" t="s">
        <v>1147</v>
      </c>
      <c r="E129" s="198"/>
      <c r="F129" s="281" t="s">
        <v>17</v>
      </c>
      <c r="G129" s="182">
        <v>55</v>
      </c>
      <c r="H129" s="182">
        <v>71.5</v>
      </c>
      <c r="J129" s="79" t="s">
        <v>1147</v>
      </c>
      <c r="K129" s="79" t="s">
        <v>244</v>
      </c>
      <c r="L129" s="79" t="s">
        <v>245</v>
      </c>
      <c r="M129" s="113">
        <v>2969429</v>
      </c>
      <c r="N129" s="113">
        <v>2516465.2542372853</v>
      </c>
      <c r="O129" s="113">
        <v>71</v>
      </c>
      <c r="Q129" s="79" t="s">
        <v>1147</v>
      </c>
      <c r="R129" s="79" t="s">
        <v>244</v>
      </c>
      <c r="S129" s="79" t="s">
        <v>245</v>
      </c>
      <c r="T129" s="113">
        <v>216593</v>
      </c>
      <c r="U129" s="113">
        <v>183553.38983050844</v>
      </c>
      <c r="V129" s="113">
        <v>7</v>
      </c>
      <c r="X129" s="79" t="s">
        <v>1147</v>
      </c>
      <c r="Y129" s="79" t="s">
        <v>244</v>
      </c>
      <c r="Z129" s="79" t="s">
        <v>245</v>
      </c>
      <c r="AA129" s="113">
        <v>5999</v>
      </c>
      <c r="AB129" s="113">
        <v>5083.8983050847455</v>
      </c>
      <c r="AC129" s="113">
        <v>1</v>
      </c>
    </row>
    <row r="130" spans="1:29" ht="15.75" hidden="1" customHeight="1" outlineLevel="1" x14ac:dyDescent="0.2">
      <c r="A130" s="278" t="s">
        <v>1148</v>
      </c>
      <c r="B130" s="198" t="s">
        <v>807</v>
      </c>
      <c r="C130" s="265"/>
      <c r="D130" s="279" t="s">
        <v>1149</v>
      </c>
      <c r="E130" s="278" t="s">
        <v>63</v>
      </c>
      <c r="F130" s="278" t="s">
        <v>55</v>
      </c>
      <c r="G130" s="182">
        <v>70</v>
      </c>
      <c r="H130" s="182">
        <v>91</v>
      </c>
      <c r="J130" s="79" t="s">
        <v>1147</v>
      </c>
      <c r="K130" s="79" t="s">
        <v>20</v>
      </c>
      <c r="L130" s="79" t="s">
        <v>21</v>
      </c>
      <c r="M130" s="113">
        <v>2939475</v>
      </c>
      <c r="N130" s="113">
        <v>2491080.5084745754</v>
      </c>
      <c r="O130" s="113">
        <v>75</v>
      </c>
      <c r="Q130" s="79" t="s">
        <v>1147</v>
      </c>
      <c r="R130" s="79" t="s">
        <v>20</v>
      </c>
      <c r="S130" s="79" t="s">
        <v>21</v>
      </c>
      <c r="T130" s="113">
        <v>87998</v>
      </c>
      <c r="U130" s="113">
        <v>74574.576271186437</v>
      </c>
      <c r="V130" s="113">
        <v>2</v>
      </c>
      <c r="X130" s="79" t="s">
        <v>1147</v>
      </c>
      <c r="Y130" s="79" t="s">
        <v>20</v>
      </c>
      <c r="Z130" s="79" t="s">
        <v>21</v>
      </c>
      <c r="AA130" s="113">
        <v>23996</v>
      </c>
      <c r="AB130" s="113">
        <v>20335.593220338982</v>
      </c>
      <c r="AC130" s="113">
        <v>4</v>
      </c>
    </row>
    <row r="131" spans="1:29" ht="15.75" hidden="1" customHeight="1" outlineLevel="1" x14ac:dyDescent="0.2">
      <c r="A131" s="278" t="s">
        <v>301</v>
      </c>
      <c r="B131" s="198" t="s">
        <v>302</v>
      </c>
      <c r="C131" s="265"/>
      <c r="D131" s="279" t="s">
        <v>1149</v>
      </c>
      <c r="E131" s="278" t="s">
        <v>63</v>
      </c>
      <c r="F131" s="278" t="s">
        <v>55</v>
      </c>
      <c r="G131" s="182">
        <v>80</v>
      </c>
      <c r="H131" s="182">
        <v>104</v>
      </c>
      <c r="J131" s="112" t="s">
        <v>1147</v>
      </c>
      <c r="K131" s="161" t="s">
        <v>699</v>
      </c>
      <c r="L131" s="79" t="s">
        <v>700</v>
      </c>
      <c r="M131" s="113">
        <v>5082599</v>
      </c>
      <c r="N131" s="113">
        <v>4307287.2881355947</v>
      </c>
      <c r="O131" s="113">
        <v>101</v>
      </c>
      <c r="Q131" s="112" t="s">
        <v>1147</v>
      </c>
      <c r="R131" s="161" t="s">
        <v>699</v>
      </c>
      <c r="S131" s="79" t="s">
        <v>700</v>
      </c>
      <c r="T131" s="113">
        <v>28799</v>
      </c>
      <c r="U131" s="113">
        <v>24405.932203389832</v>
      </c>
      <c r="V131" s="113">
        <v>1</v>
      </c>
      <c r="X131" s="112" t="s">
        <v>1147</v>
      </c>
      <c r="Y131" s="161" t="s">
        <v>699</v>
      </c>
      <c r="Z131" s="79" t="s">
        <v>700</v>
      </c>
      <c r="AA131" s="113">
        <v>23996</v>
      </c>
      <c r="AB131" s="113">
        <v>20335.593220338982</v>
      </c>
      <c r="AC131" s="113">
        <v>4</v>
      </c>
    </row>
    <row r="132" spans="1:29" ht="15.75" hidden="1" customHeight="1" outlineLevel="1" x14ac:dyDescent="0.2">
      <c r="A132" s="278" t="s">
        <v>1150</v>
      </c>
      <c r="B132" s="198" t="s">
        <v>1151</v>
      </c>
      <c r="C132" s="181"/>
      <c r="D132" s="279" t="s">
        <v>1149</v>
      </c>
      <c r="E132" s="278" t="s">
        <v>63</v>
      </c>
      <c r="F132" s="278" t="s">
        <v>55</v>
      </c>
      <c r="G132" s="182">
        <v>50</v>
      </c>
      <c r="H132" s="182">
        <v>65</v>
      </c>
      <c r="J132" s="112" t="s">
        <v>1147</v>
      </c>
      <c r="K132" s="161" t="s">
        <v>222</v>
      </c>
      <c r="L132" s="79" t="s">
        <v>223</v>
      </c>
      <c r="M132" s="113">
        <v>3032632</v>
      </c>
      <c r="N132" s="113">
        <v>2570027.1186440671</v>
      </c>
      <c r="O132" s="113">
        <v>68</v>
      </c>
      <c r="Q132" s="112" t="s">
        <v>1147</v>
      </c>
      <c r="R132" s="161" t="s">
        <v>222</v>
      </c>
      <c r="S132" s="79" t="s">
        <v>223</v>
      </c>
      <c r="T132" s="113">
        <v>91648</v>
      </c>
      <c r="U132" s="113">
        <v>77667.796610169491</v>
      </c>
      <c r="V132" s="113">
        <v>2</v>
      </c>
      <c r="X132" s="112" t="s">
        <v>1147</v>
      </c>
      <c r="Y132" s="161" t="s">
        <v>222</v>
      </c>
      <c r="Z132" s="79" t="s">
        <v>223</v>
      </c>
      <c r="AA132" s="113">
        <v>11998</v>
      </c>
      <c r="AB132" s="113">
        <v>10167.796610169491</v>
      </c>
      <c r="AC132" s="113">
        <v>2</v>
      </c>
    </row>
    <row r="133" spans="1:29" ht="15.75" hidden="1" customHeight="1" outlineLevel="1" x14ac:dyDescent="0.2">
      <c r="A133" s="278" t="s">
        <v>63</v>
      </c>
      <c r="B133" s="198" t="s">
        <v>64</v>
      </c>
      <c r="C133" s="265"/>
      <c r="D133" s="279" t="s">
        <v>1149</v>
      </c>
      <c r="E133" s="278" t="s">
        <v>63</v>
      </c>
      <c r="F133" s="278" t="s">
        <v>55</v>
      </c>
      <c r="G133" s="182">
        <v>70</v>
      </c>
      <c r="H133" s="182">
        <v>91</v>
      </c>
      <c r="J133" s="112" t="s">
        <v>1147</v>
      </c>
      <c r="K133" s="161" t="s">
        <v>70</v>
      </c>
      <c r="L133" s="79" t="s">
        <v>34</v>
      </c>
      <c r="M133" s="113">
        <v>2054500</v>
      </c>
      <c r="N133" s="113">
        <v>1741101.6949152534</v>
      </c>
      <c r="O133" s="113">
        <v>50</v>
      </c>
      <c r="Q133" s="112" t="s">
        <v>1147</v>
      </c>
      <c r="R133" s="161" t="s">
        <v>70</v>
      </c>
      <c r="S133" s="79" t="s">
        <v>34</v>
      </c>
      <c r="T133" s="113">
        <v>325993</v>
      </c>
      <c r="U133" s="113">
        <v>276265.25423728814</v>
      </c>
      <c r="V133" s="113">
        <v>7</v>
      </c>
      <c r="X133" s="112" t="s">
        <v>1147</v>
      </c>
      <c r="Y133" s="161" t="s">
        <v>70</v>
      </c>
      <c r="Z133" s="79" t="s">
        <v>34</v>
      </c>
      <c r="AA133" s="113">
        <v>5999</v>
      </c>
      <c r="AB133" s="113">
        <v>5083.8983050847455</v>
      </c>
      <c r="AC133" s="113">
        <v>1</v>
      </c>
    </row>
    <row r="134" spans="1:29" ht="15.75" hidden="1" customHeight="1" outlineLevel="1" x14ac:dyDescent="0.2">
      <c r="A134" s="279" t="s">
        <v>1152</v>
      </c>
      <c r="B134" s="198" t="s">
        <v>1153</v>
      </c>
      <c r="C134" s="181"/>
      <c r="D134" s="279" t="s">
        <v>1154</v>
      </c>
      <c r="E134" s="278" t="s">
        <v>307</v>
      </c>
      <c r="F134" s="278" t="s">
        <v>55</v>
      </c>
      <c r="G134" s="182">
        <v>60</v>
      </c>
      <c r="H134" s="182">
        <v>78</v>
      </c>
      <c r="J134" s="112" t="s">
        <v>1173</v>
      </c>
      <c r="K134" s="161"/>
      <c r="L134" s="79"/>
      <c r="M134" s="113">
        <v>20954665</v>
      </c>
      <c r="N134" s="113">
        <v>17758190.677966096</v>
      </c>
      <c r="O134" s="113">
        <v>485</v>
      </c>
      <c r="Q134" s="112" t="s">
        <v>1173</v>
      </c>
      <c r="R134" s="161"/>
      <c r="S134" s="79"/>
      <c r="T134" s="113">
        <v>1385815</v>
      </c>
      <c r="U134" s="113">
        <v>1174419.4915254237</v>
      </c>
      <c r="V134" s="113">
        <v>35</v>
      </c>
      <c r="X134" s="112" t="s">
        <v>1173</v>
      </c>
      <c r="Y134" s="161"/>
      <c r="Z134" s="79"/>
      <c r="AA134" s="113">
        <v>114981</v>
      </c>
      <c r="AB134" s="113">
        <v>97441.525423728817</v>
      </c>
      <c r="AC134" s="113">
        <v>19</v>
      </c>
    </row>
    <row r="135" spans="1:29" ht="15.75" hidden="1" customHeight="1" outlineLevel="1" x14ac:dyDescent="0.2">
      <c r="A135" s="279" t="s">
        <v>335</v>
      </c>
      <c r="B135" s="198" t="s">
        <v>342</v>
      </c>
      <c r="C135" s="181"/>
      <c r="D135" s="278" t="s">
        <v>1154</v>
      </c>
      <c r="E135" s="278" t="s">
        <v>307</v>
      </c>
      <c r="F135" s="278" t="s">
        <v>55</v>
      </c>
      <c r="G135" s="182">
        <v>80</v>
      </c>
      <c r="H135" s="182">
        <v>104</v>
      </c>
      <c r="J135" s="42" t="s">
        <v>1149</v>
      </c>
      <c r="K135" s="42" t="s">
        <v>806</v>
      </c>
      <c r="L135" s="42" t="s">
        <v>807</v>
      </c>
      <c r="M135" s="113">
        <v>3129133</v>
      </c>
      <c r="N135" s="113">
        <v>2651807.6271186424</v>
      </c>
      <c r="O135" s="113">
        <v>67</v>
      </c>
      <c r="Q135" s="42" t="s">
        <v>1149</v>
      </c>
      <c r="R135" s="42" t="s">
        <v>806</v>
      </c>
      <c r="S135" s="42" t="s">
        <v>807</v>
      </c>
      <c r="T135" s="113">
        <v>79198</v>
      </c>
      <c r="U135" s="113">
        <v>67116.94915254238</v>
      </c>
      <c r="V135" s="113">
        <v>2</v>
      </c>
      <c r="X135" s="42" t="s">
        <v>1149</v>
      </c>
      <c r="Y135" s="42" t="s">
        <v>806</v>
      </c>
      <c r="Z135" s="42" t="s">
        <v>807</v>
      </c>
      <c r="AA135" s="113">
        <v>0</v>
      </c>
      <c r="AB135" s="113"/>
      <c r="AC135" s="113"/>
    </row>
    <row r="136" spans="1:29" ht="15.75" hidden="1" customHeight="1" outlineLevel="1" x14ac:dyDescent="0.2">
      <c r="A136" s="279" t="s">
        <v>307</v>
      </c>
      <c r="B136" s="198" t="s">
        <v>308</v>
      </c>
      <c r="C136" s="181"/>
      <c r="D136" s="278" t="s">
        <v>1154</v>
      </c>
      <c r="E136" s="278" t="s">
        <v>307</v>
      </c>
      <c r="F136" s="278" t="s">
        <v>55</v>
      </c>
      <c r="G136" s="182">
        <v>80</v>
      </c>
      <c r="H136" s="182">
        <v>104</v>
      </c>
      <c r="J136" s="79" t="s">
        <v>1149</v>
      </c>
      <c r="K136" s="79" t="s">
        <v>301</v>
      </c>
      <c r="L136" s="79" t="s">
        <v>302</v>
      </c>
      <c r="M136" s="113">
        <v>3516812</v>
      </c>
      <c r="N136" s="113">
        <v>2980349.1525423727</v>
      </c>
      <c r="O136" s="113">
        <v>88</v>
      </c>
      <c r="Q136" s="79" t="s">
        <v>1149</v>
      </c>
      <c r="R136" s="79" t="s">
        <v>301</v>
      </c>
      <c r="S136" s="79" t="s">
        <v>302</v>
      </c>
      <c r="T136" s="113">
        <v>129347</v>
      </c>
      <c r="U136" s="113">
        <v>109616.10169491524</v>
      </c>
      <c r="V136" s="113">
        <v>3</v>
      </c>
      <c r="X136" s="79" t="s">
        <v>1149</v>
      </c>
      <c r="Y136" s="79" t="s">
        <v>301</v>
      </c>
      <c r="Z136" s="79" t="s">
        <v>302</v>
      </c>
      <c r="AA136" s="113">
        <v>53991</v>
      </c>
      <c r="AB136" s="113">
        <v>45755.08474576271</v>
      </c>
      <c r="AC136" s="113">
        <v>9</v>
      </c>
    </row>
    <row r="137" spans="1:29" ht="15.75" hidden="1" customHeight="1" outlineLevel="1" x14ac:dyDescent="0.2">
      <c r="A137" s="278" t="s">
        <v>217</v>
      </c>
      <c r="B137" s="198" t="s">
        <v>197</v>
      </c>
      <c r="C137" s="265"/>
      <c r="D137" s="278" t="s">
        <v>1154</v>
      </c>
      <c r="E137" s="278" t="s">
        <v>307</v>
      </c>
      <c r="F137" s="278" t="s">
        <v>55</v>
      </c>
      <c r="G137" s="182">
        <v>80</v>
      </c>
      <c r="H137" s="182">
        <v>104</v>
      </c>
      <c r="J137" s="79" t="s">
        <v>1149</v>
      </c>
      <c r="K137" s="79" t="s">
        <v>1150</v>
      </c>
      <c r="L137" s="79" t="s">
        <v>1151</v>
      </c>
      <c r="M137" s="113">
        <v>1327117</v>
      </c>
      <c r="N137" s="113">
        <v>1124675.4237288137</v>
      </c>
      <c r="O137" s="113">
        <v>33</v>
      </c>
      <c r="Q137" s="79" t="s">
        <v>1149</v>
      </c>
      <c r="R137" s="79" t="s">
        <v>1150</v>
      </c>
      <c r="S137" s="79" t="s">
        <v>1151</v>
      </c>
      <c r="T137" s="113">
        <v>809831</v>
      </c>
      <c r="U137" s="113">
        <v>686297.45762711857</v>
      </c>
      <c r="V137" s="113">
        <v>19</v>
      </c>
      <c r="X137" s="79" t="s">
        <v>1149</v>
      </c>
      <c r="Y137" s="79" t="s">
        <v>1150</v>
      </c>
      <c r="Z137" s="79" t="s">
        <v>1151</v>
      </c>
      <c r="AA137" s="113">
        <v>5999</v>
      </c>
      <c r="AB137" s="113">
        <v>5083.8983050847455</v>
      </c>
      <c r="AC137" s="113">
        <v>1</v>
      </c>
    </row>
    <row r="138" spans="1:29" ht="15.75" hidden="1" customHeight="1" outlineLevel="1" x14ac:dyDescent="0.2">
      <c r="A138" s="278" t="s">
        <v>286</v>
      </c>
      <c r="B138" s="198" t="s">
        <v>37</v>
      </c>
      <c r="C138" s="265"/>
      <c r="D138" s="278" t="s">
        <v>1155</v>
      </c>
      <c r="E138" s="278" t="s">
        <v>286</v>
      </c>
      <c r="F138" s="278" t="s">
        <v>55</v>
      </c>
      <c r="G138" s="182">
        <v>70</v>
      </c>
      <c r="H138" s="182">
        <v>91</v>
      </c>
      <c r="J138" s="79" t="s">
        <v>1149</v>
      </c>
      <c r="K138" s="79" t="s">
        <v>63</v>
      </c>
      <c r="L138" s="79" t="s">
        <v>64</v>
      </c>
      <c r="M138" s="113">
        <v>1858355</v>
      </c>
      <c r="N138" s="113">
        <v>1574877.1186440673</v>
      </c>
      <c r="O138" s="113">
        <v>45</v>
      </c>
      <c r="Q138" s="79" t="s">
        <v>1149</v>
      </c>
      <c r="R138" s="79" t="s">
        <v>63</v>
      </c>
      <c r="S138" s="79" t="s">
        <v>64</v>
      </c>
      <c r="T138" s="113">
        <v>670935</v>
      </c>
      <c r="U138" s="113">
        <v>568588.98305084743</v>
      </c>
      <c r="V138" s="113">
        <v>15</v>
      </c>
      <c r="X138" s="79" t="s">
        <v>1149</v>
      </c>
      <c r="Y138" s="79" t="s">
        <v>63</v>
      </c>
      <c r="Z138" s="79" t="s">
        <v>64</v>
      </c>
      <c r="AA138" s="113">
        <v>13998</v>
      </c>
      <c r="AB138" s="113">
        <v>11862.71186440678</v>
      </c>
      <c r="AC138" s="113">
        <v>2</v>
      </c>
    </row>
    <row r="139" spans="1:29" ht="15.75" hidden="1" customHeight="1" outlineLevel="1" x14ac:dyDescent="0.2">
      <c r="A139" s="278" t="s">
        <v>657</v>
      </c>
      <c r="B139" s="198" t="s">
        <v>39</v>
      </c>
      <c r="C139" s="265"/>
      <c r="D139" s="278" t="s">
        <v>1155</v>
      </c>
      <c r="E139" s="278" t="s">
        <v>286</v>
      </c>
      <c r="F139" s="278" t="s">
        <v>55</v>
      </c>
      <c r="G139" s="182">
        <v>80</v>
      </c>
      <c r="H139" s="182">
        <v>104</v>
      </c>
      <c r="J139" s="79" t="s">
        <v>1174</v>
      </c>
      <c r="K139" s="79"/>
      <c r="L139" s="79"/>
      <c r="M139" s="113">
        <v>9831417</v>
      </c>
      <c r="N139" s="113">
        <v>8331709.3220338952</v>
      </c>
      <c r="O139" s="113">
        <v>233</v>
      </c>
      <c r="Q139" s="79" t="s">
        <v>1174</v>
      </c>
      <c r="R139" s="79"/>
      <c r="S139" s="79"/>
      <c r="T139" s="113">
        <v>1689311</v>
      </c>
      <c r="U139" s="113">
        <v>1431619.4915254237</v>
      </c>
      <c r="V139" s="113">
        <v>39</v>
      </c>
      <c r="X139" s="79" t="s">
        <v>1174</v>
      </c>
      <c r="Y139" s="79"/>
      <c r="Z139" s="79"/>
      <c r="AA139" s="113">
        <v>73988</v>
      </c>
      <c r="AB139" s="113">
        <v>62701.694915254237</v>
      </c>
      <c r="AC139" s="113">
        <v>12</v>
      </c>
    </row>
    <row r="140" spans="1:29" ht="15.75" hidden="1" customHeight="1" outlineLevel="1" x14ac:dyDescent="0.2">
      <c r="A140" s="278" t="s">
        <v>1156</v>
      </c>
      <c r="B140" s="198" t="s">
        <v>1157</v>
      </c>
      <c r="C140" s="265"/>
      <c r="D140" s="278" t="s">
        <v>1155</v>
      </c>
      <c r="E140" s="278" t="s">
        <v>286</v>
      </c>
      <c r="F140" s="278" t="s">
        <v>55</v>
      </c>
      <c r="G140" s="182">
        <v>70</v>
      </c>
      <c r="H140" s="182">
        <v>91</v>
      </c>
      <c r="J140" s="79" t="s">
        <v>1154</v>
      </c>
      <c r="K140" s="79" t="s">
        <v>307</v>
      </c>
      <c r="L140" s="79" t="s">
        <v>308</v>
      </c>
      <c r="M140" s="113">
        <v>2290699</v>
      </c>
      <c r="N140" s="113">
        <v>1941270.3389830508</v>
      </c>
      <c r="O140" s="113">
        <v>51</v>
      </c>
      <c r="Q140" s="79" t="s">
        <v>1154</v>
      </c>
      <c r="R140" s="79" t="s">
        <v>307</v>
      </c>
      <c r="S140" s="79" t="s">
        <v>308</v>
      </c>
      <c r="T140" s="113">
        <v>1152726</v>
      </c>
      <c r="U140" s="113">
        <v>976886.44067796599</v>
      </c>
      <c r="V140" s="113">
        <v>24</v>
      </c>
      <c r="X140" s="79" t="s">
        <v>1154</v>
      </c>
      <c r="Y140" s="79" t="s">
        <v>307</v>
      </c>
      <c r="Z140" s="79" t="s">
        <v>308</v>
      </c>
      <c r="AA140" s="113">
        <v>5999</v>
      </c>
      <c r="AB140" s="113">
        <v>5083.8983050847455</v>
      </c>
      <c r="AC140" s="113">
        <v>1</v>
      </c>
    </row>
    <row r="141" spans="1:29" ht="15.75" hidden="1" customHeight="1" outlineLevel="1" x14ac:dyDescent="0.2">
      <c r="A141" s="278" t="s">
        <v>726</v>
      </c>
      <c r="B141" s="198" t="s">
        <v>727</v>
      </c>
      <c r="C141" s="265"/>
      <c r="D141" s="278" t="s">
        <v>1158</v>
      </c>
      <c r="E141" s="278" t="s">
        <v>72</v>
      </c>
      <c r="F141" s="278" t="s">
        <v>111</v>
      </c>
      <c r="G141" s="182">
        <v>60</v>
      </c>
      <c r="H141" s="182">
        <v>78</v>
      </c>
      <c r="J141" s="79" t="s">
        <v>1154</v>
      </c>
      <c r="K141" s="79" t="s">
        <v>217</v>
      </c>
      <c r="L141" s="79" t="s">
        <v>197</v>
      </c>
      <c r="M141" s="113">
        <v>2017907</v>
      </c>
      <c r="N141" s="113">
        <v>1710090.677966102</v>
      </c>
      <c r="O141" s="113">
        <v>43</v>
      </c>
      <c r="Q141" s="79" t="s">
        <v>1154</v>
      </c>
      <c r="R141" s="79" t="s">
        <v>217</v>
      </c>
      <c r="S141" s="79" t="s">
        <v>197</v>
      </c>
      <c r="T141" s="113">
        <v>970930</v>
      </c>
      <c r="U141" s="113">
        <v>822822.03389830526</v>
      </c>
      <c r="V141" s="113">
        <v>20</v>
      </c>
      <c r="X141" s="79" t="s">
        <v>1154</v>
      </c>
      <c r="Y141" s="79" t="s">
        <v>217</v>
      </c>
      <c r="Z141" s="79" t="s">
        <v>197</v>
      </c>
      <c r="AA141" s="113">
        <v>12998</v>
      </c>
      <c r="AB141" s="113">
        <v>11015.254237288136</v>
      </c>
      <c r="AC141" s="113">
        <v>2</v>
      </c>
    </row>
    <row r="142" spans="1:29" ht="15.75" hidden="1" customHeight="1" outlineLevel="1" x14ac:dyDescent="0.2">
      <c r="A142" s="278" t="s">
        <v>758</v>
      </c>
      <c r="B142" s="198" t="s">
        <v>759</v>
      </c>
      <c r="C142" s="181"/>
      <c r="D142" s="278" t="s">
        <v>1158</v>
      </c>
      <c r="E142" s="278" t="s">
        <v>72</v>
      </c>
      <c r="F142" s="278" t="s">
        <v>111</v>
      </c>
      <c r="G142" s="182">
        <v>55</v>
      </c>
      <c r="H142" s="182">
        <v>71.5</v>
      </c>
      <c r="J142" s="79" t="s">
        <v>1154</v>
      </c>
      <c r="K142" s="79" t="s">
        <v>1152</v>
      </c>
      <c r="L142" s="79" t="s">
        <v>1153</v>
      </c>
      <c r="M142" s="113">
        <v>1725162</v>
      </c>
      <c r="N142" s="113">
        <v>1462001.6949152546</v>
      </c>
      <c r="O142" s="113">
        <v>38</v>
      </c>
      <c r="Q142" s="79" t="s">
        <v>1154</v>
      </c>
      <c r="R142" s="79" t="s">
        <v>1152</v>
      </c>
      <c r="S142" s="79" t="s">
        <v>1153</v>
      </c>
      <c r="T142" s="113">
        <v>547588</v>
      </c>
      <c r="U142" s="113">
        <v>464057.62711864413</v>
      </c>
      <c r="V142" s="113">
        <v>12</v>
      </c>
      <c r="X142" s="79" t="s">
        <v>1154</v>
      </c>
      <c r="Y142" s="79" t="s">
        <v>1152</v>
      </c>
      <c r="Z142" s="79" t="s">
        <v>1153</v>
      </c>
      <c r="AA142" s="113">
        <v>11998</v>
      </c>
      <c r="AB142" s="113">
        <v>10167.796610169491</v>
      </c>
      <c r="AC142" s="113">
        <v>2</v>
      </c>
    </row>
    <row r="143" spans="1:29" ht="15.75" hidden="1" customHeight="1" outlineLevel="1" x14ac:dyDescent="0.2">
      <c r="A143" s="278" t="s">
        <v>1040</v>
      </c>
      <c r="B143" s="198" t="s">
        <v>1043</v>
      </c>
      <c r="C143" s="181"/>
      <c r="D143" s="278" t="s">
        <v>1158</v>
      </c>
      <c r="E143" s="278" t="s">
        <v>72</v>
      </c>
      <c r="F143" s="278" t="s">
        <v>111</v>
      </c>
      <c r="G143" s="182">
        <v>70</v>
      </c>
      <c r="H143" s="182">
        <v>91</v>
      </c>
      <c r="J143" s="79" t="s">
        <v>1154</v>
      </c>
      <c r="K143" s="79" t="s">
        <v>335</v>
      </c>
      <c r="L143" s="79" t="s">
        <v>342</v>
      </c>
      <c r="M143" s="113">
        <v>2396492</v>
      </c>
      <c r="N143" s="113">
        <v>2030925.423728813</v>
      </c>
      <c r="O143" s="113">
        <v>58</v>
      </c>
      <c r="Q143" s="79" t="s">
        <v>1154</v>
      </c>
      <c r="R143" s="79" t="s">
        <v>335</v>
      </c>
      <c r="S143" s="79" t="s">
        <v>342</v>
      </c>
      <c r="T143" s="113">
        <v>1329966</v>
      </c>
      <c r="U143" s="113">
        <v>1127089.8305084747</v>
      </c>
      <c r="V143" s="113">
        <v>34</v>
      </c>
      <c r="X143" s="79" t="s">
        <v>1154</v>
      </c>
      <c r="Y143" s="79" t="s">
        <v>335</v>
      </c>
      <c r="Z143" s="79" t="s">
        <v>342</v>
      </c>
      <c r="AA143" s="113">
        <v>0</v>
      </c>
      <c r="AB143" s="113"/>
      <c r="AC143" s="113"/>
    </row>
    <row r="144" spans="1:29" ht="15.75" hidden="1" customHeight="1" outlineLevel="1" x14ac:dyDescent="0.2">
      <c r="A144" s="278" t="s">
        <v>1159</v>
      </c>
      <c r="B144" s="198" t="s">
        <v>40</v>
      </c>
      <c r="C144" s="181"/>
      <c r="D144" s="278" t="s">
        <v>1158</v>
      </c>
      <c r="E144" s="278" t="s">
        <v>72</v>
      </c>
      <c r="F144" s="278" t="s">
        <v>111</v>
      </c>
      <c r="G144" s="182">
        <v>70</v>
      </c>
      <c r="H144" s="182">
        <v>91</v>
      </c>
      <c r="J144" s="79" t="s">
        <v>1175</v>
      </c>
      <c r="K144" s="79"/>
      <c r="L144" s="79"/>
      <c r="M144" s="113">
        <v>8430260</v>
      </c>
      <c r="N144" s="113">
        <v>7144288.1355932206</v>
      </c>
      <c r="O144" s="113">
        <v>190</v>
      </c>
      <c r="Q144" s="79" t="s">
        <v>1175</v>
      </c>
      <c r="R144" s="79"/>
      <c r="S144" s="79"/>
      <c r="T144" s="113">
        <v>4001210</v>
      </c>
      <c r="U144" s="113">
        <v>3390855.9322033902</v>
      </c>
      <c r="V144" s="113">
        <v>90</v>
      </c>
      <c r="X144" s="79" t="s">
        <v>1175</v>
      </c>
      <c r="Y144" s="79"/>
      <c r="Z144" s="79"/>
      <c r="AA144" s="113">
        <v>30995</v>
      </c>
      <c r="AB144" s="113">
        <v>26266.949152542373</v>
      </c>
      <c r="AC144" s="113">
        <v>5</v>
      </c>
    </row>
    <row r="145" spans="1:29" ht="15.75" hidden="1" customHeight="1" outlineLevel="1" x14ac:dyDescent="0.2">
      <c r="A145" s="278" t="s">
        <v>1160</v>
      </c>
      <c r="B145" s="198" t="s">
        <v>1074</v>
      </c>
      <c r="C145" s="181"/>
      <c r="D145" s="278" t="s">
        <v>1158</v>
      </c>
      <c r="E145" s="278" t="s">
        <v>72</v>
      </c>
      <c r="F145" s="278" t="s">
        <v>111</v>
      </c>
      <c r="G145" s="182">
        <v>70</v>
      </c>
      <c r="H145" s="182">
        <v>91</v>
      </c>
      <c r="J145" s="79" t="s">
        <v>1155</v>
      </c>
      <c r="K145" s="79" t="s">
        <v>657</v>
      </c>
      <c r="L145" s="79" t="s">
        <v>39</v>
      </c>
      <c r="M145" s="113">
        <v>1602165</v>
      </c>
      <c r="N145" s="113">
        <v>1357766.949152542</v>
      </c>
      <c r="O145" s="113">
        <v>35</v>
      </c>
      <c r="Q145" s="79" t="s">
        <v>1155</v>
      </c>
      <c r="R145" s="79" t="s">
        <v>657</v>
      </c>
      <c r="S145" s="79" t="s">
        <v>39</v>
      </c>
      <c r="T145" s="113">
        <v>438489</v>
      </c>
      <c r="U145" s="113">
        <v>371600.84745762718</v>
      </c>
      <c r="V145" s="113">
        <v>11</v>
      </c>
      <c r="X145" s="79" t="s">
        <v>1155</v>
      </c>
      <c r="Y145" s="79" t="s">
        <v>657</v>
      </c>
      <c r="Z145" s="79" t="s">
        <v>39</v>
      </c>
      <c r="AA145" s="113">
        <v>0</v>
      </c>
      <c r="AB145" s="113"/>
      <c r="AC145" s="113"/>
    </row>
    <row r="146" spans="1:29" ht="15.75" hidden="1" customHeight="1" outlineLevel="1" x14ac:dyDescent="0.2">
      <c r="A146" s="278" t="s">
        <v>72</v>
      </c>
      <c r="B146" s="198" t="s">
        <v>43</v>
      </c>
      <c r="C146" s="181"/>
      <c r="D146" s="278" t="s">
        <v>1158</v>
      </c>
      <c r="E146" s="278" t="s">
        <v>72</v>
      </c>
      <c r="F146" s="278" t="s">
        <v>111</v>
      </c>
      <c r="G146" s="182">
        <v>70</v>
      </c>
      <c r="H146" s="182">
        <v>91</v>
      </c>
      <c r="J146" s="79" t="s">
        <v>1155</v>
      </c>
      <c r="K146" s="79" t="s">
        <v>1156</v>
      </c>
      <c r="L146" s="79" t="s">
        <v>1157</v>
      </c>
      <c r="M146" s="113">
        <v>2031103</v>
      </c>
      <c r="N146" s="113">
        <v>1721273.7288135586</v>
      </c>
      <c r="O146" s="113">
        <v>47</v>
      </c>
      <c r="Q146" s="79" t="s">
        <v>1155</v>
      </c>
      <c r="R146" s="79" t="s">
        <v>1156</v>
      </c>
      <c r="S146" s="79" t="s">
        <v>1157</v>
      </c>
      <c r="T146" s="113">
        <v>183296</v>
      </c>
      <c r="U146" s="113">
        <v>155335.59322033898</v>
      </c>
      <c r="V146" s="113">
        <v>4</v>
      </c>
      <c r="X146" s="79" t="s">
        <v>1155</v>
      </c>
      <c r="Y146" s="79" t="s">
        <v>1156</v>
      </c>
      <c r="Z146" s="79" t="s">
        <v>1157</v>
      </c>
      <c r="AA146" s="113">
        <v>13998</v>
      </c>
      <c r="AB146" s="113">
        <v>11862.71186440678</v>
      </c>
      <c r="AC146" s="113">
        <v>2</v>
      </c>
    </row>
    <row r="147" spans="1:29" ht="15.75" hidden="1" customHeight="1" outlineLevel="1" x14ac:dyDescent="0.2">
      <c r="A147" s="278" t="s">
        <v>925</v>
      </c>
      <c r="B147" s="198" t="s">
        <v>764</v>
      </c>
      <c r="C147" s="181"/>
      <c r="D147" s="278" t="s">
        <v>1158</v>
      </c>
      <c r="E147" s="278" t="s">
        <v>72</v>
      </c>
      <c r="F147" s="278" t="s">
        <v>111</v>
      </c>
      <c r="G147" s="182">
        <v>75</v>
      </c>
      <c r="H147" s="182">
        <v>97.5</v>
      </c>
      <c r="J147" s="79" t="s">
        <v>1155</v>
      </c>
      <c r="K147" s="112" t="s">
        <v>286</v>
      </c>
      <c r="L147" s="79" t="s">
        <v>37</v>
      </c>
      <c r="M147" s="113">
        <v>1588364</v>
      </c>
      <c r="N147" s="113">
        <v>1346071.1864406776</v>
      </c>
      <c r="O147" s="113">
        <v>36</v>
      </c>
      <c r="Q147" s="79" t="s">
        <v>1155</v>
      </c>
      <c r="R147" s="112" t="s">
        <v>286</v>
      </c>
      <c r="S147" s="79" t="s">
        <v>37</v>
      </c>
      <c r="T147" s="113">
        <v>82998</v>
      </c>
      <c r="U147" s="113">
        <v>70337.288135593219</v>
      </c>
      <c r="V147" s="113">
        <v>2</v>
      </c>
      <c r="X147" s="79" t="s">
        <v>1155</v>
      </c>
      <c r="Y147" s="112" t="s">
        <v>286</v>
      </c>
      <c r="Z147" s="79" t="s">
        <v>37</v>
      </c>
      <c r="AA147" s="113">
        <v>29995</v>
      </c>
      <c r="AB147" s="113">
        <v>25419.491525423728</v>
      </c>
      <c r="AC147" s="113">
        <v>5</v>
      </c>
    </row>
    <row r="148" spans="1:29" ht="15.75" hidden="1" customHeight="1" outlineLevel="1" x14ac:dyDescent="0.2">
      <c r="A148" s="281" t="s">
        <v>1430</v>
      </c>
      <c r="B148" s="198" t="s">
        <v>1431</v>
      </c>
      <c r="C148" s="181"/>
      <c r="D148" s="278" t="s">
        <v>1161</v>
      </c>
      <c r="E148" s="278" t="s">
        <v>41</v>
      </c>
      <c r="F148" s="278" t="s">
        <v>111</v>
      </c>
      <c r="G148" s="182">
        <v>50</v>
      </c>
      <c r="H148" s="182">
        <v>65</v>
      </c>
      <c r="J148" s="79" t="s">
        <v>1176</v>
      </c>
      <c r="K148" s="79"/>
      <c r="L148" s="79"/>
      <c r="M148" s="113">
        <v>5221632</v>
      </c>
      <c r="N148" s="113">
        <v>4425111.8644067785</v>
      </c>
      <c r="O148" s="113">
        <v>118</v>
      </c>
      <c r="Q148" s="79" t="s">
        <v>1176</v>
      </c>
      <c r="R148" s="79"/>
      <c r="S148" s="79"/>
      <c r="T148" s="113">
        <v>704783</v>
      </c>
      <c r="U148" s="113">
        <v>597273.7288135594</v>
      </c>
      <c r="V148" s="113">
        <v>17</v>
      </c>
      <c r="X148" s="79" t="s">
        <v>1176</v>
      </c>
      <c r="Y148" s="79"/>
      <c r="Z148" s="79"/>
      <c r="AA148" s="113">
        <v>43993</v>
      </c>
      <c r="AB148" s="113">
        <v>37282.203389830509</v>
      </c>
      <c r="AC148" s="113">
        <v>7</v>
      </c>
    </row>
    <row r="149" spans="1:29" ht="15.75" hidden="1" customHeight="1" outlineLevel="1" x14ac:dyDescent="0.2">
      <c r="A149" s="281" t="s">
        <v>304</v>
      </c>
      <c r="B149" s="198" t="s">
        <v>306</v>
      </c>
      <c r="C149" s="284" t="s">
        <v>117</v>
      </c>
      <c r="D149" s="278" t="s">
        <v>1161</v>
      </c>
      <c r="E149" s="278" t="s">
        <v>41</v>
      </c>
      <c r="F149" s="278" t="s">
        <v>111</v>
      </c>
      <c r="G149" s="182">
        <v>80</v>
      </c>
      <c r="H149" s="182">
        <v>104</v>
      </c>
      <c r="J149" s="79" t="s">
        <v>1158</v>
      </c>
      <c r="K149" s="230" t="s">
        <v>726</v>
      </c>
      <c r="L149" s="22" t="s">
        <v>727</v>
      </c>
      <c r="M149" s="113">
        <v>1376721</v>
      </c>
      <c r="N149" s="113">
        <v>1166712.7118644072</v>
      </c>
      <c r="O149" s="113">
        <v>29</v>
      </c>
      <c r="Q149" s="79" t="s">
        <v>1158</v>
      </c>
      <c r="R149" s="230" t="s">
        <v>726</v>
      </c>
      <c r="S149" s="22" t="s">
        <v>727</v>
      </c>
      <c r="T149" s="113">
        <v>110646</v>
      </c>
      <c r="U149" s="113">
        <v>93767.796610169491</v>
      </c>
      <c r="V149" s="113">
        <v>4</v>
      </c>
      <c r="X149" s="79" t="s">
        <v>1158</v>
      </c>
      <c r="Y149" s="230" t="s">
        <v>726</v>
      </c>
      <c r="Z149" s="22" t="s">
        <v>727</v>
      </c>
      <c r="AA149" s="113">
        <v>13998</v>
      </c>
      <c r="AB149" s="113">
        <v>11862.71186440678</v>
      </c>
      <c r="AC149" s="113">
        <v>2</v>
      </c>
    </row>
    <row r="150" spans="1:29" ht="15.75" hidden="1" customHeight="1" outlineLevel="1" x14ac:dyDescent="0.2">
      <c r="A150" s="281" t="s">
        <v>659</v>
      </c>
      <c r="B150" s="198" t="s">
        <v>660</v>
      </c>
      <c r="C150" s="265"/>
      <c r="D150" s="278" t="s">
        <v>1161</v>
      </c>
      <c r="E150" s="278" t="s">
        <v>41</v>
      </c>
      <c r="F150" s="278" t="s">
        <v>111</v>
      </c>
      <c r="G150" s="182">
        <v>70</v>
      </c>
      <c r="H150" s="182">
        <v>91</v>
      </c>
      <c r="J150" s="79" t="s">
        <v>1158</v>
      </c>
      <c r="K150" s="79" t="s">
        <v>291</v>
      </c>
      <c r="L150" s="79" t="s">
        <v>40</v>
      </c>
      <c r="M150" s="113">
        <v>639535</v>
      </c>
      <c r="N150" s="113">
        <v>541978.81355932192</v>
      </c>
      <c r="O150" s="113">
        <v>15</v>
      </c>
      <c r="Q150" s="79" t="s">
        <v>1158</v>
      </c>
      <c r="R150" s="79" t="s">
        <v>291</v>
      </c>
      <c r="S150" s="79" t="s">
        <v>40</v>
      </c>
      <c r="T150" s="113">
        <v>184045</v>
      </c>
      <c r="U150" s="113">
        <v>155970.33898305084</v>
      </c>
      <c r="V150" s="113">
        <v>5</v>
      </c>
      <c r="X150" s="79" t="s">
        <v>1158</v>
      </c>
      <c r="Y150" s="79" t="s">
        <v>291</v>
      </c>
      <c r="Z150" s="79" t="s">
        <v>40</v>
      </c>
      <c r="AA150" s="113">
        <v>6999</v>
      </c>
      <c r="AB150" s="113">
        <v>5931.3559322033898</v>
      </c>
      <c r="AC150" s="113">
        <v>1</v>
      </c>
    </row>
    <row r="151" spans="1:29" ht="15.75" hidden="1" customHeight="1" outlineLevel="1" x14ac:dyDescent="0.2">
      <c r="A151" s="281" t="s">
        <v>117</v>
      </c>
      <c r="B151" s="198" t="s">
        <v>196</v>
      </c>
      <c r="C151" s="181"/>
      <c r="D151" s="278" t="s">
        <v>1161</v>
      </c>
      <c r="E151" s="278" t="s">
        <v>41</v>
      </c>
      <c r="F151" s="278" t="s">
        <v>111</v>
      </c>
      <c r="G151" s="182">
        <v>85</v>
      </c>
      <c r="H151" s="182">
        <v>110.5</v>
      </c>
      <c r="J151" s="42" t="s">
        <v>1158</v>
      </c>
      <c r="K151" s="42" t="s">
        <v>1073</v>
      </c>
      <c r="L151" s="42" t="s">
        <v>1074</v>
      </c>
      <c r="M151" s="113">
        <v>1584313</v>
      </c>
      <c r="N151" s="113">
        <v>1342638.1355932201</v>
      </c>
      <c r="O151" s="113">
        <v>37</v>
      </c>
      <c r="Q151" s="42" t="s">
        <v>1158</v>
      </c>
      <c r="R151" s="42" t="s">
        <v>1073</v>
      </c>
      <c r="S151" s="42" t="s">
        <v>1074</v>
      </c>
      <c r="T151" s="113">
        <v>624537</v>
      </c>
      <c r="U151" s="113">
        <v>529268.64406779665</v>
      </c>
      <c r="V151" s="113">
        <v>13</v>
      </c>
      <c r="X151" s="42" t="s">
        <v>1158</v>
      </c>
      <c r="Y151" s="42" t="s">
        <v>1073</v>
      </c>
      <c r="Z151" s="42" t="s">
        <v>1074</v>
      </c>
      <c r="AA151" s="113">
        <v>0</v>
      </c>
      <c r="AB151" s="113"/>
      <c r="AC151" s="113"/>
    </row>
    <row r="152" spans="1:29" ht="15.75" hidden="1" customHeight="1" outlineLevel="1" x14ac:dyDescent="0.2">
      <c r="A152" s="281" t="s">
        <v>765</v>
      </c>
      <c r="B152" s="198" t="s">
        <v>766</v>
      </c>
      <c r="C152" s="265"/>
      <c r="D152" s="278" t="s">
        <v>1161</v>
      </c>
      <c r="E152" s="278" t="s">
        <v>41</v>
      </c>
      <c r="F152" s="278" t="s">
        <v>111</v>
      </c>
      <c r="G152" s="182">
        <v>80</v>
      </c>
      <c r="H152" s="182">
        <v>104</v>
      </c>
      <c r="J152" s="79" t="s">
        <v>1158</v>
      </c>
      <c r="K152" s="79" t="s">
        <v>72</v>
      </c>
      <c r="L152" s="111" t="s">
        <v>43</v>
      </c>
      <c r="M152" s="113">
        <v>1060728</v>
      </c>
      <c r="N152" s="113">
        <v>898922.03389830526</v>
      </c>
      <c r="O152" s="113">
        <v>22</v>
      </c>
      <c r="Q152" s="79" t="s">
        <v>1158</v>
      </c>
      <c r="R152" s="79" t="s">
        <v>72</v>
      </c>
      <c r="S152" s="111" t="s">
        <v>43</v>
      </c>
      <c r="T152" s="113">
        <v>808584</v>
      </c>
      <c r="U152" s="113">
        <v>685240.67796610179</v>
      </c>
      <c r="V152" s="113">
        <v>16</v>
      </c>
      <c r="X152" s="79" t="s">
        <v>1158</v>
      </c>
      <c r="Y152" s="79" t="s">
        <v>72</v>
      </c>
      <c r="Z152" s="111" t="s">
        <v>43</v>
      </c>
      <c r="AA152" s="113">
        <v>0</v>
      </c>
      <c r="AB152" s="113"/>
      <c r="AC152" s="113"/>
    </row>
    <row r="153" spans="1:29" ht="15.75" hidden="1" customHeight="1" outlineLevel="1" x14ac:dyDescent="0.2">
      <c r="A153" s="281" t="s">
        <v>41</v>
      </c>
      <c r="B153" s="198" t="s">
        <v>42</v>
      </c>
      <c r="C153" s="181"/>
      <c r="D153" s="278" t="s">
        <v>1161</v>
      </c>
      <c r="E153" s="278" t="s">
        <v>41</v>
      </c>
      <c r="F153" s="278" t="s">
        <v>111</v>
      </c>
      <c r="G153" s="182">
        <v>90</v>
      </c>
      <c r="H153" s="182">
        <v>117</v>
      </c>
      <c r="J153" s="79" t="s">
        <v>1158</v>
      </c>
      <c r="K153" s="79" t="s">
        <v>925</v>
      </c>
      <c r="L153" s="79" t="s">
        <v>764</v>
      </c>
      <c r="M153" s="113">
        <v>2303597</v>
      </c>
      <c r="N153" s="113">
        <v>1952200.8474576268</v>
      </c>
      <c r="O153" s="113">
        <v>53</v>
      </c>
      <c r="Q153" s="79" t="s">
        <v>1158</v>
      </c>
      <c r="R153" s="79" t="s">
        <v>925</v>
      </c>
      <c r="S153" s="79" t="s">
        <v>764</v>
      </c>
      <c r="T153" s="113">
        <v>218845</v>
      </c>
      <c r="U153" s="113">
        <v>185461.86440677967</v>
      </c>
      <c r="V153" s="113">
        <v>5</v>
      </c>
      <c r="X153" s="79" t="s">
        <v>1158</v>
      </c>
      <c r="Y153" s="79" t="s">
        <v>925</v>
      </c>
      <c r="Z153" s="79" t="s">
        <v>764</v>
      </c>
      <c r="AA153" s="113">
        <v>13998</v>
      </c>
      <c r="AB153" s="113">
        <v>11862.71186440678</v>
      </c>
      <c r="AC153" s="113">
        <v>2</v>
      </c>
    </row>
    <row r="154" spans="1:29" ht="15.75" hidden="1" customHeight="1" outlineLevel="1" x14ac:dyDescent="0.2">
      <c r="A154" s="281" t="s">
        <v>240</v>
      </c>
      <c r="B154" s="198" t="s">
        <v>241</v>
      </c>
      <c r="C154" s="265"/>
      <c r="D154" s="278" t="s">
        <v>1162</v>
      </c>
      <c r="E154" s="233"/>
      <c r="F154" s="278" t="s">
        <v>111</v>
      </c>
      <c r="G154" s="182">
        <v>80</v>
      </c>
      <c r="H154" s="182">
        <v>104</v>
      </c>
      <c r="J154" s="79" t="s">
        <v>1158</v>
      </c>
      <c r="K154" s="79" t="s">
        <v>928</v>
      </c>
      <c r="L154" s="79" t="s">
        <v>759</v>
      </c>
      <c r="M154" s="113">
        <v>642786</v>
      </c>
      <c r="N154" s="113">
        <v>544733.89830508467</v>
      </c>
      <c r="O154" s="113">
        <v>14</v>
      </c>
      <c r="Q154" s="79" t="s">
        <v>1158</v>
      </c>
      <c r="R154" s="79" t="s">
        <v>928</v>
      </c>
      <c r="S154" s="79" t="s">
        <v>759</v>
      </c>
      <c r="T154" s="113">
        <v>336792</v>
      </c>
      <c r="U154" s="113">
        <v>285416.94915254239</v>
      </c>
      <c r="V154" s="113">
        <v>8</v>
      </c>
      <c r="X154" s="79" t="s">
        <v>1158</v>
      </c>
      <c r="Y154" s="79" t="s">
        <v>928</v>
      </c>
      <c r="Z154" s="79" t="s">
        <v>759</v>
      </c>
      <c r="AA154" s="113">
        <v>6999</v>
      </c>
      <c r="AB154" s="113">
        <v>5931.3559322033898</v>
      </c>
      <c r="AC154" s="113">
        <v>1</v>
      </c>
    </row>
    <row r="155" spans="1:29" ht="15.75" hidden="1" customHeight="1" outlineLevel="1" x14ac:dyDescent="0.2">
      <c r="A155" s="283" t="s">
        <v>352</v>
      </c>
      <c r="B155" s="198" t="s">
        <v>289</v>
      </c>
      <c r="C155" s="265"/>
      <c r="D155" s="278" t="s">
        <v>1162</v>
      </c>
      <c r="E155" s="233"/>
      <c r="F155" s="278" t="s">
        <v>111</v>
      </c>
      <c r="G155" s="182">
        <v>85</v>
      </c>
      <c r="H155" s="182">
        <v>110.5</v>
      </c>
      <c r="J155" s="79" t="s">
        <v>1158</v>
      </c>
      <c r="K155" s="79" t="s">
        <v>1040</v>
      </c>
      <c r="L155" s="79" t="s">
        <v>1043</v>
      </c>
      <c r="M155" s="113">
        <v>598782</v>
      </c>
      <c r="N155" s="113">
        <v>507442.37288135587</v>
      </c>
      <c r="O155" s="113">
        <v>18</v>
      </c>
      <c r="Q155" s="79" t="s">
        <v>1158</v>
      </c>
      <c r="R155" s="79" t="s">
        <v>1040</v>
      </c>
      <c r="S155" s="79" t="s">
        <v>1043</v>
      </c>
      <c r="T155" s="113">
        <v>452037</v>
      </c>
      <c r="U155" s="113">
        <v>383082.20338983048</v>
      </c>
      <c r="V155" s="113">
        <v>13</v>
      </c>
      <c r="X155" s="79" t="s">
        <v>1158</v>
      </c>
      <c r="Y155" s="79" t="s">
        <v>1040</v>
      </c>
      <c r="Z155" s="79" t="s">
        <v>1043</v>
      </c>
      <c r="AA155" s="113">
        <v>6999</v>
      </c>
      <c r="AB155" s="113">
        <v>5931.3559322033898</v>
      </c>
      <c r="AC155" s="113">
        <v>1</v>
      </c>
    </row>
    <row r="156" spans="1:29" ht="15.75" hidden="1" customHeight="1" outlineLevel="1" x14ac:dyDescent="0.2">
      <c r="A156" s="283" t="s">
        <v>198</v>
      </c>
      <c r="B156" s="198" t="s">
        <v>35</v>
      </c>
      <c r="C156" s="181"/>
      <c r="D156" s="278" t="s">
        <v>1162</v>
      </c>
      <c r="E156" s="233"/>
      <c r="F156" s="278" t="s">
        <v>111</v>
      </c>
      <c r="G156" s="182">
        <v>80</v>
      </c>
      <c r="H156" s="182">
        <v>104</v>
      </c>
      <c r="J156" s="79" t="s">
        <v>1177</v>
      </c>
      <c r="K156" s="79"/>
      <c r="L156" s="79"/>
      <c r="M156" s="113">
        <v>8206462</v>
      </c>
      <c r="N156" s="113">
        <v>6954628.8135593217</v>
      </c>
      <c r="O156" s="113">
        <v>188</v>
      </c>
      <c r="Q156" s="79" t="s">
        <v>1177</v>
      </c>
      <c r="R156" s="79"/>
      <c r="S156" s="79"/>
      <c r="T156" s="113">
        <v>2735486</v>
      </c>
      <c r="U156" s="113">
        <v>2318208.4745762711</v>
      </c>
      <c r="V156" s="113">
        <v>64</v>
      </c>
      <c r="X156" s="79" t="s">
        <v>1177</v>
      </c>
      <c r="Y156" s="79"/>
      <c r="Z156" s="79"/>
      <c r="AA156" s="113">
        <v>48993</v>
      </c>
      <c r="AB156" s="113">
        <v>41519.491525423728</v>
      </c>
      <c r="AC156" s="113">
        <v>7</v>
      </c>
    </row>
    <row r="157" spans="1:29" ht="15.75" hidden="1" customHeight="1" outlineLevel="1" x14ac:dyDescent="0.2">
      <c r="A157" s="278" t="s">
        <v>207</v>
      </c>
      <c r="B157" s="198" t="s">
        <v>201</v>
      </c>
      <c r="C157" s="265"/>
      <c r="D157" s="278" t="s">
        <v>1163</v>
      </c>
      <c r="E157" s="279" t="s">
        <v>57</v>
      </c>
      <c r="F157" s="280" t="s">
        <v>1164</v>
      </c>
      <c r="G157" s="182">
        <v>80</v>
      </c>
      <c r="H157" s="182">
        <v>104</v>
      </c>
      <c r="J157" s="79" t="s">
        <v>1161</v>
      </c>
      <c r="K157" s="42" t="s">
        <v>1041</v>
      </c>
      <c r="L157" s="42" t="s">
        <v>1042</v>
      </c>
      <c r="M157" s="113">
        <v>0</v>
      </c>
      <c r="N157" s="113"/>
      <c r="O157" s="113"/>
      <c r="Q157" s="79" t="s">
        <v>1161</v>
      </c>
      <c r="R157" s="42" t="s">
        <v>1041</v>
      </c>
      <c r="S157" s="42" t="s">
        <v>1042</v>
      </c>
      <c r="T157" s="113">
        <v>0</v>
      </c>
      <c r="U157" s="113"/>
      <c r="V157" s="113"/>
      <c r="X157" s="79" t="s">
        <v>1161</v>
      </c>
      <c r="Y157" s="42" t="s">
        <v>1041</v>
      </c>
      <c r="Z157" s="42" t="s">
        <v>1042</v>
      </c>
      <c r="AA157" s="113">
        <v>0</v>
      </c>
      <c r="AB157" s="113"/>
      <c r="AC157" s="113"/>
    </row>
    <row r="158" spans="1:29" ht="15.75" hidden="1" customHeight="1" outlineLevel="1" x14ac:dyDescent="0.2">
      <c r="A158" s="278" t="s">
        <v>299</v>
      </c>
      <c r="B158" s="198" t="s">
        <v>290</v>
      </c>
      <c r="C158" s="265"/>
      <c r="D158" s="278" t="s">
        <v>1163</v>
      </c>
      <c r="E158" s="279" t="s">
        <v>57</v>
      </c>
      <c r="F158" s="280" t="s">
        <v>1164</v>
      </c>
      <c r="G158" s="182">
        <v>80</v>
      </c>
      <c r="H158" s="182">
        <v>104</v>
      </c>
      <c r="J158" s="79" t="s">
        <v>1161</v>
      </c>
      <c r="K158" s="42" t="s">
        <v>304</v>
      </c>
      <c r="L158" s="42" t="s">
        <v>306</v>
      </c>
      <c r="M158" s="113">
        <v>1457770</v>
      </c>
      <c r="N158" s="113">
        <v>1235398.3050847459</v>
      </c>
      <c r="O158" s="113">
        <v>30</v>
      </c>
      <c r="Q158" s="79" t="s">
        <v>1161</v>
      </c>
      <c r="R158" s="42" t="s">
        <v>304</v>
      </c>
      <c r="S158" s="42" t="s">
        <v>306</v>
      </c>
      <c r="T158" s="113">
        <v>173645</v>
      </c>
      <c r="U158" s="113">
        <v>147156.77966101695</v>
      </c>
      <c r="V158" s="113">
        <v>5</v>
      </c>
      <c r="X158" s="79" t="s">
        <v>1161</v>
      </c>
      <c r="Y158" s="42" t="s">
        <v>304</v>
      </c>
      <c r="Z158" s="42" t="s">
        <v>306</v>
      </c>
      <c r="AA158" s="113">
        <v>0</v>
      </c>
      <c r="AB158" s="113"/>
      <c r="AC158" s="113"/>
    </row>
    <row r="159" spans="1:29" ht="15.75" hidden="1" customHeight="1" outlineLevel="1" x14ac:dyDescent="0.2">
      <c r="A159" s="278" t="s">
        <v>1165</v>
      </c>
      <c r="B159" s="198" t="s">
        <v>1166</v>
      </c>
      <c r="C159" s="181"/>
      <c r="D159" s="278" t="s">
        <v>1163</v>
      </c>
      <c r="E159" s="278" t="s">
        <v>57</v>
      </c>
      <c r="F159" s="280" t="s">
        <v>1164</v>
      </c>
      <c r="G159" s="182">
        <v>70</v>
      </c>
      <c r="H159" s="182">
        <v>91</v>
      </c>
      <c r="J159" s="79" t="s">
        <v>1161</v>
      </c>
      <c r="K159" s="79" t="s">
        <v>659</v>
      </c>
      <c r="L159" s="79" t="s">
        <v>660</v>
      </c>
      <c r="M159" s="113">
        <v>1767317</v>
      </c>
      <c r="N159" s="113">
        <v>1497726.27118644</v>
      </c>
      <c r="O159" s="113">
        <v>33</v>
      </c>
      <c r="Q159" s="79" t="s">
        <v>1161</v>
      </c>
      <c r="R159" s="79" t="s">
        <v>659</v>
      </c>
      <c r="S159" s="79" t="s">
        <v>660</v>
      </c>
      <c r="T159" s="113">
        <v>314993</v>
      </c>
      <c r="U159" s="113">
        <v>266943.22033898305</v>
      </c>
      <c r="V159" s="113">
        <v>7</v>
      </c>
      <c r="X159" s="79" t="s">
        <v>1161</v>
      </c>
      <c r="Y159" s="79" t="s">
        <v>659</v>
      </c>
      <c r="Z159" s="79" t="s">
        <v>660</v>
      </c>
      <c r="AA159" s="113">
        <v>0</v>
      </c>
      <c r="AB159" s="113"/>
      <c r="AC159" s="113"/>
    </row>
    <row r="160" spans="1:29" ht="15.75" hidden="1" customHeight="1" outlineLevel="1" x14ac:dyDescent="0.2">
      <c r="A160" s="278" t="s">
        <v>57</v>
      </c>
      <c r="B160" s="198" t="s">
        <v>58</v>
      </c>
      <c r="C160" s="181"/>
      <c r="D160" s="278" t="s">
        <v>1163</v>
      </c>
      <c r="E160" s="278" t="s">
        <v>57</v>
      </c>
      <c r="F160" s="280" t="s">
        <v>1164</v>
      </c>
      <c r="G160" s="182">
        <v>70</v>
      </c>
      <c r="H160" s="182">
        <v>91</v>
      </c>
      <c r="J160" s="79" t="s">
        <v>1161</v>
      </c>
      <c r="K160" s="79" t="s">
        <v>117</v>
      </c>
      <c r="L160" s="79" t="s">
        <v>196</v>
      </c>
      <c r="M160" s="113">
        <v>1884166</v>
      </c>
      <c r="N160" s="113">
        <v>1596750.8474576266</v>
      </c>
      <c r="O160" s="113">
        <v>36</v>
      </c>
      <c r="Q160" s="79" t="s">
        <v>1161</v>
      </c>
      <c r="R160" s="79" t="s">
        <v>117</v>
      </c>
      <c r="S160" s="79" t="s">
        <v>196</v>
      </c>
      <c r="T160" s="113">
        <v>1038779</v>
      </c>
      <c r="U160" s="113">
        <v>880321.18644067796</v>
      </c>
      <c r="V160" s="113">
        <v>21</v>
      </c>
      <c r="X160" s="79" t="s">
        <v>1161</v>
      </c>
      <c r="Y160" s="79" t="s">
        <v>117</v>
      </c>
      <c r="Z160" s="79" t="s">
        <v>196</v>
      </c>
      <c r="AA160" s="113">
        <v>0</v>
      </c>
      <c r="AB160" s="113"/>
      <c r="AC160" s="113"/>
    </row>
    <row r="161" spans="1:29" ht="15.75" hidden="1" customHeight="1" outlineLevel="1" x14ac:dyDescent="0.2">
      <c r="A161" s="281" t="s">
        <v>837</v>
      </c>
      <c r="B161" s="198" t="s">
        <v>838</v>
      </c>
      <c r="C161" s="181"/>
      <c r="D161" s="281" t="s">
        <v>1163</v>
      </c>
      <c r="E161" s="281" t="s">
        <v>57</v>
      </c>
      <c r="F161" s="280" t="s">
        <v>1164</v>
      </c>
      <c r="G161" s="182">
        <v>70</v>
      </c>
      <c r="H161" s="182">
        <v>91</v>
      </c>
      <c r="J161" s="79" t="s">
        <v>1161</v>
      </c>
      <c r="K161" s="79" t="s">
        <v>765</v>
      </c>
      <c r="L161" s="79" t="s">
        <v>766</v>
      </c>
      <c r="M161" s="113">
        <v>2077498</v>
      </c>
      <c r="N161" s="113">
        <v>1760591.5254237291</v>
      </c>
      <c r="O161" s="113">
        <v>52</v>
      </c>
      <c r="Q161" s="79" t="s">
        <v>1161</v>
      </c>
      <c r="R161" s="79" t="s">
        <v>765</v>
      </c>
      <c r="S161" s="79" t="s">
        <v>766</v>
      </c>
      <c r="T161" s="113">
        <v>601387</v>
      </c>
      <c r="U161" s="113">
        <v>509650</v>
      </c>
      <c r="V161" s="113">
        <v>13</v>
      </c>
      <c r="X161" s="79" t="s">
        <v>1161</v>
      </c>
      <c r="Y161" s="79" t="s">
        <v>765</v>
      </c>
      <c r="Z161" s="79" t="s">
        <v>766</v>
      </c>
      <c r="AA161" s="113">
        <v>36994</v>
      </c>
      <c r="AB161" s="113">
        <v>31350.847457627118</v>
      </c>
      <c r="AC161" s="113">
        <v>6</v>
      </c>
    </row>
    <row r="162" spans="1:29" ht="15.75" hidden="1" customHeight="1" outlineLevel="1" x14ac:dyDescent="0.2">
      <c r="A162" s="278" t="s">
        <v>1167</v>
      </c>
      <c r="B162" s="198" t="s">
        <v>45</v>
      </c>
      <c r="C162" s="181"/>
      <c r="D162" s="278" t="s">
        <v>1163</v>
      </c>
      <c r="E162" s="278" t="s">
        <v>57</v>
      </c>
      <c r="F162" s="280" t="s">
        <v>1164</v>
      </c>
      <c r="G162" s="182">
        <v>80</v>
      </c>
      <c r="H162" s="182">
        <v>104</v>
      </c>
      <c r="J162" s="79" t="s">
        <v>1161</v>
      </c>
      <c r="K162" s="79" t="s">
        <v>1432</v>
      </c>
      <c r="L162" s="79" t="s">
        <v>1431</v>
      </c>
      <c r="M162" s="113">
        <v>1786615</v>
      </c>
      <c r="N162" s="113">
        <v>1514080.5084745761</v>
      </c>
      <c r="O162" s="113">
        <v>35</v>
      </c>
      <c r="Q162" s="79" t="s">
        <v>1161</v>
      </c>
      <c r="R162" s="79" t="s">
        <v>1432</v>
      </c>
      <c r="S162" s="79" t="s">
        <v>1431</v>
      </c>
      <c r="T162" s="113">
        <v>372994</v>
      </c>
      <c r="U162" s="113">
        <v>316096.6101694915</v>
      </c>
      <c r="V162" s="113">
        <v>6</v>
      </c>
      <c r="X162" s="79" t="s">
        <v>1161</v>
      </c>
      <c r="Y162" s="79" t="s">
        <v>1432</v>
      </c>
      <c r="Z162" s="79" t="s">
        <v>1431</v>
      </c>
      <c r="AA162" s="113">
        <v>0</v>
      </c>
      <c r="AB162" s="113"/>
      <c r="AC162" s="113"/>
    </row>
    <row r="163" spans="1:29" ht="15.75" hidden="1" customHeight="1" outlineLevel="1" x14ac:dyDescent="0.2">
      <c r="A163" s="278" t="s">
        <v>1168</v>
      </c>
      <c r="B163" s="198" t="s">
        <v>702</v>
      </c>
      <c r="C163" s="181"/>
      <c r="D163" s="278" t="s">
        <v>1169</v>
      </c>
      <c r="E163" s="278" t="s">
        <v>216</v>
      </c>
      <c r="F163" s="280" t="s">
        <v>1164</v>
      </c>
      <c r="G163" s="182">
        <v>70</v>
      </c>
      <c r="H163" s="182">
        <v>91</v>
      </c>
      <c r="J163" s="79" t="s">
        <v>1161</v>
      </c>
      <c r="K163" s="79" t="s">
        <v>41</v>
      </c>
      <c r="L163" s="79" t="s">
        <v>42</v>
      </c>
      <c r="M163" s="113">
        <v>3372128</v>
      </c>
      <c r="N163" s="113">
        <v>2857735.5932203373</v>
      </c>
      <c r="O163" s="113">
        <v>72</v>
      </c>
      <c r="Q163" s="79" t="s">
        <v>1161</v>
      </c>
      <c r="R163" s="79" t="s">
        <v>41</v>
      </c>
      <c r="S163" s="79" t="s">
        <v>42</v>
      </c>
      <c r="T163" s="113">
        <v>662635</v>
      </c>
      <c r="U163" s="113">
        <v>561555.08474576264</v>
      </c>
      <c r="V163" s="113">
        <v>15</v>
      </c>
      <c r="X163" s="79" t="s">
        <v>1161</v>
      </c>
      <c r="Y163" s="79" t="s">
        <v>41</v>
      </c>
      <c r="Z163" s="79" t="s">
        <v>42</v>
      </c>
      <c r="AA163" s="113">
        <v>0</v>
      </c>
      <c r="AB163" s="113"/>
      <c r="AC163" s="113"/>
    </row>
    <row r="164" spans="1:29" ht="15.75" hidden="1" customHeight="1" outlineLevel="1" x14ac:dyDescent="0.2">
      <c r="A164" s="278" t="s">
        <v>671</v>
      </c>
      <c r="B164" s="198" t="s">
        <v>200</v>
      </c>
      <c r="C164" s="278" t="s">
        <v>19</v>
      </c>
      <c r="D164" s="278" t="s">
        <v>1169</v>
      </c>
      <c r="E164" s="278" t="s">
        <v>216</v>
      </c>
      <c r="F164" s="280" t="s">
        <v>1164</v>
      </c>
      <c r="G164" s="182">
        <v>75</v>
      </c>
      <c r="H164" s="182">
        <v>97.5</v>
      </c>
      <c r="J164" s="79" t="s">
        <v>1178</v>
      </c>
      <c r="K164" s="79"/>
      <c r="L164" s="79"/>
      <c r="M164" s="113">
        <v>12345494</v>
      </c>
      <c r="N164" s="113">
        <v>10462283.050847456</v>
      </c>
      <c r="O164" s="113">
        <v>258</v>
      </c>
      <c r="Q164" s="79" t="s">
        <v>1178</v>
      </c>
      <c r="R164" s="79"/>
      <c r="S164" s="79"/>
      <c r="T164" s="113">
        <v>3164433</v>
      </c>
      <c r="U164" s="113">
        <v>2681722.881355932</v>
      </c>
      <c r="V164" s="113">
        <v>67</v>
      </c>
      <c r="X164" s="79" t="s">
        <v>1178</v>
      </c>
      <c r="Y164" s="79"/>
      <c r="Z164" s="79"/>
      <c r="AA164" s="113">
        <v>36994</v>
      </c>
      <c r="AB164" s="113">
        <v>31350.847457627118</v>
      </c>
      <c r="AC164" s="113">
        <v>6</v>
      </c>
    </row>
    <row r="165" spans="1:29" ht="15.75" hidden="1" customHeight="1" outlineLevel="1" x14ac:dyDescent="0.2">
      <c r="A165" s="278" t="s">
        <v>333</v>
      </c>
      <c r="B165" s="198" t="s">
        <v>340</v>
      </c>
      <c r="C165" s="180"/>
      <c r="D165" s="278" t="s">
        <v>1169</v>
      </c>
      <c r="E165" s="278" t="s">
        <v>216</v>
      </c>
      <c r="F165" s="280" t="s">
        <v>1164</v>
      </c>
      <c r="G165" s="170">
        <v>70</v>
      </c>
      <c r="H165" s="285">
        <v>91</v>
      </c>
      <c r="J165" s="79" t="s">
        <v>1162</v>
      </c>
      <c r="K165" s="79" t="s">
        <v>240</v>
      </c>
      <c r="L165" s="79" t="s">
        <v>241</v>
      </c>
      <c r="M165" s="113">
        <v>1472716</v>
      </c>
      <c r="N165" s="113">
        <v>1248064.4067796608</v>
      </c>
      <c r="O165" s="113">
        <v>34</v>
      </c>
      <c r="Q165" s="79" t="s">
        <v>1162</v>
      </c>
      <c r="R165" s="79" t="s">
        <v>240</v>
      </c>
      <c r="S165" s="79" t="s">
        <v>241</v>
      </c>
      <c r="T165" s="113">
        <v>332792</v>
      </c>
      <c r="U165" s="113">
        <v>282027.11864406778</v>
      </c>
      <c r="V165" s="113">
        <v>8</v>
      </c>
      <c r="X165" s="79" t="s">
        <v>1162</v>
      </c>
      <c r="Y165" s="79" t="s">
        <v>240</v>
      </c>
      <c r="Z165" s="79" t="s">
        <v>241</v>
      </c>
      <c r="AA165" s="113">
        <v>24996</v>
      </c>
      <c r="AB165" s="113">
        <v>21183.050847457627</v>
      </c>
      <c r="AC165" s="113">
        <v>4</v>
      </c>
    </row>
    <row r="166" spans="1:29" ht="15.75" hidden="1" customHeight="1" outlineLevel="1" x14ac:dyDescent="0.2">
      <c r="A166" s="278" t="s">
        <v>216</v>
      </c>
      <c r="B166" s="198" t="s">
        <v>18</v>
      </c>
      <c r="C166" s="180"/>
      <c r="D166" s="278" t="s">
        <v>1169</v>
      </c>
      <c r="E166" s="278" t="s">
        <v>216</v>
      </c>
      <c r="F166" s="280" t="s">
        <v>1164</v>
      </c>
      <c r="G166" s="170">
        <v>70</v>
      </c>
      <c r="H166" s="285">
        <v>91</v>
      </c>
      <c r="J166" s="112" t="s">
        <v>1162</v>
      </c>
      <c r="K166" s="79" t="s">
        <v>352</v>
      </c>
      <c r="L166" s="79" t="s">
        <v>289</v>
      </c>
      <c r="M166" s="113">
        <v>1865109</v>
      </c>
      <c r="N166" s="113">
        <v>1580600.8474576266</v>
      </c>
      <c r="O166" s="113">
        <v>41</v>
      </c>
      <c r="Q166" s="112" t="s">
        <v>1162</v>
      </c>
      <c r="R166" s="79" t="s">
        <v>352</v>
      </c>
      <c r="S166" s="79" t="s">
        <v>289</v>
      </c>
      <c r="T166" s="113">
        <v>541039</v>
      </c>
      <c r="U166" s="113">
        <v>458507.62711864407</v>
      </c>
      <c r="V166" s="113">
        <v>11</v>
      </c>
      <c r="X166" s="112" t="s">
        <v>1162</v>
      </c>
      <c r="Y166" s="79" t="s">
        <v>352</v>
      </c>
      <c r="Z166" s="79" t="s">
        <v>289</v>
      </c>
      <c r="AA166" s="113">
        <v>24996</v>
      </c>
      <c r="AB166" s="113">
        <v>21183.050847457627</v>
      </c>
      <c r="AC166" s="113">
        <v>4</v>
      </c>
    </row>
    <row r="167" spans="1:29" ht="15.75" hidden="1" customHeight="1" outlineLevel="1" x14ac:dyDescent="0.2">
      <c r="A167" s="278" t="s">
        <v>19</v>
      </c>
      <c r="B167" s="198" t="s">
        <v>205</v>
      </c>
      <c r="C167" s="180"/>
      <c r="D167" s="278" t="s">
        <v>1169</v>
      </c>
      <c r="E167" s="278" t="s">
        <v>216</v>
      </c>
      <c r="F167" s="280" t="s">
        <v>1164</v>
      </c>
      <c r="G167" s="170">
        <v>75</v>
      </c>
      <c r="H167" s="285">
        <v>97.5</v>
      </c>
      <c r="J167" s="112" t="s">
        <v>1162</v>
      </c>
      <c r="K167" s="79" t="s">
        <v>230</v>
      </c>
      <c r="L167" s="79" t="s">
        <v>35</v>
      </c>
      <c r="M167" s="113">
        <v>1833711</v>
      </c>
      <c r="N167" s="113">
        <v>1553992.3728813557</v>
      </c>
      <c r="O167" s="113">
        <v>39</v>
      </c>
      <c r="Q167" s="112" t="s">
        <v>1162</v>
      </c>
      <c r="R167" s="79" t="s">
        <v>230</v>
      </c>
      <c r="S167" s="79" t="s">
        <v>35</v>
      </c>
      <c r="T167" s="113">
        <v>642336</v>
      </c>
      <c r="U167" s="113">
        <v>544352.54237288143</v>
      </c>
      <c r="V167" s="113">
        <v>14</v>
      </c>
      <c r="X167" s="112" t="s">
        <v>1162</v>
      </c>
      <c r="Y167" s="79" t="s">
        <v>230</v>
      </c>
      <c r="Z167" s="79" t="s">
        <v>35</v>
      </c>
      <c r="AA167" s="113">
        <v>6999</v>
      </c>
      <c r="AB167" s="113">
        <v>5931.3559322033898</v>
      </c>
      <c r="AC167" s="113">
        <v>1</v>
      </c>
    </row>
    <row r="168" spans="1:29" ht="15.75" hidden="1" customHeight="1" outlineLevel="1" x14ac:dyDescent="0.2">
      <c r="J168" s="112" t="s">
        <v>1179</v>
      </c>
      <c r="K168" s="79"/>
      <c r="L168" s="79"/>
      <c r="M168" s="113">
        <v>5171536</v>
      </c>
      <c r="N168" s="113">
        <v>4382657.6271186434</v>
      </c>
      <c r="O168" s="113">
        <v>114</v>
      </c>
      <c r="Q168" s="112" t="s">
        <v>1179</v>
      </c>
      <c r="R168" s="79"/>
      <c r="S168" s="79"/>
      <c r="T168" s="113">
        <v>1516167</v>
      </c>
      <c r="U168" s="113">
        <v>1284887.2881355933</v>
      </c>
      <c r="V168" s="113">
        <v>33</v>
      </c>
      <c r="X168" s="112" t="s">
        <v>1179</v>
      </c>
      <c r="Y168" s="79"/>
      <c r="Z168" s="79"/>
      <c r="AA168" s="113">
        <v>56991</v>
      </c>
      <c r="AB168" s="113">
        <v>48297.457627118645</v>
      </c>
      <c r="AC168" s="113">
        <v>9</v>
      </c>
    </row>
    <row r="169" spans="1:29" ht="15.75" hidden="1" customHeight="1" outlineLevel="1" x14ac:dyDescent="0.2">
      <c r="J169" s="112" t="s">
        <v>1163</v>
      </c>
      <c r="K169" s="79" t="s">
        <v>207</v>
      </c>
      <c r="L169" s="79" t="s">
        <v>201</v>
      </c>
      <c r="M169" s="113">
        <v>2038305</v>
      </c>
      <c r="N169" s="113">
        <v>1727377.118644068</v>
      </c>
      <c r="O169" s="113">
        <v>45</v>
      </c>
      <c r="Q169" s="112" t="s">
        <v>1163</v>
      </c>
      <c r="R169" s="79" t="s">
        <v>207</v>
      </c>
      <c r="S169" s="79" t="s">
        <v>201</v>
      </c>
      <c r="T169" s="113">
        <v>331293</v>
      </c>
      <c r="U169" s="113">
        <v>280756.77966101695</v>
      </c>
      <c r="V169" s="113">
        <v>7</v>
      </c>
      <c r="X169" s="112" t="s">
        <v>1163</v>
      </c>
      <c r="Y169" s="79" t="s">
        <v>207</v>
      </c>
      <c r="Z169" s="79" t="s">
        <v>201</v>
      </c>
      <c r="AA169" s="113">
        <v>6999</v>
      </c>
      <c r="AB169" s="113">
        <v>5931.3559322033898</v>
      </c>
      <c r="AC169" s="113">
        <v>1</v>
      </c>
    </row>
    <row r="170" spans="1:29" ht="15.75" hidden="1" customHeight="1" outlineLevel="1" x14ac:dyDescent="0.2">
      <c r="J170" s="112" t="s">
        <v>1163</v>
      </c>
      <c r="K170" s="79" t="s">
        <v>299</v>
      </c>
      <c r="L170" s="79" t="s">
        <v>290</v>
      </c>
      <c r="M170" s="113">
        <v>2305196</v>
      </c>
      <c r="N170" s="113">
        <v>1953555.9322033888</v>
      </c>
      <c r="O170" s="113">
        <v>54</v>
      </c>
      <c r="Q170" s="112" t="s">
        <v>1163</v>
      </c>
      <c r="R170" s="79" t="s">
        <v>299</v>
      </c>
      <c r="S170" s="79" t="s">
        <v>290</v>
      </c>
      <c r="T170" s="113">
        <v>214596</v>
      </c>
      <c r="U170" s="113">
        <v>181861.01694915254</v>
      </c>
      <c r="V170" s="113">
        <v>4</v>
      </c>
      <c r="X170" s="112" t="s">
        <v>1163</v>
      </c>
      <c r="Y170" s="79" t="s">
        <v>299</v>
      </c>
      <c r="Z170" s="79" t="s">
        <v>290</v>
      </c>
      <c r="AA170" s="113">
        <v>19997</v>
      </c>
      <c r="AB170" s="113">
        <v>16946.610169491527</v>
      </c>
      <c r="AC170" s="113">
        <v>3</v>
      </c>
    </row>
    <row r="171" spans="1:29" ht="15.75" hidden="1" customHeight="1" outlineLevel="1" x14ac:dyDescent="0.2">
      <c r="J171" s="112" t="s">
        <v>1163</v>
      </c>
      <c r="K171" s="79" t="s">
        <v>837</v>
      </c>
      <c r="L171" s="79" t="s">
        <v>838</v>
      </c>
      <c r="M171" s="113">
        <v>1454965</v>
      </c>
      <c r="N171" s="113">
        <v>1233021.1864406781</v>
      </c>
      <c r="O171" s="113">
        <v>35</v>
      </c>
      <c r="Q171" s="112" t="s">
        <v>1163</v>
      </c>
      <c r="R171" s="79" t="s">
        <v>837</v>
      </c>
      <c r="S171" s="79" t="s">
        <v>838</v>
      </c>
      <c r="T171" s="113">
        <v>1106624</v>
      </c>
      <c r="U171" s="113">
        <v>937816.94915254239</v>
      </c>
      <c r="V171" s="113">
        <v>26</v>
      </c>
      <c r="X171" s="112" t="s">
        <v>1163</v>
      </c>
      <c r="Y171" s="79" t="s">
        <v>837</v>
      </c>
      <c r="Z171" s="79" t="s">
        <v>838</v>
      </c>
      <c r="AA171" s="113">
        <v>0</v>
      </c>
      <c r="AB171" s="113"/>
      <c r="AC171" s="113"/>
    </row>
    <row r="172" spans="1:29" ht="15.75" hidden="1" customHeight="1" outlineLevel="1" x14ac:dyDescent="0.2">
      <c r="J172" s="112" t="s">
        <v>1163</v>
      </c>
      <c r="K172" s="42" t="s">
        <v>221</v>
      </c>
      <c r="L172" s="42" t="s">
        <v>45</v>
      </c>
      <c r="M172" s="113">
        <v>2920771</v>
      </c>
      <c r="N172" s="113">
        <v>2475229.6610169471</v>
      </c>
      <c r="O172" s="113">
        <v>79</v>
      </c>
      <c r="Q172" s="112" t="s">
        <v>1163</v>
      </c>
      <c r="R172" s="42" t="s">
        <v>221</v>
      </c>
      <c r="S172" s="42" t="s">
        <v>45</v>
      </c>
      <c r="T172" s="113">
        <v>76298</v>
      </c>
      <c r="U172" s="113">
        <v>64659.322033898301</v>
      </c>
      <c r="V172" s="113">
        <v>2</v>
      </c>
      <c r="X172" s="112" t="s">
        <v>1163</v>
      </c>
      <c r="Y172" s="42" t="s">
        <v>221</v>
      </c>
      <c r="Z172" s="42" t="s">
        <v>45</v>
      </c>
      <c r="AA172" s="113">
        <v>6999</v>
      </c>
      <c r="AB172" s="113">
        <v>5931.3559322033898</v>
      </c>
      <c r="AC172" s="113">
        <v>1</v>
      </c>
    </row>
    <row r="173" spans="1:29" ht="15.75" hidden="1" customHeight="1" outlineLevel="1" x14ac:dyDescent="0.2">
      <c r="J173" s="112" t="s">
        <v>1163</v>
      </c>
      <c r="K173" s="42" t="s">
        <v>1165</v>
      </c>
      <c r="L173" s="42" t="s">
        <v>1166</v>
      </c>
      <c r="M173" s="113">
        <v>2355494</v>
      </c>
      <c r="N173" s="113">
        <v>1996181.3559322036</v>
      </c>
      <c r="O173" s="113">
        <v>56</v>
      </c>
      <c r="Q173" s="112" t="s">
        <v>1163</v>
      </c>
      <c r="R173" s="42" t="s">
        <v>1165</v>
      </c>
      <c r="S173" s="42" t="s">
        <v>1166</v>
      </c>
      <c r="T173" s="113">
        <v>193296</v>
      </c>
      <c r="U173" s="113">
        <v>163810.16949152542</v>
      </c>
      <c r="V173" s="113">
        <v>4</v>
      </c>
      <c r="X173" s="112" t="s">
        <v>1163</v>
      </c>
      <c r="Y173" s="42" t="s">
        <v>1165</v>
      </c>
      <c r="Z173" s="42" t="s">
        <v>1166</v>
      </c>
      <c r="AA173" s="113">
        <v>0</v>
      </c>
      <c r="AB173" s="113"/>
      <c r="AC173" s="113"/>
    </row>
    <row r="174" spans="1:29" ht="15.75" hidden="1" customHeight="1" outlineLevel="1" x14ac:dyDescent="0.2">
      <c r="J174" s="112" t="s">
        <v>1163</v>
      </c>
      <c r="K174" s="42" t="s">
        <v>57</v>
      </c>
      <c r="L174" s="42" t="s">
        <v>58</v>
      </c>
      <c r="M174" s="113">
        <v>1987452</v>
      </c>
      <c r="N174" s="113">
        <v>1684281.3559322034</v>
      </c>
      <c r="O174" s="113">
        <v>48</v>
      </c>
      <c r="Q174" s="112" t="s">
        <v>1163</v>
      </c>
      <c r="R174" s="42" t="s">
        <v>57</v>
      </c>
      <c r="S174" s="42" t="s">
        <v>58</v>
      </c>
      <c r="T174" s="113">
        <v>931029</v>
      </c>
      <c r="U174" s="113">
        <v>789007.62711864407</v>
      </c>
      <c r="V174" s="113">
        <v>21</v>
      </c>
      <c r="X174" s="112" t="s">
        <v>1163</v>
      </c>
      <c r="Y174" s="42" t="s">
        <v>57</v>
      </c>
      <c r="Z174" s="42" t="s">
        <v>58</v>
      </c>
      <c r="AA174" s="113">
        <v>0</v>
      </c>
      <c r="AB174" s="113"/>
      <c r="AC174" s="113"/>
    </row>
    <row r="175" spans="1:29" ht="15.75" hidden="1" customHeight="1" outlineLevel="1" x14ac:dyDescent="0.2">
      <c r="J175" s="112" t="s">
        <v>1180</v>
      </c>
      <c r="K175" s="161"/>
      <c r="L175" s="79"/>
      <c r="M175" s="113">
        <v>13062183</v>
      </c>
      <c r="N175" s="113">
        <v>11069646.610169491</v>
      </c>
      <c r="O175" s="113">
        <v>317</v>
      </c>
      <c r="Q175" s="112" t="s">
        <v>1180</v>
      </c>
      <c r="R175" s="161"/>
      <c r="S175" s="79"/>
      <c r="T175" s="113">
        <v>2853136</v>
      </c>
      <c r="U175" s="113">
        <v>2417911.8644067794</v>
      </c>
      <c r="V175" s="113">
        <v>64</v>
      </c>
      <c r="X175" s="112" t="s">
        <v>1180</v>
      </c>
      <c r="Y175" s="161"/>
      <c r="Z175" s="79"/>
      <c r="AA175" s="113">
        <v>33995</v>
      </c>
      <c r="AB175" s="113">
        <v>28809.322033898308</v>
      </c>
      <c r="AC175" s="113">
        <v>5</v>
      </c>
    </row>
    <row r="176" spans="1:29" ht="15.75" hidden="1" customHeight="1" outlineLevel="1" x14ac:dyDescent="0.2">
      <c r="J176" s="112" t="s">
        <v>1169</v>
      </c>
      <c r="K176" s="161" t="s">
        <v>216</v>
      </c>
      <c r="L176" s="79" t="s">
        <v>18</v>
      </c>
      <c r="M176" s="113">
        <v>1447520</v>
      </c>
      <c r="N176" s="113">
        <v>1226711.8644067794</v>
      </c>
      <c r="O176" s="113">
        <v>30</v>
      </c>
      <c r="Q176" s="112" t="s">
        <v>1169</v>
      </c>
      <c r="R176" s="161" t="s">
        <v>216</v>
      </c>
      <c r="S176" s="79" t="s">
        <v>18</v>
      </c>
      <c r="T176" s="113">
        <v>654736</v>
      </c>
      <c r="U176" s="113">
        <v>554861.01694915257</v>
      </c>
      <c r="V176" s="113">
        <v>14</v>
      </c>
      <c r="X176" s="112" t="s">
        <v>1169</v>
      </c>
      <c r="Y176" s="161" t="s">
        <v>216</v>
      </c>
      <c r="Z176" s="79" t="s">
        <v>18</v>
      </c>
      <c r="AA176" s="113">
        <v>0</v>
      </c>
      <c r="AB176" s="113"/>
      <c r="AC176" s="113"/>
    </row>
    <row r="177" spans="1:29" ht="15.75" hidden="1" customHeight="1" outlineLevel="1" x14ac:dyDescent="0.2">
      <c r="J177" s="112" t="s">
        <v>1169</v>
      </c>
      <c r="K177" s="161" t="s">
        <v>701</v>
      </c>
      <c r="L177" s="79" t="s">
        <v>702</v>
      </c>
      <c r="M177" s="113">
        <v>635988</v>
      </c>
      <c r="N177" s="113">
        <v>538972.88135593222</v>
      </c>
      <c r="O177" s="113">
        <v>12</v>
      </c>
      <c r="Q177" s="112" t="s">
        <v>1169</v>
      </c>
      <c r="R177" s="161" t="s">
        <v>701</v>
      </c>
      <c r="S177" s="79" t="s">
        <v>702</v>
      </c>
      <c r="T177" s="113">
        <v>107997</v>
      </c>
      <c r="U177" s="113">
        <v>91522.881355932201</v>
      </c>
      <c r="V177" s="113">
        <v>3</v>
      </c>
      <c r="X177" s="112" t="s">
        <v>1169</v>
      </c>
      <c r="Y177" s="161" t="s">
        <v>701</v>
      </c>
      <c r="Z177" s="79" t="s">
        <v>702</v>
      </c>
      <c r="AA177" s="113">
        <v>0</v>
      </c>
      <c r="AB177" s="113"/>
      <c r="AC177" s="113"/>
    </row>
    <row r="178" spans="1:29" ht="15.75" hidden="1" customHeight="1" outlineLevel="1" x14ac:dyDescent="0.2">
      <c r="J178" s="112" t="s">
        <v>1169</v>
      </c>
      <c r="K178" s="79" t="s">
        <v>671</v>
      </c>
      <c r="L178" s="79" t="s">
        <v>200</v>
      </c>
      <c r="M178" s="113">
        <v>775582</v>
      </c>
      <c r="N178" s="113">
        <v>657272.88135593222</v>
      </c>
      <c r="O178" s="113">
        <v>18</v>
      </c>
      <c r="Q178" s="112" t="s">
        <v>1169</v>
      </c>
      <c r="R178" s="79" t="s">
        <v>671</v>
      </c>
      <c r="S178" s="79" t="s">
        <v>200</v>
      </c>
      <c r="T178" s="113">
        <v>39599</v>
      </c>
      <c r="U178" s="113">
        <v>33558.47457627119</v>
      </c>
      <c r="V178" s="113">
        <v>1</v>
      </c>
      <c r="X178" s="112" t="s">
        <v>1169</v>
      </c>
      <c r="Y178" s="79" t="s">
        <v>671</v>
      </c>
      <c r="Z178" s="79" t="s">
        <v>200</v>
      </c>
      <c r="AA178" s="113">
        <v>23996</v>
      </c>
      <c r="AB178" s="113">
        <v>20335.593220338982</v>
      </c>
      <c r="AC178" s="113">
        <v>4</v>
      </c>
    </row>
    <row r="179" spans="1:29" ht="15.75" hidden="1" customHeight="1" outlineLevel="1" x14ac:dyDescent="0.2">
      <c r="J179" s="112" t="s">
        <v>1169</v>
      </c>
      <c r="K179" s="22" t="s">
        <v>19</v>
      </c>
      <c r="L179" s="22" t="s">
        <v>205</v>
      </c>
      <c r="M179" s="113">
        <v>954834</v>
      </c>
      <c r="N179" s="113">
        <v>809181.35593220347</v>
      </c>
      <c r="O179" s="113">
        <v>16</v>
      </c>
      <c r="Q179" s="112" t="s">
        <v>1169</v>
      </c>
      <c r="R179" s="22" t="s">
        <v>19</v>
      </c>
      <c r="S179" s="22" t="s">
        <v>205</v>
      </c>
      <c r="T179" s="113">
        <v>0</v>
      </c>
      <c r="U179" s="113"/>
      <c r="V179" s="113"/>
      <c r="X179" s="112" t="s">
        <v>1169</v>
      </c>
      <c r="Y179" s="22" t="s">
        <v>19</v>
      </c>
      <c r="Z179" s="22" t="s">
        <v>205</v>
      </c>
      <c r="AA179" s="113">
        <v>0</v>
      </c>
      <c r="AB179" s="113"/>
      <c r="AC179" s="113"/>
    </row>
    <row r="180" spans="1:29" ht="15.75" hidden="1" customHeight="1" outlineLevel="1" x14ac:dyDescent="0.2">
      <c r="J180" s="112" t="s">
        <v>1169</v>
      </c>
      <c r="K180" s="22" t="s">
        <v>333</v>
      </c>
      <c r="L180" s="22" t="s">
        <v>340</v>
      </c>
      <c r="M180" s="113">
        <v>619987</v>
      </c>
      <c r="N180" s="113">
        <v>525412.71186440683</v>
      </c>
      <c r="O180" s="113">
        <v>13</v>
      </c>
      <c r="Q180" s="112" t="s">
        <v>1169</v>
      </c>
      <c r="R180" s="22" t="s">
        <v>333</v>
      </c>
      <c r="S180" s="22" t="s">
        <v>340</v>
      </c>
      <c r="T180" s="113">
        <v>211495</v>
      </c>
      <c r="U180" s="113">
        <v>179233.05084745763</v>
      </c>
      <c r="V180" s="113">
        <v>5</v>
      </c>
      <c r="X180" s="112" t="s">
        <v>1169</v>
      </c>
      <c r="Y180" s="22" t="s">
        <v>333</v>
      </c>
      <c r="Z180" s="22" t="s">
        <v>340</v>
      </c>
      <c r="AA180" s="113">
        <v>0</v>
      </c>
      <c r="AB180" s="113"/>
      <c r="AC180" s="113"/>
    </row>
    <row r="181" spans="1:29" ht="15.75" hidden="1" customHeight="1" outlineLevel="1" x14ac:dyDescent="0.2">
      <c r="J181" s="112" t="s">
        <v>1181</v>
      </c>
      <c r="K181" s="20"/>
      <c r="L181" s="20"/>
      <c r="M181" s="113">
        <v>4433911</v>
      </c>
      <c r="N181" s="113">
        <v>3757551.6949152541</v>
      </c>
      <c r="O181" s="113">
        <v>89</v>
      </c>
      <c r="Q181" s="112" t="s">
        <v>1181</v>
      </c>
      <c r="R181" s="20"/>
      <c r="S181" s="20"/>
      <c r="T181" s="113">
        <v>1013827</v>
      </c>
      <c r="U181" s="113">
        <v>859175.42372881353</v>
      </c>
      <c r="V181" s="113">
        <v>23</v>
      </c>
      <c r="X181" s="112" t="s">
        <v>1181</v>
      </c>
      <c r="Y181" s="20"/>
      <c r="Z181" s="20"/>
      <c r="AA181" s="113">
        <v>23996</v>
      </c>
      <c r="AB181" s="113">
        <v>20335.593220338982</v>
      </c>
      <c r="AC181" s="113">
        <v>4</v>
      </c>
    </row>
    <row r="182" spans="1:29" ht="15.75" hidden="1" customHeight="1" outlineLevel="1" x14ac:dyDescent="0.2">
      <c r="J182" s="228" t="s">
        <v>69</v>
      </c>
      <c r="K182" s="228"/>
      <c r="L182" s="228"/>
      <c r="M182" s="229">
        <f>+M99+M104+M113+M117+M126+M134+M139+M144+M148+M156+M164+M168+M175+M181</f>
        <v>167119517</v>
      </c>
      <c r="N182" s="229">
        <f>+N99+N104+N113+N117+N126+N134+N139+N144+N148+N156+N164+N168+N175+N181</f>
        <v>141626709.32203388</v>
      </c>
      <c r="O182" s="229">
        <f>+O99+O104+O113+O117+O126+O134+O139+O144+O148+O156+O164+O168+O175+O181</f>
        <v>3991</v>
      </c>
      <c r="Q182" s="228" t="s">
        <v>69</v>
      </c>
      <c r="R182" s="228"/>
      <c r="S182" s="228"/>
      <c r="T182" s="229">
        <f>+T99+T104+T113+T117+T126+T134+T139+T144+T148+T156+T164+T168+T175+T181</f>
        <v>22670074</v>
      </c>
      <c r="U182" s="229">
        <f>+U99+U104+U113+U117+U126+U134+U139+U144+U148+U156+U164+U168+U175+U181</f>
        <v>19211927.118644066</v>
      </c>
      <c r="V182" s="229">
        <f>+V99+V104+V113+V117+V126+V134+V139+V144+V148+V156+V164+V168+V175+V181</f>
        <v>528</v>
      </c>
      <c r="X182" s="228" t="s">
        <v>69</v>
      </c>
      <c r="Y182" s="228"/>
      <c r="Z182" s="228"/>
      <c r="AA182" s="229">
        <f>+AA99+AA104+AA113+AA117+AA126+AA134+AA139+AA144+AA148+AA156+AA164+AA168+AA175+AA181</f>
        <v>985843</v>
      </c>
      <c r="AB182" s="229">
        <f>+AB99+AB104+AB113+AB117+AB126+AB134+AB139+AB144+AB148+AB156+AB164+AB168+AB175+AB181</f>
        <v>835460.16949152551</v>
      </c>
      <c r="AC182" s="229">
        <f>+AC99+AC104+AC113+AC117+AC126+AC134+AC139+AC144+AC148+AC156+AC164+AC168+AC175+AC181</f>
        <v>157</v>
      </c>
    </row>
    <row r="184" spans="1:29" ht="15.75" customHeight="1" collapsed="1" x14ac:dyDescent="0.2">
      <c r="A184" s="101">
        <v>46174</v>
      </c>
      <c r="J184" s="2" t="s">
        <v>231</v>
      </c>
      <c r="Q184" s="2" t="s">
        <v>214</v>
      </c>
      <c r="X184" s="2" t="s">
        <v>946</v>
      </c>
    </row>
    <row r="185" spans="1:29" ht="15.75" hidden="1" customHeight="1" outlineLevel="1" x14ac:dyDescent="0.2">
      <c r="A185" s="383" t="s">
        <v>2088</v>
      </c>
      <c r="B185" s="384"/>
      <c r="C185" s="384"/>
      <c r="D185" s="384"/>
      <c r="E185" s="384"/>
      <c r="F185" s="384"/>
      <c r="G185" s="384"/>
      <c r="H185" s="375"/>
      <c r="J185" s="99" t="s">
        <v>68</v>
      </c>
      <c r="K185" s="99" t="s">
        <v>73</v>
      </c>
      <c r="L185" s="99" t="s">
        <v>16</v>
      </c>
      <c r="M185" s="99" t="s">
        <v>65</v>
      </c>
      <c r="N185" s="99" t="s">
        <v>66</v>
      </c>
      <c r="O185" s="99" t="s">
        <v>67</v>
      </c>
      <c r="Q185" s="99" t="s">
        <v>68</v>
      </c>
      <c r="R185" s="99" t="s">
        <v>73</v>
      </c>
      <c r="S185" s="99" t="s">
        <v>16</v>
      </c>
      <c r="T185" s="99" t="s">
        <v>65</v>
      </c>
      <c r="U185" s="99" t="s">
        <v>66</v>
      </c>
      <c r="V185" s="99" t="s">
        <v>67</v>
      </c>
      <c r="X185" s="99" t="s">
        <v>68</v>
      </c>
      <c r="Y185" s="99" t="s">
        <v>73</v>
      </c>
      <c r="Z185" s="99" t="s">
        <v>16</v>
      </c>
      <c r="AA185" s="99" t="s">
        <v>65</v>
      </c>
      <c r="AB185" s="99" t="s">
        <v>66</v>
      </c>
      <c r="AC185" s="99" t="s">
        <v>67</v>
      </c>
    </row>
    <row r="186" spans="1:29" ht="15.75" hidden="1" customHeight="1" outlineLevel="1" x14ac:dyDescent="0.2">
      <c r="A186" s="178" t="s">
        <v>799</v>
      </c>
      <c r="B186" s="178" t="s">
        <v>800</v>
      </c>
      <c r="C186" s="264" t="s">
        <v>801</v>
      </c>
      <c r="D186" s="178" t="s">
        <v>3</v>
      </c>
      <c r="E186" s="178" t="s">
        <v>0</v>
      </c>
      <c r="F186" s="178" t="s">
        <v>772</v>
      </c>
      <c r="G186" s="179" t="s">
        <v>2089</v>
      </c>
      <c r="H186" s="179" t="s">
        <v>2090</v>
      </c>
      <c r="J186" s="112" t="s">
        <v>640</v>
      </c>
      <c r="K186" s="79" t="s">
        <v>191</v>
      </c>
      <c r="L186" s="79" t="s">
        <v>195</v>
      </c>
      <c r="M186" s="113">
        <v>1682354</v>
      </c>
      <c r="N186" s="113">
        <v>1425723.728813557</v>
      </c>
      <c r="O186" s="113">
        <v>46</v>
      </c>
      <c r="Q186" s="112" t="s">
        <v>640</v>
      </c>
      <c r="R186" s="79" t="s">
        <v>191</v>
      </c>
      <c r="S186" s="79" t="s">
        <v>195</v>
      </c>
      <c r="T186" s="113">
        <v>114997</v>
      </c>
      <c r="U186" s="113">
        <v>97455.084745762506</v>
      </c>
      <c r="V186" s="113">
        <v>3</v>
      </c>
      <c r="X186" s="112" t="s">
        <v>640</v>
      </c>
      <c r="Y186" s="79" t="s">
        <v>191</v>
      </c>
      <c r="Z186" s="79" t="s">
        <v>195</v>
      </c>
      <c r="AA186" s="113">
        <v>20997</v>
      </c>
      <c r="AB186" s="113">
        <v>17794.067796610168</v>
      </c>
      <c r="AC186" s="113">
        <v>3</v>
      </c>
    </row>
    <row r="187" spans="1:29" ht="15.75" hidden="1" customHeight="1" outlineLevel="1" x14ac:dyDescent="0.2">
      <c r="A187" s="278" t="s">
        <v>191</v>
      </c>
      <c r="B187" s="198" t="s">
        <v>195</v>
      </c>
      <c r="C187" s="265"/>
      <c r="D187" s="279" t="s">
        <v>640</v>
      </c>
      <c r="E187" s="278" t="s">
        <v>191</v>
      </c>
      <c r="F187" s="278" t="s">
        <v>297</v>
      </c>
      <c r="G187" s="182">
        <v>80</v>
      </c>
      <c r="H187" s="182">
        <v>104</v>
      </c>
      <c r="J187" s="112" t="s">
        <v>640</v>
      </c>
      <c r="K187" s="79" t="s">
        <v>31</v>
      </c>
      <c r="L187" s="79" t="s">
        <v>32</v>
      </c>
      <c r="M187" s="113">
        <v>2048598</v>
      </c>
      <c r="N187" s="113">
        <v>1736099.9999999981</v>
      </c>
      <c r="O187" s="113">
        <v>52</v>
      </c>
      <c r="Q187" s="112" t="s">
        <v>640</v>
      </c>
      <c r="R187" s="79" t="s">
        <v>31</v>
      </c>
      <c r="S187" s="79" t="s">
        <v>32</v>
      </c>
      <c r="T187" s="113">
        <v>310241</v>
      </c>
      <c r="U187" s="113">
        <v>262916.10169491492</v>
      </c>
      <c r="V187" s="113">
        <v>9</v>
      </c>
      <c r="X187" s="112" t="s">
        <v>640</v>
      </c>
      <c r="Y187" s="79" t="s">
        <v>31</v>
      </c>
      <c r="Z187" s="79" t="s">
        <v>32</v>
      </c>
      <c r="AA187" s="113">
        <v>13998</v>
      </c>
      <c r="AB187" s="113">
        <v>11862.71186440678</v>
      </c>
      <c r="AC187" s="113">
        <v>2</v>
      </c>
    </row>
    <row r="188" spans="1:29" ht="15.75" hidden="1" customHeight="1" outlineLevel="1" x14ac:dyDescent="0.2">
      <c r="A188" s="278" t="s">
        <v>31</v>
      </c>
      <c r="B188" s="198" t="s">
        <v>32</v>
      </c>
      <c r="C188" s="265"/>
      <c r="D188" s="279" t="s">
        <v>640</v>
      </c>
      <c r="E188" s="278" t="s">
        <v>191</v>
      </c>
      <c r="F188" s="278" t="s">
        <v>297</v>
      </c>
      <c r="G188" s="182">
        <v>70</v>
      </c>
      <c r="H188" s="182">
        <v>91</v>
      </c>
      <c r="J188" s="112" t="s">
        <v>640</v>
      </c>
      <c r="K188" s="79" t="s">
        <v>756</v>
      </c>
      <c r="L188" s="79" t="s">
        <v>757</v>
      </c>
      <c r="M188" s="113">
        <v>993575</v>
      </c>
      <c r="N188" s="113">
        <v>842012.71186440496</v>
      </c>
      <c r="O188" s="113">
        <v>25</v>
      </c>
      <c r="Q188" s="112" t="s">
        <v>640</v>
      </c>
      <c r="R188" s="79" t="s">
        <v>756</v>
      </c>
      <c r="S188" s="79" t="s">
        <v>757</v>
      </c>
      <c r="T188" s="113">
        <v>191295</v>
      </c>
      <c r="U188" s="113">
        <v>162114.40677966073</v>
      </c>
      <c r="V188" s="113">
        <v>5</v>
      </c>
      <c r="X188" s="112" t="s">
        <v>640</v>
      </c>
      <c r="Y188" s="79" t="s">
        <v>756</v>
      </c>
      <c r="Z188" s="79" t="s">
        <v>757</v>
      </c>
      <c r="AA188" s="113">
        <v>0</v>
      </c>
      <c r="AB188" s="113"/>
      <c r="AC188" s="113"/>
    </row>
    <row r="189" spans="1:29" ht="15.75" hidden="1" customHeight="1" outlineLevel="1" x14ac:dyDescent="0.2">
      <c r="A189" s="278" t="s">
        <v>756</v>
      </c>
      <c r="B189" s="198" t="s">
        <v>757</v>
      </c>
      <c r="C189" s="265"/>
      <c r="D189" s="279" t="s">
        <v>640</v>
      </c>
      <c r="E189" s="278" t="s">
        <v>191</v>
      </c>
      <c r="F189" s="278" t="s">
        <v>297</v>
      </c>
      <c r="G189" s="182">
        <v>70</v>
      </c>
      <c r="H189" s="182">
        <v>91</v>
      </c>
      <c r="J189" s="112" t="s">
        <v>640</v>
      </c>
      <c r="K189" s="79" t="s">
        <v>705</v>
      </c>
      <c r="L189" s="79" t="s">
        <v>686</v>
      </c>
      <c r="M189" s="113">
        <v>972874</v>
      </c>
      <c r="N189" s="113">
        <v>824469.49152542255</v>
      </c>
      <c r="O189" s="113">
        <v>26</v>
      </c>
      <c r="Q189" s="112" t="s">
        <v>640</v>
      </c>
      <c r="R189" s="79" t="s">
        <v>705</v>
      </c>
      <c r="S189" s="79" t="s">
        <v>686</v>
      </c>
      <c r="T189" s="113">
        <v>207245</v>
      </c>
      <c r="U189" s="113">
        <v>175631.35593220321</v>
      </c>
      <c r="V189" s="113">
        <v>5</v>
      </c>
      <c r="X189" s="112" t="s">
        <v>640</v>
      </c>
      <c r="Y189" s="79" t="s">
        <v>705</v>
      </c>
      <c r="Z189" s="79" t="s">
        <v>686</v>
      </c>
      <c r="AA189" s="113">
        <v>0</v>
      </c>
      <c r="AB189" s="113"/>
      <c r="AC189" s="113"/>
    </row>
    <row r="190" spans="1:29" ht="15.75" hidden="1" customHeight="1" outlineLevel="1" x14ac:dyDescent="0.2">
      <c r="A190" s="278" t="s">
        <v>705</v>
      </c>
      <c r="B190" s="198" t="s">
        <v>686</v>
      </c>
      <c r="C190" s="265"/>
      <c r="D190" s="279" t="s">
        <v>640</v>
      </c>
      <c r="E190" s="278" t="s">
        <v>191</v>
      </c>
      <c r="F190" s="278" t="s">
        <v>297</v>
      </c>
      <c r="G190" s="182">
        <v>70</v>
      </c>
      <c r="H190" s="182">
        <v>91</v>
      </c>
      <c r="J190" s="112" t="s">
        <v>640</v>
      </c>
      <c r="K190" s="79" t="s">
        <v>248</v>
      </c>
      <c r="L190" s="79" t="s">
        <v>251</v>
      </c>
      <c r="M190" s="113">
        <v>2629981</v>
      </c>
      <c r="N190" s="113">
        <v>2228797.4576271153</v>
      </c>
      <c r="O190" s="113">
        <v>69</v>
      </c>
      <c r="Q190" s="112" t="s">
        <v>640</v>
      </c>
      <c r="R190" s="79" t="s">
        <v>248</v>
      </c>
      <c r="S190" s="79" t="s">
        <v>251</v>
      </c>
      <c r="T190" s="113">
        <v>105297</v>
      </c>
      <c r="U190" s="113">
        <v>89234.745762711696</v>
      </c>
      <c r="V190" s="113">
        <v>3</v>
      </c>
      <c r="X190" s="112" t="s">
        <v>640</v>
      </c>
      <c r="Y190" s="79" t="s">
        <v>248</v>
      </c>
      <c r="Z190" s="79" t="s">
        <v>251</v>
      </c>
      <c r="AA190" s="113">
        <v>6999</v>
      </c>
      <c r="AB190" s="113">
        <v>5931.3559322033898</v>
      </c>
      <c r="AC190" s="113">
        <v>1</v>
      </c>
    </row>
    <row r="191" spans="1:29" ht="15.75" hidden="1" customHeight="1" outlineLevel="1" x14ac:dyDescent="0.2">
      <c r="A191" s="278" t="s">
        <v>248</v>
      </c>
      <c r="B191" s="198" t="s">
        <v>251</v>
      </c>
      <c r="C191" s="265"/>
      <c r="D191" s="279" t="s">
        <v>640</v>
      </c>
      <c r="E191" s="278" t="s">
        <v>191</v>
      </c>
      <c r="F191" s="278" t="s">
        <v>297</v>
      </c>
      <c r="G191" s="182">
        <v>70</v>
      </c>
      <c r="H191" s="182">
        <v>91</v>
      </c>
      <c r="J191" s="112" t="s">
        <v>929</v>
      </c>
      <c r="K191" s="79"/>
      <c r="L191" s="79"/>
      <c r="M191" s="113">
        <v>8327382</v>
      </c>
      <c r="N191" s="113">
        <v>7057103.389830498</v>
      </c>
      <c r="O191" s="113">
        <v>218</v>
      </c>
      <c r="Q191" s="112" t="s">
        <v>929</v>
      </c>
      <c r="R191" s="79"/>
      <c r="S191" s="79"/>
      <c r="T191" s="113">
        <v>929075</v>
      </c>
      <c r="U191" s="113">
        <v>787351.69491525309</v>
      </c>
      <c r="V191" s="113">
        <v>25</v>
      </c>
      <c r="X191" s="112" t="s">
        <v>929</v>
      </c>
      <c r="Y191" s="79"/>
      <c r="Z191" s="79"/>
      <c r="AA191" s="113">
        <v>41994</v>
      </c>
      <c r="AB191" s="113">
        <v>35588.135593220337</v>
      </c>
      <c r="AC191" s="113">
        <v>6</v>
      </c>
    </row>
    <row r="192" spans="1:29" ht="15.75" hidden="1" customHeight="1" outlineLevel="1" x14ac:dyDescent="0.2">
      <c r="A192" s="278" t="s">
        <v>224</v>
      </c>
      <c r="B192" s="198" t="s">
        <v>33</v>
      </c>
      <c r="C192" s="265"/>
      <c r="D192" s="279" t="s">
        <v>1141</v>
      </c>
      <c r="E192" s="278" t="s">
        <v>224</v>
      </c>
      <c r="F192" s="278" t="s">
        <v>297</v>
      </c>
      <c r="G192" s="182">
        <v>65</v>
      </c>
      <c r="H192" s="182">
        <f t="shared" ref="H192:H195" si="0">G192*130/100</f>
        <v>84.5</v>
      </c>
      <c r="J192" s="112" t="s">
        <v>1141</v>
      </c>
      <c r="K192" s="79" t="s">
        <v>224</v>
      </c>
      <c r="L192" s="79" t="s">
        <v>33</v>
      </c>
      <c r="M192" s="113">
        <v>3586755</v>
      </c>
      <c r="N192" s="113">
        <v>3039622.8813559264</v>
      </c>
      <c r="O192" s="113">
        <v>95</v>
      </c>
      <c r="Q192" s="112" t="s">
        <v>1141</v>
      </c>
      <c r="R192" s="79" t="s">
        <v>224</v>
      </c>
      <c r="S192" s="79" t="s">
        <v>33</v>
      </c>
      <c r="T192" s="113">
        <v>76298</v>
      </c>
      <c r="U192" s="113">
        <v>64659.322033898199</v>
      </c>
      <c r="V192" s="113">
        <v>2</v>
      </c>
      <c r="X192" s="112" t="s">
        <v>1141</v>
      </c>
      <c r="Y192" s="79" t="s">
        <v>224</v>
      </c>
      <c r="Z192" s="79" t="s">
        <v>33</v>
      </c>
      <c r="AA192" s="113">
        <v>0</v>
      </c>
      <c r="AB192" s="113"/>
      <c r="AC192" s="113"/>
    </row>
    <row r="193" spans="1:29" ht="15.75" hidden="1" customHeight="1" outlineLevel="1" x14ac:dyDescent="0.2">
      <c r="A193" s="278" t="s">
        <v>787</v>
      </c>
      <c r="B193" s="198" t="s">
        <v>788</v>
      </c>
      <c r="C193" s="265"/>
      <c r="D193" s="278" t="s">
        <v>1141</v>
      </c>
      <c r="E193" s="278" t="s">
        <v>224</v>
      </c>
      <c r="F193" s="278" t="s">
        <v>297</v>
      </c>
      <c r="G193" s="182">
        <v>70</v>
      </c>
      <c r="H193" s="182">
        <f t="shared" si="0"/>
        <v>91</v>
      </c>
      <c r="J193" s="112" t="s">
        <v>1141</v>
      </c>
      <c r="K193" s="79" t="s">
        <v>787</v>
      </c>
      <c r="L193" s="79" t="s">
        <v>788</v>
      </c>
      <c r="M193" s="113">
        <v>2062848</v>
      </c>
      <c r="N193" s="113">
        <v>1748176.2711864384</v>
      </c>
      <c r="O193" s="113">
        <v>52</v>
      </c>
      <c r="Q193" s="112" t="s">
        <v>1141</v>
      </c>
      <c r="R193" s="79" t="s">
        <v>787</v>
      </c>
      <c r="S193" s="79" t="s">
        <v>788</v>
      </c>
      <c r="T193" s="113">
        <v>260943</v>
      </c>
      <c r="U193" s="113">
        <v>221138.13559322001</v>
      </c>
      <c r="V193" s="113">
        <v>7</v>
      </c>
      <c r="X193" s="112" t="s">
        <v>1141</v>
      </c>
      <c r="Y193" s="79" t="s">
        <v>787</v>
      </c>
      <c r="Z193" s="79" t="s">
        <v>788</v>
      </c>
      <c r="AA193" s="113">
        <v>0</v>
      </c>
      <c r="AB193" s="113"/>
      <c r="AC193" s="113"/>
    </row>
    <row r="194" spans="1:29" ht="15.75" hidden="1" customHeight="1" outlineLevel="1" x14ac:dyDescent="0.2">
      <c r="A194" s="278" t="s">
        <v>218</v>
      </c>
      <c r="B194" s="198" t="s">
        <v>219</v>
      </c>
      <c r="C194" s="265"/>
      <c r="D194" s="278" t="s">
        <v>1141</v>
      </c>
      <c r="E194" s="278" t="s">
        <v>224</v>
      </c>
      <c r="F194" s="278" t="s">
        <v>297</v>
      </c>
      <c r="G194" s="182">
        <v>80</v>
      </c>
      <c r="H194" s="182">
        <f t="shared" si="0"/>
        <v>104</v>
      </c>
      <c r="J194" s="112" t="s">
        <v>1141</v>
      </c>
      <c r="K194" s="79" t="s">
        <v>218</v>
      </c>
      <c r="L194" s="79" t="s">
        <v>219</v>
      </c>
      <c r="M194" s="113">
        <v>1941754</v>
      </c>
      <c r="N194" s="113">
        <v>1645554.2372881335</v>
      </c>
      <c r="O194" s="113">
        <v>46</v>
      </c>
      <c r="Q194" s="112" t="s">
        <v>1141</v>
      </c>
      <c r="R194" s="79" t="s">
        <v>218</v>
      </c>
      <c r="S194" s="79" t="s">
        <v>219</v>
      </c>
      <c r="T194" s="113">
        <v>336541</v>
      </c>
      <c r="U194" s="113">
        <v>285204.2372881351</v>
      </c>
      <c r="V194" s="113">
        <v>9</v>
      </c>
      <c r="X194" s="112" t="s">
        <v>1141</v>
      </c>
      <c r="Y194" s="79" t="s">
        <v>218</v>
      </c>
      <c r="Z194" s="79" t="s">
        <v>219</v>
      </c>
      <c r="AA194" s="113">
        <v>5999</v>
      </c>
      <c r="AB194" s="113">
        <v>5083.8983050847401</v>
      </c>
      <c r="AC194" s="113">
        <v>1</v>
      </c>
    </row>
    <row r="195" spans="1:29" ht="15.75" hidden="1" customHeight="1" outlineLevel="1" x14ac:dyDescent="0.2">
      <c r="A195" s="278" t="s">
        <v>782</v>
      </c>
      <c r="B195" s="198" t="s">
        <v>781</v>
      </c>
      <c r="C195" s="181"/>
      <c r="D195" s="278" t="s">
        <v>1141</v>
      </c>
      <c r="E195" s="278" t="s">
        <v>224</v>
      </c>
      <c r="F195" s="278" t="s">
        <v>297</v>
      </c>
      <c r="G195" s="182">
        <v>80</v>
      </c>
      <c r="H195" s="182">
        <f t="shared" si="0"/>
        <v>104</v>
      </c>
      <c r="J195" s="112" t="s">
        <v>1141</v>
      </c>
      <c r="K195" s="79" t="s">
        <v>780</v>
      </c>
      <c r="L195" s="79" t="s">
        <v>781</v>
      </c>
      <c r="M195" s="113">
        <v>1774903</v>
      </c>
      <c r="N195" s="113">
        <v>1504155.0847457601</v>
      </c>
      <c r="O195" s="113">
        <v>47</v>
      </c>
      <c r="Q195" s="112" t="s">
        <v>1141</v>
      </c>
      <c r="R195" s="79" t="s">
        <v>780</v>
      </c>
      <c r="S195" s="79" t="s">
        <v>781</v>
      </c>
      <c r="T195" s="113">
        <v>33299</v>
      </c>
      <c r="U195" s="113">
        <v>28219.491525423698</v>
      </c>
      <c r="V195" s="113">
        <v>1</v>
      </c>
      <c r="X195" s="112" t="s">
        <v>1141</v>
      </c>
      <c r="Y195" s="79" t="s">
        <v>780</v>
      </c>
      <c r="Z195" s="79" t="s">
        <v>781</v>
      </c>
      <c r="AA195" s="113">
        <v>0</v>
      </c>
      <c r="AB195" s="113"/>
      <c r="AC195" s="113"/>
    </row>
    <row r="196" spans="1:29" ht="15.75" hidden="1" customHeight="1" outlineLevel="1" x14ac:dyDescent="0.2">
      <c r="A196" s="278" t="s">
        <v>1109</v>
      </c>
      <c r="B196" s="198" t="s">
        <v>1110</v>
      </c>
      <c r="C196" s="265"/>
      <c r="D196" s="278" t="s">
        <v>646</v>
      </c>
      <c r="E196" s="278" t="s">
        <v>48</v>
      </c>
      <c r="F196" s="278" t="s">
        <v>297</v>
      </c>
      <c r="G196" s="182">
        <v>70</v>
      </c>
      <c r="H196" s="182">
        <v>91</v>
      </c>
      <c r="J196" s="112" t="s">
        <v>1170</v>
      </c>
      <c r="K196" s="79"/>
      <c r="L196" s="79"/>
      <c r="M196" s="113">
        <v>9366260</v>
      </c>
      <c r="N196" s="113">
        <v>7937508.4745762581</v>
      </c>
      <c r="O196" s="113">
        <v>240</v>
      </c>
      <c r="Q196" s="112" t="s">
        <v>1170</v>
      </c>
      <c r="R196" s="79"/>
      <c r="S196" s="79"/>
      <c r="T196" s="113">
        <v>707081</v>
      </c>
      <c r="U196" s="113">
        <v>599221.18644067703</v>
      </c>
      <c r="V196" s="113">
        <v>19</v>
      </c>
      <c r="X196" s="112" t="s">
        <v>1170</v>
      </c>
      <c r="Y196" s="79"/>
      <c r="Z196" s="79"/>
      <c r="AA196" s="113">
        <v>5999</v>
      </c>
      <c r="AB196" s="113">
        <v>5083.8983050847401</v>
      </c>
      <c r="AC196" s="113">
        <v>1</v>
      </c>
    </row>
    <row r="197" spans="1:29" ht="15.75" hidden="1" customHeight="1" outlineLevel="1" x14ac:dyDescent="0.2">
      <c r="A197" s="278" t="s">
        <v>25</v>
      </c>
      <c r="B197" s="198" t="s">
        <v>26</v>
      </c>
      <c r="C197" s="181"/>
      <c r="D197" s="278" t="s">
        <v>646</v>
      </c>
      <c r="E197" s="278" t="s">
        <v>48</v>
      </c>
      <c r="F197" s="278" t="s">
        <v>297</v>
      </c>
      <c r="G197" s="182">
        <v>70</v>
      </c>
      <c r="H197" s="182">
        <v>91</v>
      </c>
      <c r="J197" s="112" t="s">
        <v>646</v>
      </c>
      <c r="K197" s="79" t="s">
        <v>1109</v>
      </c>
      <c r="L197" s="79" t="s">
        <v>1110</v>
      </c>
      <c r="M197" s="113">
        <v>1019576</v>
      </c>
      <c r="N197" s="113">
        <v>864047.45762711705</v>
      </c>
      <c r="O197" s="113">
        <v>24</v>
      </c>
      <c r="Q197" s="112" t="s">
        <v>646</v>
      </c>
      <c r="R197" s="79" t="s">
        <v>1109</v>
      </c>
      <c r="S197" s="79" t="s">
        <v>1110</v>
      </c>
      <c r="T197" s="113">
        <v>35999</v>
      </c>
      <c r="U197" s="113">
        <v>30507.627118643999</v>
      </c>
      <c r="V197" s="113">
        <v>1</v>
      </c>
      <c r="X197" s="112" t="s">
        <v>646</v>
      </c>
      <c r="Y197" s="79" t="s">
        <v>1109</v>
      </c>
      <c r="Z197" s="79" t="s">
        <v>1110</v>
      </c>
      <c r="AA197" s="113">
        <v>8999</v>
      </c>
      <c r="AB197" s="113">
        <v>7626.2711864406701</v>
      </c>
      <c r="AC197" s="113">
        <v>1</v>
      </c>
    </row>
    <row r="198" spans="1:29" ht="15.75" hidden="1" customHeight="1" outlineLevel="1" x14ac:dyDescent="0.2">
      <c r="A198" s="278" t="s">
        <v>48</v>
      </c>
      <c r="B198" s="198" t="s">
        <v>49</v>
      </c>
      <c r="C198" s="181"/>
      <c r="D198" s="278" t="s">
        <v>646</v>
      </c>
      <c r="E198" s="278" t="s">
        <v>48</v>
      </c>
      <c r="F198" s="278" t="s">
        <v>297</v>
      </c>
      <c r="G198" s="182">
        <v>50</v>
      </c>
      <c r="H198" s="182">
        <v>65</v>
      </c>
      <c r="J198" s="112" t="s">
        <v>646</v>
      </c>
      <c r="K198" s="79" t="s">
        <v>25</v>
      </c>
      <c r="L198" s="79" t="s">
        <v>26</v>
      </c>
      <c r="M198" s="113">
        <v>1843058</v>
      </c>
      <c r="N198" s="113">
        <v>1561913.5593220317</v>
      </c>
      <c r="O198" s="113">
        <v>42</v>
      </c>
      <c r="Q198" s="112" t="s">
        <v>646</v>
      </c>
      <c r="R198" s="79" t="s">
        <v>25</v>
      </c>
      <c r="S198" s="79" t="s">
        <v>26</v>
      </c>
      <c r="T198" s="113">
        <v>261193</v>
      </c>
      <c r="U198" s="113">
        <v>221349.99999999971</v>
      </c>
      <c r="V198" s="113">
        <v>7</v>
      </c>
      <c r="X198" s="112" t="s">
        <v>646</v>
      </c>
      <c r="Y198" s="79" t="s">
        <v>25</v>
      </c>
      <c r="Z198" s="79" t="s">
        <v>26</v>
      </c>
      <c r="AA198" s="113">
        <v>0</v>
      </c>
      <c r="AB198" s="113"/>
      <c r="AC198" s="113"/>
    </row>
    <row r="199" spans="1:29" ht="15.75" hidden="1" customHeight="1" outlineLevel="1" x14ac:dyDescent="0.2">
      <c r="A199" s="278" t="s">
        <v>209</v>
      </c>
      <c r="B199" s="198" t="s">
        <v>52</v>
      </c>
      <c r="C199" s="181"/>
      <c r="D199" s="278" t="s">
        <v>646</v>
      </c>
      <c r="E199" s="278" t="s">
        <v>48</v>
      </c>
      <c r="F199" s="278" t="s">
        <v>297</v>
      </c>
      <c r="G199" s="182">
        <v>80</v>
      </c>
      <c r="H199" s="182">
        <v>104</v>
      </c>
      <c r="J199" s="112" t="s">
        <v>646</v>
      </c>
      <c r="K199" s="79" t="s">
        <v>298</v>
      </c>
      <c r="L199" s="79" t="s">
        <v>49</v>
      </c>
      <c r="M199" s="113">
        <v>465988</v>
      </c>
      <c r="N199" s="113">
        <v>394905.08474576211</v>
      </c>
      <c r="O199" s="113">
        <v>12</v>
      </c>
      <c r="Q199" s="112" t="s">
        <v>646</v>
      </c>
      <c r="R199" s="79" t="s">
        <v>298</v>
      </c>
      <c r="S199" s="79" t="s">
        <v>49</v>
      </c>
      <c r="T199" s="113">
        <v>465988</v>
      </c>
      <c r="U199" s="113">
        <v>394905.08474576217</v>
      </c>
      <c r="V199" s="113">
        <v>12</v>
      </c>
      <c r="X199" s="112" t="s">
        <v>646</v>
      </c>
      <c r="Y199" s="79" t="s">
        <v>298</v>
      </c>
      <c r="Z199" s="79" t="s">
        <v>49</v>
      </c>
      <c r="AA199" s="113">
        <v>0</v>
      </c>
      <c r="AB199" s="113"/>
      <c r="AC199" s="113"/>
    </row>
    <row r="200" spans="1:29" ht="15.75" hidden="1" customHeight="1" outlineLevel="1" x14ac:dyDescent="0.2">
      <c r="A200" s="278" t="s">
        <v>303</v>
      </c>
      <c r="B200" s="198" t="s">
        <v>305</v>
      </c>
      <c r="C200" s="280" t="s">
        <v>209</v>
      </c>
      <c r="D200" s="278" t="s">
        <v>646</v>
      </c>
      <c r="E200" s="278" t="s">
        <v>48</v>
      </c>
      <c r="F200" s="278" t="s">
        <v>297</v>
      </c>
      <c r="G200" s="182">
        <v>70</v>
      </c>
      <c r="H200" s="182">
        <v>91</v>
      </c>
      <c r="J200" s="112" t="s">
        <v>646</v>
      </c>
      <c r="K200" s="79" t="s">
        <v>209</v>
      </c>
      <c r="L200" s="79" t="s">
        <v>52</v>
      </c>
      <c r="M200" s="113">
        <v>1452265</v>
      </c>
      <c r="N200" s="113">
        <v>1230733.0508474561</v>
      </c>
      <c r="O200" s="113">
        <v>35</v>
      </c>
      <c r="Q200" s="112" t="s">
        <v>646</v>
      </c>
      <c r="R200" s="79" t="s">
        <v>209</v>
      </c>
      <c r="S200" s="79" t="s">
        <v>52</v>
      </c>
      <c r="T200" s="113">
        <v>102597</v>
      </c>
      <c r="U200" s="113">
        <v>86946.610169491396</v>
      </c>
      <c r="V200" s="113">
        <v>3</v>
      </c>
      <c r="X200" s="112" t="s">
        <v>646</v>
      </c>
      <c r="Y200" s="79" t="s">
        <v>209</v>
      </c>
      <c r="Z200" s="79" t="s">
        <v>52</v>
      </c>
      <c r="AA200" s="113">
        <v>0</v>
      </c>
      <c r="AB200" s="113"/>
      <c r="AC200" s="113"/>
    </row>
    <row r="201" spans="1:29" ht="15.75" hidden="1" customHeight="1" outlineLevel="1" x14ac:dyDescent="0.2">
      <c r="A201" s="278" t="s">
        <v>1142</v>
      </c>
      <c r="B201" s="198" t="s">
        <v>54</v>
      </c>
      <c r="C201" s="265"/>
      <c r="D201" s="279" t="s">
        <v>646</v>
      </c>
      <c r="E201" s="278" t="s">
        <v>48</v>
      </c>
      <c r="F201" s="278" t="s">
        <v>297</v>
      </c>
      <c r="G201" s="182">
        <v>70</v>
      </c>
      <c r="H201" s="182">
        <v>91</v>
      </c>
      <c r="J201" s="42" t="s">
        <v>646</v>
      </c>
      <c r="K201" s="42" t="s">
        <v>303</v>
      </c>
      <c r="L201" s="42" t="s">
        <v>305</v>
      </c>
      <c r="M201" s="113">
        <v>1449812</v>
      </c>
      <c r="N201" s="113">
        <v>1228654.2372881335</v>
      </c>
      <c r="O201" s="113">
        <v>38</v>
      </c>
      <c r="Q201" s="42" t="s">
        <v>646</v>
      </c>
      <c r="R201" s="42" t="s">
        <v>303</v>
      </c>
      <c r="S201" s="42" t="s">
        <v>305</v>
      </c>
      <c r="T201" s="113">
        <v>69298</v>
      </c>
      <c r="U201" s="113">
        <v>58727.118644067697</v>
      </c>
      <c r="V201" s="113">
        <v>2</v>
      </c>
      <c r="X201" s="42" t="s">
        <v>646</v>
      </c>
      <c r="Y201" s="42" t="s">
        <v>303</v>
      </c>
      <c r="Z201" s="42" t="s">
        <v>305</v>
      </c>
      <c r="AA201" s="113">
        <v>0</v>
      </c>
      <c r="AB201" s="113"/>
      <c r="AC201" s="113"/>
    </row>
    <row r="202" spans="1:29" ht="15.75" hidden="1" customHeight="1" outlineLevel="1" x14ac:dyDescent="0.2">
      <c r="A202" s="281" t="s">
        <v>334</v>
      </c>
      <c r="B202" s="198" t="s">
        <v>341</v>
      </c>
      <c r="C202" s="265"/>
      <c r="D202" s="279" t="s">
        <v>646</v>
      </c>
      <c r="E202" s="278" t="s">
        <v>48</v>
      </c>
      <c r="F202" s="278" t="s">
        <v>297</v>
      </c>
      <c r="G202" s="182">
        <v>70</v>
      </c>
      <c r="H202" s="182">
        <v>91</v>
      </c>
      <c r="J202" s="42" t="s">
        <v>646</v>
      </c>
      <c r="K202" s="79" t="s">
        <v>285</v>
      </c>
      <c r="L202" s="79" t="s">
        <v>54</v>
      </c>
      <c r="M202" s="113">
        <v>1764505</v>
      </c>
      <c r="N202" s="113">
        <v>1495343.2203389807</v>
      </c>
      <c r="O202" s="113">
        <v>45</v>
      </c>
      <c r="Q202" s="42" t="s">
        <v>646</v>
      </c>
      <c r="R202" s="79" t="s">
        <v>285</v>
      </c>
      <c r="S202" s="79" t="s">
        <v>54</v>
      </c>
      <c r="T202" s="113">
        <v>552887</v>
      </c>
      <c r="U202" s="113">
        <v>468548.30508474488</v>
      </c>
      <c r="V202" s="113">
        <v>13</v>
      </c>
      <c r="X202" s="42" t="s">
        <v>646</v>
      </c>
      <c r="Y202" s="79" t="s">
        <v>285</v>
      </c>
      <c r="Z202" s="79" t="s">
        <v>54</v>
      </c>
      <c r="AA202" s="113">
        <v>6999</v>
      </c>
      <c r="AB202" s="113">
        <v>5931.3559322033898</v>
      </c>
      <c r="AC202" s="113">
        <v>1</v>
      </c>
    </row>
    <row r="203" spans="1:29" ht="15.75" hidden="1" customHeight="1" outlineLevel="1" x14ac:dyDescent="0.2">
      <c r="A203" s="278" t="s">
        <v>246</v>
      </c>
      <c r="B203" s="198" t="s">
        <v>247</v>
      </c>
      <c r="C203" s="265"/>
      <c r="D203" s="279" t="s">
        <v>646</v>
      </c>
      <c r="E203" s="278" t="s">
        <v>48</v>
      </c>
      <c r="F203" s="278" t="s">
        <v>297</v>
      </c>
      <c r="G203" s="182">
        <v>80</v>
      </c>
      <c r="H203" s="182">
        <v>104</v>
      </c>
      <c r="J203" s="79" t="s">
        <v>646</v>
      </c>
      <c r="K203" s="79" t="s">
        <v>246</v>
      </c>
      <c r="L203" s="79" t="s">
        <v>247</v>
      </c>
      <c r="M203" s="113">
        <v>1776954</v>
      </c>
      <c r="N203" s="113">
        <v>1505893.2203389809</v>
      </c>
      <c r="O203" s="113">
        <v>46</v>
      </c>
      <c r="Q203" s="79" t="s">
        <v>646</v>
      </c>
      <c r="R203" s="79" t="s">
        <v>246</v>
      </c>
      <c r="S203" s="79" t="s">
        <v>247</v>
      </c>
      <c r="T203" s="113">
        <v>25649</v>
      </c>
      <c r="U203" s="113">
        <v>21736.4406779661</v>
      </c>
      <c r="V203" s="113">
        <v>1</v>
      </c>
      <c r="X203" s="79" t="s">
        <v>646</v>
      </c>
      <c r="Y203" s="79" t="s">
        <v>246</v>
      </c>
      <c r="Z203" s="79" t="s">
        <v>247</v>
      </c>
      <c r="AA203" s="113">
        <v>0</v>
      </c>
      <c r="AB203" s="113"/>
      <c r="AC203" s="113"/>
    </row>
    <row r="204" spans="1:29" ht="15.75" hidden="1" customHeight="1" outlineLevel="1" x14ac:dyDescent="0.2">
      <c r="A204" s="278" t="s">
        <v>689</v>
      </c>
      <c r="B204" s="198" t="s">
        <v>690</v>
      </c>
      <c r="C204" s="265"/>
      <c r="D204" s="279" t="s">
        <v>1143</v>
      </c>
      <c r="E204" s="278" t="s">
        <v>61</v>
      </c>
      <c r="F204" s="278" t="s">
        <v>297</v>
      </c>
      <c r="G204" s="182">
        <v>80</v>
      </c>
      <c r="H204" s="182">
        <v>104</v>
      </c>
      <c r="J204" s="79" t="s">
        <v>646</v>
      </c>
      <c r="K204" s="79" t="s">
        <v>334</v>
      </c>
      <c r="L204" s="79" t="s">
        <v>341</v>
      </c>
      <c r="M204" s="113">
        <v>2474242</v>
      </c>
      <c r="N204" s="113">
        <v>2096815.2542372863</v>
      </c>
      <c r="O204" s="113">
        <v>58</v>
      </c>
      <c r="Q204" s="79" t="s">
        <v>646</v>
      </c>
      <c r="R204" s="79" t="s">
        <v>334</v>
      </c>
      <c r="S204" s="79" t="s">
        <v>341</v>
      </c>
      <c r="T204" s="113">
        <v>35999</v>
      </c>
      <c r="U204" s="113">
        <v>30507.627118643999</v>
      </c>
      <c r="V204" s="113">
        <v>1</v>
      </c>
      <c r="X204" s="79" t="s">
        <v>646</v>
      </c>
      <c r="Y204" s="79" t="s">
        <v>334</v>
      </c>
      <c r="Z204" s="79" t="s">
        <v>341</v>
      </c>
      <c r="AA204" s="113">
        <v>8999</v>
      </c>
      <c r="AB204" s="113">
        <v>7626.2711864406701</v>
      </c>
      <c r="AC204" s="113">
        <v>1</v>
      </c>
    </row>
    <row r="205" spans="1:29" ht="15.75" hidden="1" customHeight="1" outlineLevel="1" x14ac:dyDescent="0.2">
      <c r="A205" s="278" t="s">
        <v>706</v>
      </c>
      <c r="B205" s="198" t="s">
        <v>688</v>
      </c>
      <c r="C205" s="265"/>
      <c r="D205" s="279" t="s">
        <v>1143</v>
      </c>
      <c r="E205" s="278" t="s">
        <v>61</v>
      </c>
      <c r="F205" s="278" t="s">
        <v>297</v>
      </c>
      <c r="G205" s="182">
        <v>70</v>
      </c>
      <c r="H205" s="182">
        <v>91</v>
      </c>
      <c r="J205" s="79" t="s">
        <v>930</v>
      </c>
      <c r="K205" s="79"/>
      <c r="L205" s="79"/>
      <c r="M205" s="113">
        <v>12246400</v>
      </c>
      <c r="N205" s="113">
        <v>10378305.084745748</v>
      </c>
      <c r="O205" s="113">
        <v>300</v>
      </c>
      <c r="Q205" s="79" t="s">
        <v>930</v>
      </c>
      <c r="R205" s="79"/>
      <c r="S205" s="79"/>
      <c r="T205" s="113">
        <v>1549610</v>
      </c>
      <c r="U205" s="113">
        <v>1313228.8135593198</v>
      </c>
      <c r="V205" s="113">
        <v>40</v>
      </c>
      <c r="X205" s="79" t="s">
        <v>930</v>
      </c>
      <c r="Y205" s="79"/>
      <c r="Z205" s="79"/>
      <c r="AA205" s="113">
        <v>24997</v>
      </c>
      <c r="AB205" s="113">
        <v>21183.898305084731</v>
      </c>
      <c r="AC205" s="113">
        <v>3</v>
      </c>
    </row>
    <row r="206" spans="1:29" ht="15.75" hidden="1" customHeight="1" outlineLevel="1" x14ac:dyDescent="0.2">
      <c r="A206" s="278" t="s">
        <v>61</v>
      </c>
      <c r="B206" s="198" t="s">
        <v>62</v>
      </c>
      <c r="C206" s="265"/>
      <c r="D206" s="279" t="s">
        <v>1143</v>
      </c>
      <c r="E206" s="278" t="s">
        <v>61</v>
      </c>
      <c r="F206" s="278" t="s">
        <v>297</v>
      </c>
      <c r="G206" s="182">
        <v>70</v>
      </c>
      <c r="H206" s="182">
        <v>91</v>
      </c>
      <c r="J206" s="79" t="s">
        <v>1143</v>
      </c>
      <c r="K206" s="79" t="s">
        <v>689</v>
      </c>
      <c r="L206" s="79" t="s">
        <v>690</v>
      </c>
      <c r="M206" s="113">
        <v>1397817</v>
      </c>
      <c r="N206" s="113">
        <v>1184590.6779661002</v>
      </c>
      <c r="O206" s="113">
        <v>33</v>
      </c>
      <c r="Q206" s="79" t="s">
        <v>1143</v>
      </c>
      <c r="R206" s="79" t="s">
        <v>689</v>
      </c>
      <c r="S206" s="79" t="s">
        <v>690</v>
      </c>
      <c r="T206" s="113">
        <v>190595</v>
      </c>
      <c r="U206" s="113">
        <v>161521.18644067759</v>
      </c>
      <c r="V206" s="113">
        <v>5</v>
      </c>
      <c r="X206" s="79" t="s">
        <v>1143</v>
      </c>
      <c r="Y206" s="79" t="s">
        <v>689</v>
      </c>
      <c r="Z206" s="79" t="s">
        <v>690</v>
      </c>
      <c r="AA206" s="113">
        <v>0</v>
      </c>
      <c r="AB206" s="113"/>
      <c r="AC206" s="113"/>
    </row>
    <row r="207" spans="1:29" ht="15.75" hidden="1" customHeight="1" outlineLevel="1" x14ac:dyDescent="0.2">
      <c r="A207" s="278" t="s">
        <v>194</v>
      </c>
      <c r="B207" s="198" t="s">
        <v>199</v>
      </c>
      <c r="C207" s="265"/>
      <c r="D207" s="279" t="s">
        <v>1144</v>
      </c>
      <c r="E207" s="278" t="s">
        <v>249</v>
      </c>
      <c r="F207" s="278" t="s">
        <v>17</v>
      </c>
      <c r="G207" s="182">
        <v>75</v>
      </c>
      <c r="H207" s="182">
        <f t="shared" ref="H207:H232" si="1">G207*130/100</f>
        <v>97.5</v>
      </c>
      <c r="J207" s="79" t="s">
        <v>1143</v>
      </c>
      <c r="K207" s="79" t="s">
        <v>706</v>
      </c>
      <c r="L207" s="79" t="s">
        <v>688</v>
      </c>
      <c r="M207" s="113">
        <v>920628</v>
      </c>
      <c r="N207" s="113">
        <v>780193.22033898172</v>
      </c>
      <c r="O207" s="113">
        <v>22</v>
      </c>
      <c r="Q207" s="79" t="s">
        <v>1143</v>
      </c>
      <c r="R207" s="79" t="s">
        <v>706</v>
      </c>
      <c r="S207" s="79" t="s">
        <v>688</v>
      </c>
      <c r="T207" s="113">
        <v>205194</v>
      </c>
      <c r="U207" s="113">
        <v>173893.22033898282</v>
      </c>
      <c r="V207" s="113">
        <v>6</v>
      </c>
      <c r="X207" s="79" t="s">
        <v>1143</v>
      </c>
      <c r="Y207" s="79" t="s">
        <v>706</v>
      </c>
      <c r="Z207" s="79" t="s">
        <v>688</v>
      </c>
      <c r="AA207" s="113">
        <v>0</v>
      </c>
      <c r="AB207" s="113"/>
      <c r="AC207" s="113"/>
    </row>
    <row r="208" spans="1:29" ht="15.75" hidden="1" customHeight="1" outlineLevel="1" x14ac:dyDescent="0.2">
      <c r="A208" s="278" t="s">
        <v>1107</v>
      </c>
      <c r="B208" s="198" t="s">
        <v>1108</v>
      </c>
      <c r="C208" s="265"/>
      <c r="D208" s="279" t="s">
        <v>1144</v>
      </c>
      <c r="E208" s="278" t="s">
        <v>249</v>
      </c>
      <c r="F208" s="278" t="s">
        <v>17</v>
      </c>
      <c r="G208" s="182">
        <v>25</v>
      </c>
      <c r="H208" s="182">
        <f t="shared" si="1"/>
        <v>32.5</v>
      </c>
      <c r="J208" s="79" t="s">
        <v>1143</v>
      </c>
      <c r="K208" s="79" t="s">
        <v>61</v>
      </c>
      <c r="L208" s="79" t="s">
        <v>62</v>
      </c>
      <c r="M208" s="113">
        <v>1711759</v>
      </c>
      <c r="N208" s="113">
        <v>1450643.2203389814</v>
      </c>
      <c r="O208" s="113">
        <v>41</v>
      </c>
      <c r="Q208" s="79" t="s">
        <v>1143</v>
      </c>
      <c r="R208" s="79" t="s">
        <v>61</v>
      </c>
      <c r="S208" s="79" t="s">
        <v>62</v>
      </c>
      <c r="T208" s="113">
        <v>141296</v>
      </c>
      <c r="U208" s="113">
        <v>119742.3728813557</v>
      </c>
      <c r="V208" s="113">
        <v>4</v>
      </c>
      <c r="X208" s="79" t="s">
        <v>1143</v>
      </c>
      <c r="Y208" s="79" t="s">
        <v>61</v>
      </c>
      <c r="Z208" s="79" t="s">
        <v>62</v>
      </c>
      <c r="AA208" s="113">
        <v>6999</v>
      </c>
      <c r="AB208" s="113">
        <v>5931.3559322033898</v>
      </c>
      <c r="AC208" s="113">
        <v>1</v>
      </c>
    </row>
    <row r="209" spans="1:29" ht="15.75" hidden="1" customHeight="1" outlineLevel="1" x14ac:dyDescent="0.2">
      <c r="A209" s="278" t="s">
        <v>707</v>
      </c>
      <c r="B209" s="198" t="s">
        <v>696</v>
      </c>
      <c r="C209" s="282" t="s">
        <v>194</v>
      </c>
      <c r="D209" s="279" t="s">
        <v>1144</v>
      </c>
      <c r="E209" s="278" t="s">
        <v>249</v>
      </c>
      <c r="F209" s="278" t="s">
        <v>17</v>
      </c>
      <c r="G209" s="182">
        <v>65</v>
      </c>
      <c r="H209" s="182">
        <f t="shared" si="1"/>
        <v>84.5</v>
      </c>
      <c r="J209" s="79" t="s">
        <v>1171</v>
      </c>
      <c r="K209" s="79"/>
      <c r="L209" s="79"/>
      <c r="M209" s="113">
        <v>4030204</v>
      </c>
      <c r="N209" s="113">
        <v>3415427.1186440634</v>
      </c>
      <c r="O209" s="113">
        <v>96</v>
      </c>
      <c r="Q209" s="79" t="s">
        <v>1171</v>
      </c>
      <c r="R209" s="79"/>
      <c r="S209" s="79"/>
      <c r="T209" s="113">
        <v>537085</v>
      </c>
      <c r="U209" s="113">
        <v>455156.77966101607</v>
      </c>
      <c r="V209" s="113">
        <v>15</v>
      </c>
      <c r="X209" s="79" t="s">
        <v>1171</v>
      </c>
      <c r="Y209" s="79"/>
      <c r="Z209" s="79"/>
      <c r="AA209" s="113">
        <v>6999</v>
      </c>
      <c r="AB209" s="113">
        <v>5931.3559322033898</v>
      </c>
      <c r="AC209" s="113">
        <v>1</v>
      </c>
    </row>
    <row r="210" spans="1:29" ht="15.75" hidden="1" customHeight="1" outlineLevel="1" x14ac:dyDescent="0.2">
      <c r="A210" s="278" t="s">
        <v>804</v>
      </c>
      <c r="B210" s="198" t="s">
        <v>805</v>
      </c>
      <c r="C210" s="282" t="s">
        <v>23</v>
      </c>
      <c r="D210" s="279" t="s">
        <v>1144</v>
      </c>
      <c r="E210" s="278" t="s">
        <v>249</v>
      </c>
      <c r="F210" s="278" t="s">
        <v>17</v>
      </c>
      <c r="G210" s="182">
        <v>60</v>
      </c>
      <c r="H210" s="182">
        <f t="shared" si="1"/>
        <v>78</v>
      </c>
      <c r="J210" s="79" t="s">
        <v>1144</v>
      </c>
      <c r="K210" s="79" t="s">
        <v>194</v>
      </c>
      <c r="L210" s="79" t="s">
        <v>199</v>
      </c>
      <c r="M210" s="113">
        <v>4669179</v>
      </c>
      <c r="N210" s="113">
        <v>3956931.3559321957</v>
      </c>
      <c r="O210" s="113">
        <v>121</v>
      </c>
      <c r="Q210" s="79" t="s">
        <v>1144</v>
      </c>
      <c r="R210" s="79" t="s">
        <v>194</v>
      </c>
      <c r="S210" s="79" t="s">
        <v>199</v>
      </c>
      <c r="T210" s="113">
        <v>0</v>
      </c>
      <c r="U210" s="113"/>
      <c r="V210" s="113"/>
      <c r="X210" s="79" t="s">
        <v>1144</v>
      </c>
      <c r="Y210" s="79" t="s">
        <v>194</v>
      </c>
      <c r="Z210" s="79" t="s">
        <v>199</v>
      </c>
      <c r="AA210" s="113">
        <v>42993</v>
      </c>
      <c r="AB210" s="113">
        <v>36434.745762711827</v>
      </c>
      <c r="AC210" s="113">
        <v>7</v>
      </c>
    </row>
    <row r="211" spans="1:29" ht="15.75" hidden="1" customHeight="1" outlineLevel="1" x14ac:dyDescent="0.2">
      <c r="A211" s="279" t="s">
        <v>1145</v>
      </c>
      <c r="B211" s="198" t="s">
        <v>1146</v>
      </c>
      <c r="C211" s="280" t="s">
        <v>194</v>
      </c>
      <c r="D211" s="278" t="s">
        <v>1144</v>
      </c>
      <c r="E211" s="278" t="s">
        <v>249</v>
      </c>
      <c r="F211" s="278" t="s">
        <v>17</v>
      </c>
      <c r="G211" s="182">
        <v>60</v>
      </c>
      <c r="H211" s="182">
        <f t="shared" si="1"/>
        <v>78</v>
      </c>
      <c r="J211" s="79" t="s">
        <v>1144</v>
      </c>
      <c r="K211" s="79" t="s">
        <v>1107</v>
      </c>
      <c r="L211" s="79" t="s">
        <v>1108</v>
      </c>
      <c r="M211" s="113">
        <v>539983</v>
      </c>
      <c r="N211" s="113">
        <v>457612.71186440613</v>
      </c>
      <c r="O211" s="113">
        <v>17</v>
      </c>
      <c r="Q211" s="79" t="s">
        <v>1144</v>
      </c>
      <c r="R211" s="79" t="s">
        <v>1107</v>
      </c>
      <c r="S211" s="79" t="s">
        <v>1108</v>
      </c>
      <c r="T211" s="113">
        <v>0</v>
      </c>
      <c r="U211" s="113"/>
      <c r="V211" s="113"/>
      <c r="X211" s="79" t="s">
        <v>1144</v>
      </c>
      <c r="Y211" s="79" t="s">
        <v>1107</v>
      </c>
      <c r="Z211" s="79" t="s">
        <v>1108</v>
      </c>
      <c r="AA211" s="113">
        <v>30995</v>
      </c>
      <c r="AB211" s="113">
        <v>26266.949152542351</v>
      </c>
      <c r="AC211" s="113">
        <v>5</v>
      </c>
    </row>
    <row r="212" spans="1:29" ht="15.75" hidden="1" customHeight="1" outlineLevel="1" x14ac:dyDescent="0.2">
      <c r="A212" s="278" t="s">
        <v>313</v>
      </c>
      <c r="B212" s="198" t="s">
        <v>314</v>
      </c>
      <c r="C212" s="265"/>
      <c r="D212" s="278" t="s">
        <v>1144</v>
      </c>
      <c r="E212" s="278" t="s">
        <v>249</v>
      </c>
      <c r="F212" s="278" t="s">
        <v>17</v>
      </c>
      <c r="G212" s="182">
        <v>75</v>
      </c>
      <c r="H212" s="182">
        <f t="shared" si="1"/>
        <v>97.5</v>
      </c>
      <c r="J212" s="79" t="s">
        <v>1144</v>
      </c>
      <c r="K212" s="79" t="s">
        <v>707</v>
      </c>
      <c r="L212" s="79" t="s">
        <v>696</v>
      </c>
      <c r="M212" s="113">
        <v>4918177</v>
      </c>
      <c r="N212" s="113">
        <v>4167946.6101694782</v>
      </c>
      <c r="O212" s="113">
        <v>123</v>
      </c>
      <c r="Q212" s="79" t="s">
        <v>1144</v>
      </c>
      <c r="R212" s="79" t="s">
        <v>707</v>
      </c>
      <c r="S212" s="79" t="s">
        <v>696</v>
      </c>
      <c r="T212" s="113">
        <v>0</v>
      </c>
      <c r="U212" s="113"/>
      <c r="V212" s="113"/>
      <c r="X212" s="79" t="s">
        <v>1144</v>
      </c>
      <c r="Y212" s="79" t="s">
        <v>707</v>
      </c>
      <c r="Z212" s="79" t="s">
        <v>696</v>
      </c>
      <c r="AA212" s="113">
        <v>0</v>
      </c>
      <c r="AB212" s="113"/>
      <c r="AC212" s="113"/>
    </row>
    <row r="213" spans="1:29" ht="15.75" hidden="1" customHeight="1" outlineLevel="1" x14ac:dyDescent="0.2">
      <c r="A213" s="278" t="s">
        <v>23</v>
      </c>
      <c r="B213" s="198" t="s">
        <v>24</v>
      </c>
      <c r="C213" s="181"/>
      <c r="D213" s="278" t="s">
        <v>1144</v>
      </c>
      <c r="E213" s="278" t="s">
        <v>249</v>
      </c>
      <c r="F213" s="278" t="s">
        <v>17</v>
      </c>
      <c r="G213" s="182">
        <v>70</v>
      </c>
      <c r="H213" s="182">
        <f t="shared" si="1"/>
        <v>91</v>
      </c>
      <c r="J213" s="42" t="s">
        <v>1144</v>
      </c>
      <c r="K213" s="42" t="s">
        <v>804</v>
      </c>
      <c r="L213" s="42" t="s">
        <v>805</v>
      </c>
      <c r="M213" s="113">
        <v>1619513</v>
      </c>
      <c r="N213" s="113">
        <v>1372468.6440677946</v>
      </c>
      <c r="O213" s="113">
        <v>37</v>
      </c>
      <c r="Q213" s="42" t="s">
        <v>1144</v>
      </c>
      <c r="R213" s="42" t="s">
        <v>804</v>
      </c>
      <c r="S213" s="42" t="s">
        <v>805</v>
      </c>
      <c r="T213" s="113">
        <v>0</v>
      </c>
      <c r="U213" s="113"/>
      <c r="V213" s="113"/>
      <c r="X213" s="42" t="s">
        <v>1144</v>
      </c>
      <c r="Y213" s="42" t="s">
        <v>804</v>
      </c>
      <c r="Z213" s="42" t="s">
        <v>805</v>
      </c>
      <c r="AA213" s="113">
        <v>0</v>
      </c>
      <c r="AB213" s="113"/>
      <c r="AC213" s="113"/>
    </row>
    <row r="214" spans="1:29" ht="15.75" hidden="1" customHeight="1" outlineLevel="1" x14ac:dyDescent="0.2">
      <c r="A214" s="278" t="s">
        <v>249</v>
      </c>
      <c r="B214" s="198" t="s">
        <v>250</v>
      </c>
      <c r="C214" s="181"/>
      <c r="D214" s="278" t="s">
        <v>1144</v>
      </c>
      <c r="E214" s="278" t="s">
        <v>249</v>
      </c>
      <c r="F214" s="278" t="s">
        <v>17</v>
      </c>
      <c r="G214" s="182">
        <v>80</v>
      </c>
      <c r="H214" s="182">
        <f t="shared" si="1"/>
        <v>104</v>
      </c>
      <c r="J214" s="79" t="s">
        <v>1144</v>
      </c>
      <c r="K214" s="79" t="s">
        <v>313</v>
      </c>
      <c r="L214" s="79" t="s">
        <v>314</v>
      </c>
      <c r="M214" s="113">
        <v>4046692</v>
      </c>
      <c r="N214" s="113">
        <v>3429399.999999993</v>
      </c>
      <c r="O214" s="113">
        <v>108</v>
      </c>
      <c r="Q214" s="79" t="s">
        <v>1144</v>
      </c>
      <c r="R214" s="79" t="s">
        <v>313</v>
      </c>
      <c r="S214" s="79" t="s">
        <v>314</v>
      </c>
      <c r="T214" s="113">
        <v>0</v>
      </c>
      <c r="U214" s="113"/>
      <c r="V214" s="113"/>
      <c r="X214" s="79" t="s">
        <v>1144</v>
      </c>
      <c r="Y214" s="79" t="s">
        <v>313</v>
      </c>
      <c r="Z214" s="79" t="s">
        <v>314</v>
      </c>
      <c r="AA214" s="113">
        <v>42993</v>
      </c>
      <c r="AB214" s="113">
        <v>36434.745762711827</v>
      </c>
      <c r="AC214" s="113">
        <v>7</v>
      </c>
    </row>
    <row r="215" spans="1:29" ht="15.75" hidden="1" customHeight="1" outlineLevel="1" x14ac:dyDescent="0.2">
      <c r="A215" s="281" t="s">
        <v>225</v>
      </c>
      <c r="B215" s="198" t="s">
        <v>27</v>
      </c>
      <c r="C215" s="181"/>
      <c r="D215" s="281" t="s">
        <v>1147</v>
      </c>
      <c r="E215" s="198"/>
      <c r="F215" s="281" t="s">
        <v>17</v>
      </c>
      <c r="G215" s="182">
        <v>70</v>
      </c>
      <c r="H215" s="182">
        <f t="shared" si="1"/>
        <v>91</v>
      </c>
      <c r="J215" s="79" t="s">
        <v>1144</v>
      </c>
      <c r="K215" s="79" t="s">
        <v>23</v>
      </c>
      <c r="L215" s="79" t="s">
        <v>24</v>
      </c>
      <c r="M215" s="113">
        <v>3000678</v>
      </c>
      <c r="N215" s="113">
        <v>2542947.4576271139</v>
      </c>
      <c r="O215" s="113">
        <v>72</v>
      </c>
      <c r="Q215" s="79" t="s">
        <v>1144</v>
      </c>
      <c r="R215" s="79" t="s">
        <v>23</v>
      </c>
      <c r="S215" s="79" t="s">
        <v>24</v>
      </c>
      <c r="T215" s="113">
        <v>31499</v>
      </c>
      <c r="U215" s="113">
        <v>26694.067796610099</v>
      </c>
      <c r="V215" s="113">
        <v>1</v>
      </c>
      <c r="X215" s="79" t="s">
        <v>1144</v>
      </c>
      <c r="Y215" s="79" t="s">
        <v>23</v>
      </c>
      <c r="Z215" s="79" t="s">
        <v>24</v>
      </c>
      <c r="AA215" s="113">
        <v>6999</v>
      </c>
      <c r="AB215" s="113">
        <v>5931.3559322033898</v>
      </c>
      <c r="AC215" s="113">
        <v>1</v>
      </c>
    </row>
    <row r="216" spans="1:29" ht="15.75" hidden="1" customHeight="1" outlineLevel="1" x14ac:dyDescent="0.2">
      <c r="A216" s="281" t="s">
        <v>29</v>
      </c>
      <c r="B216" s="198" t="s">
        <v>30</v>
      </c>
      <c r="C216" s="181"/>
      <c r="D216" s="281" t="s">
        <v>1147</v>
      </c>
      <c r="E216" s="199"/>
      <c r="F216" s="281" t="s">
        <v>17</v>
      </c>
      <c r="G216" s="182">
        <v>70</v>
      </c>
      <c r="H216" s="182">
        <f t="shared" si="1"/>
        <v>91</v>
      </c>
      <c r="J216" s="79" t="s">
        <v>1144</v>
      </c>
      <c r="K216" s="79" t="s">
        <v>249</v>
      </c>
      <c r="L216" s="79" t="s">
        <v>250</v>
      </c>
      <c r="M216" s="113">
        <v>5861743</v>
      </c>
      <c r="N216" s="113">
        <v>4967578.8135593142</v>
      </c>
      <c r="O216" s="113">
        <v>157</v>
      </c>
      <c r="Q216" s="79" t="s">
        <v>1144</v>
      </c>
      <c r="R216" s="79" t="s">
        <v>249</v>
      </c>
      <c r="S216" s="79" t="s">
        <v>250</v>
      </c>
      <c r="T216" s="113">
        <v>0</v>
      </c>
      <c r="U216" s="113"/>
      <c r="V216" s="113"/>
      <c r="X216" s="79" t="s">
        <v>1144</v>
      </c>
      <c r="Y216" s="79" t="s">
        <v>249</v>
      </c>
      <c r="Z216" s="79" t="s">
        <v>250</v>
      </c>
      <c r="AA216" s="113">
        <v>38994</v>
      </c>
      <c r="AB216" s="113">
        <v>33045.762711864365</v>
      </c>
      <c r="AC216" s="113">
        <v>6</v>
      </c>
    </row>
    <row r="217" spans="1:29" ht="15.75" hidden="1" customHeight="1" outlineLevel="1" x14ac:dyDescent="0.2">
      <c r="A217" s="281" t="s">
        <v>244</v>
      </c>
      <c r="B217" s="198" t="s">
        <v>245</v>
      </c>
      <c r="C217" s="181"/>
      <c r="D217" s="281" t="s">
        <v>1147</v>
      </c>
      <c r="E217" s="199"/>
      <c r="F217" s="281" t="s">
        <v>17</v>
      </c>
      <c r="G217" s="182">
        <v>70</v>
      </c>
      <c r="H217" s="182">
        <f t="shared" si="1"/>
        <v>91</v>
      </c>
      <c r="J217" s="79" t="s">
        <v>1144</v>
      </c>
      <c r="K217" s="79" t="s">
        <v>1145</v>
      </c>
      <c r="L217" s="79" t="s">
        <v>1146</v>
      </c>
      <c r="M217" s="113">
        <v>1835253</v>
      </c>
      <c r="N217" s="113">
        <v>1555299.1525423701</v>
      </c>
      <c r="O217" s="113">
        <v>47</v>
      </c>
      <c r="Q217" s="79" t="s">
        <v>1144</v>
      </c>
      <c r="R217" s="79" t="s">
        <v>1145</v>
      </c>
      <c r="S217" s="79" t="s">
        <v>1146</v>
      </c>
      <c r="T217" s="113">
        <v>33299</v>
      </c>
      <c r="U217" s="113">
        <v>28219.491525423698</v>
      </c>
      <c r="V217" s="113">
        <v>1</v>
      </c>
      <c r="X217" s="79" t="s">
        <v>1144</v>
      </c>
      <c r="Y217" s="79" t="s">
        <v>1145</v>
      </c>
      <c r="Z217" s="79" t="s">
        <v>1146</v>
      </c>
      <c r="AA217" s="113">
        <v>11998</v>
      </c>
      <c r="AB217" s="113">
        <v>10167.79661016948</v>
      </c>
      <c r="AC217" s="113">
        <v>2</v>
      </c>
    </row>
    <row r="218" spans="1:29" ht="15.75" hidden="1" customHeight="1" outlineLevel="1" x14ac:dyDescent="0.2">
      <c r="A218" s="281" t="s">
        <v>20</v>
      </c>
      <c r="B218" s="198" t="s">
        <v>21</v>
      </c>
      <c r="C218" s="181"/>
      <c r="D218" s="281" t="s">
        <v>1147</v>
      </c>
      <c r="E218" s="199"/>
      <c r="F218" s="281" t="s">
        <v>17</v>
      </c>
      <c r="G218" s="182">
        <v>70</v>
      </c>
      <c r="H218" s="182">
        <f t="shared" si="1"/>
        <v>91</v>
      </c>
      <c r="J218" s="79" t="s">
        <v>1172</v>
      </c>
      <c r="K218" s="79"/>
      <c r="L218" s="79"/>
      <c r="M218" s="113">
        <v>26491218</v>
      </c>
      <c r="N218" s="113">
        <v>22450184.745762665</v>
      </c>
      <c r="O218" s="113">
        <v>682</v>
      </c>
      <c r="Q218" s="79" t="s">
        <v>1172</v>
      </c>
      <c r="R218" s="79"/>
      <c r="S218" s="79"/>
      <c r="T218" s="113">
        <v>64798</v>
      </c>
      <c r="U218" s="113">
        <v>54913.559322033798</v>
      </c>
      <c r="V218" s="113">
        <v>2</v>
      </c>
      <c r="X218" s="79" t="s">
        <v>1172</v>
      </c>
      <c r="Y218" s="79"/>
      <c r="Z218" s="79"/>
      <c r="AA218" s="113">
        <v>174972</v>
      </c>
      <c r="AB218" s="113">
        <v>148281.35593220324</v>
      </c>
      <c r="AC218" s="113">
        <v>28</v>
      </c>
    </row>
    <row r="219" spans="1:29" ht="15.75" hidden="1" customHeight="1" outlineLevel="1" x14ac:dyDescent="0.2">
      <c r="A219" s="281" t="s">
        <v>699</v>
      </c>
      <c r="B219" s="198" t="s">
        <v>700</v>
      </c>
      <c r="C219" s="265"/>
      <c r="D219" s="283" t="s">
        <v>1147</v>
      </c>
      <c r="E219" s="198"/>
      <c r="F219" s="281" t="s">
        <v>17</v>
      </c>
      <c r="G219" s="182">
        <v>70</v>
      </c>
      <c r="H219" s="182">
        <f t="shared" si="1"/>
        <v>91</v>
      </c>
      <c r="J219" s="79" t="s">
        <v>1147</v>
      </c>
      <c r="K219" s="79" t="s">
        <v>225</v>
      </c>
      <c r="L219" s="79" t="s">
        <v>27</v>
      </c>
      <c r="M219" s="113">
        <v>2485087</v>
      </c>
      <c r="N219" s="113">
        <v>2106005.9322033874</v>
      </c>
      <c r="O219" s="113">
        <v>63</v>
      </c>
      <c r="Q219" s="79" t="s">
        <v>1147</v>
      </c>
      <c r="R219" s="79" t="s">
        <v>225</v>
      </c>
      <c r="S219" s="79" t="s">
        <v>27</v>
      </c>
      <c r="T219" s="113">
        <v>28799</v>
      </c>
      <c r="U219" s="113">
        <v>24405.932203389799</v>
      </c>
      <c r="V219" s="113">
        <v>1</v>
      </c>
      <c r="X219" s="79" t="s">
        <v>1147</v>
      </c>
      <c r="Y219" s="79" t="s">
        <v>225</v>
      </c>
      <c r="Z219" s="79" t="s">
        <v>27</v>
      </c>
      <c r="AA219" s="113">
        <v>17997</v>
      </c>
      <c r="AB219" s="113">
        <v>15251.69491525422</v>
      </c>
      <c r="AC219" s="113">
        <v>3</v>
      </c>
    </row>
    <row r="220" spans="1:29" ht="15.75" hidden="1" customHeight="1" outlineLevel="1" x14ac:dyDescent="0.2">
      <c r="A220" s="281" t="s">
        <v>222</v>
      </c>
      <c r="B220" s="198" t="s">
        <v>223</v>
      </c>
      <c r="C220" s="265"/>
      <c r="D220" s="283" t="s">
        <v>1147</v>
      </c>
      <c r="E220" s="198"/>
      <c r="F220" s="281" t="s">
        <v>17</v>
      </c>
      <c r="G220" s="182">
        <v>75</v>
      </c>
      <c r="H220" s="182">
        <f t="shared" si="1"/>
        <v>97.5</v>
      </c>
      <c r="J220" s="79" t="s">
        <v>1147</v>
      </c>
      <c r="K220" s="42" t="s">
        <v>29</v>
      </c>
      <c r="L220" s="42" t="s">
        <v>30</v>
      </c>
      <c r="M220" s="113">
        <v>2516692</v>
      </c>
      <c r="N220" s="113">
        <v>2132789.8305084715</v>
      </c>
      <c r="O220" s="113">
        <v>58</v>
      </c>
      <c r="Q220" s="79" t="s">
        <v>1147</v>
      </c>
      <c r="R220" s="42" t="s">
        <v>29</v>
      </c>
      <c r="S220" s="42" t="s">
        <v>30</v>
      </c>
      <c r="T220" s="113">
        <v>140646</v>
      </c>
      <c r="U220" s="113">
        <v>119191.5254237286</v>
      </c>
      <c r="V220" s="113">
        <v>4</v>
      </c>
      <c r="X220" s="79" t="s">
        <v>1147</v>
      </c>
      <c r="Y220" s="42" t="s">
        <v>29</v>
      </c>
      <c r="Z220" s="42" t="s">
        <v>30</v>
      </c>
      <c r="AA220" s="113">
        <v>0</v>
      </c>
      <c r="AB220" s="113"/>
      <c r="AC220" s="113"/>
    </row>
    <row r="221" spans="1:29" ht="15.75" hidden="1" customHeight="1" outlineLevel="1" x14ac:dyDescent="0.2">
      <c r="A221" s="281" t="s">
        <v>70</v>
      </c>
      <c r="B221" s="198" t="s">
        <v>34</v>
      </c>
      <c r="C221" s="265"/>
      <c r="D221" s="283" t="s">
        <v>1147</v>
      </c>
      <c r="E221" s="198"/>
      <c r="F221" s="281" t="s">
        <v>17</v>
      </c>
      <c r="G221" s="182">
        <v>45</v>
      </c>
      <c r="H221" s="182">
        <f t="shared" si="1"/>
        <v>58.5</v>
      </c>
      <c r="J221" s="79" t="s">
        <v>1147</v>
      </c>
      <c r="K221" s="79" t="s">
        <v>244</v>
      </c>
      <c r="L221" s="79" t="s">
        <v>245</v>
      </c>
      <c r="M221" s="113">
        <v>2022353</v>
      </c>
      <c r="N221" s="113">
        <v>1713858.4745762686</v>
      </c>
      <c r="O221" s="113">
        <v>47</v>
      </c>
      <c r="Q221" s="79" t="s">
        <v>1147</v>
      </c>
      <c r="R221" s="79" t="s">
        <v>244</v>
      </c>
      <c r="S221" s="79" t="s">
        <v>245</v>
      </c>
      <c r="T221" s="113">
        <v>307143</v>
      </c>
      <c r="U221" s="113">
        <v>260290.67796610127</v>
      </c>
      <c r="V221" s="113">
        <v>7</v>
      </c>
      <c r="X221" s="79" t="s">
        <v>1147</v>
      </c>
      <c r="Y221" s="79" t="s">
        <v>244</v>
      </c>
      <c r="Z221" s="79" t="s">
        <v>245</v>
      </c>
      <c r="AA221" s="113">
        <v>0</v>
      </c>
      <c r="AB221" s="113"/>
      <c r="AC221" s="113"/>
    </row>
    <row r="222" spans="1:29" ht="15.75" hidden="1" customHeight="1" outlineLevel="1" x14ac:dyDescent="0.2">
      <c r="A222" s="278" t="s">
        <v>1148</v>
      </c>
      <c r="B222" s="198" t="s">
        <v>807</v>
      </c>
      <c r="C222" s="265"/>
      <c r="D222" s="279" t="s">
        <v>1149</v>
      </c>
      <c r="E222" s="278" t="s">
        <v>63</v>
      </c>
      <c r="F222" s="278" t="s">
        <v>55</v>
      </c>
      <c r="G222" s="182">
        <v>70</v>
      </c>
      <c r="H222" s="182">
        <f t="shared" si="1"/>
        <v>91</v>
      </c>
      <c r="J222" s="79" t="s">
        <v>1147</v>
      </c>
      <c r="K222" s="79" t="s">
        <v>20</v>
      </c>
      <c r="L222" s="79" t="s">
        <v>21</v>
      </c>
      <c r="M222" s="113">
        <v>2855628</v>
      </c>
      <c r="N222" s="113">
        <v>2420023.728813556</v>
      </c>
      <c r="O222" s="113">
        <v>72</v>
      </c>
      <c r="Q222" s="79" t="s">
        <v>1147</v>
      </c>
      <c r="R222" s="79" t="s">
        <v>20</v>
      </c>
      <c r="S222" s="79" t="s">
        <v>21</v>
      </c>
      <c r="T222" s="113">
        <v>0</v>
      </c>
      <c r="U222" s="113"/>
      <c r="V222" s="113"/>
      <c r="X222" s="79" t="s">
        <v>1147</v>
      </c>
      <c r="Y222" s="79" t="s">
        <v>20</v>
      </c>
      <c r="Z222" s="79" t="s">
        <v>21</v>
      </c>
      <c r="AA222" s="113">
        <v>11998</v>
      </c>
      <c r="AB222" s="113">
        <v>10167.79661016948</v>
      </c>
      <c r="AC222" s="113">
        <v>2</v>
      </c>
    </row>
    <row r="223" spans="1:29" ht="15.75" hidden="1" customHeight="1" outlineLevel="1" x14ac:dyDescent="0.2">
      <c r="A223" s="278" t="s">
        <v>301</v>
      </c>
      <c r="B223" s="198" t="s">
        <v>302</v>
      </c>
      <c r="C223" s="265"/>
      <c r="D223" s="279" t="s">
        <v>1149</v>
      </c>
      <c r="E223" s="278" t="s">
        <v>63</v>
      </c>
      <c r="F223" s="278" t="s">
        <v>55</v>
      </c>
      <c r="G223" s="182">
        <v>80</v>
      </c>
      <c r="H223" s="182">
        <f t="shared" si="1"/>
        <v>104</v>
      </c>
      <c r="J223" s="112" t="s">
        <v>1147</v>
      </c>
      <c r="K223" s="161" t="s">
        <v>699</v>
      </c>
      <c r="L223" s="79" t="s">
        <v>700</v>
      </c>
      <c r="M223" s="113">
        <v>2809748</v>
      </c>
      <c r="N223" s="113">
        <v>2381142.3728813529</v>
      </c>
      <c r="O223" s="113">
        <v>52</v>
      </c>
      <c r="Q223" s="112" t="s">
        <v>1147</v>
      </c>
      <c r="R223" s="161" t="s">
        <v>699</v>
      </c>
      <c r="S223" s="79" t="s">
        <v>700</v>
      </c>
      <c r="T223" s="113">
        <v>62098</v>
      </c>
      <c r="U223" s="113">
        <v>52625.423728813497</v>
      </c>
      <c r="V223" s="113">
        <v>2</v>
      </c>
      <c r="X223" s="112" t="s">
        <v>1147</v>
      </c>
      <c r="Y223" s="161" t="s">
        <v>699</v>
      </c>
      <c r="Z223" s="79" t="s">
        <v>700</v>
      </c>
      <c r="AA223" s="113">
        <v>5999</v>
      </c>
      <c r="AB223" s="113">
        <v>5083.8983050847401</v>
      </c>
      <c r="AC223" s="113">
        <v>1</v>
      </c>
    </row>
    <row r="224" spans="1:29" ht="15.75" hidden="1" customHeight="1" outlineLevel="1" x14ac:dyDescent="0.2">
      <c r="A224" s="278" t="s">
        <v>1150</v>
      </c>
      <c r="B224" s="198" t="s">
        <v>1151</v>
      </c>
      <c r="C224" s="181"/>
      <c r="D224" s="279" t="s">
        <v>1149</v>
      </c>
      <c r="E224" s="278" t="s">
        <v>63</v>
      </c>
      <c r="F224" s="278" t="s">
        <v>55</v>
      </c>
      <c r="G224" s="182">
        <v>40</v>
      </c>
      <c r="H224" s="182">
        <f t="shared" si="1"/>
        <v>52</v>
      </c>
      <c r="J224" s="112" t="s">
        <v>1147</v>
      </c>
      <c r="K224" s="161" t="s">
        <v>222</v>
      </c>
      <c r="L224" s="79" t="s">
        <v>223</v>
      </c>
      <c r="M224" s="113">
        <v>3054620</v>
      </c>
      <c r="N224" s="113">
        <v>2588661.0169491484</v>
      </c>
      <c r="O224" s="113">
        <v>80</v>
      </c>
      <c r="Q224" s="112" t="s">
        <v>1147</v>
      </c>
      <c r="R224" s="161" t="s">
        <v>222</v>
      </c>
      <c r="S224" s="79" t="s">
        <v>223</v>
      </c>
      <c r="T224" s="113">
        <v>90447</v>
      </c>
      <c r="U224" s="113">
        <v>76649.999999999898</v>
      </c>
      <c r="V224" s="113">
        <v>3</v>
      </c>
      <c r="X224" s="112" t="s">
        <v>1147</v>
      </c>
      <c r="Y224" s="161" t="s">
        <v>222</v>
      </c>
      <c r="Z224" s="79" t="s">
        <v>223</v>
      </c>
      <c r="AA224" s="113">
        <v>5999</v>
      </c>
      <c r="AB224" s="113">
        <v>5083.8983050847401</v>
      </c>
      <c r="AC224" s="113">
        <v>1</v>
      </c>
    </row>
    <row r="225" spans="1:29" ht="15.75" hidden="1" customHeight="1" outlineLevel="1" x14ac:dyDescent="0.2">
      <c r="A225" s="278" t="s">
        <v>63</v>
      </c>
      <c r="B225" s="198" t="s">
        <v>64</v>
      </c>
      <c r="C225" s="265"/>
      <c r="D225" s="279" t="s">
        <v>1149</v>
      </c>
      <c r="E225" s="278" t="s">
        <v>63</v>
      </c>
      <c r="F225" s="278" t="s">
        <v>55</v>
      </c>
      <c r="G225" s="182">
        <v>80</v>
      </c>
      <c r="H225" s="182">
        <f t="shared" si="1"/>
        <v>104</v>
      </c>
      <c r="J225" s="112" t="s">
        <v>1147</v>
      </c>
      <c r="K225" s="161" t="s">
        <v>70</v>
      </c>
      <c r="L225" s="79" t="s">
        <v>34</v>
      </c>
      <c r="M225" s="113">
        <v>1625659</v>
      </c>
      <c r="N225" s="113">
        <v>1377677.1186440657</v>
      </c>
      <c r="O225" s="113">
        <v>41</v>
      </c>
      <c r="Q225" s="112" t="s">
        <v>1147</v>
      </c>
      <c r="R225" s="161" t="s">
        <v>70</v>
      </c>
      <c r="S225" s="79" t="s">
        <v>34</v>
      </c>
      <c r="T225" s="113">
        <v>328492</v>
      </c>
      <c r="U225" s="113">
        <v>278383.05084745726</v>
      </c>
      <c r="V225" s="113">
        <v>8</v>
      </c>
      <c r="X225" s="112" t="s">
        <v>1147</v>
      </c>
      <c r="Y225" s="161" t="s">
        <v>70</v>
      </c>
      <c r="Z225" s="79" t="s">
        <v>34</v>
      </c>
      <c r="AA225" s="113">
        <v>12998</v>
      </c>
      <c r="AB225" s="113">
        <v>11015.254237288129</v>
      </c>
      <c r="AC225" s="113">
        <v>2</v>
      </c>
    </row>
    <row r="226" spans="1:29" ht="15.75" hidden="1" customHeight="1" outlineLevel="1" x14ac:dyDescent="0.2">
      <c r="A226" s="279" t="s">
        <v>1152</v>
      </c>
      <c r="B226" s="198" t="s">
        <v>1153</v>
      </c>
      <c r="C226" s="181"/>
      <c r="D226" s="279" t="s">
        <v>1154</v>
      </c>
      <c r="E226" s="278" t="s">
        <v>307</v>
      </c>
      <c r="F226" s="278" t="s">
        <v>55</v>
      </c>
      <c r="G226" s="182">
        <v>60</v>
      </c>
      <c r="H226" s="182">
        <f t="shared" si="1"/>
        <v>78</v>
      </c>
      <c r="J226" s="112" t="s">
        <v>1173</v>
      </c>
      <c r="K226" s="161"/>
      <c r="L226" s="79"/>
      <c r="M226" s="113">
        <v>17369787</v>
      </c>
      <c r="N226" s="113">
        <v>14720158.474576252</v>
      </c>
      <c r="O226" s="113">
        <v>413</v>
      </c>
      <c r="Q226" s="112" t="s">
        <v>1173</v>
      </c>
      <c r="R226" s="161"/>
      <c r="S226" s="79"/>
      <c r="T226" s="113">
        <v>957625</v>
      </c>
      <c r="U226" s="113">
        <v>811546.61016949033</v>
      </c>
      <c r="V226" s="113">
        <v>25</v>
      </c>
      <c r="X226" s="112" t="s">
        <v>1173</v>
      </c>
      <c r="Y226" s="161"/>
      <c r="Z226" s="79"/>
      <c r="AA226" s="113">
        <v>54991</v>
      </c>
      <c r="AB226" s="113">
        <v>46602.542372881304</v>
      </c>
      <c r="AC226" s="113">
        <v>9</v>
      </c>
    </row>
    <row r="227" spans="1:29" ht="15.75" hidden="1" customHeight="1" outlineLevel="1" x14ac:dyDescent="0.2">
      <c r="A227" s="279" t="s">
        <v>335</v>
      </c>
      <c r="B227" s="198" t="s">
        <v>342</v>
      </c>
      <c r="C227" s="181"/>
      <c r="D227" s="278" t="s">
        <v>1154</v>
      </c>
      <c r="E227" s="278" t="s">
        <v>307</v>
      </c>
      <c r="F227" s="278" t="s">
        <v>55</v>
      </c>
      <c r="G227" s="182">
        <v>80</v>
      </c>
      <c r="H227" s="182">
        <f t="shared" si="1"/>
        <v>104</v>
      </c>
      <c r="J227" s="42" t="s">
        <v>1149</v>
      </c>
      <c r="K227" s="42" t="s">
        <v>806</v>
      </c>
      <c r="L227" s="42" t="s">
        <v>807</v>
      </c>
      <c r="M227" s="113">
        <v>2149902</v>
      </c>
      <c r="N227" s="113">
        <v>1821950.8474576247</v>
      </c>
      <c r="O227" s="113">
        <v>48</v>
      </c>
      <c r="Q227" s="42" t="s">
        <v>1149</v>
      </c>
      <c r="R227" s="42" t="s">
        <v>806</v>
      </c>
      <c r="S227" s="42" t="s">
        <v>807</v>
      </c>
      <c r="T227" s="113">
        <v>75998</v>
      </c>
      <c r="U227" s="113">
        <v>64405.084745762702</v>
      </c>
      <c r="V227" s="113">
        <v>2</v>
      </c>
      <c r="X227" s="42" t="s">
        <v>1149</v>
      </c>
      <c r="Y227" s="42" t="s">
        <v>806</v>
      </c>
      <c r="Z227" s="42" t="s">
        <v>807</v>
      </c>
      <c r="AA227" s="113">
        <v>18997</v>
      </c>
      <c r="AB227" s="113">
        <v>16099.152542372869</v>
      </c>
      <c r="AC227" s="113">
        <v>3</v>
      </c>
    </row>
    <row r="228" spans="1:29" ht="15.75" hidden="1" customHeight="1" outlineLevel="1" x14ac:dyDescent="0.2">
      <c r="A228" s="279" t="s">
        <v>307</v>
      </c>
      <c r="B228" s="198" t="s">
        <v>308</v>
      </c>
      <c r="C228" s="181"/>
      <c r="D228" s="278" t="s">
        <v>1154</v>
      </c>
      <c r="E228" s="278" t="s">
        <v>307</v>
      </c>
      <c r="F228" s="278" t="s">
        <v>55</v>
      </c>
      <c r="G228" s="182">
        <v>80</v>
      </c>
      <c r="H228" s="182">
        <f t="shared" si="1"/>
        <v>104</v>
      </c>
      <c r="J228" s="79" t="s">
        <v>1149</v>
      </c>
      <c r="K228" s="79" t="s">
        <v>301</v>
      </c>
      <c r="L228" s="79" t="s">
        <v>302</v>
      </c>
      <c r="M228" s="113">
        <v>3438616</v>
      </c>
      <c r="N228" s="113">
        <v>2914081.3559321971</v>
      </c>
      <c r="O228" s="113">
        <v>84</v>
      </c>
      <c r="Q228" s="79" t="s">
        <v>1149</v>
      </c>
      <c r="R228" s="79" t="s">
        <v>301</v>
      </c>
      <c r="S228" s="79" t="s">
        <v>302</v>
      </c>
      <c r="T228" s="113">
        <v>134597</v>
      </c>
      <c r="U228" s="113">
        <v>114065.25423728791</v>
      </c>
      <c r="V228" s="113">
        <v>3</v>
      </c>
      <c r="X228" s="79" t="s">
        <v>1149</v>
      </c>
      <c r="Y228" s="79" t="s">
        <v>301</v>
      </c>
      <c r="Z228" s="79" t="s">
        <v>302</v>
      </c>
      <c r="AA228" s="113">
        <v>0</v>
      </c>
      <c r="AB228" s="113"/>
      <c r="AC228" s="113"/>
    </row>
    <row r="229" spans="1:29" ht="15.75" hidden="1" customHeight="1" outlineLevel="1" x14ac:dyDescent="0.2">
      <c r="A229" s="278" t="s">
        <v>217</v>
      </c>
      <c r="B229" s="198" t="s">
        <v>197</v>
      </c>
      <c r="C229" s="265"/>
      <c r="D229" s="278" t="s">
        <v>1154</v>
      </c>
      <c r="E229" s="278" t="s">
        <v>307</v>
      </c>
      <c r="F229" s="278" t="s">
        <v>55</v>
      </c>
      <c r="G229" s="182">
        <v>80</v>
      </c>
      <c r="H229" s="182">
        <f t="shared" si="1"/>
        <v>104</v>
      </c>
      <c r="J229" s="79" t="s">
        <v>1149</v>
      </c>
      <c r="K229" s="79" t="s">
        <v>1150</v>
      </c>
      <c r="L229" s="79" t="s">
        <v>1151</v>
      </c>
      <c r="M229" s="113">
        <v>1259970</v>
      </c>
      <c r="N229" s="113">
        <v>1067771.1864406762</v>
      </c>
      <c r="O229" s="113">
        <v>30</v>
      </c>
      <c r="Q229" s="79" t="s">
        <v>1149</v>
      </c>
      <c r="R229" s="79" t="s">
        <v>1150</v>
      </c>
      <c r="S229" s="79" t="s">
        <v>1151</v>
      </c>
      <c r="T229" s="113">
        <v>130998</v>
      </c>
      <c r="U229" s="113">
        <v>111015.254237288</v>
      </c>
      <c r="V229" s="113">
        <v>2</v>
      </c>
      <c r="X229" s="79" t="s">
        <v>1149</v>
      </c>
      <c r="Y229" s="79" t="s">
        <v>1150</v>
      </c>
      <c r="Z229" s="79" t="s">
        <v>1151</v>
      </c>
      <c r="AA229" s="113">
        <v>0</v>
      </c>
      <c r="AB229" s="113"/>
      <c r="AC229" s="113"/>
    </row>
    <row r="230" spans="1:29" ht="15.75" hidden="1" customHeight="1" outlineLevel="1" x14ac:dyDescent="0.2">
      <c r="A230" s="278" t="s">
        <v>286</v>
      </c>
      <c r="B230" s="198" t="s">
        <v>37</v>
      </c>
      <c r="C230" s="265"/>
      <c r="D230" s="278" t="s">
        <v>1155</v>
      </c>
      <c r="E230" s="278" t="s">
        <v>286</v>
      </c>
      <c r="F230" s="278" t="s">
        <v>55</v>
      </c>
      <c r="G230" s="182">
        <v>70</v>
      </c>
      <c r="H230" s="182">
        <f t="shared" si="1"/>
        <v>91</v>
      </c>
      <c r="J230" s="79" t="s">
        <v>1149</v>
      </c>
      <c r="K230" s="79" t="s">
        <v>63</v>
      </c>
      <c r="L230" s="79" t="s">
        <v>64</v>
      </c>
      <c r="M230" s="113">
        <v>2521892</v>
      </c>
      <c r="N230" s="113">
        <v>2137196.6101694894</v>
      </c>
      <c r="O230" s="113">
        <v>58</v>
      </c>
      <c r="Q230" s="79" t="s">
        <v>1149</v>
      </c>
      <c r="R230" s="79" t="s">
        <v>63</v>
      </c>
      <c r="S230" s="79" t="s">
        <v>64</v>
      </c>
      <c r="T230" s="113">
        <v>594935</v>
      </c>
      <c r="U230" s="113">
        <v>504182.20338982966</v>
      </c>
      <c r="V230" s="113">
        <v>15</v>
      </c>
      <c r="X230" s="79" t="s">
        <v>1149</v>
      </c>
      <c r="Y230" s="79" t="s">
        <v>63</v>
      </c>
      <c r="Z230" s="79" t="s">
        <v>64</v>
      </c>
      <c r="AA230" s="113">
        <v>0</v>
      </c>
      <c r="AB230" s="113"/>
      <c r="AC230" s="113"/>
    </row>
    <row r="231" spans="1:29" ht="15.75" hidden="1" customHeight="1" outlineLevel="1" x14ac:dyDescent="0.2">
      <c r="A231" s="278" t="s">
        <v>657</v>
      </c>
      <c r="B231" s="198" t="s">
        <v>39</v>
      </c>
      <c r="C231" s="265"/>
      <c r="D231" s="278" t="s">
        <v>1155</v>
      </c>
      <c r="E231" s="278" t="s">
        <v>286</v>
      </c>
      <c r="F231" s="278" t="s">
        <v>55</v>
      </c>
      <c r="G231" s="182">
        <v>80</v>
      </c>
      <c r="H231" s="182">
        <f t="shared" si="1"/>
        <v>104</v>
      </c>
      <c r="J231" s="79" t="s">
        <v>1174</v>
      </c>
      <c r="K231" s="79"/>
      <c r="L231" s="79"/>
      <c r="M231" s="113">
        <v>9370380</v>
      </c>
      <c r="N231" s="113">
        <v>7940999.999999987</v>
      </c>
      <c r="O231" s="113">
        <v>220</v>
      </c>
      <c r="Q231" s="79" t="s">
        <v>1174</v>
      </c>
      <c r="R231" s="79"/>
      <c r="S231" s="79"/>
      <c r="T231" s="113">
        <v>936528</v>
      </c>
      <c r="U231" s="113">
        <v>793667.79661016818</v>
      </c>
      <c r="V231" s="113">
        <v>22</v>
      </c>
      <c r="X231" s="79" t="s">
        <v>1174</v>
      </c>
      <c r="Y231" s="79"/>
      <c r="Z231" s="79"/>
      <c r="AA231" s="113">
        <v>18997</v>
      </c>
      <c r="AB231" s="113">
        <v>16099.152542372869</v>
      </c>
      <c r="AC231" s="113">
        <v>3</v>
      </c>
    </row>
    <row r="232" spans="1:29" ht="15.75" hidden="1" customHeight="1" outlineLevel="1" x14ac:dyDescent="0.2">
      <c r="A232" s="278" t="s">
        <v>1156</v>
      </c>
      <c r="B232" s="198" t="s">
        <v>1157</v>
      </c>
      <c r="C232" s="265"/>
      <c r="D232" s="278" t="s">
        <v>1155</v>
      </c>
      <c r="E232" s="278" t="s">
        <v>286</v>
      </c>
      <c r="F232" s="278" t="s">
        <v>55</v>
      </c>
      <c r="G232" s="182">
        <v>70</v>
      </c>
      <c r="H232" s="182">
        <f t="shared" si="1"/>
        <v>91</v>
      </c>
      <c r="J232" s="79" t="s">
        <v>1154</v>
      </c>
      <c r="K232" s="79" t="s">
        <v>307</v>
      </c>
      <c r="L232" s="79" t="s">
        <v>308</v>
      </c>
      <c r="M232" s="113">
        <v>1388916</v>
      </c>
      <c r="N232" s="113">
        <v>1177047.4576271169</v>
      </c>
      <c r="O232" s="113">
        <v>34</v>
      </c>
      <c r="Q232" s="79" t="s">
        <v>1154</v>
      </c>
      <c r="R232" s="79" t="s">
        <v>307</v>
      </c>
      <c r="S232" s="79" t="s">
        <v>308</v>
      </c>
      <c r="T232" s="113">
        <v>781931</v>
      </c>
      <c r="U232" s="113">
        <v>662653.38983050745</v>
      </c>
      <c r="V232" s="113">
        <v>19</v>
      </c>
      <c r="X232" s="79" t="s">
        <v>1154</v>
      </c>
      <c r="Y232" s="79" t="s">
        <v>307</v>
      </c>
      <c r="Z232" s="79" t="s">
        <v>308</v>
      </c>
      <c r="AA232" s="113">
        <v>13998</v>
      </c>
      <c r="AB232" s="113">
        <v>11862.71186440678</v>
      </c>
      <c r="AC232" s="113">
        <v>2</v>
      </c>
    </row>
    <row r="233" spans="1:29" ht="15.75" hidden="1" customHeight="1" outlineLevel="1" x14ac:dyDescent="0.2">
      <c r="A233" s="278" t="s">
        <v>726</v>
      </c>
      <c r="B233" s="198" t="s">
        <v>727</v>
      </c>
      <c r="C233" s="265"/>
      <c r="D233" s="278" t="s">
        <v>1158</v>
      </c>
      <c r="E233" s="278" t="s">
        <v>72</v>
      </c>
      <c r="F233" s="278" t="s">
        <v>111</v>
      </c>
      <c r="G233" s="182">
        <v>75</v>
      </c>
      <c r="H233" s="182">
        <v>97.5</v>
      </c>
      <c r="J233" s="79" t="s">
        <v>1154</v>
      </c>
      <c r="K233" s="79" t="s">
        <v>217</v>
      </c>
      <c r="L233" s="79" t="s">
        <v>197</v>
      </c>
      <c r="M233" s="113">
        <v>2328195</v>
      </c>
      <c r="N233" s="113">
        <v>1973046.6101694896</v>
      </c>
      <c r="O233" s="113">
        <v>55</v>
      </c>
      <c r="Q233" s="79" t="s">
        <v>1154</v>
      </c>
      <c r="R233" s="79" t="s">
        <v>217</v>
      </c>
      <c r="S233" s="79" t="s">
        <v>197</v>
      </c>
      <c r="T233" s="113">
        <v>419341</v>
      </c>
      <c r="U233" s="113">
        <v>355373.72881355876</v>
      </c>
      <c r="V233" s="113">
        <v>9</v>
      </c>
      <c r="X233" s="79" t="s">
        <v>1154</v>
      </c>
      <c r="Y233" s="79" t="s">
        <v>217</v>
      </c>
      <c r="Z233" s="79" t="s">
        <v>197</v>
      </c>
      <c r="AA233" s="113">
        <v>6999</v>
      </c>
      <c r="AB233" s="113">
        <v>5931.3559322033898</v>
      </c>
      <c r="AC233" s="113">
        <v>1</v>
      </c>
    </row>
    <row r="234" spans="1:29" ht="15.75" hidden="1" customHeight="1" outlineLevel="1" x14ac:dyDescent="0.2">
      <c r="A234" s="278" t="s">
        <v>758</v>
      </c>
      <c r="B234" s="198" t="s">
        <v>759</v>
      </c>
      <c r="C234" s="181"/>
      <c r="D234" s="278" t="s">
        <v>1158</v>
      </c>
      <c r="E234" s="278" t="s">
        <v>72</v>
      </c>
      <c r="F234" s="278" t="s">
        <v>111</v>
      </c>
      <c r="G234" s="182">
        <v>50</v>
      </c>
      <c r="H234" s="182">
        <v>65</v>
      </c>
      <c r="J234" s="79" t="s">
        <v>1154</v>
      </c>
      <c r="K234" s="79" t="s">
        <v>1152</v>
      </c>
      <c r="L234" s="79" t="s">
        <v>1153</v>
      </c>
      <c r="M234" s="113">
        <v>790583</v>
      </c>
      <c r="N234" s="113">
        <v>669985.59322033799</v>
      </c>
      <c r="O234" s="113">
        <v>17</v>
      </c>
      <c r="Q234" s="79" t="s">
        <v>1154</v>
      </c>
      <c r="R234" s="79" t="s">
        <v>1152</v>
      </c>
      <c r="S234" s="79" t="s">
        <v>1153</v>
      </c>
      <c r="T234" s="113">
        <v>292943</v>
      </c>
      <c r="U234" s="113">
        <v>248256.77966101666</v>
      </c>
      <c r="V234" s="113">
        <v>7</v>
      </c>
      <c r="X234" s="79" t="s">
        <v>1154</v>
      </c>
      <c r="Y234" s="79" t="s">
        <v>1152</v>
      </c>
      <c r="Z234" s="79" t="s">
        <v>1153</v>
      </c>
      <c r="AA234" s="113">
        <v>0</v>
      </c>
      <c r="AB234" s="113"/>
      <c r="AC234" s="113"/>
    </row>
    <row r="235" spans="1:29" ht="15.75" hidden="1" customHeight="1" outlineLevel="1" x14ac:dyDescent="0.2">
      <c r="A235" s="278" t="s">
        <v>1040</v>
      </c>
      <c r="B235" s="198" t="s">
        <v>1043</v>
      </c>
      <c r="C235" s="181"/>
      <c r="D235" s="278" t="s">
        <v>1158</v>
      </c>
      <c r="E235" s="278" t="s">
        <v>72</v>
      </c>
      <c r="F235" s="278" t="s">
        <v>111</v>
      </c>
      <c r="G235" s="182">
        <v>70</v>
      </c>
      <c r="H235" s="182">
        <v>91</v>
      </c>
      <c r="J235" s="79" t="s">
        <v>1154</v>
      </c>
      <c r="K235" s="79" t="s">
        <v>335</v>
      </c>
      <c r="L235" s="79" t="s">
        <v>342</v>
      </c>
      <c r="M235" s="113">
        <v>3332672</v>
      </c>
      <c r="N235" s="113">
        <v>2824298.3050847398</v>
      </c>
      <c r="O235" s="113">
        <v>78</v>
      </c>
      <c r="Q235" s="79" t="s">
        <v>1154</v>
      </c>
      <c r="R235" s="79" t="s">
        <v>335</v>
      </c>
      <c r="S235" s="79" t="s">
        <v>342</v>
      </c>
      <c r="T235" s="113">
        <v>963380</v>
      </c>
      <c r="U235" s="113">
        <v>816423.728813558</v>
      </c>
      <c r="V235" s="113">
        <v>20</v>
      </c>
      <c r="X235" s="79" t="s">
        <v>1154</v>
      </c>
      <c r="Y235" s="79" t="s">
        <v>335</v>
      </c>
      <c r="Z235" s="79" t="s">
        <v>342</v>
      </c>
      <c r="AA235" s="113">
        <v>0</v>
      </c>
      <c r="AB235" s="113"/>
      <c r="AC235" s="113"/>
    </row>
    <row r="236" spans="1:29" ht="15.75" hidden="1" customHeight="1" outlineLevel="1" x14ac:dyDescent="0.2">
      <c r="A236" s="278" t="s">
        <v>1159</v>
      </c>
      <c r="B236" s="198" t="s">
        <v>40</v>
      </c>
      <c r="C236" s="181"/>
      <c r="D236" s="278" t="s">
        <v>1158</v>
      </c>
      <c r="E236" s="278" t="s">
        <v>72</v>
      </c>
      <c r="F236" s="278" t="s">
        <v>111</v>
      </c>
      <c r="G236" s="182">
        <v>75</v>
      </c>
      <c r="H236" s="182">
        <v>97.5</v>
      </c>
      <c r="J236" s="79" t="s">
        <v>1175</v>
      </c>
      <c r="K236" s="79"/>
      <c r="L236" s="79"/>
      <c r="M236" s="113">
        <v>7840366</v>
      </c>
      <c r="N236" s="113">
        <v>6644377.9661016846</v>
      </c>
      <c r="O236" s="113">
        <v>184</v>
      </c>
      <c r="Q236" s="79" t="s">
        <v>1175</v>
      </c>
      <c r="R236" s="79"/>
      <c r="S236" s="79"/>
      <c r="T236" s="113">
        <v>2457595</v>
      </c>
      <c r="U236" s="113">
        <v>2082707.6271186406</v>
      </c>
      <c r="V236" s="113">
        <v>55</v>
      </c>
      <c r="X236" s="79" t="s">
        <v>1175</v>
      </c>
      <c r="Y236" s="79"/>
      <c r="Z236" s="79"/>
      <c r="AA236" s="113">
        <v>20997</v>
      </c>
      <c r="AB236" s="113">
        <v>17794.067796610168</v>
      </c>
      <c r="AC236" s="113">
        <v>3</v>
      </c>
    </row>
    <row r="237" spans="1:29" ht="15.75" hidden="1" customHeight="1" outlineLevel="1" x14ac:dyDescent="0.2">
      <c r="A237" s="278" t="s">
        <v>72</v>
      </c>
      <c r="B237" s="198" t="s">
        <v>43</v>
      </c>
      <c r="C237" s="181"/>
      <c r="D237" s="278" t="s">
        <v>1158</v>
      </c>
      <c r="E237" s="278" t="s">
        <v>72</v>
      </c>
      <c r="F237" s="278" t="s">
        <v>111</v>
      </c>
      <c r="G237" s="182">
        <v>75</v>
      </c>
      <c r="H237" s="182">
        <v>97.5</v>
      </c>
      <c r="J237" s="79" t="s">
        <v>1155</v>
      </c>
      <c r="K237" s="79" t="s">
        <v>657</v>
      </c>
      <c r="L237" s="79" t="s">
        <v>39</v>
      </c>
      <c r="M237" s="113">
        <v>1593015</v>
      </c>
      <c r="N237" s="113">
        <v>1350012.7118644051</v>
      </c>
      <c r="O237" s="113">
        <v>35</v>
      </c>
      <c r="Q237" s="79" t="s">
        <v>1155</v>
      </c>
      <c r="R237" s="79" t="s">
        <v>657</v>
      </c>
      <c r="S237" s="79" t="s">
        <v>39</v>
      </c>
      <c r="T237" s="113">
        <v>133897</v>
      </c>
      <c r="U237" s="113">
        <v>113472.03389830492</v>
      </c>
      <c r="V237" s="113">
        <v>3</v>
      </c>
      <c r="X237" s="79" t="s">
        <v>1155</v>
      </c>
      <c r="Y237" s="79" t="s">
        <v>657</v>
      </c>
      <c r="Z237" s="79" t="s">
        <v>39</v>
      </c>
      <c r="AA237" s="113">
        <v>0</v>
      </c>
      <c r="AB237" s="113"/>
      <c r="AC237" s="113"/>
    </row>
    <row r="238" spans="1:29" ht="15.75" hidden="1" customHeight="1" outlineLevel="1" x14ac:dyDescent="0.2">
      <c r="A238" s="278" t="s">
        <v>925</v>
      </c>
      <c r="B238" s="198" t="s">
        <v>764</v>
      </c>
      <c r="C238" s="181"/>
      <c r="D238" s="278" t="s">
        <v>1158</v>
      </c>
      <c r="E238" s="278" t="s">
        <v>72</v>
      </c>
      <c r="F238" s="278" t="s">
        <v>111</v>
      </c>
      <c r="G238" s="182">
        <v>85</v>
      </c>
      <c r="H238" s="182">
        <v>110.5</v>
      </c>
      <c r="J238" s="79" t="s">
        <v>1155</v>
      </c>
      <c r="K238" s="79" t="s">
        <v>1156</v>
      </c>
      <c r="L238" s="79" t="s">
        <v>1157</v>
      </c>
      <c r="M238" s="113">
        <v>2019301</v>
      </c>
      <c r="N238" s="113">
        <v>1711272.0338983033</v>
      </c>
      <c r="O238" s="113">
        <v>49</v>
      </c>
      <c r="Q238" s="79" t="s">
        <v>1155</v>
      </c>
      <c r="R238" s="79" t="s">
        <v>1156</v>
      </c>
      <c r="S238" s="79" t="s">
        <v>1157</v>
      </c>
      <c r="T238" s="113">
        <v>0</v>
      </c>
      <c r="U238" s="113"/>
      <c r="V238" s="113"/>
      <c r="X238" s="79" t="s">
        <v>1155</v>
      </c>
      <c r="Y238" s="79" t="s">
        <v>1156</v>
      </c>
      <c r="Z238" s="79" t="s">
        <v>1157</v>
      </c>
      <c r="AA238" s="113">
        <v>13998</v>
      </c>
      <c r="AB238" s="113">
        <v>11862.71186440678</v>
      </c>
      <c r="AC238" s="113">
        <v>2</v>
      </c>
    </row>
    <row r="239" spans="1:29" ht="15.75" hidden="1" customHeight="1" outlineLevel="1" x14ac:dyDescent="0.2">
      <c r="A239" s="281" t="s">
        <v>1430</v>
      </c>
      <c r="B239" s="198" t="s">
        <v>1431</v>
      </c>
      <c r="C239" s="181"/>
      <c r="D239" s="278" t="s">
        <v>1161</v>
      </c>
      <c r="E239" s="278" t="s">
        <v>41</v>
      </c>
      <c r="F239" s="278" t="s">
        <v>111</v>
      </c>
      <c r="G239" s="182">
        <v>50</v>
      </c>
      <c r="H239" s="182">
        <v>65</v>
      </c>
      <c r="J239" s="79" t="s">
        <v>1155</v>
      </c>
      <c r="K239" s="112" t="s">
        <v>286</v>
      </c>
      <c r="L239" s="79" t="s">
        <v>37</v>
      </c>
      <c r="M239" s="113">
        <v>1578215</v>
      </c>
      <c r="N239" s="113">
        <v>1337470.3389830487</v>
      </c>
      <c r="O239" s="113">
        <v>35</v>
      </c>
      <c r="Q239" s="79" t="s">
        <v>1155</v>
      </c>
      <c r="R239" s="112" t="s">
        <v>286</v>
      </c>
      <c r="S239" s="79" t="s">
        <v>37</v>
      </c>
      <c r="T239" s="113">
        <v>284345</v>
      </c>
      <c r="U239" s="113">
        <v>240970.33898305049</v>
      </c>
      <c r="V239" s="113">
        <v>5</v>
      </c>
      <c r="X239" s="79" t="s">
        <v>1155</v>
      </c>
      <c r="Y239" s="112" t="s">
        <v>286</v>
      </c>
      <c r="Z239" s="79" t="s">
        <v>37</v>
      </c>
      <c r="AA239" s="113">
        <v>11998</v>
      </c>
      <c r="AB239" s="113">
        <v>10167.79661016948</v>
      </c>
      <c r="AC239" s="113">
        <v>2</v>
      </c>
    </row>
    <row r="240" spans="1:29" ht="15.75" hidden="1" customHeight="1" outlineLevel="1" x14ac:dyDescent="0.2">
      <c r="A240" s="281" t="s">
        <v>304</v>
      </c>
      <c r="B240" s="198" t="s">
        <v>306</v>
      </c>
      <c r="C240" s="284" t="s">
        <v>117</v>
      </c>
      <c r="D240" s="278" t="s">
        <v>1161</v>
      </c>
      <c r="E240" s="278" t="s">
        <v>41</v>
      </c>
      <c r="F240" s="278" t="s">
        <v>111</v>
      </c>
      <c r="G240" s="182">
        <v>70</v>
      </c>
      <c r="H240" s="182">
        <v>91</v>
      </c>
      <c r="J240" s="79" t="s">
        <v>1176</v>
      </c>
      <c r="K240" s="79"/>
      <c r="L240" s="79"/>
      <c r="M240" s="113">
        <v>5190531</v>
      </c>
      <c r="N240" s="113">
        <v>4398755.0847457573</v>
      </c>
      <c r="O240" s="113">
        <v>119</v>
      </c>
      <c r="Q240" s="79" t="s">
        <v>1176</v>
      </c>
      <c r="R240" s="79"/>
      <c r="S240" s="79"/>
      <c r="T240" s="113">
        <v>418242</v>
      </c>
      <c r="U240" s="113">
        <v>354442.3728813554</v>
      </c>
      <c r="V240" s="113">
        <v>8</v>
      </c>
      <c r="X240" s="79" t="s">
        <v>1176</v>
      </c>
      <c r="Y240" s="79"/>
      <c r="Z240" s="79"/>
      <c r="AA240" s="113">
        <v>25996</v>
      </c>
      <c r="AB240" s="113">
        <v>22030.508474576258</v>
      </c>
      <c r="AC240" s="113">
        <v>4</v>
      </c>
    </row>
    <row r="241" spans="1:29" ht="15.75" hidden="1" customHeight="1" outlineLevel="1" x14ac:dyDescent="0.2">
      <c r="A241" s="281" t="s">
        <v>659</v>
      </c>
      <c r="B241" s="198" t="s">
        <v>660</v>
      </c>
      <c r="C241" s="265"/>
      <c r="D241" s="278" t="s">
        <v>1161</v>
      </c>
      <c r="E241" s="278" t="s">
        <v>41</v>
      </c>
      <c r="F241" s="278" t="s">
        <v>111</v>
      </c>
      <c r="G241" s="182">
        <v>70</v>
      </c>
      <c r="H241" s="182">
        <v>91</v>
      </c>
      <c r="J241" s="79" t="s">
        <v>1158</v>
      </c>
      <c r="K241" s="230" t="s">
        <v>726</v>
      </c>
      <c r="L241" s="22" t="s">
        <v>727</v>
      </c>
      <c r="M241" s="113">
        <v>615137</v>
      </c>
      <c r="N241" s="113">
        <v>521302.54237288068</v>
      </c>
      <c r="O241" s="113">
        <v>13</v>
      </c>
      <c r="Q241" s="79" t="s">
        <v>1158</v>
      </c>
      <c r="R241" s="230" t="s">
        <v>726</v>
      </c>
      <c r="S241" s="22" t="s">
        <v>727</v>
      </c>
      <c r="T241" s="113">
        <v>103998</v>
      </c>
      <c r="U241" s="113">
        <v>88133.8983050846</v>
      </c>
      <c r="V241" s="113">
        <v>2</v>
      </c>
      <c r="X241" s="79" t="s">
        <v>1158</v>
      </c>
      <c r="Y241" s="230" t="s">
        <v>726</v>
      </c>
      <c r="Z241" s="22" t="s">
        <v>727</v>
      </c>
      <c r="AA241" s="113">
        <v>0</v>
      </c>
      <c r="AB241" s="113"/>
      <c r="AC241" s="113"/>
    </row>
    <row r="242" spans="1:29" ht="15.75" hidden="1" customHeight="1" outlineLevel="1" x14ac:dyDescent="0.2">
      <c r="A242" s="281" t="s">
        <v>117</v>
      </c>
      <c r="B242" s="198" t="s">
        <v>196</v>
      </c>
      <c r="C242" s="181"/>
      <c r="D242" s="278" t="s">
        <v>1161</v>
      </c>
      <c r="E242" s="278" t="s">
        <v>41</v>
      </c>
      <c r="F242" s="278" t="s">
        <v>111</v>
      </c>
      <c r="G242" s="182">
        <v>75</v>
      </c>
      <c r="H242" s="182">
        <v>97.5</v>
      </c>
      <c r="J242" s="79" t="s">
        <v>1158</v>
      </c>
      <c r="K242" s="79" t="s">
        <v>291</v>
      </c>
      <c r="L242" s="79" t="s">
        <v>40</v>
      </c>
      <c r="M242" s="113">
        <v>1044127</v>
      </c>
      <c r="N242" s="113">
        <v>884853.38983050711</v>
      </c>
      <c r="O242" s="113">
        <v>23</v>
      </c>
      <c r="Q242" s="79" t="s">
        <v>1158</v>
      </c>
      <c r="R242" s="79" t="s">
        <v>291</v>
      </c>
      <c r="S242" s="79" t="s">
        <v>40</v>
      </c>
      <c r="T242" s="113">
        <v>249394</v>
      </c>
      <c r="U242" s="113">
        <v>211350.84745762678</v>
      </c>
      <c r="V242" s="113">
        <v>6</v>
      </c>
      <c r="X242" s="79" t="s">
        <v>1158</v>
      </c>
      <c r="Y242" s="79" t="s">
        <v>291</v>
      </c>
      <c r="Z242" s="79" t="s">
        <v>40</v>
      </c>
      <c r="AA242" s="113">
        <v>0</v>
      </c>
      <c r="AB242" s="113"/>
      <c r="AC242" s="113"/>
    </row>
    <row r="243" spans="1:29" ht="15.75" hidden="1" customHeight="1" outlineLevel="1" x14ac:dyDescent="0.2">
      <c r="A243" s="281" t="s">
        <v>765</v>
      </c>
      <c r="B243" s="198" t="s">
        <v>766</v>
      </c>
      <c r="C243" s="265"/>
      <c r="D243" s="278" t="s">
        <v>1161</v>
      </c>
      <c r="E243" s="278" t="s">
        <v>41</v>
      </c>
      <c r="F243" s="278" t="s">
        <v>111</v>
      </c>
      <c r="G243" s="182">
        <v>70</v>
      </c>
      <c r="H243" s="182">
        <v>91</v>
      </c>
      <c r="J243" s="42" t="s">
        <v>1158</v>
      </c>
      <c r="K243" s="42" t="s">
        <v>1073</v>
      </c>
      <c r="L243" s="42" t="s">
        <v>1074</v>
      </c>
      <c r="M243" s="113">
        <v>0</v>
      </c>
      <c r="N243" s="113"/>
      <c r="O243" s="113"/>
      <c r="Q243" s="42" t="s">
        <v>1158</v>
      </c>
      <c r="R243" s="42" t="s">
        <v>1073</v>
      </c>
      <c r="S243" s="42" t="s">
        <v>1074</v>
      </c>
      <c r="T243" s="113">
        <v>0</v>
      </c>
      <c r="U243" s="113"/>
      <c r="V243" s="113"/>
      <c r="X243" s="42" t="s">
        <v>1158</v>
      </c>
      <c r="Y243" s="42" t="s">
        <v>1073</v>
      </c>
      <c r="Z243" s="42" t="s">
        <v>1074</v>
      </c>
      <c r="AA243" s="113">
        <v>0</v>
      </c>
      <c r="AB243" s="113"/>
      <c r="AC243" s="113"/>
    </row>
    <row r="244" spans="1:29" ht="15.75" hidden="1" customHeight="1" outlineLevel="1" x14ac:dyDescent="0.2">
      <c r="A244" s="281" t="s">
        <v>41</v>
      </c>
      <c r="B244" s="198" t="s">
        <v>42</v>
      </c>
      <c r="C244" s="181"/>
      <c r="D244" s="278" t="s">
        <v>1161</v>
      </c>
      <c r="E244" s="278" t="s">
        <v>41</v>
      </c>
      <c r="F244" s="278" t="s">
        <v>111</v>
      </c>
      <c r="G244" s="182">
        <v>75</v>
      </c>
      <c r="H244" s="182">
        <v>97.5</v>
      </c>
      <c r="J244" s="79" t="s">
        <v>1158</v>
      </c>
      <c r="K244" s="79" t="s">
        <v>72</v>
      </c>
      <c r="L244" s="111" t="s">
        <v>43</v>
      </c>
      <c r="M244" s="113">
        <v>1450966</v>
      </c>
      <c r="N244" s="113">
        <v>1229632.2033898288</v>
      </c>
      <c r="O244" s="113">
        <v>34</v>
      </c>
      <c r="Q244" s="79" t="s">
        <v>1158</v>
      </c>
      <c r="R244" s="79" t="s">
        <v>72</v>
      </c>
      <c r="S244" s="111" t="s">
        <v>43</v>
      </c>
      <c r="T244" s="113">
        <v>0</v>
      </c>
      <c r="U244" s="113"/>
      <c r="V244" s="113"/>
      <c r="X244" s="79" t="s">
        <v>1158</v>
      </c>
      <c r="Y244" s="79" t="s">
        <v>72</v>
      </c>
      <c r="Z244" s="111" t="s">
        <v>43</v>
      </c>
      <c r="AA244" s="113">
        <v>0</v>
      </c>
      <c r="AB244" s="113"/>
      <c r="AC244" s="113"/>
    </row>
    <row r="245" spans="1:29" ht="15.75" hidden="1" customHeight="1" outlineLevel="1" x14ac:dyDescent="0.2">
      <c r="A245" s="281" t="s">
        <v>240</v>
      </c>
      <c r="B245" s="198" t="s">
        <v>241</v>
      </c>
      <c r="C245" s="265"/>
      <c r="D245" s="278" t="s">
        <v>1162</v>
      </c>
      <c r="E245" s="233"/>
      <c r="F245" s="278" t="s">
        <v>111</v>
      </c>
      <c r="G245" s="182">
        <v>80</v>
      </c>
      <c r="H245" s="182">
        <v>104</v>
      </c>
      <c r="J245" s="79" t="s">
        <v>1158</v>
      </c>
      <c r="K245" s="79" t="s">
        <v>925</v>
      </c>
      <c r="L245" s="79" t="s">
        <v>764</v>
      </c>
      <c r="M245" s="113">
        <v>2564787</v>
      </c>
      <c r="N245" s="113">
        <v>2173548.3050847431</v>
      </c>
      <c r="O245" s="113">
        <v>63</v>
      </c>
      <c r="Q245" s="79" t="s">
        <v>1158</v>
      </c>
      <c r="R245" s="79" t="s">
        <v>925</v>
      </c>
      <c r="S245" s="79" t="s">
        <v>764</v>
      </c>
      <c r="T245" s="113">
        <v>107796</v>
      </c>
      <c r="U245" s="113">
        <v>91352.542372881173</v>
      </c>
      <c r="V245" s="113">
        <v>4</v>
      </c>
      <c r="X245" s="79" t="s">
        <v>1158</v>
      </c>
      <c r="Y245" s="79" t="s">
        <v>925</v>
      </c>
      <c r="Z245" s="79" t="s">
        <v>764</v>
      </c>
      <c r="AA245" s="113">
        <v>6999</v>
      </c>
      <c r="AB245" s="113">
        <v>5931.3559322033898</v>
      </c>
      <c r="AC245" s="113">
        <v>1</v>
      </c>
    </row>
    <row r="246" spans="1:29" ht="15.75" hidden="1" customHeight="1" outlineLevel="1" x14ac:dyDescent="0.2">
      <c r="A246" s="283" t="s">
        <v>352</v>
      </c>
      <c r="B246" s="198" t="s">
        <v>289</v>
      </c>
      <c r="C246" s="265"/>
      <c r="D246" s="278" t="s">
        <v>1162</v>
      </c>
      <c r="E246" s="233"/>
      <c r="F246" s="278" t="s">
        <v>111</v>
      </c>
      <c r="G246" s="182">
        <v>85</v>
      </c>
      <c r="H246" s="182">
        <v>110.5</v>
      </c>
      <c r="J246" s="79" t="s">
        <v>1158</v>
      </c>
      <c r="K246" s="79" t="s">
        <v>928</v>
      </c>
      <c r="L246" s="79" t="s">
        <v>759</v>
      </c>
      <c r="M246" s="113">
        <v>490139</v>
      </c>
      <c r="N246" s="113">
        <v>415372.03389830457</v>
      </c>
      <c r="O246" s="113">
        <v>11</v>
      </c>
      <c r="Q246" s="79" t="s">
        <v>1158</v>
      </c>
      <c r="R246" s="79" t="s">
        <v>928</v>
      </c>
      <c r="S246" s="79" t="s">
        <v>759</v>
      </c>
      <c r="T246" s="113">
        <v>167645</v>
      </c>
      <c r="U246" s="113">
        <v>142072.03389830494</v>
      </c>
      <c r="V246" s="113">
        <v>5</v>
      </c>
      <c r="X246" s="79" t="s">
        <v>1158</v>
      </c>
      <c r="Y246" s="79" t="s">
        <v>928</v>
      </c>
      <c r="Z246" s="79" t="s">
        <v>759</v>
      </c>
      <c r="AA246" s="113">
        <v>0</v>
      </c>
      <c r="AB246" s="113"/>
      <c r="AC246" s="113"/>
    </row>
    <row r="247" spans="1:29" ht="15.75" hidden="1" customHeight="1" outlineLevel="1" x14ac:dyDescent="0.2">
      <c r="A247" s="283" t="s">
        <v>198</v>
      </c>
      <c r="B247" s="198" t="s">
        <v>35</v>
      </c>
      <c r="C247" s="181"/>
      <c r="D247" s="278" t="s">
        <v>1162</v>
      </c>
      <c r="E247" s="233"/>
      <c r="F247" s="278" t="s">
        <v>111</v>
      </c>
      <c r="G247" s="182">
        <v>80</v>
      </c>
      <c r="H247" s="182">
        <v>104</v>
      </c>
      <c r="J247" s="79" t="s">
        <v>1158</v>
      </c>
      <c r="K247" s="79" t="s">
        <v>1040</v>
      </c>
      <c r="L247" s="79" t="s">
        <v>1043</v>
      </c>
      <c r="M247" s="113">
        <v>532936</v>
      </c>
      <c r="N247" s="113">
        <v>451640.67796610121</v>
      </c>
      <c r="O247" s="113">
        <v>14</v>
      </c>
      <c r="Q247" s="79" t="s">
        <v>1158</v>
      </c>
      <c r="R247" s="79" t="s">
        <v>1040</v>
      </c>
      <c r="S247" s="79" t="s">
        <v>1043</v>
      </c>
      <c r="T247" s="113">
        <v>532936</v>
      </c>
      <c r="U247" s="113">
        <v>451640.67796610121</v>
      </c>
      <c r="V247" s="113">
        <v>14</v>
      </c>
      <c r="X247" s="79" t="s">
        <v>1158</v>
      </c>
      <c r="Y247" s="79" t="s">
        <v>1040</v>
      </c>
      <c r="Z247" s="79" t="s">
        <v>1043</v>
      </c>
      <c r="AA247" s="113">
        <v>0</v>
      </c>
      <c r="AB247" s="113"/>
      <c r="AC247" s="113"/>
    </row>
    <row r="248" spans="1:29" ht="15.75" hidden="1" customHeight="1" outlineLevel="1" x14ac:dyDescent="0.2">
      <c r="A248" s="278" t="s">
        <v>207</v>
      </c>
      <c r="B248" s="198" t="s">
        <v>201</v>
      </c>
      <c r="C248" s="265"/>
      <c r="D248" s="278" t="s">
        <v>1163</v>
      </c>
      <c r="E248" s="279" t="s">
        <v>57</v>
      </c>
      <c r="F248" s="280" t="s">
        <v>1164</v>
      </c>
      <c r="G248" s="182">
        <v>85</v>
      </c>
      <c r="H248" s="182">
        <v>110.5</v>
      </c>
      <c r="J248" s="79" t="s">
        <v>1177</v>
      </c>
      <c r="K248" s="79"/>
      <c r="L248" s="79"/>
      <c r="M248" s="113">
        <v>6698092</v>
      </c>
      <c r="N248" s="113">
        <v>5676349.1525423648</v>
      </c>
      <c r="O248" s="113">
        <v>158</v>
      </c>
      <c r="Q248" s="79" t="s">
        <v>1177</v>
      </c>
      <c r="R248" s="79"/>
      <c r="S248" s="79"/>
      <c r="T248" s="113">
        <v>1161769</v>
      </c>
      <c r="U248" s="113">
        <v>984549.99999999872</v>
      </c>
      <c r="V248" s="113">
        <v>31</v>
      </c>
      <c r="X248" s="79" t="s">
        <v>1177</v>
      </c>
      <c r="Y248" s="79"/>
      <c r="Z248" s="79"/>
      <c r="AA248" s="113">
        <v>6999</v>
      </c>
      <c r="AB248" s="113">
        <v>5931.3559322033898</v>
      </c>
      <c r="AC248" s="113">
        <v>1</v>
      </c>
    </row>
    <row r="249" spans="1:29" ht="15.75" hidden="1" customHeight="1" outlineLevel="1" x14ac:dyDescent="0.2">
      <c r="A249" s="278" t="s">
        <v>299</v>
      </c>
      <c r="B249" s="198" t="s">
        <v>290</v>
      </c>
      <c r="C249" s="265"/>
      <c r="D249" s="278" t="s">
        <v>1163</v>
      </c>
      <c r="E249" s="279" t="s">
        <v>57</v>
      </c>
      <c r="F249" s="280" t="s">
        <v>1164</v>
      </c>
      <c r="G249" s="182">
        <v>85</v>
      </c>
      <c r="H249" s="182">
        <v>110.5</v>
      </c>
      <c r="J249" s="79" t="s">
        <v>1161</v>
      </c>
      <c r="K249" s="42" t="s">
        <v>1041</v>
      </c>
      <c r="L249" s="42" t="s">
        <v>1042</v>
      </c>
      <c r="M249" s="113">
        <v>0</v>
      </c>
      <c r="N249" s="113"/>
      <c r="O249" s="113"/>
      <c r="Q249" s="79" t="s">
        <v>1161</v>
      </c>
      <c r="R249" s="42" t="s">
        <v>1041</v>
      </c>
      <c r="S249" s="42" t="s">
        <v>1042</v>
      </c>
      <c r="T249" s="113">
        <v>0</v>
      </c>
      <c r="U249" s="113"/>
      <c r="V249" s="113"/>
      <c r="X249" s="79" t="s">
        <v>1161</v>
      </c>
      <c r="Y249" s="42" t="s">
        <v>1041</v>
      </c>
      <c r="Z249" s="42" t="s">
        <v>1042</v>
      </c>
      <c r="AA249" s="113">
        <v>0</v>
      </c>
      <c r="AB249" s="113"/>
      <c r="AC249" s="113"/>
    </row>
    <row r="250" spans="1:29" ht="15.75" hidden="1" customHeight="1" outlineLevel="1" x14ac:dyDescent="0.2">
      <c r="A250" s="278" t="s">
        <v>1165</v>
      </c>
      <c r="B250" s="198" t="s">
        <v>1166</v>
      </c>
      <c r="C250" s="181"/>
      <c r="D250" s="278" t="s">
        <v>1163</v>
      </c>
      <c r="E250" s="278" t="s">
        <v>57</v>
      </c>
      <c r="F250" s="280" t="s">
        <v>1164</v>
      </c>
      <c r="G250" s="182">
        <v>65</v>
      </c>
      <c r="H250" s="182">
        <v>84.5</v>
      </c>
      <c r="J250" s="79" t="s">
        <v>1161</v>
      </c>
      <c r="K250" s="42" t="s">
        <v>304</v>
      </c>
      <c r="L250" s="42" t="s">
        <v>306</v>
      </c>
      <c r="M250" s="113">
        <v>986580</v>
      </c>
      <c r="N250" s="113">
        <v>836084.74576271058</v>
      </c>
      <c r="O250" s="113">
        <v>20</v>
      </c>
      <c r="Q250" s="79" t="s">
        <v>1161</v>
      </c>
      <c r="R250" s="42" t="s">
        <v>304</v>
      </c>
      <c r="S250" s="42" t="s">
        <v>306</v>
      </c>
      <c r="T250" s="113">
        <v>556588</v>
      </c>
      <c r="U250" s="113">
        <v>471684.74576271127</v>
      </c>
      <c r="V250" s="113">
        <v>12</v>
      </c>
      <c r="X250" s="79" t="s">
        <v>1161</v>
      </c>
      <c r="Y250" s="42" t="s">
        <v>304</v>
      </c>
      <c r="Z250" s="42" t="s">
        <v>306</v>
      </c>
      <c r="AA250" s="113">
        <v>0</v>
      </c>
      <c r="AB250" s="113"/>
      <c r="AC250" s="113"/>
    </row>
    <row r="251" spans="1:29" ht="15.75" hidden="1" customHeight="1" outlineLevel="1" x14ac:dyDescent="0.2">
      <c r="A251" s="278" t="s">
        <v>57</v>
      </c>
      <c r="B251" s="198" t="s">
        <v>58</v>
      </c>
      <c r="C251" s="181"/>
      <c r="D251" s="278" t="s">
        <v>1163</v>
      </c>
      <c r="E251" s="278" t="s">
        <v>57</v>
      </c>
      <c r="F251" s="280" t="s">
        <v>1164</v>
      </c>
      <c r="G251" s="182">
        <v>75</v>
      </c>
      <c r="H251" s="182">
        <v>97.5</v>
      </c>
      <c r="J251" s="79" t="s">
        <v>1161</v>
      </c>
      <c r="K251" s="79" t="s">
        <v>659</v>
      </c>
      <c r="L251" s="79" t="s">
        <v>660</v>
      </c>
      <c r="M251" s="113">
        <v>1249322</v>
      </c>
      <c r="N251" s="113">
        <v>1058747.4576271167</v>
      </c>
      <c r="O251" s="113">
        <v>28</v>
      </c>
      <c r="Q251" s="79" t="s">
        <v>1161</v>
      </c>
      <c r="R251" s="79" t="s">
        <v>659</v>
      </c>
      <c r="S251" s="79" t="s">
        <v>660</v>
      </c>
      <c r="T251" s="113">
        <v>159496</v>
      </c>
      <c r="U251" s="113">
        <v>135166.10169491501</v>
      </c>
      <c r="V251" s="113">
        <v>4</v>
      </c>
      <c r="X251" s="79" t="s">
        <v>1161</v>
      </c>
      <c r="Y251" s="79" t="s">
        <v>659</v>
      </c>
      <c r="Z251" s="79" t="s">
        <v>660</v>
      </c>
      <c r="AA251" s="113">
        <v>0</v>
      </c>
      <c r="AB251" s="113"/>
      <c r="AC251" s="113"/>
    </row>
    <row r="252" spans="1:29" ht="15.75" hidden="1" customHeight="1" outlineLevel="1" x14ac:dyDescent="0.2">
      <c r="A252" s="281" t="s">
        <v>837</v>
      </c>
      <c r="B252" s="198" t="s">
        <v>838</v>
      </c>
      <c r="C252" s="181"/>
      <c r="D252" s="281" t="s">
        <v>1163</v>
      </c>
      <c r="E252" s="281" t="s">
        <v>57</v>
      </c>
      <c r="F252" s="280" t="s">
        <v>1164</v>
      </c>
      <c r="G252" s="182">
        <v>75</v>
      </c>
      <c r="H252" s="182">
        <v>97.5</v>
      </c>
      <c r="J252" s="79" t="s">
        <v>1161</v>
      </c>
      <c r="K252" s="79" t="s">
        <v>117</v>
      </c>
      <c r="L252" s="79" t="s">
        <v>196</v>
      </c>
      <c r="M252" s="113">
        <v>4461959</v>
      </c>
      <c r="N252" s="113">
        <v>3781321.1864406699</v>
      </c>
      <c r="O252" s="113">
        <v>91</v>
      </c>
      <c r="Q252" s="79" t="s">
        <v>1161</v>
      </c>
      <c r="R252" s="79" t="s">
        <v>117</v>
      </c>
      <c r="S252" s="79" t="s">
        <v>196</v>
      </c>
      <c r="T252" s="113">
        <v>397291</v>
      </c>
      <c r="U252" s="113">
        <v>336687.28813559265</v>
      </c>
      <c r="V252" s="113">
        <v>9</v>
      </c>
      <c r="X252" s="79" t="s">
        <v>1161</v>
      </c>
      <c r="Y252" s="79" t="s">
        <v>117</v>
      </c>
      <c r="Z252" s="79" t="s">
        <v>196</v>
      </c>
      <c r="AA252" s="113">
        <v>11998</v>
      </c>
      <c r="AB252" s="113">
        <v>10167.79661016948</v>
      </c>
      <c r="AC252" s="113">
        <v>2</v>
      </c>
    </row>
    <row r="253" spans="1:29" ht="15.75" hidden="1" customHeight="1" outlineLevel="1" x14ac:dyDescent="0.2">
      <c r="A253" s="278" t="s">
        <v>1167</v>
      </c>
      <c r="B253" s="198" t="s">
        <v>45</v>
      </c>
      <c r="C253" s="181"/>
      <c r="D253" s="278" t="s">
        <v>1163</v>
      </c>
      <c r="E253" s="278" t="s">
        <v>57</v>
      </c>
      <c r="F253" s="280" t="s">
        <v>1164</v>
      </c>
      <c r="G253" s="182">
        <v>85</v>
      </c>
      <c r="H253" s="182">
        <v>110.5</v>
      </c>
      <c r="J253" s="79" t="s">
        <v>1161</v>
      </c>
      <c r="K253" s="79" t="s">
        <v>765</v>
      </c>
      <c r="L253" s="79" t="s">
        <v>766</v>
      </c>
      <c r="M253" s="113">
        <v>3217973</v>
      </c>
      <c r="N253" s="113">
        <v>2727095.7627118602</v>
      </c>
      <c r="O253" s="113">
        <v>77</v>
      </c>
      <c r="Q253" s="79" t="s">
        <v>1161</v>
      </c>
      <c r="R253" s="79" t="s">
        <v>765</v>
      </c>
      <c r="S253" s="79" t="s">
        <v>766</v>
      </c>
      <c r="T253" s="113">
        <v>91998</v>
      </c>
      <c r="U253" s="113">
        <v>77964.406779660902</v>
      </c>
      <c r="V253" s="113">
        <v>2</v>
      </c>
      <c r="X253" s="79" t="s">
        <v>1161</v>
      </c>
      <c r="Y253" s="79" t="s">
        <v>765</v>
      </c>
      <c r="Z253" s="79" t="s">
        <v>766</v>
      </c>
      <c r="AA253" s="113">
        <v>24996</v>
      </c>
      <c r="AB253" s="113">
        <v>21183.050847457609</v>
      </c>
      <c r="AC253" s="113">
        <v>4</v>
      </c>
    </row>
    <row r="254" spans="1:29" ht="15.75" hidden="1" customHeight="1" outlineLevel="1" x14ac:dyDescent="0.2">
      <c r="A254" s="278" t="s">
        <v>1168</v>
      </c>
      <c r="B254" s="198" t="s">
        <v>702</v>
      </c>
      <c r="C254" s="181"/>
      <c r="D254" s="278" t="s">
        <v>1169</v>
      </c>
      <c r="E254" s="278" t="s">
        <v>216</v>
      </c>
      <c r="F254" s="280" t="s">
        <v>1164</v>
      </c>
      <c r="G254" s="182">
        <v>50</v>
      </c>
      <c r="H254" s="182">
        <v>65</v>
      </c>
      <c r="J254" s="79" t="s">
        <v>1161</v>
      </c>
      <c r="K254" s="79" t="s">
        <v>1432</v>
      </c>
      <c r="L254" s="79" t="s">
        <v>1431</v>
      </c>
      <c r="M254" s="113">
        <v>2278647</v>
      </c>
      <c r="N254" s="113">
        <v>1931056.7796610142</v>
      </c>
      <c r="O254" s="113">
        <v>53</v>
      </c>
      <c r="Q254" s="79" t="s">
        <v>1161</v>
      </c>
      <c r="R254" s="79" t="s">
        <v>1432</v>
      </c>
      <c r="S254" s="79" t="s">
        <v>1431</v>
      </c>
      <c r="T254" s="113">
        <v>69298</v>
      </c>
      <c r="U254" s="113">
        <v>58727.118644067697</v>
      </c>
      <c r="V254" s="113">
        <v>2</v>
      </c>
      <c r="X254" s="79" t="s">
        <v>1161</v>
      </c>
      <c r="Y254" s="79" t="s">
        <v>1432</v>
      </c>
      <c r="Z254" s="79" t="s">
        <v>1431</v>
      </c>
      <c r="AA254" s="113">
        <v>6999</v>
      </c>
      <c r="AB254" s="113">
        <v>5931.3559322033898</v>
      </c>
      <c r="AC254" s="113">
        <v>1</v>
      </c>
    </row>
    <row r="255" spans="1:29" ht="15.75" hidden="1" customHeight="1" outlineLevel="1" x14ac:dyDescent="0.2">
      <c r="A255" s="278" t="s">
        <v>671</v>
      </c>
      <c r="B255" s="198" t="s">
        <v>200</v>
      </c>
      <c r="C255" s="278" t="s">
        <v>19</v>
      </c>
      <c r="D255" s="278" t="s">
        <v>1169</v>
      </c>
      <c r="E255" s="278" t="s">
        <v>216</v>
      </c>
      <c r="F255" s="280" t="s">
        <v>1164</v>
      </c>
      <c r="G255" s="182">
        <v>50</v>
      </c>
      <c r="H255" s="182">
        <v>65</v>
      </c>
      <c r="J255" s="79" t="s">
        <v>1161</v>
      </c>
      <c r="K255" s="79" t="s">
        <v>41</v>
      </c>
      <c r="L255" s="79" t="s">
        <v>42</v>
      </c>
      <c r="M255" s="113">
        <v>3241078</v>
      </c>
      <c r="N255" s="113">
        <v>2746676.2711864375</v>
      </c>
      <c r="O255" s="113">
        <v>72</v>
      </c>
      <c r="Q255" s="79" t="s">
        <v>1161</v>
      </c>
      <c r="R255" s="79" t="s">
        <v>41</v>
      </c>
      <c r="S255" s="79" t="s">
        <v>42</v>
      </c>
      <c r="T255" s="113">
        <v>250494</v>
      </c>
      <c r="U255" s="113">
        <v>212283.0508474572</v>
      </c>
      <c r="V255" s="113">
        <v>6</v>
      </c>
      <c r="X255" s="79" t="s">
        <v>1161</v>
      </c>
      <c r="Y255" s="79" t="s">
        <v>41</v>
      </c>
      <c r="Z255" s="79" t="s">
        <v>42</v>
      </c>
      <c r="AA255" s="113">
        <v>6999</v>
      </c>
      <c r="AB255" s="113">
        <v>5931.3559322033898</v>
      </c>
      <c r="AC255" s="113">
        <v>1</v>
      </c>
    </row>
    <row r="256" spans="1:29" ht="15.75" hidden="1" customHeight="1" outlineLevel="1" x14ac:dyDescent="0.2">
      <c r="A256" s="198" t="s">
        <v>2091</v>
      </c>
      <c r="B256" s="198" t="s">
        <v>2092</v>
      </c>
      <c r="C256" s="180"/>
      <c r="D256" s="278" t="s">
        <v>1169</v>
      </c>
      <c r="E256" s="278" t="s">
        <v>216</v>
      </c>
      <c r="F256" s="280" t="s">
        <v>1164</v>
      </c>
      <c r="G256" s="170">
        <v>50</v>
      </c>
      <c r="H256" s="285">
        <v>65</v>
      </c>
      <c r="J256" s="79" t="s">
        <v>1178</v>
      </c>
      <c r="K256" s="79"/>
      <c r="L256" s="79"/>
      <c r="M256" s="113">
        <v>15435559</v>
      </c>
      <c r="N256" s="113">
        <v>13080982.203389809</v>
      </c>
      <c r="O256" s="113">
        <v>341</v>
      </c>
      <c r="Q256" s="79" t="s">
        <v>1178</v>
      </c>
      <c r="R256" s="79"/>
      <c r="S256" s="79"/>
      <c r="T256" s="113">
        <v>1525165</v>
      </c>
      <c r="U256" s="113">
        <v>1292512.7118644048</v>
      </c>
      <c r="V256" s="113">
        <v>35</v>
      </c>
      <c r="X256" s="79" t="s">
        <v>1178</v>
      </c>
      <c r="Y256" s="79"/>
      <c r="Z256" s="79"/>
      <c r="AA256" s="113">
        <v>50992</v>
      </c>
      <c r="AB256" s="113">
        <v>43213.559322033871</v>
      </c>
      <c r="AC256" s="113">
        <v>8</v>
      </c>
    </row>
    <row r="257" spans="1:29" ht="15.75" hidden="1" customHeight="1" outlineLevel="1" x14ac:dyDescent="0.2">
      <c r="A257" s="278" t="s">
        <v>216</v>
      </c>
      <c r="B257" s="198" t="s">
        <v>18</v>
      </c>
      <c r="C257" s="180"/>
      <c r="D257" s="278" t="s">
        <v>1169</v>
      </c>
      <c r="E257" s="278" t="s">
        <v>216</v>
      </c>
      <c r="F257" s="280" t="s">
        <v>1164</v>
      </c>
      <c r="G257" s="170">
        <v>50</v>
      </c>
      <c r="H257" s="285">
        <v>65</v>
      </c>
      <c r="J257" s="79" t="s">
        <v>1162</v>
      </c>
      <c r="K257" s="79" t="s">
        <v>240</v>
      </c>
      <c r="L257" s="79" t="s">
        <v>241</v>
      </c>
      <c r="M257" s="113">
        <v>2601542</v>
      </c>
      <c r="N257" s="113">
        <v>2204696.6101694889</v>
      </c>
      <c r="O257" s="113">
        <v>58</v>
      </c>
      <c r="Q257" s="79" t="s">
        <v>1162</v>
      </c>
      <c r="R257" s="79" t="s">
        <v>240</v>
      </c>
      <c r="S257" s="79" t="s">
        <v>241</v>
      </c>
      <c r="T257" s="113">
        <v>398091</v>
      </c>
      <c r="U257" s="113">
        <v>337365.25423728762</v>
      </c>
      <c r="V257" s="113">
        <v>9</v>
      </c>
      <c r="X257" s="79" t="s">
        <v>1162</v>
      </c>
      <c r="Y257" s="79" t="s">
        <v>240</v>
      </c>
      <c r="Z257" s="79" t="s">
        <v>241</v>
      </c>
      <c r="AA257" s="113">
        <v>0</v>
      </c>
      <c r="AB257" s="113"/>
      <c r="AC257" s="113"/>
    </row>
    <row r="258" spans="1:29" ht="15.75" hidden="1" customHeight="1" outlineLevel="1" x14ac:dyDescent="0.2">
      <c r="A258" s="278" t="s">
        <v>19</v>
      </c>
      <c r="B258" s="198" t="s">
        <v>205</v>
      </c>
      <c r="C258" s="180"/>
      <c r="D258" s="278" t="s">
        <v>1169</v>
      </c>
      <c r="E258" s="278" t="s">
        <v>216</v>
      </c>
      <c r="F258" s="280" t="s">
        <v>1164</v>
      </c>
      <c r="G258" s="170">
        <v>60</v>
      </c>
      <c r="H258" s="285">
        <v>78</v>
      </c>
      <c r="J258" s="112" t="s">
        <v>1162</v>
      </c>
      <c r="K258" s="79" t="s">
        <v>352</v>
      </c>
      <c r="L258" s="79" t="s">
        <v>289</v>
      </c>
      <c r="M258" s="113">
        <v>2786981</v>
      </c>
      <c r="N258" s="113">
        <v>2361848.3050847426</v>
      </c>
      <c r="O258" s="113">
        <v>69</v>
      </c>
      <c r="Q258" s="112" t="s">
        <v>1162</v>
      </c>
      <c r="R258" s="79" t="s">
        <v>352</v>
      </c>
      <c r="S258" s="79" t="s">
        <v>289</v>
      </c>
      <c r="T258" s="113">
        <v>337542</v>
      </c>
      <c r="U258" s="113">
        <v>286052.54237288079</v>
      </c>
      <c r="V258" s="113">
        <v>8</v>
      </c>
      <c r="X258" s="112" t="s">
        <v>1162</v>
      </c>
      <c r="Y258" s="79" t="s">
        <v>352</v>
      </c>
      <c r="Z258" s="79" t="s">
        <v>289</v>
      </c>
      <c r="AA258" s="113">
        <v>17997</v>
      </c>
      <c r="AB258" s="113">
        <v>15251.69491525422</v>
      </c>
      <c r="AC258" s="113">
        <v>3</v>
      </c>
    </row>
    <row r="259" spans="1:29" ht="15.75" hidden="1" customHeight="1" outlineLevel="1" x14ac:dyDescent="0.2">
      <c r="J259" s="112" t="s">
        <v>1162</v>
      </c>
      <c r="K259" s="79" t="s">
        <v>230</v>
      </c>
      <c r="L259" s="79" t="s">
        <v>35</v>
      </c>
      <c r="M259" s="113">
        <v>1379568</v>
      </c>
      <c r="N259" s="113">
        <v>1169125.4237288116</v>
      </c>
      <c r="O259" s="113">
        <v>32</v>
      </c>
      <c r="Q259" s="112" t="s">
        <v>1162</v>
      </c>
      <c r="R259" s="79" t="s">
        <v>230</v>
      </c>
      <c r="S259" s="79" t="s">
        <v>35</v>
      </c>
      <c r="T259" s="113">
        <v>873530</v>
      </c>
      <c r="U259" s="113">
        <v>740279.66101694782</v>
      </c>
      <c r="V259" s="113">
        <v>20</v>
      </c>
      <c r="X259" s="112" t="s">
        <v>1162</v>
      </c>
      <c r="Y259" s="79" t="s">
        <v>230</v>
      </c>
      <c r="Z259" s="79" t="s">
        <v>35</v>
      </c>
      <c r="AA259" s="113">
        <v>0</v>
      </c>
      <c r="AB259" s="113"/>
      <c r="AC259" s="113"/>
    </row>
    <row r="260" spans="1:29" ht="15.75" hidden="1" customHeight="1" outlineLevel="1" x14ac:dyDescent="0.2">
      <c r="J260" s="112" t="s">
        <v>1179</v>
      </c>
      <c r="K260" s="79"/>
      <c r="L260" s="79"/>
      <c r="M260" s="113">
        <v>6768091</v>
      </c>
      <c r="N260" s="113">
        <v>5735670.3389830431</v>
      </c>
      <c r="O260" s="113">
        <v>159</v>
      </c>
      <c r="Q260" s="112" t="s">
        <v>1179</v>
      </c>
      <c r="R260" s="79"/>
      <c r="S260" s="79"/>
      <c r="T260" s="113">
        <v>1609163</v>
      </c>
      <c r="U260" s="113">
        <v>1363697.4576271162</v>
      </c>
      <c r="V260" s="113">
        <v>37</v>
      </c>
      <c r="X260" s="112" t="s">
        <v>1179</v>
      </c>
      <c r="Y260" s="79"/>
      <c r="Z260" s="79"/>
      <c r="AA260" s="113">
        <v>17997</v>
      </c>
      <c r="AB260" s="113">
        <v>15251.69491525422</v>
      </c>
      <c r="AC260" s="113">
        <v>3</v>
      </c>
    </row>
    <row r="261" spans="1:29" ht="15.75" hidden="1" customHeight="1" outlineLevel="1" x14ac:dyDescent="0.2">
      <c r="J261" s="112" t="s">
        <v>1163</v>
      </c>
      <c r="K261" s="79" t="s">
        <v>207</v>
      </c>
      <c r="L261" s="79" t="s">
        <v>201</v>
      </c>
      <c r="M261" s="113">
        <v>1495562</v>
      </c>
      <c r="N261" s="113">
        <v>1267425.4237288116</v>
      </c>
      <c r="O261" s="113">
        <v>38</v>
      </c>
      <c r="Q261" s="112" t="s">
        <v>1163</v>
      </c>
      <c r="R261" s="79" t="s">
        <v>207</v>
      </c>
      <c r="S261" s="79" t="s">
        <v>201</v>
      </c>
      <c r="T261" s="113">
        <v>274643</v>
      </c>
      <c r="U261" s="113">
        <v>232748.3050847454</v>
      </c>
      <c r="V261" s="113">
        <v>7</v>
      </c>
      <c r="X261" s="112" t="s">
        <v>1163</v>
      </c>
      <c r="Y261" s="79" t="s">
        <v>207</v>
      </c>
      <c r="Z261" s="79" t="s">
        <v>201</v>
      </c>
      <c r="AA261" s="113">
        <v>27996</v>
      </c>
      <c r="AB261" s="113">
        <v>23725.423728813559</v>
      </c>
      <c r="AC261" s="113">
        <v>4</v>
      </c>
    </row>
    <row r="262" spans="1:29" ht="15.75" hidden="1" customHeight="1" outlineLevel="1" x14ac:dyDescent="0.2">
      <c r="J262" s="112" t="s">
        <v>1163</v>
      </c>
      <c r="K262" s="79" t="s">
        <v>299</v>
      </c>
      <c r="L262" s="79" t="s">
        <v>290</v>
      </c>
      <c r="M262" s="113">
        <v>1365566</v>
      </c>
      <c r="N262" s="113">
        <v>1157259.3220338961</v>
      </c>
      <c r="O262" s="113">
        <v>34</v>
      </c>
      <c r="Q262" s="112" t="s">
        <v>1163</v>
      </c>
      <c r="R262" s="79" t="s">
        <v>299</v>
      </c>
      <c r="S262" s="79" t="s">
        <v>290</v>
      </c>
      <c r="T262" s="113">
        <v>365292</v>
      </c>
      <c r="U262" s="113">
        <v>309569.49152542325</v>
      </c>
      <c r="V262" s="113">
        <v>8</v>
      </c>
      <c r="X262" s="112" t="s">
        <v>1163</v>
      </c>
      <c r="Y262" s="79" t="s">
        <v>299</v>
      </c>
      <c r="Z262" s="79" t="s">
        <v>290</v>
      </c>
      <c r="AA262" s="113">
        <v>20997</v>
      </c>
      <c r="AB262" s="113">
        <v>17794.06779661015</v>
      </c>
      <c r="AC262" s="113">
        <v>3</v>
      </c>
    </row>
    <row r="263" spans="1:29" ht="15.75" hidden="1" customHeight="1" outlineLevel="1" x14ac:dyDescent="0.2">
      <c r="J263" s="112" t="s">
        <v>1163</v>
      </c>
      <c r="K263" s="79" t="s">
        <v>837</v>
      </c>
      <c r="L263" s="79" t="s">
        <v>838</v>
      </c>
      <c r="M263" s="113">
        <v>1167069</v>
      </c>
      <c r="N263" s="113">
        <v>989041.5254237263</v>
      </c>
      <c r="O263" s="113">
        <v>31</v>
      </c>
      <c r="Q263" s="112" t="s">
        <v>1163</v>
      </c>
      <c r="R263" s="79" t="s">
        <v>837</v>
      </c>
      <c r="S263" s="79" t="s">
        <v>838</v>
      </c>
      <c r="T263" s="113">
        <v>287992</v>
      </c>
      <c r="U263" s="113">
        <v>244061.01694915205</v>
      </c>
      <c r="V263" s="113">
        <v>8</v>
      </c>
      <c r="X263" s="112" t="s">
        <v>1163</v>
      </c>
      <c r="Y263" s="79" t="s">
        <v>837</v>
      </c>
      <c r="Z263" s="79" t="s">
        <v>838</v>
      </c>
      <c r="AA263" s="113">
        <v>0</v>
      </c>
      <c r="AB263" s="113"/>
      <c r="AC263" s="113"/>
    </row>
    <row r="264" spans="1:29" ht="15.75" hidden="1" customHeight="1" outlineLevel="1" x14ac:dyDescent="0.2">
      <c r="J264" s="112" t="s">
        <v>1163</v>
      </c>
      <c r="K264" s="42" t="s">
        <v>221</v>
      </c>
      <c r="L264" s="42" t="s">
        <v>45</v>
      </c>
      <c r="M264" s="113">
        <v>1593165</v>
      </c>
      <c r="N264" s="113">
        <v>1350139.8305084731</v>
      </c>
      <c r="O264" s="113">
        <v>35</v>
      </c>
      <c r="Q264" s="112" t="s">
        <v>1163</v>
      </c>
      <c r="R264" s="42" t="s">
        <v>221</v>
      </c>
      <c r="S264" s="42" t="s">
        <v>45</v>
      </c>
      <c r="T264" s="113">
        <v>102348</v>
      </c>
      <c r="U264" s="113">
        <v>86735.593220338895</v>
      </c>
      <c r="V264" s="113">
        <v>2</v>
      </c>
      <c r="X264" s="112" t="s">
        <v>1163</v>
      </c>
      <c r="Y264" s="42" t="s">
        <v>221</v>
      </c>
      <c r="Z264" s="42" t="s">
        <v>45</v>
      </c>
      <c r="AA264" s="113">
        <v>0</v>
      </c>
      <c r="AB264" s="113"/>
      <c r="AC264" s="113"/>
    </row>
    <row r="265" spans="1:29" ht="15.75" hidden="1" customHeight="1" outlineLevel="1" x14ac:dyDescent="0.2">
      <c r="J265" s="112" t="s">
        <v>1163</v>
      </c>
      <c r="K265" s="42" t="s">
        <v>1165</v>
      </c>
      <c r="L265" s="42" t="s">
        <v>1166</v>
      </c>
      <c r="M265" s="113">
        <v>1612515</v>
      </c>
      <c r="N265" s="113">
        <v>1366538.1355932187</v>
      </c>
      <c r="O265" s="113">
        <v>35</v>
      </c>
      <c r="Q265" s="112" t="s">
        <v>1163</v>
      </c>
      <c r="R265" s="42" t="s">
        <v>1165</v>
      </c>
      <c r="S265" s="42" t="s">
        <v>1166</v>
      </c>
      <c r="T265" s="113">
        <v>31499</v>
      </c>
      <c r="U265" s="113">
        <v>26694.067796610099</v>
      </c>
      <c r="V265" s="113">
        <v>1</v>
      </c>
      <c r="X265" s="112" t="s">
        <v>1163</v>
      </c>
      <c r="Y265" s="42" t="s">
        <v>1165</v>
      </c>
      <c r="Z265" s="42" t="s">
        <v>1166</v>
      </c>
      <c r="AA265" s="113">
        <v>0</v>
      </c>
      <c r="AB265" s="113"/>
      <c r="AC265" s="113"/>
    </row>
    <row r="266" spans="1:29" ht="15.75" hidden="1" customHeight="1" outlineLevel="1" x14ac:dyDescent="0.2">
      <c r="J266" s="112" t="s">
        <v>1163</v>
      </c>
      <c r="K266" s="42" t="s">
        <v>57</v>
      </c>
      <c r="L266" s="42" t="s">
        <v>58</v>
      </c>
      <c r="M266" s="113">
        <v>940878</v>
      </c>
      <c r="N266" s="113">
        <v>797354.23728813406</v>
      </c>
      <c r="O266" s="113">
        <v>22</v>
      </c>
      <c r="Q266" s="112" t="s">
        <v>1163</v>
      </c>
      <c r="R266" s="42" t="s">
        <v>57</v>
      </c>
      <c r="S266" s="42" t="s">
        <v>58</v>
      </c>
      <c r="T266" s="113">
        <v>940878</v>
      </c>
      <c r="U266" s="113">
        <v>797354.23728813429</v>
      </c>
      <c r="V266" s="113">
        <v>22</v>
      </c>
      <c r="X266" s="112" t="s">
        <v>1163</v>
      </c>
      <c r="Y266" s="42" t="s">
        <v>57</v>
      </c>
      <c r="Z266" s="42" t="s">
        <v>58</v>
      </c>
      <c r="AA266" s="113">
        <v>0</v>
      </c>
      <c r="AB266" s="113"/>
      <c r="AC266" s="113"/>
    </row>
    <row r="267" spans="1:29" ht="15.75" hidden="1" customHeight="1" outlineLevel="1" x14ac:dyDescent="0.2">
      <c r="J267" s="112" t="s">
        <v>1180</v>
      </c>
      <c r="K267" s="161"/>
      <c r="L267" s="79"/>
      <c r="M267" s="113">
        <v>8534047</v>
      </c>
      <c r="N267" s="113">
        <v>7232243.2203389714</v>
      </c>
      <c r="O267" s="113">
        <v>203</v>
      </c>
      <c r="Q267" s="112" t="s">
        <v>1180</v>
      </c>
      <c r="R267" s="161"/>
      <c r="S267" s="79"/>
      <c r="T267" s="113">
        <v>2002652</v>
      </c>
      <c r="U267" s="113">
        <v>1697162.7118644039</v>
      </c>
      <c r="V267" s="113">
        <v>48</v>
      </c>
      <c r="X267" s="112" t="s">
        <v>1180</v>
      </c>
      <c r="Y267" s="161"/>
      <c r="Z267" s="79"/>
      <c r="AA267" s="113">
        <v>48993</v>
      </c>
      <c r="AB267" s="113">
        <v>41519.491525423713</v>
      </c>
      <c r="AC267" s="113">
        <v>7</v>
      </c>
    </row>
    <row r="268" spans="1:29" ht="15.75" hidden="1" customHeight="1" outlineLevel="1" x14ac:dyDescent="0.2">
      <c r="J268" s="112" t="s">
        <v>1169</v>
      </c>
      <c r="K268" s="161" t="s">
        <v>216</v>
      </c>
      <c r="L268" s="79" t="s">
        <v>18</v>
      </c>
      <c r="M268" s="113">
        <v>1589267</v>
      </c>
      <c r="N268" s="113">
        <v>1346836.4406779637</v>
      </c>
      <c r="O268" s="113">
        <v>33</v>
      </c>
      <c r="Q268" s="112" t="s">
        <v>1169</v>
      </c>
      <c r="R268" s="161" t="s">
        <v>216</v>
      </c>
      <c r="S268" s="79" t="s">
        <v>18</v>
      </c>
      <c r="T268" s="113">
        <v>377992</v>
      </c>
      <c r="U268" s="113">
        <v>320332.2033898299</v>
      </c>
      <c r="V268" s="113">
        <v>8</v>
      </c>
      <c r="X268" s="112" t="s">
        <v>1169</v>
      </c>
      <c r="Y268" s="161" t="s">
        <v>216</v>
      </c>
      <c r="Z268" s="79" t="s">
        <v>18</v>
      </c>
      <c r="AA268" s="113">
        <v>5999</v>
      </c>
      <c r="AB268" s="113">
        <v>5083.8983050847401</v>
      </c>
      <c r="AC268" s="113">
        <v>1</v>
      </c>
    </row>
    <row r="269" spans="1:29" ht="15.75" hidden="1" customHeight="1" outlineLevel="1" x14ac:dyDescent="0.2">
      <c r="J269" s="112" t="s">
        <v>1169</v>
      </c>
      <c r="K269" s="161" t="s">
        <v>701</v>
      </c>
      <c r="L269" s="79" t="s">
        <v>702</v>
      </c>
      <c r="M269" s="113">
        <v>1262277</v>
      </c>
      <c r="N269" s="113">
        <v>1069726.2711864396</v>
      </c>
      <c r="O269" s="113">
        <v>23</v>
      </c>
      <c r="Q269" s="112" t="s">
        <v>1169</v>
      </c>
      <c r="R269" s="161" t="s">
        <v>701</v>
      </c>
      <c r="S269" s="79" t="s">
        <v>702</v>
      </c>
      <c r="T269" s="113">
        <v>33299</v>
      </c>
      <c r="U269" s="113">
        <v>28219.491525423698</v>
      </c>
      <c r="V269" s="113">
        <v>1</v>
      </c>
      <c r="X269" s="112" t="s">
        <v>1169</v>
      </c>
      <c r="Y269" s="161" t="s">
        <v>701</v>
      </c>
      <c r="Z269" s="79" t="s">
        <v>702</v>
      </c>
      <c r="AA269" s="113">
        <v>0</v>
      </c>
      <c r="AB269" s="113"/>
      <c r="AC269" s="113"/>
    </row>
    <row r="270" spans="1:29" ht="15.75" hidden="1" customHeight="1" outlineLevel="1" x14ac:dyDescent="0.2">
      <c r="J270" s="112" t="s">
        <v>1169</v>
      </c>
      <c r="K270" s="79" t="s">
        <v>671</v>
      </c>
      <c r="L270" s="79" t="s">
        <v>200</v>
      </c>
      <c r="M270" s="113">
        <v>1969513</v>
      </c>
      <c r="N270" s="113">
        <v>1669078.8135593196</v>
      </c>
      <c r="O270" s="113">
        <v>37</v>
      </c>
      <c r="Q270" s="112" t="s">
        <v>1169</v>
      </c>
      <c r="R270" s="79" t="s">
        <v>671</v>
      </c>
      <c r="S270" s="79" t="s">
        <v>200</v>
      </c>
      <c r="T270" s="113">
        <v>0</v>
      </c>
      <c r="U270" s="113"/>
      <c r="V270" s="113"/>
      <c r="X270" s="112" t="s">
        <v>1169</v>
      </c>
      <c r="Y270" s="79" t="s">
        <v>671</v>
      </c>
      <c r="Z270" s="79" t="s">
        <v>200</v>
      </c>
      <c r="AA270" s="113">
        <v>0</v>
      </c>
      <c r="AB270" s="113"/>
      <c r="AC270" s="113"/>
    </row>
    <row r="271" spans="1:29" ht="15.75" hidden="1" customHeight="1" outlineLevel="1" x14ac:dyDescent="0.2">
      <c r="J271" s="112" t="s">
        <v>1169</v>
      </c>
      <c r="K271" s="22" t="s">
        <v>19</v>
      </c>
      <c r="L271" s="22" t="s">
        <v>205</v>
      </c>
      <c r="M271" s="113">
        <v>3094590</v>
      </c>
      <c r="N271" s="113">
        <v>2622533.8983050799</v>
      </c>
      <c r="O271" s="113">
        <v>60</v>
      </c>
      <c r="Q271" s="112" t="s">
        <v>1169</v>
      </c>
      <c r="R271" s="22" t="s">
        <v>19</v>
      </c>
      <c r="S271" s="22" t="s">
        <v>205</v>
      </c>
      <c r="T271" s="113">
        <v>0</v>
      </c>
      <c r="U271" s="113"/>
      <c r="V271" s="113"/>
      <c r="X271" s="112" t="s">
        <v>1169</v>
      </c>
      <c r="Y271" s="22" t="s">
        <v>19</v>
      </c>
      <c r="Z271" s="22" t="s">
        <v>205</v>
      </c>
      <c r="AA271" s="113">
        <v>0</v>
      </c>
      <c r="AB271" s="113"/>
      <c r="AC271" s="113"/>
    </row>
    <row r="272" spans="1:29" ht="15.75" hidden="1" customHeight="1" outlineLevel="1" x14ac:dyDescent="0.2">
      <c r="J272" s="112" t="s">
        <v>1169</v>
      </c>
      <c r="K272" s="42" t="s">
        <v>2091</v>
      </c>
      <c r="L272" s="42" t="s">
        <v>2092</v>
      </c>
      <c r="M272" s="113">
        <v>359292</v>
      </c>
      <c r="N272" s="113">
        <v>304484.74576271133</v>
      </c>
      <c r="O272" s="113">
        <v>8</v>
      </c>
      <c r="Q272" s="112" t="s">
        <v>1169</v>
      </c>
      <c r="R272" s="42" t="s">
        <v>2091</v>
      </c>
      <c r="S272" s="42" t="s">
        <v>2092</v>
      </c>
      <c r="T272" s="113">
        <v>0</v>
      </c>
      <c r="U272" s="113"/>
      <c r="V272" s="113"/>
      <c r="X272" s="112" t="s">
        <v>1169</v>
      </c>
      <c r="Y272" s="42" t="s">
        <v>2091</v>
      </c>
      <c r="Z272" s="42" t="s">
        <v>2092</v>
      </c>
      <c r="AA272" s="113">
        <v>0</v>
      </c>
      <c r="AB272" s="113"/>
      <c r="AC272" s="113"/>
    </row>
    <row r="273" spans="1:29" ht="15.75" hidden="1" customHeight="1" outlineLevel="1" x14ac:dyDescent="0.2">
      <c r="J273" s="112" t="s">
        <v>1169</v>
      </c>
      <c r="K273" s="22" t="s">
        <v>333</v>
      </c>
      <c r="L273" s="22" t="s">
        <v>340</v>
      </c>
      <c r="M273" s="113">
        <v>0</v>
      </c>
      <c r="N273" s="113"/>
      <c r="O273" s="113"/>
      <c r="Q273" s="112" t="s">
        <v>1169</v>
      </c>
      <c r="R273" s="22" t="s">
        <v>333</v>
      </c>
      <c r="S273" s="22" t="s">
        <v>340</v>
      </c>
      <c r="T273" s="113">
        <v>0</v>
      </c>
      <c r="U273" s="113"/>
      <c r="V273" s="113"/>
      <c r="X273" s="112" t="s">
        <v>1169</v>
      </c>
      <c r="Y273" s="22" t="s">
        <v>333</v>
      </c>
      <c r="Z273" s="22" t="s">
        <v>340</v>
      </c>
      <c r="AA273" s="113">
        <v>0</v>
      </c>
      <c r="AB273" s="113"/>
      <c r="AC273" s="113"/>
    </row>
    <row r="274" spans="1:29" ht="15.75" hidden="1" customHeight="1" outlineLevel="1" x14ac:dyDescent="0.2">
      <c r="J274" s="112" t="s">
        <v>1181</v>
      </c>
      <c r="K274" s="20"/>
      <c r="L274" s="20"/>
      <c r="M274" s="113">
        <v>7915647</v>
      </c>
      <c r="N274" s="113">
        <v>6708175.4237288032</v>
      </c>
      <c r="O274" s="113">
        <v>153</v>
      </c>
      <c r="Q274" s="112" t="s">
        <v>1181</v>
      </c>
      <c r="R274" s="20"/>
      <c r="S274" s="20"/>
      <c r="T274" s="113">
        <v>411291</v>
      </c>
      <c r="U274" s="113">
        <v>348551.69491525361</v>
      </c>
      <c r="V274" s="113">
        <v>9</v>
      </c>
      <c r="X274" s="112" t="s">
        <v>1181</v>
      </c>
      <c r="Y274" s="20"/>
      <c r="Z274" s="20"/>
      <c r="AA274" s="113">
        <v>5999</v>
      </c>
      <c r="AB274" s="113">
        <v>5083.8983050847401</v>
      </c>
      <c r="AC274" s="113">
        <v>1</v>
      </c>
    </row>
    <row r="275" spans="1:29" ht="15.75" hidden="1" customHeight="1" outlineLevel="1" x14ac:dyDescent="0.2">
      <c r="J275" s="228" t="s">
        <v>69</v>
      </c>
      <c r="K275" s="228"/>
      <c r="L275" s="228"/>
      <c r="M275" s="229">
        <f>+M191+M196+M205+M209+M218+M226+M231+M236+M240+M248+M256+M260+M267+M274</f>
        <v>145583964</v>
      </c>
      <c r="N275" s="229">
        <f>+N191+N196+N205+N209+N218+N226+N231+N236+N240+N248+N256+N260+N267+N274</f>
        <v>123376240.67796591</v>
      </c>
      <c r="O275" s="229">
        <f>+O191+O196+O205+O209+O218+O226+O231+O236+O240+O248+O256+O260+O267+O274</f>
        <v>3486</v>
      </c>
      <c r="Q275" s="228" t="s">
        <v>69</v>
      </c>
      <c r="R275" s="228"/>
      <c r="S275" s="228"/>
      <c r="T275" s="229">
        <f>+T191+T196+T205+T209+T218+T226+T231+T236+T240+T248+T256+T260+T267+T274</f>
        <v>15267679</v>
      </c>
      <c r="U275" s="229">
        <f>+U191+U196+U205+U209+U218+U226+U231+U236+U240+U248+U256+U260+U267+U274</f>
        <v>12938711.016949132</v>
      </c>
      <c r="V275" s="229">
        <f>+V191+V196+V205+V209+V218+V226+V231+V236+V240+V248+V256+V260+V267+V274</f>
        <v>371</v>
      </c>
      <c r="X275" s="228" t="s">
        <v>69</v>
      </c>
      <c r="Y275" s="228"/>
      <c r="Z275" s="228"/>
      <c r="AA275" s="229">
        <f>+AA191+AA196+AA205+AA209+AA218+AA226+AA231+AA236+AA240+AA248+AA256+AA260+AA267+AA274</f>
        <v>506922</v>
      </c>
      <c r="AB275" s="229">
        <f>+AB191+AB196+AB205+AB209+AB218+AB226+AB231+AB236+AB240+AB248+AB256+AB260+AB267+AB274</f>
        <v>429594.91525423696</v>
      </c>
      <c r="AC275" s="229">
        <f>+AC191+AC196+AC205+AC209+AC218+AC226+AC231+AC236+AC240+AC248+AC256+AC260+AC267+AC274</f>
        <v>78</v>
      </c>
    </row>
    <row r="277" spans="1:29" ht="15.75" customHeight="1" collapsed="1" x14ac:dyDescent="0.2">
      <c r="A277" s="101">
        <v>46204</v>
      </c>
      <c r="J277" s="2" t="s">
        <v>231</v>
      </c>
      <c r="Q277" s="2" t="s">
        <v>214</v>
      </c>
      <c r="X277" s="2" t="s">
        <v>946</v>
      </c>
    </row>
    <row r="278" spans="1:29" ht="15.75" hidden="1" customHeight="1" outlineLevel="1" x14ac:dyDescent="0.2">
      <c r="A278" s="383" t="s">
        <v>2516</v>
      </c>
      <c r="B278" s="384"/>
      <c r="C278" s="384"/>
      <c r="D278" s="384"/>
      <c r="E278" s="384"/>
      <c r="F278" s="384"/>
      <c r="G278" s="384"/>
      <c r="H278" s="375"/>
      <c r="J278" s="99" t="s">
        <v>68</v>
      </c>
      <c r="K278" s="99" t="s">
        <v>73</v>
      </c>
      <c r="L278" s="99" t="s">
        <v>16</v>
      </c>
      <c r="M278" s="99" t="s">
        <v>65</v>
      </c>
      <c r="N278" s="99" t="s">
        <v>66</v>
      </c>
      <c r="O278" s="99" t="s">
        <v>67</v>
      </c>
      <c r="Q278" s="99" t="s">
        <v>68</v>
      </c>
      <c r="R278" s="99" t="s">
        <v>73</v>
      </c>
      <c r="S278" s="99" t="s">
        <v>16</v>
      </c>
      <c r="T278" s="99" t="s">
        <v>65</v>
      </c>
      <c r="U278" s="99" t="s">
        <v>66</v>
      </c>
      <c r="V278" s="99" t="s">
        <v>67</v>
      </c>
      <c r="X278" s="99" t="s">
        <v>68</v>
      </c>
      <c r="Y278" s="99" t="s">
        <v>73</v>
      </c>
      <c r="Z278" s="99" t="s">
        <v>16</v>
      </c>
      <c r="AA278" s="99" t="s">
        <v>65</v>
      </c>
      <c r="AB278" s="99" t="s">
        <v>66</v>
      </c>
      <c r="AC278" s="99" t="s">
        <v>67</v>
      </c>
    </row>
    <row r="279" spans="1:29" ht="15.75" hidden="1" customHeight="1" outlineLevel="1" x14ac:dyDescent="0.2">
      <c r="A279" s="178" t="s">
        <v>799</v>
      </c>
      <c r="B279" s="178" t="s">
        <v>800</v>
      </c>
      <c r="C279" s="264" t="s">
        <v>801</v>
      </c>
      <c r="D279" s="178" t="s">
        <v>3</v>
      </c>
      <c r="E279" s="178" t="s">
        <v>0</v>
      </c>
      <c r="F279" s="178" t="s">
        <v>772</v>
      </c>
      <c r="G279" s="179" t="s">
        <v>2517</v>
      </c>
      <c r="H279" s="179" t="s">
        <v>2518</v>
      </c>
      <c r="J279" s="112" t="s">
        <v>640</v>
      </c>
      <c r="K279" s="79" t="s">
        <v>191</v>
      </c>
      <c r="L279" s="79" t="s">
        <v>195</v>
      </c>
      <c r="M279" s="113">
        <v>1280124</v>
      </c>
      <c r="N279" s="113">
        <v>1084850.8473999999</v>
      </c>
      <c r="O279" s="113">
        <v>26</v>
      </c>
      <c r="Q279" s="112" t="s">
        <v>640</v>
      </c>
      <c r="R279" s="79" t="s">
        <v>191</v>
      </c>
      <c r="S279" s="79" t="s">
        <v>195</v>
      </c>
      <c r="T279" s="113">
        <v>964129</v>
      </c>
      <c r="U279" s="113">
        <v>817058.4744000003</v>
      </c>
      <c r="V279" s="113">
        <v>21</v>
      </c>
      <c r="X279" s="112" t="s">
        <v>640</v>
      </c>
      <c r="Y279" s="79" t="s">
        <v>191</v>
      </c>
      <c r="Z279" s="79" t="s">
        <v>195</v>
      </c>
      <c r="AA279" s="113">
        <v>0</v>
      </c>
      <c r="AB279" s="113"/>
      <c r="AC279" s="113"/>
    </row>
    <row r="280" spans="1:29" ht="15.75" hidden="1" customHeight="1" outlineLevel="1" x14ac:dyDescent="0.2">
      <c r="A280" s="278" t="s">
        <v>191</v>
      </c>
      <c r="B280" s="198" t="s">
        <v>195</v>
      </c>
      <c r="C280" s="265"/>
      <c r="D280" s="279" t="s">
        <v>640</v>
      </c>
      <c r="E280" s="278" t="s">
        <v>191</v>
      </c>
      <c r="F280" s="278" t="s">
        <v>297</v>
      </c>
      <c r="G280" s="182">
        <v>60</v>
      </c>
      <c r="H280" s="182">
        <v>78</v>
      </c>
      <c r="J280" s="112" t="s">
        <v>640</v>
      </c>
      <c r="K280" s="79" t="s">
        <v>31</v>
      </c>
      <c r="L280" s="79" t="s">
        <v>32</v>
      </c>
      <c r="M280" s="113">
        <v>1402164</v>
      </c>
      <c r="N280" s="113">
        <v>1188274.5761199999</v>
      </c>
      <c r="O280" s="113">
        <v>36</v>
      </c>
      <c r="Q280" s="112" t="s">
        <v>640</v>
      </c>
      <c r="R280" s="79" t="s">
        <v>31</v>
      </c>
      <c r="S280" s="79" t="s">
        <v>32</v>
      </c>
      <c r="T280" s="113">
        <v>382641</v>
      </c>
      <c r="U280" s="113">
        <v>324272.03389999998</v>
      </c>
      <c r="V280" s="113">
        <v>9</v>
      </c>
      <c r="X280" s="112" t="s">
        <v>640</v>
      </c>
      <c r="Y280" s="79" t="s">
        <v>31</v>
      </c>
      <c r="Z280" s="79" t="s">
        <v>32</v>
      </c>
      <c r="AA280" s="113">
        <v>11998</v>
      </c>
      <c r="AB280" s="113">
        <v>10167.796619999999</v>
      </c>
      <c r="AC280" s="113">
        <v>2</v>
      </c>
    </row>
    <row r="281" spans="1:29" ht="15.75" hidden="1" customHeight="1" outlineLevel="1" x14ac:dyDescent="0.2">
      <c r="A281" s="278" t="s">
        <v>31</v>
      </c>
      <c r="B281" s="198" t="s">
        <v>32</v>
      </c>
      <c r="C281" s="265"/>
      <c r="D281" s="279" t="s">
        <v>640</v>
      </c>
      <c r="E281" s="278" t="s">
        <v>191</v>
      </c>
      <c r="F281" s="278" t="s">
        <v>297</v>
      </c>
      <c r="G281" s="182">
        <v>50</v>
      </c>
      <c r="H281" s="182">
        <v>65</v>
      </c>
      <c r="J281" s="112" t="s">
        <v>640</v>
      </c>
      <c r="K281" s="79" t="s">
        <v>756</v>
      </c>
      <c r="L281" s="79" t="s">
        <v>757</v>
      </c>
      <c r="M281" s="113">
        <v>2411951</v>
      </c>
      <c r="N281" s="113">
        <v>2044026.2705900003</v>
      </c>
      <c r="O281" s="113">
        <v>49</v>
      </c>
      <c r="Q281" s="112" t="s">
        <v>640</v>
      </c>
      <c r="R281" s="79" t="s">
        <v>756</v>
      </c>
      <c r="S281" s="79" t="s">
        <v>757</v>
      </c>
      <c r="T281" s="113">
        <v>445291</v>
      </c>
      <c r="U281" s="113">
        <v>377365.25430000003</v>
      </c>
      <c r="V281" s="113">
        <v>9</v>
      </c>
      <c r="X281" s="112" t="s">
        <v>640</v>
      </c>
      <c r="Y281" s="79" t="s">
        <v>756</v>
      </c>
      <c r="Z281" s="79" t="s">
        <v>757</v>
      </c>
      <c r="AA281" s="113">
        <v>8999</v>
      </c>
      <c r="AB281" s="113">
        <v>7626.2711900000004</v>
      </c>
      <c r="AC281" s="113">
        <v>1</v>
      </c>
    </row>
    <row r="282" spans="1:29" ht="15.75" hidden="1" customHeight="1" outlineLevel="1" x14ac:dyDescent="0.2">
      <c r="A282" s="278" t="s">
        <v>756</v>
      </c>
      <c r="B282" s="198" t="s">
        <v>757</v>
      </c>
      <c r="C282" s="265"/>
      <c r="D282" s="279" t="s">
        <v>640</v>
      </c>
      <c r="E282" s="278" t="s">
        <v>191</v>
      </c>
      <c r="F282" s="278" t="s">
        <v>297</v>
      </c>
      <c r="G282" s="182">
        <v>30</v>
      </c>
      <c r="H282" s="182">
        <v>39</v>
      </c>
      <c r="J282" s="112" t="s">
        <v>640</v>
      </c>
      <c r="K282" s="79" t="s">
        <v>705</v>
      </c>
      <c r="L282" s="79" t="s">
        <v>686</v>
      </c>
      <c r="M282" s="113">
        <v>2654996</v>
      </c>
      <c r="N282" s="113">
        <v>2249996.6095000012</v>
      </c>
      <c r="O282" s="113">
        <v>54</v>
      </c>
      <c r="Q282" s="112" t="s">
        <v>640</v>
      </c>
      <c r="R282" s="79" t="s">
        <v>705</v>
      </c>
      <c r="S282" s="79" t="s">
        <v>686</v>
      </c>
      <c r="T282" s="113">
        <v>0</v>
      </c>
      <c r="U282" s="113"/>
      <c r="V282" s="113"/>
      <c r="X282" s="112" t="s">
        <v>640</v>
      </c>
      <c r="Y282" s="79" t="s">
        <v>705</v>
      </c>
      <c r="Z282" s="79" t="s">
        <v>686</v>
      </c>
      <c r="AA282" s="113">
        <v>0</v>
      </c>
      <c r="AB282" s="113"/>
      <c r="AC282" s="113"/>
    </row>
    <row r="283" spans="1:29" ht="15.75" hidden="1" customHeight="1" outlineLevel="1" x14ac:dyDescent="0.2">
      <c r="A283" s="278" t="s">
        <v>705</v>
      </c>
      <c r="B283" s="198" t="s">
        <v>686</v>
      </c>
      <c r="C283" s="265"/>
      <c r="D283" s="279" t="s">
        <v>640</v>
      </c>
      <c r="E283" s="278" t="s">
        <v>191</v>
      </c>
      <c r="F283" s="278" t="s">
        <v>297</v>
      </c>
      <c r="G283" s="182">
        <v>30</v>
      </c>
      <c r="H283" s="182">
        <v>39</v>
      </c>
      <c r="J283" s="112" t="s">
        <v>640</v>
      </c>
      <c r="K283" s="79" t="s">
        <v>248</v>
      </c>
      <c r="L283" s="79" t="s">
        <v>251</v>
      </c>
      <c r="M283" s="113">
        <v>1130375</v>
      </c>
      <c r="N283" s="113">
        <v>957944.9151000001</v>
      </c>
      <c r="O283" s="113">
        <v>25</v>
      </c>
      <c r="Q283" s="112" t="s">
        <v>640</v>
      </c>
      <c r="R283" s="79" t="s">
        <v>248</v>
      </c>
      <c r="S283" s="79" t="s">
        <v>251</v>
      </c>
      <c r="T283" s="113">
        <v>207596</v>
      </c>
      <c r="U283" s="113">
        <v>175928.81349999999</v>
      </c>
      <c r="V283" s="113">
        <v>4</v>
      </c>
      <c r="X283" s="112" t="s">
        <v>640</v>
      </c>
      <c r="Y283" s="79" t="s">
        <v>248</v>
      </c>
      <c r="Z283" s="79" t="s">
        <v>251</v>
      </c>
      <c r="AA283" s="113">
        <v>0</v>
      </c>
      <c r="AB283" s="113"/>
      <c r="AC283" s="113"/>
    </row>
    <row r="284" spans="1:29" ht="15.75" hidden="1" customHeight="1" outlineLevel="1" x14ac:dyDescent="0.2">
      <c r="A284" s="278" t="s">
        <v>248</v>
      </c>
      <c r="B284" s="198" t="s">
        <v>251</v>
      </c>
      <c r="C284" s="265"/>
      <c r="D284" s="279" t="s">
        <v>640</v>
      </c>
      <c r="E284" s="278" t="s">
        <v>191</v>
      </c>
      <c r="F284" s="278" t="s">
        <v>297</v>
      </c>
      <c r="G284" s="182">
        <v>50</v>
      </c>
      <c r="H284" s="182">
        <v>65</v>
      </c>
      <c r="J284" s="112" t="s">
        <v>929</v>
      </c>
      <c r="K284" s="79"/>
      <c r="L284" s="79"/>
      <c r="M284" s="113">
        <v>8879610</v>
      </c>
      <c r="N284" s="113">
        <v>7525093.2187100016</v>
      </c>
      <c r="O284" s="113">
        <v>190</v>
      </c>
      <c r="Q284" s="112" t="s">
        <v>929</v>
      </c>
      <c r="R284" s="79"/>
      <c r="S284" s="79"/>
      <c r="T284" s="113">
        <v>1999657</v>
      </c>
      <c r="U284" s="113">
        <v>1694624.5761000004</v>
      </c>
      <c r="V284" s="113">
        <v>43</v>
      </c>
      <c r="X284" s="112" t="s">
        <v>929</v>
      </c>
      <c r="Y284" s="79"/>
      <c r="Z284" s="79"/>
      <c r="AA284" s="113">
        <v>20997</v>
      </c>
      <c r="AB284" s="113">
        <v>17794.06781</v>
      </c>
      <c r="AC284" s="113">
        <v>3</v>
      </c>
    </row>
    <row r="285" spans="1:29" ht="15.75" hidden="1" customHeight="1" outlineLevel="1" x14ac:dyDescent="0.2">
      <c r="A285" s="278" t="s">
        <v>224</v>
      </c>
      <c r="B285" s="198" t="s">
        <v>33</v>
      </c>
      <c r="C285" s="265"/>
      <c r="D285" s="279" t="s">
        <v>1141</v>
      </c>
      <c r="E285" s="278" t="s">
        <v>224</v>
      </c>
      <c r="F285" s="278" t="s">
        <v>297</v>
      </c>
      <c r="G285" s="182">
        <v>30</v>
      </c>
      <c r="H285" s="182">
        <v>39</v>
      </c>
      <c r="J285" s="112" t="s">
        <v>1141</v>
      </c>
      <c r="K285" s="79" t="s">
        <v>224</v>
      </c>
      <c r="L285" s="79" t="s">
        <v>33</v>
      </c>
      <c r="M285" s="113">
        <v>3617531</v>
      </c>
      <c r="N285" s="113">
        <v>3065704.2358000018</v>
      </c>
      <c r="O285" s="113">
        <v>69</v>
      </c>
      <c r="Q285" s="112" t="s">
        <v>1141</v>
      </c>
      <c r="R285" s="79" t="s">
        <v>224</v>
      </c>
      <c r="S285" s="79" t="s">
        <v>33</v>
      </c>
      <c r="T285" s="113">
        <v>33299</v>
      </c>
      <c r="U285" s="113">
        <v>28219.4915</v>
      </c>
      <c r="V285" s="113">
        <v>1</v>
      </c>
      <c r="X285" s="112" t="s">
        <v>1141</v>
      </c>
      <c r="Y285" s="79" t="s">
        <v>224</v>
      </c>
      <c r="Z285" s="79" t="s">
        <v>33</v>
      </c>
      <c r="AA285" s="113">
        <v>0</v>
      </c>
      <c r="AB285" s="113"/>
      <c r="AC285" s="113"/>
    </row>
    <row r="286" spans="1:29" ht="15.75" hidden="1" customHeight="1" outlineLevel="1" x14ac:dyDescent="0.2">
      <c r="A286" s="278" t="s">
        <v>787</v>
      </c>
      <c r="B286" s="198" t="s">
        <v>788</v>
      </c>
      <c r="C286" s="265"/>
      <c r="D286" s="278" t="s">
        <v>1141</v>
      </c>
      <c r="E286" s="278" t="s">
        <v>224</v>
      </c>
      <c r="F286" s="278" t="s">
        <v>297</v>
      </c>
      <c r="G286" s="182">
        <v>30</v>
      </c>
      <c r="H286" s="182">
        <v>39</v>
      </c>
      <c r="J286" s="112" t="s">
        <v>1141</v>
      </c>
      <c r="K286" s="79" t="s">
        <v>787</v>
      </c>
      <c r="L286" s="79" t="s">
        <v>788</v>
      </c>
      <c r="M286" s="113">
        <v>2263956</v>
      </c>
      <c r="N286" s="113">
        <v>1918606.7788999998</v>
      </c>
      <c r="O286" s="113">
        <v>44</v>
      </c>
      <c r="Q286" s="112" t="s">
        <v>1141</v>
      </c>
      <c r="R286" s="79" t="s">
        <v>787</v>
      </c>
      <c r="S286" s="79" t="s">
        <v>788</v>
      </c>
      <c r="T286" s="113">
        <v>107997</v>
      </c>
      <c r="U286" s="113">
        <v>91522.881300000008</v>
      </c>
      <c r="V286" s="113">
        <v>3</v>
      </c>
      <c r="X286" s="112" t="s">
        <v>1141</v>
      </c>
      <c r="Y286" s="79" t="s">
        <v>787</v>
      </c>
      <c r="Z286" s="79" t="s">
        <v>788</v>
      </c>
      <c r="AA286" s="113">
        <v>0</v>
      </c>
      <c r="AB286" s="113"/>
      <c r="AC286" s="113"/>
    </row>
    <row r="287" spans="1:29" ht="15.75" hidden="1" customHeight="1" outlineLevel="1" x14ac:dyDescent="0.2">
      <c r="A287" s="278" t="s">
        <v>218</v>
      </c>
      <c r="B287" s="198" t="s">
        <v>219</v>
      </c>
      <c r="C287" s="265"/>
      <c r="D287" s="278" t="s">
        <v>1141</v>
      </c>
      <c r="E287" s="278" t="s">
        <v>224</v>
      </c>
      <c r="F287" s="278" t="s">
        <v>297</v>
      </c>
      <c r="G287" s="182">
        <v>50</v>
      </c>
      <c r="H287" s="182">
        <v>65</v>
      </c>
      <c r="J287" s="112" t="s">
        <v>1141</v>
      </c>
      <c r="K287" s="79" t="s">
        <v>218</v>
      </c>
      <c r="L287" s="79" t="s">
        <v>219</v>
      </c>
      <c r="M287" s="113">
        <v>1810109</v>
      </c>
      <c r="N287" s="113">
        <v>1533990.6773999995</v>
      </c>
      <c r="O287" s="113">
        <v>41</v>
      </c>
      <c r="Q287" s="112" t="s">
        <v>1141</v>
      </c>
      <c r="R287" s="79" t="s">
        <v>218</v>
      </c>
      <c r="S287" s="79" t="s">
        <v>219</v>
      </c>
      <c r="T287" s="113">
        <v>303893</v>
      </c>
      <c r="U287" s="113">
        <v>257536.44050000003</v>
      </c>
      <c r="V287" s="113">
        <v>7</v>
      </c>
      <c r="X287" s="112" t="s">
        <v>1141</v>
      </c>
      <c r="Y287" s="79" t="s">
        <v>218</v>
      </c>
      <c r="Z287" s="79" t="s">
        <v>219</v>
      </c>
      <c r="AA287" s="113">
        <v>0</v>
      </c>
      <c r="AB287" s="113"/>
      <c r="AC287" s="113"/>
    </row>
    <row r="288" spans="1:29" ht="15.75" hidden="1" customHeight="1" outlineLevel="1" x14ac:dyDescent="0.2">
      <c r="A288" s="278" t="s">
        <v>782</v>
      </c>
      <c r="B288" s="198" t="s">
        <v>781</v>
      </c>
      <c r="C288" s="181"/>
      <c r="D288" s="278" t="s">
        <v>1141</v>
      </c>
      <c r="E288" s="278" t="s">
        <v>224</v>
      </c>
      <c r="F288" s="278" t="s">
        <v>297</v>
      </c>
      <c r="G288" s="182">
        <v>50</v>
      </c>
      <c r="H288" s="182">
        <v>65</v>
      </c>
      <c r="J288" s="112" t="s">
        <v>1141</v>
      </c>
      <c r="K288" s="79" t="s">
        <v>780</v>
      </c>
      <c r="L288" s="79" t="s">
        <v>781</v>
      </c>
      <c r="M288" s="113">
        <v>1986504</v>
      </c>
      <c r="N288" s="113">
        <v>1683477.9657999992</v>
      </c>
      <c r="O288" s="113">
        <v>46</v>
      </c>
      <c r="Q288" s="112" t="s">
        <v>1141</v>
      </c>
      <c r="R288" s="79" t="s">
        <v>780</v>
      </c>
      <c r="S288" s="79" t="s">
        <v>781</v>
      </c>
      <c r="T288" s="113">
        <v>277994</v>
      </c>
      <c r="U288" s="113">
        <v>235588.13560000001</v>
      </c>
      <c r="V288" s="113">
        <v>6</v>
      </c>
      <c r="X288" s="112" t="s">
        <v>1141</v>
      </c>
      <c r="Y288" s="79" t="s">
        <v>780</v>
      </c>
      <c r="Z288" s="79" t="s">
        <v>781</v>
      </c>
      <c r="AA288" s="113">
        <v>14998</v>
      </c>
      <c r="AB288" s="113">
        <v>12710.1695</v>
      </c>
      <c r="AC288" s="113">
        <v>2</v>
      </c>
    </row>
    <row r="289" spans="1:29" ht="15.75" hidden="1" customHeight="1" outlineLevel="1" x14ac:dyDescent="0.2">
      <c r="A289" s="278" t="s">
        <v>1109</v>
      </c>
      <c r="B289" s="198" t="s">
        <v>1110</v>
      </c>
      <c r="C289" s="265"/>
      <c r="D289" s="278" t="s">
        <v>646</v>
      </c>
      <c r="E289" s="278" t="s">
        <v>48</v>
      </c>
      <c r="F289" s="347" t="s">
        <v>2519</v>
      </c>
      <c r="G289" s="182">
        <v>50</v>
      </c>
      <c r="H289" s="182">
        <v>65</v>
      </c>
      <c r="J289" s="112" t="s">
        <v>1170</v>
      </c>
      <c r="K289" s="79"/>
      <c r="L289" s="79"/>
      <c r="M289" s="113">
        <v>9678100</v>
      </c>
      <c r="N289" s="113">
        <v>8201779.6579</v>
      </c>
      <c r="O289" s="113">
        <v>200</v>
      </c>
      <c r="Q289" s="112" t="s">
        <v>1170</v>
      </c>
      <c r="R289" s="79"/>
      <c r="S289" s="79"/>
      <c r="T289" s="113">
        <v>723183</v>
      </c>
      <c r="U289" s="113">
        <v>612866.94890000008</v>
      </c>
      <c r="V289" s="113">
        <v>17</v>
      </c>
      <c r="X289" s="112" t="s">
        <v>1170</v>
      </c>
      <c r="Y289" s="79"/>
      <c r="Z289" s="79"/>
      <c r="AA289" s="113">
        <v>14998</v>
      </c>
      <c r="AB289" s="113">
        <v>12710.1695</v>
      </c>
      <c r="AC289" s="113">
        <v>2</v>
      </c>
    </row>
    <row r="290" spans="1:29" ht="15.75" hidden="1" customHeight="1" outlineLevel="1" x14ac:dyDescent="0.2">
      <c r="A290" s="278" t="s">
        <v>25</v>
      </c>
      <c r="B290" s="198" t="s">
        <v>26</v>
      </c>
      <c r="C290" s="181"/>
      <c r="D290" s="278" t="s">
        <v>646</v>
      </c>
      <c r="E290" s="278" t="s">
        <v>48</v>
      </c>
      <c r="F290" s="347" t="s">
        <v>2519</v>
      </c>
      <c r="G290" s="182">
        <v>60</v>
      </c>
      <c r="H290" s="182">
        <v>78</v>
      </c>
      <c r="J290" s="112" t="s">
        <v>646</v>
      </c>
      <c r="K290" s="79" t="s">
        <v>1109</v>
      </c>
      <c r="L290" s="79" t="s">
        <v>1110</v>
      </c>
      <c r="M290" s="113">
        <v>902378</v>
      </c>
      <c r="N290" s="113">
        <v>764727.11840000015</v>
      </c>
      <c r="O290" s="113">
        <v>22</v>
      </c>
      <c r="Q290" s="112" t="s">
        <v>646</v>
      </c>
      <c r="R290" s="79" t="s">
        <v>1109</v>
      </c>
      <c r="S290" s="79" t="s">
        <v>1110</v>
      </c>
      <c r="T290" s="113">
        <v>422890</v>
      </c>
      <c r="U290" s="113">
        <v>358381.35580000002</v>
      </c>
      <c r="V290" s="113">
        <v>10</v>
      </c>
      <c r="X290" s="112" t="s">
        <v>646</v>
      </c>
      <c r="Y290" s="79" t="s">
        <v>1109</v>
      </c>
      <c r="Z290" s="79" t="s">
        <v>1110</v>
      </c>
      <c r="AA290" s="113">
        <v>0</v>
      </c>
      <c r="AB290" s="113"/>
      <c r="AC290" s="113"/>
    </row>
    <row r="291" spans="1:29" ht="15.75" hidden="1" customHeight="1" outlineLevel="1" x14ac:dyDescent="0.2">
      <c r="A291" s="278" t="s">
        <v>48</v>
      </c>
      <c r="B291" s="198" t="s">
        <v>49</v>
      </c>
      <c r="C291" s="181"/>
      <c r="D291" s="278" t="s">
        <v>646</v>
      </c>
      <c r="E291" s="278" t="s">
        <v>48</v>
      </c>
      <c r="F291" s="347" t="s">
        <v>2519</v>
      </c>
      <c r="G291" s="182">
        <v>50</v>
      </c>
      <c r="H291" s="182">
        <v>65</v>
      </c>
      <c r="J291" s="112" t="s">
        <v>646</v>
      </c>
      <c r="K291" s="79" t="s">
        <v>25</v>
      </c>
      <c r="L291" s="79" t="s">
        <v>26</v>
      </c>
      <c r="M291" s="113">
        <v>2107708</v>
      </c>
      <c r="N291" s="113">
        <v>1786193.2199000004</v>
      </c>
      <c r="O291" s="113">
        <v>42</v>
      </c>
      <c r="Q291" s="112" t="s">
        <v>646</v>
      </c>
      <c r="R291" s="79" t="s">
        <v>25</v>
      </c>
      <c r="S291" s="79" t="s">
        <v>26</v>
      </c>
      <c r="T291" s="113">
        <v>197997</v>
      </c>
      <c r="U291" s="113">
        <v>167794.06770000001</v>
      </c>
      <c r="V291" s="113">
        <v>3</v>
      </c>
      <c r="X291" s="112" t="s">
        <v>646</v>
      </c>
      <c r="Y291" s="79" t="s">
        <v>25</v>
      </c>
      <c r="Z291" s="79" t="s">
        <v>26</v>
      </c>
      <c r="AA291" s="113">
        <v>0</v>
      </c>
      <c r="AB291" s="113"/>
      <c r="AC291" s="113"/>
    </row>
    <row r="292" spans="1:29" ht="15.75" hidden="1" customHeight="1" outlineLevel="1" x14ac:dyDescent="0.2">
      <c r="A292" s="278" t="s">
        <v>209</v>
      </c>
      <c r="B292" s="198" t="s">
        <v>52</v>
      </c>
      <c r="C292" s="181"/>
      <c r="D292" s="278" t="s">
        <v>646</v>
      </c>
      <c r="E292" s="278" t="s">
        <v>48</v>
      </c>
      <c r="F292" s="347" t="s">
        <v>2519</v>
      </c>
      <c r="G292" s="182">
        <v>60</v>
      </c>
      <c r="H292" s="182">
        <v>78</v>
      </c>
      <c r="J292" s="112" t="s">
        <v>646</v>
      </c>
      <c r="K292" s="79" t="s">
        <v>298</v>
      </c>
      <c r="L292" s="79" t="s">
        <v>49</v>
      </c>
      <c r="M292" s="113">
        <v>528288</v>
      </c>
      <c r="N292" s="113">
        <v>447701.6948</v>
      </c>
      <c r="O292" s="113">
        <v>12</v>
      </c>
      <c r="Q292" s="112" t="s">
        <v>646</v>
      </c>
      <c r="R292" s="79" t="s">
        <v>298</v>
      </c>
      <c r="S292" s="79" t="s">
        <v>49</v>
      </c>
      <c r="T292" s="113">
        <v>528288</v>
      </c>
      <c r="U292" s="113">
        <v>447701.69479999994</v>
      </c>
      <c r="V292" s="113">
        <v>12</v>
      </c>
      <c r="X292" s="112" t="s">
        <v>646</v>
      </c>
      <c r="Y292" s="79" t="s">
        <v>298</v>
      </c>
      <c r="Z292" s="79" t="s">
        <v>49</v>
      </c>
      <c r="AA292" s="113">
        <v>0</v>
      </c>
      <c r="AB292" s="113"/>
      <c r="AC292" s="113"/>
    </row>
    <row r="293" spans="1:29" ht="15.75" hidden="1" customHeight="1" outlineLevel="1" x14ac:dyDescent="0.2">
      <c r="A293" s="278" t="s">
        <v>303</v>
      </c>
      <c r="B293" s="198" t="s">
        <v>305</v>
      </c>
      <c r="C293" s="280" t="s">
        <v>209</v>
      </c>
      <c r="D293" s="278" t="s">
        <v>646</v>
      </c>
      <c r="E293" s="278" t="s">
        <v>48</v>
      </c>
      <c r="F293" s="347" t="s">
        <v>2519</v>
      </c>
      <c r="G293" s="182">
        <v>60</v>
      </c>
      <c r="H293" s="182">
        <v>78</v>
      </c>
      <c r="J293" s="112" t="s">
        <v>646</v>
      </c>
      <c r="K293" s="79" t="s">
        <v>209</v>
      </c>
      <c r="L293" s="79" t="s">
        <v>52</v>
      </c>
      <c r="M293" s="113">
        <v>739232</v>
      </c>
      <c r="N293" s="113">
        <v>626467.79650000017</v>
      </c>
      <c r="O293" s="113">
        <v>18</v>
      </c>
      <c r="Q293" s="112" t="s">
        <v>646</v>
      </c>
      <c r="R293" s="79" t="s">
        <v>209</v>
      </c>
      <c r="S293" s="79" t="s">
        <v>52</v>
      </c>
      <c r="T293" s="113">
        <v>508888</v>
      </c>
      <c r="U293" s="113">
        <v>431261.01689999999</v>
      </c>
      <c r="V293" s="113">
        <v>12</v>
      </c>
      <c r="X293" s="112" t="s">
        <v>646</v>
      </c>
      <c r="Y293" s="79" t="s">
        <v>209</v>
      </c>
      <c r="Z293" s="79" t="s">
        <v>52</v>
      </c>
      <c r="AA293" s="113">
        <v>0</v>
      </c>
      <c r="AB293" s="113"/>
      <c r="AC293" s="113"/>
    </row>
    <row r="294" spans="1:29" ht="15.75" hidden="1" customHeight="1" outlineLevel="1" x14ac:dyDescent="0.2">
      <c r="A294" s="278" t="s">
        <v>1142</v>
      </c>
      <c r="B294" s="198" t="s">
        <v>54</v>
      </c>
      <c r="C294" s="265"/>
      <c r="D294" s="279" t="s">
        <v>646</v>
      </c>
      <c r="E294" s="278" t="s">
        <v>48</v>
      </c>
      <c r="F294" s="347" t="s">
        <v>2519</v>
      </c>
      <c r="G294" s="182">
        <v>60</v>
      </c>
      <c r="H294" s="182">
        <v>78</v>
      </c>
      <c r="J294" s="42" t="s">
        <v>646</v>
      </c>
      <c r="K294" s="42" t="s">
        <v>303</v>
      </c>
      <c r="L294" s="42" t="s">
        <v>305</v>
      </c>
      <c r="M294" s="113">
        <v>1246167</v>
      </c>
      <c r="N294" s="113">
        <v>1056073.7283000005</v>
      </c>
      <c r="O294" s="113">
        <v>33</v>
      </c>
      <c r="Q294" s="42" t="s">
        <v>646</v>
      </c>
      <c r="R294" s="42" t="s">
        <v>303</v>
      </c>
      <c r="S294" s="42" t="s">
        <v>305</v>
      </c>
      <c r="T294" s="113">
        <v>229294</v>
      </c>
      <c r="U294" s="113">
        <v>194316.94910000003</v>
      </c>
      <c r="V294" s="113">
        <v>6</v>
      </c>
      <c r="X294" s="42" t="s">
        <v>646</v>
      </c>
      <c r="Y294" s="42" t="s">
        <v>303</v>
      </c>
      <c r="Z294" s="42" t="s">
        <v>305</v>
      </c>
      <c r="AA294" s="113">
        <v>0</v>
      </c>
      <c r="AB294" s="113"/>
      <c r="AC294" s="113"/>
    </row>
    <row r="295" spans="1:29" ht="15.75" hidden="1" customHeight="1" outlineLevel="1" x14ac:dyDescent="0.2">
      <c r="A295" s="281" t="s">
        <v>334</v>
      </c>
      <c r="B295" s="198" t="s">
        <v>341</v>
      </c>
      <c r="C295" s="265"/>
      <c r="D295" s="279" t="s">
        <v>646</v>
      </c>
      <c r="E295" s="278" t="s">
        <v>48</v>
      </c>
      <c r="F295" s="347" t="s">
        <v>2519</v>
      </c>
      <c r="G295" s="182">
        <v>65</v>
      </c>
      <c r="H295" s="182">
        <v>84.5</v>
      </c>
      <c r="J295" s="42" t="s">
        <v>646</v>
      </c>
      <c r="K295" s="79" t="s">
        <v>285</v>
      </c>
      <c r="L295" s="79" t="s">
        <v>54</v>
      </c>
      <c r="M295" s="113">
        <v>1501564</v>
      </c>
      <c r="N295" s="113">
        <v>1272511.8644000001</v>
      </c>
      <c r="O295" s="113">
        <v>36</v>
      </c>
      <c r="Q295" s="42" t="s">
        <v>646</v>
      </c>
      <c r="R295" s="79" t="s">
        <v>285</v>
      </c>
      <c r="S295" s="79" t="s">
        <v>54</v>
      </c>
      <c r="T295" s="113">
        <v>872580</v>
      </c>
      <c r="U295" s="113">
        <v>739474.57640000025</v>
      </c>
      <c r="V295" s="113">
        <v>20</v>
      </c>
      <c r="X295" s="42" t="s">
        <v>646</v>
      </c>
      <c r="Y295" s="79" t="s">
        <v>285</v>
      </c>
      <c r="Z295" s="79" t="s">
        <v>54</v>
      </c>
      <c r="AA295" s="113">
        <v>0</v>
      </c>
      <c r="AB295" s="113"/>
      <c r="AC295" s="113"/>
    </row>
    <row r="296" spans="1:29" ht="15.75" hidden="1" customHeight="1" outlineLevel="1" x14ac:dyDescent="0.2">
      <c r="A296" s="278" t="s">
        <v>246</v>
      </c>
      <c r="B296" s="198" t="s">
        <v>247</v>
      </c>
      <c r="C296" s="265"/>
      <c r="D296" s="279" t="s">
        <v>646</v>
      </c>
      <c r="E296" s="278" t="s">
        <v>48</v>
      </c>
      <c r="F296" s="347" t="s">
        <v>2519</v>
      </c>
      <c r="G296" s="182">
        <v>60</v>
      </c>
      <c r="H296" s="182">
        <v>78</v>
      </c>
      <c r="J296" s="79" t="s">
        <v>646</v>
      </c>
      <c r="K296" s="79" t="s">
        <v>246</v>
      </c>
      <c r="L296" s="79" t="s">
        <v>247</v>
      </c>
      <c r="M296" s="113">
        <v>1295719</v>
      </c>
      <c r="N296" s="113">
        <v>1098066.9488000001</v>
      </c>
      <c r="O296" s="113">
        <v>31</v>
      </c>
      <c r="Q296" s="79" t="s">
        <v>646</v>
      </c>
      <c r="R296" s="79" t="s">
        <v>246</v>
      </c>
      <c r="S296" s="79" t="s">
        <v>247</v>
      </c>
      <c r="T296" s="113">
        <v>424591</v>
      </c>
      <c r="U296" s="113">
        <v>359822.8812</v>
      </c>
      <c r="V296" s="113">
        <v>9</v>
      </c>
      <c r="X296" s="79" t="s">
        <v>646</v>
      </c>
      <c r="Y296" s="79" t="s">
        <v>246</v>
      </c>
      <c r="Z296" s="79" t="s">
        <v>247</v>
      </c>
      <c r="AA296" s="113">
        <v>0</v>
      </c>
      <c r="AB296" s="113"/>
      <c r="AC296" s="113"/>
    </row>
    <row r="297" spans="1:29" ht="15.75" hidden="1" customHeight="1" outlineLevel="1" x14ac:dyDescent="0.2">
      <c r="A297" s="278" t="s">
        <v>689</v>
      </c>
      <c r="B297" s="198" t="s">
        <v>690</v>
      </c>
      <c r="C297" s="265"/>
      <c r="D297" s="279" t="s">
        <v>1143</v>
      </c>
      <c r="E297" s="278" t="s">
        <v>61</v>
      </c>
      <c r="F297" s="278" t="s">
        <v>297</v>
      </c>
      <c r="G297" s="182">
        <v>50</v>
      </c>
      <c r="H297" s="182">
        <v>65</v>
      </c>
      <c r="J297" s="79" t="s">
        <v>646</v>
      </c>
      <c r="K297" s="79" t="s">
        <v>334</v>
      </c>
      <c r="L297" s="79" t="s">
        <v>341</v>
      </c>
      <c r="M297" s="113">
        <v>2794885</v>
      </c>
      <c r="N297" s="113">
        <v>2368546.61</v>
      </c>
      <c r="O297" s="113">
        <v>65</v>
      </c>
      <c r="Q297" s="79" t="s">
        <v>646</v>
      </c>
      <c r="R297" s="79" t="s">
        <v>334</v>
      </c>
      <c r="S297" s="79" t="s">
        <v>341</v>
      </c>
      <c r="T297" s="113">
        <v>33299</v>
      </c>
      <c r="U297" s="113">
        <v>28219.4915</v>
      </c>
      <c r="V297" s="113">
        <v>1</v>
      </c>
      <c r="X297" s="79" t="s">
        <v>646</v>
      </c>
      <c r="Y297" s="79" t="s">
        <v>334</v>
      </c>
      <c r="Z297" s="79" t="s">
        <v>341</v>
      </c>
      <c r="AA297" s="113">
        <v>0</v>
      </c>
      <c r="AB297" s="113"/>
      <c r="AC297" s="113"/>
    </row>
    <row r="298" spans="1:29" ht="15.75" hidden="1" customHeight="1" outlineLevel="1" x14ac:dyDescent="0.2">
      <c r="A298" s="278" t="s">
        <v>706</v>
      </c>
      <c r="B298" s="198" t="s">
        <v>688</v>
      </c>
      <c r="C298" s="265"/>
      <c r="D298" s="279" t="s">
        <v>1143</v>
      </c>
      <c r="E298" s="278" t="s">
        <v>61</v>
      </c>
      <c r="F298" s="278" t="s">
        <v>297</v>
      </c>
      <c r="G298" s="182">
        <v>50</v>
      </c>
      <c r="H298" s="182">
        <v>65</v>
      </c>
      <c r="J298" s="79" t="s">
        <v>930</v>
      </c>
      <c r="K298" s="79"/>
      <c r="L298" s="79"/>
      <c r="M298" s="113">
        <v>11115941</v>
      </c>
      <c r="N298" s="113">
        <v>9420288.9811000023</v>
      </c>
      <c r="O298" s="113">
        <v>259</v>
      </c>
      <c r="Q298" s="79" t="s">
        <v>930</v>
      </c>
      <c r="R298" s="79"/>
      <c r="S298" s="79"/>
      <c r="T298" s="113">
        <v>3217827</v>
      </c>
      <c r="U298" s="113">
        <v>2726972.0334000005</v>
      </c>
      <c r="V298" s="113">
        <v>73</v>
      </c>
      <c r="X298" s="79" t="s">
        <v>930</v>
      </c>
      <c r="Y298" s="79"/>
      <c r="Z298" s="79"/>
      <c r="AA298" s="113">
        <v>0</v>
      </c>
      <c r="AB298" s="113">
        <v>0</v>
      </c>
      <c r="AC298" s="113">
        <v>0</v>
      </c>
    </row>
    <row r="299" spans="1:29" ht="15.75" hidden="1" customHeight="1" outlineLevel="1" x14ac:dyDescent="0.2">
      <c r="A299" s="278" t="s">
        <v>61</v>
      </c>
      <c r="B299" s="198" t="s">
        <v>62</v>
      </c>
      <c r="C299" s="265"/>
      <c r="D299" s="279" t="s">
        <v>1143</v>
      </c>
      <c r="E299" s="278" t="s">
        <v>61</v>
      </c>
      <c r="F299" s="278" t="s">
        <v>297</v>
      </c>
      <c r="G299" s="182">
        <v>50</v>
      </c>
      <c r="H299" s="182">
        <v>65</v>
      </c>
      <c r="J299" s="79" t="s">
        <v>1143</v>
      </c>
      <c r="K299" s="79" t="s">
        <v>689</v>
      </c>
      <c r="L299" s="79" t="s">
        <v>690</v>
      </c>
      <c r="M299" s="113">
        <v>654184</v>
      </c>
      <c r="N299" s="113">
        <v>554393.22029999993</v>
      </c>
      <c r="O299" s="113">
        <v>16</v>
      </c>
      <c r="Q299" s="79" t="s">
        <v>1143</v>
      </c>
      <c r="R299" s="79" t="s">
        <v>689</v>
      </c>
      <c r="S299" s="79" t="s">
        <v>690</v>
      </c>
      <c r="T299" s="113">
        <v>291294</v>
      </c>
      <c r="U299" s="113">
        <v>246859.32210000002</v>
      </c>
      <c r="V299" s="113">
        <v>6</v>
      </c>
      <c r="X299" s="79" t="s">
        <v>1143</v>
      </c>
      <c r="Y299" s="79" t="s">
        <v>689</v>
      </c>
      <c r="Z299" s="79" t="s">
        <v>690</v>
      </c>
      <c r="AA299" s="113">
        <v>0</v>
      </c>
      <c r="AB299" s="113"/>
      <c r="AC299" s="113"/>
    </row>
    <row r="300" spans="1:29" ht="15.75" hidden="1" customHeight="1" outlineLevel="1" x14ac:dyDescent="0.2">
      <c r="A300" s="278" t="s">
        <v>194</v>
      </c>
      <c r="B300" s="198" t="s">
        <v>199</v>
      </c>
      <c r="C300" s="265"/>
      <c r="D300" s="279" t="s">
        <v>1144</v>
      </c>
      <c r="E300" s="278" t="s">
        <v>249</v>
      </c>
      <c r="F300" s="278" t="s">
        <v>17</v>
      </c>
      <c r="G300" s="182">
        <v>70</v>
      </c>
      <c r="H300" s="182">
        <v>91</v>
      </c>
      <c r="J300" s="79" t="s">
        <v>1143</v>
      </c>
      <c r="K300" s="79" t="s">
        <v>706</v>
      </c>
      <c r="L300" s="79" t="s">
        <v>688</v>
      </c>
      <c r="M300" s="113">
        <v>1044629</v>
      </c>
      <c r="N300" s="113">
        <v>885278.81370000006</v>
      </c>
      <c r="O300" s="113">
        <v>21</v>
      </c>
      <c r="Q300" s="79" t="s">
        <v>1143</v>
      </c>
      <c r="R300" s="79" t="s">
        <v>706</v>
      </c>
      <c r="S300" s="79" t="s">
        <v>688</v>
      </c>
      <c r="T300" s="113">
        <v>372343</v>
      </c>
      <c r="U300" s="113">
        <v>315544.91519999999</v>
      </c>
      <c r="V300" s="113">
        <v>7</v>
      </c>
      <c r="X300" s="79" t="s">
        <v>1143</v>
      </c>
      <c r="Y300" s="79" t="s">
        <v>706</v>
      </c>
      <c r="Z300" s="79" t="s">
        <v>688</v>
      </c>
      <c r="AA300" s="113">
        <v>0</v>
      </c>
      <c r="AB300" s="113"/>
      <c r="AC300" s="113"/>
    </row>
    <row r="301" spans="1:29" ht="15.75" hidden="1" customHeight="1" outlineLevel="1" x14ac:dyDescent="0.2">
      <c r="A301" s="278" t="s">
        <v>1107</v>
      </c>
      <c r="B301" s="198" t="s">
        <v>1108</v>
      </c>
      <c r="C301" s="265"/>
      <c r="D301" s="279" t="s">
        <v>1144</v>
      </c>
      <c r="E301" s="278" t="s">
        <v>249</v>
      </c>
      <c r="F301" s="278" t="s">
        <v>17</v>
      </c>
      <c r="G301" s="182">
        <v>30</v>
      </c>
      <c r="H301" s="182">
        <v>39</v>
      </c>
      <c r="J301" s="79" t="s">
        <v>1143</v>
      </c>
      <c r="K301" s="79" t="s">
        <v>61</v>
      </c>
      <c r="L301" s="79" t="s">
        <v>62</v>
      </c>
      <c r="M301" s="113">
        <v>1242873</v>
      </c>
      <c r="N301" s="113">
        <v>1053282.2033000002</v>
      </c>
      <c r="O301" s="113">
        <v>27</v>
      </c>
      <c r="Q301" s="79" t="s">
        <v>1143</v>
      </c>
      <c r="R301" s="79" t="s">
        <v>61</v>
      </c>
      <c r="S301" s="79" t="s">
        <v>62</v>
      </c>
      <c r="T301" s="113">
        <v>175996</v>
      </c>
      <c r="U301" s="113">
        <v>149149.15250000003</v>
      </c>
      <c r="V301" s="113">
        <v>4</v>
      </c>
      <c r="X301" s="79" t="s">
        <v>1143</v>
      </c>
      <c r="Y301" s="79" t="s">
        <v>61</v>
      </c>
      <c r="Z301" s="79" t="s">
        <v>62</v>
      </c>
      <c r="AA301" s="113">
        <v>0</v>
      </c>
      <c r="AB301" s="113"/>
      <c r="AC301" s="113"/>
    </row>
    <row r="302" spans="1:29" ht="15.75" hidden="1" customHeight="1" outlineLevel="1" x14ac:dyDescent="0.2">
      <c r="A302" s="278" t="s">
        <v>707</v>
      </c>
      <c r="B302" s="198" t="s">
        <v>696</v>
      </c>
      <c r="C302" s="282" t="s">
        <v>194</v>
      </c>
      <c r="D302" s="279" t="s">
        <v>1144</v>
      </c>
      <c r="E302" s="278" t="s">
        <v>249</v>
      </c>
      <c r="F302" s="278" t="s">
        <v>17</v>
      </c>
      <c r="G302" s="182">
        <v>70</v>
      </c>
      <c r="H302" s="182">
        <v>91</v>
      </c>
      <c r="J302" s="79" t="s">
        <v>1171</v>
      </c>
      <c r="K302" s="79"/>
      <c r="L302" s="79"/>
      <c r="M302" s="113">
        <v>2941686</v>
      </c>
      <c r="N302" s="113">
        <v>2492954.2373000002</v>
      </c>
      <c r="O302" s="113">
        <v>64</v>
      </c>
      <c r="Q302" s="79" t="s">
        <v>1171</v>
      </c>
      <c r="R302" s="79"/>
      <c r="S302" s="79"/>
      <c r="T302" s="113">
        <v>839633</v>
      </c>
      <c r="U302" s="113">
        <v>711553.3898</v>
      </c>
      <c r="V302" s="113">
        <v>17</v>
      </c>
      <c r="X302" s="79" t="s">
        <v>1171</v>
      </c>
      <c r="Y302" s="79"/>
      <c r="Z302" s="79"/>
      <c r="AA302" s="113">
        <v>0</v>
      </c>
      <c r="AB302" s="113">
        <v>0</v>
      </c>
      <c r="AC302" s="113">
        <v>0</v>
      </c>
    </row>
    <row r="303" spans="1:29" ht="15.75" hidden="1" customHeight="1" outlineLevel="1" x14ac:dyDescent="0.2">
      <c r="A303" s="278" t="s">
        <v>804</v>
      </c>
      <c r="B303" s="198" t="s">
        <v>805</v>
      </c>
      <c r="C303" s="282" t="s">
        <v>23</v>
      </c>
      <c r="D303" s="279" t="s">
        <v>1144</v>
      </c>
      <c r="E303" s="278" t="s">
        <v>249</v>
      </c>
      <c r="F303" s="278" t="s">
        <v>17</v>
      </c>
      <c r="G303" s="182">
        <v>40</v>
      </c>
      <c r="H303" s="182">
        <v>52</v>
      </c>
      <c r="J303" s="79" t="s">
        <v>1144</v>
      </c>
      <c r="K303" s="79" t="s">
        <v>194</v>
      </c>
      <c r="L303" s="79" t="s">
        <v>199</v>
      </c>
      <c r="M303" s="113">
        <v>2541231</v>
      </c>
      <c r="N303" s="113">
        <v>2153585.5927299992</v>
      </c>
      <c r="O303" s="113">
        <v>69</v>
      </c>
      <c r="Q303" s="79" t="s">
        <v>1144</v>
      </c>
      <c r="R303" s="79" t="s">
        <v>194</v>
      </c>
      <c r="S303" s="79" t="s">
        <v>199</v>
      </c>
      <c r="T303" s="113">
        <v>69298</v>
      </c>
      <c r="U303" s="113">
        <v>58727.118600000002</v>
      </c>
      <c r="V303" s="113">
        <v>2</v>
      </c>
      <c r="X303" s="79" t="s">
        <v>1144</v>
      </c>
      <c r="Y303" s="79" t="s">
        <v>194</v>
      </c>
      <c r="Z303" s="79" t="s">
        <v>199</v>
      </c>
      <c r="AA303" s="113">
        <v>17997</v>
      </c>
      <c r="AB303" s="113">
        <v>15251.694929999998</v>
      </c>
      <c r="AC303" s="113">
        <v>3</v>
      </c>
    </row>
    <row r="304" spans="1:29" ht="15.75" hidden="1" customHeight="1" outlineLevel="1" x14ac:dyDescent="0.2">
      <c r="A304" s="279" t="s">
        <v>1145</v>
      </c>
      <c r="B304" s="198" t="s">
        <v>1146</v>
      </c>
      <c r="C304" s="280" t="s">
        <v>194</v>
      </c>
      <c r="D304" s="278" t="s">
        <v>1144</v>
      </c>
      <c r="E304" s="278" t="s">
        <v>249</v>
      </c>
      <c r="F304" s="278" t="s">
        <v>17</v>
      </c>
      <c r="G304" s="182">
        <v>45</v>
      </c>
      <c r="H304" s="182">
        <v>58.5</v>
      </c>
      <c r="J304" s="79" t="s">
        <v>1144</v>
      </c>
      <c r="K304" s="79" t="s">
        <v>1107</v>
      </c>
      <c r="L304" s="79" t="s">
        <v>1108</v>
      </c>
      <c r="M304" s="113">
        <v>201496</v>
      </c>
      <c r="N304" s="113">
        <v>170759.32210000002</v>
      </c>
      <c r="O304" s="113">
        <v>4</v>
      </c>
      <c r="Q304" s="79" t="s">
        <v>1144</v>
      </c>
      <c r="R304" s="79" t="s">
        <v>1107</v>
      </c>
      <c r="S304" s="79" t="s">
        <v>1108</v>
      </c>
      <c r="T304" s="113">
        <v>201496</v>
      </c>
      <c r="U304" s="113">
        <v>170759.32209999999</v>
      </c>
      <c r="V304" s="113">
        <v>4</v>
      </c>
      <c r="X304" s="79" t="s">
        <v>1144</v>
      </c>
      <c r="Y304" s="79" t="s">
        <v>1107</v>
      </c>
      <c r="Z304" s="79" t="s">
        <v>1108</v>
      </c>
      <c r="AA304" s="113">
        <v>0</v>
      </c>
      <c r="AB304" s="113"/>
      <c r="AC304" s="113"/>
    </row>
    <row r="305" spans="1:29" ht="15.75" hidden="1" customHeight="1" outlineLevel="1" x14ac:dyDescent="0.2">
      <c r="A305" s="278" t="s">
        <v>313</v>
      </c>
      <c r="B305" s="198" t="s">
        <v>314</v>
      </c>
      <c r="C305" s="265"/>
      <c r="D305" s="278" t="s">
        <v>1144</v>
      </c>
      <c r="E305" s="278" t="s">
        <v>249</v>
      </c>
      <c r="F305" s="278" t="s">
        <v>17</v>
      </c>
      <c r="G305" s="182">
        <v>70</v>
      </c>
      <c r="H305" s="182">
        <v>91</v>
      </c>
      <c r="J305" s="79" t="s">
        <v>1144</v>
      </c>
      <c r="K305" s="79" t="s">
        <v>707</v>
      </c>
      <c r="L305" s="79" t="s">
        <v>696</v>
      </c>
      <c r="M305" s="113">
        <v>2991422</v>
      </c>
      <c r="N305" s="113">
        <v>2535103.3891000007</v>
      </c>
      <c r="O305" s="113">
        <v>78</v>
      </c>
      <c r="Q305" s="79" t="s">
        <v>1144</v>
      </c>
      <c r="R305" s="79" t="s">
        <v>707</v>
      </c>
      <c r="S305" s="79" t="s">
        <v>696</v>
      </c>
      <c r="T305" s="113">
        <v>0</v>
      </c>
      <c r="U305" s="113"/>
      <c r="V305" s="113"/>
      <c r="X305" s="79" t="s">
        <v>1144</v>
      </c>
      <c r="Y305" s="79" t="s">
        <v>707</v>
      </c>
      <c r="Z305" s="79" t="s">
        <v>696</v>
      </c>
      <c r="AA305" s="113">
        <v>0</v>
      </c>
      <c r="AB305" s="113"/>
      <c r="AC305" s="113"/>
    </row>
    <row r="306" spans="1:29" ht="15.75" hidden="1" customHeight="1" outlineLevel="1" x14ac:dyDescent="0.2">
      <c r="A306" s="278" t="s">
        <v>23</v>
      </c>
      <c r="B306" s="198" t="s">
        <v>24</v>
      </c>
      <c r="C306" s="181"/>
      <c r="D306" s="278" t="s">
        <v>1144</v>
      </c>
      <c r="E306" s="278" t="s">
        <v>249</v>
      </c>
      <c r="F306" s="278" t="s">
        <v>17</v>
      </c>
      <c r="G306" s="182">
        <v>70</v>
      </c>
      <c r="H306" s="182">
        <v>91</v>
      </c>
      <c r="J306" s="42" t="s">
        <v>1144</v>
      </c>
      <c r="K306" s="42" t="s">
        <v>804</v>
      </c>
      <c r="L306" s="42" t="s">
        <v>805</v>
      </c>
      <c r="M306" s="113">
        <v>1142223</v>
      </c>
      <c r="N306" s="113">
        <v>967985.59290000016</v>
      </c>
      <c r="O306" s="113">
        <v>27</v>
      </c>
      <c r="Q306" s="42" t="s">
        <v>1144</v>
      </c>
      <c r="R306" s="42" t="s">
        <v>804</v>
      </c>
      <c r="S306" s="42" t="s">
        <v>805</v>
      </c>
      <c r="T306" s="113">
        <v>86348</v>
      </c>
      <c r="U306" s="113">
        <v>73176.271200000003</v>
      </c>
      <c r="V306" s="113">
        <v>2</v>
      </c>
      <c r="X306" s="42" t="s">
        <v>1144</v>
      </c>
      <c r="Y306" s="42" t="s">
        <v>804</v>
      </c>
      <c r="Z306" s="42" t="s">
        <v>805</v>
      </c>
      <c r="AA306" s="113">
        <v>0</v>
      </c>
      <c r="AB306" s="113"/>
      <c r="AC306" s="113"/>
    </row>
    <row r="307" spans="1:29" ht="15.75" hidden="1" customHeight="1" outlineLevel="1" x14ac:dyDescent="0.2">
      <c r="A307" s="278" t="s">
        <v>249</v>
      </c>
      <c r="B307" s="198" t="s">
        <v>250</v>
      </c>
      <c r="C307" s="181"/>
      <c r="D307" s="278" t="s">
        <v>1144</v>
      </c>
      <c r="E307" s="278" t="s">
        <v>249</v>
      </c>
      <c r="F307" s="278" t="s">
        <v>17</v>
      </c>
      <c r="G307" s="182">
        <v>70</v>
      </c>
      <c r="H307" s="182">
        <v>91</v>
      </c>
      <c r="J307" s="79" t="s">
        <v>1144</v>
      </c>
      <c r="K307" s="79" t="s">
        <v>313</v>
      </c>
      <c r="L307" s="79" t="s">
        <v>314</v>
      </c>
      <c r="M307" s="113">
        <v>2479585</v>
      </c>
      <c r="N307" s="113">
        <v>2101343.2198899984</v>
      </c>
      <c r="O307" s="113">
        <v>65</v>
      </c>
      <c r="Q307" s="79" t="s">
        <v>1144</v>
      </c>
      <c r="R307" s="79" t="s">
        <v>313</v>
      </c>
      <c r="S307" s="79" t="s">
        <v>314</v>
      </c>
      <c r="T307" s="113">
        <v>0</v>
      </c>
      <c r="U307" s="113"/>
      <c r="V307" s="113"/>
      <c r="X307" s="79" t="s">
        <v>1144</v>
      </c>
      <c r="Y307" s="79" t="s">
        <v>313</v>
      </c>
      <c r="Z307" s="79" t="s">
        <v>314</v>
      </c>
      <c r="AA307" s="113">
        <v>8999</v>
      </c>
      <c r="AB307" s="113">
        <v>7626.2711900000004</v>
      </c>
      <c r="AC307" s="113">
        <v>1</v>
      </c>
    </row>
    <row r="308" spans="1:29" ht="15.75" hidden="1" customHeight="1" outlineLevel="1" x14ac:dyDescent="0.2">
      <c r="A308" s="281" t="s">
        <v>225</v>
      </c>
      <c r="B308" s="198" t="s">
        <v>27</v>
      </c>
      <c r="C308" s="181"/>
      <c r="D308" s="281" t="s">
        <v>1147</v>
      </c>
      <c r="E308" s="198"/>
      <c r="F308" s="281" t="s">
        <v>17</v>
      </c>
      <c r="G308" s="182">
        <v>60</v>
      </c>
      <c r="H308" s="182">
        <v>78</v>
      </c>
      <c r="J308" s="79" t="s">
        <v>1144</v>
      </c>
      <c r="K308" s="79" t="s">
        <v>23</v>
      </c>
      <c r="L308" s="79" t="s">
        <v>24</v>
      </c>
      <c r="M308" s="113">
        <v>1735910</v>
      </c>
      <c r="N308" s="113">
        <v>1471110.1693999998</v>
      </c>
      <c r="O308" s="113">
        <v>40</v>
      </c>
      <c r="Q308" s="79" t="s">
        <v>1144</v>
      </c>
      <c r="R308" s="79" t="s">
        <v>23</v>
      </c>
      <c r="S308" s="79" t="s">
        <v>24</v>
      </c>
      <c r="T308" s="113">
        <v>0</v>
      </c>
      <c r="U308" s="113"/>
      <c r="V308" s="113"/>
      <c r="X308" s="79" t="s">
        <v>1144</v>
      </c>
      <c r="Y308" s="79" t="s">
        <v>23</v>
      </c>
      <c r="Z308" s="79" t="s">
        <v>24</v>
      </c>
      <c r="AA308" s="113">
        <v>0</v>
      </c>
      <c r="AB308" s="113"/>
      <c r="AC308" s="113"/>
    </row>
    <row r="309" spans="1:29" ht="15.75" hidden="1" customHeight="1" outlineLevel="1" x14ac:dyDescent="0.2">
      <c r="A309" s="281" t="s">
        <v>29</v>
      </c>
      <c r="B309" s="198" t="s">
        <v>30</v>
      </c>
      <c r="C309" s="181"/>
      <c r="D309" s="281" t="s">
        <v>1147</v>
      </c>
      <c r="E309" s="199"/>
      <c r="F309" s="281" t="s">
        <v>17</v>
      </c>
      <c r="G309" s="182">
        <v>45</v>
      </c>
      <c r="H309" s="182">
        <v>58.5</v>
      </c>
      <c r="J309" s="79" t="s">
        <v>1144</v>
      </c>
      <c r="K309" s="79" t="s">
        <v>249</v>
      </c>
      <c r="L309" s="79" t="s">
        <v>250</v>
      </c>
      <c r="M309" s="113">
        <v>3813146</v>
      </c>
      <c r="N309" s="113">
        <v>3231479.6603200021</v>
      </c>
      <c r="O309" s="113">
        <v>104</v>
      </c>
      <c r="Q309" s="79" t="s">
        <v>1144</v>
      </c>
      <c r="R309" s="79" t="s">
        <v>249</v>
      </c>
      <c r="S309" s="79" t="s">
        <v>250</v>
      </c>
      <c r="T309" s="113">
        <v>42298</v>
      </c>
      <c r="U309" s="113">
        <v>35845.762690000003</v>
      </c>
      <c r="V309" s="113">
        <v>2</v>
      </c>
      <c r="X309" s="79" t="s">
        <v>1144</v>
      </c>
      <c r="Y309" s="79" t="s">
        <v>249</v>
      </c>
      <c r="Z309" s="79" t="s">
        <v>250</v>
      </c>
      <c r="AA309" s="113">
        <v>32995</v>
      </c>
      <c r="AB309" s="113">
        <v>27961.864430000001</v>
      </c>
      <c r="AC309" s="113">
        <v>5</v>
      </c>
    </row>
    <row r="310" spans="1:29" ht="15.75" hidden="1" customHeight="1" outlineLevel="1" x14ac:dyDescent="0.2">
      <c r="A310" s="281" t="s">
        <v>244</v>
      </c>
      <c r="B310" s="198" t="s">
        <v>245</v>
      </c>
      <c r="C310" s="181"/>
      <c r="D310" s="281" t="s">
        <v>1147</v>
      </c>
      <c r="E310" s="199"/>
      <c r="F310" s="281" t="s">
        <v>17</v>
      </c>
      <c r="G310" s="182">
        <v>50</v>
      </c>
      <c r="H310" s="182">
        <v>65</v>
      </c>
      <c r="J310" s="79" t="s">
        <v>1144</v>
      </c>
      <c r="K310" s="79" t="s">
        <v>1145</v>
      </c>
      <c r="L310" s="79" t="s">
        <v>1146</v>
      </c>
      <c r="M310" s="113">
        <v>1401362</v>
      </c>
      <c r="N310" s="113">
        <v>1187594.9146</v>
      </c>
      <c r="O310" s="113">
        <v>38</v>
      </c>
      <c r="Q310" s="79" t="s">
        <v>1144</v>
      </c>
      <c r="R310" s="79" t="s">
        <v>1145</v>
      </c>
      <c r="S310" s="79" t="s">
        <v>1146</v>
      </c>
      <c r="T310" s="113">
        <v>477088</v>
      </c>
      <c r="U310" s="113">
        <v>404311.86420000001</v>
      </c>
      <c r="V310" s="113">
        <v>12</v>
      </c>
      <c r="X310" s="79" t="s">
        <v>1144</v>
      </c>
      <c r="Y310" s="79" t="s">
        <v>1145</v>
      </c>
      <c r="Z310" s="79" t="s">
        <v>1146</v>
      </c>
      <c r="AA310" s="113">
        <v>0</v>
      </c>
      <c r="AB310" s="113"/>
      <c r="AC310" s="113"/>
    </row>
    <row r="311" spans="1:29" ht="15.75" hidden="1" customHeight="1" outlineLevel="1" x14ac:dyDescent="0.2">
      <c r="A311" s="281" t="s">
        <v>20</v>
      </c>
      <c r="B311" s="198" t="s">
        <v>21</v>
      </c>
      <c r="C311" s="181"/>
      <c r="D311" s="281" t="s">
        <v>1147</v>
      </c>
      <c r="E311" s="199"/>
      <c r="F311" s="281" t="s">
        <v>17</v>
      </c>
      <c r="G311" s="182">
        <v>70</v>
      </c>
      <c r="H311" s="182">
        <v>91</v>
      </c>
      <c r="J311" s="79" t="s">
        <v>1172</v>
      </c>
      <c r="K311" s="79"/>
      <c r="L311" s="79"/>
      <c r="M311" s="113">
        <v>16306375</v>
      </c>
      <c r="N311" s="113">
        <v>13818961.86104</v>
      </c>
      <c r="O311" s="113">
        <v>425</v>
      </c>
      <c r="Q311" s="79" t="s">
        <v>1172</v>
      </c>
      <c r="R311" s="79"/>
      <c r="S311" s="79"/>
      <c r="T311" s="113">
        <v>876528</v>
      </c>
      <c r="U311" s="113">
        <v>742820.33878999995</v>
      </c>
      <c r="V311" s="113">
        <v>22</v>
      </c>
      <c r="X311" s="79" t="s">
        <v>1172</v>
      </c>
      <c r="Y311" s="79"/>
      <c r="Z311" s="79"/>
      <c r="AA311" s="113">
        <v>59991</v>
      </c>
      <c r="AB311" s="113">
        <v>50839.830549999999</v>
      </c>
      <c r="AC311" s="113">
        <v>9</v>
      </c>
    </row>
    <row r="312" spans="1:29" ht="15.75" hidden="1" customHeight="1" outlineLevel="1" x14ac:dyDescent="0.2">
      <c r="A312" s="281" t="s">
        <v>699</v>
      </c>
      <c r="B312" s="198" t="s">
        <v>700</v>
      </c>
      <c r="C312" s="265"/>
      <c r="D312" s="283" t="s">
        <v>1147</v>
      </c>
      <c r="E312" s="198"/>
      <c r="F312" s="281" t="s">
        <v>17</v>
      </c>
      <c r="G312" s="182">
        <v>70</v>
      </c>
      <c r="H312" s="182">
        <v>91</v>
      </c>
      <c r="J312" s="79" t="s">
        <v>1147</v>
      </c>
      <c r="K312" s="79" t="s">
        <v>225</v>
      </c>
      <c r="L312" s="79" t="s">
        <v>27</v>
      </c>
      <c r="M312" s="113">
        <v>2320990</v>
      </c>
      <c r="N312" s="113">
        <v>1966940.6776999992</v>
      </c>
      <c r="O312" s="113">
        <v>60</v>
      </c>
      <c r="Q312" s="79" t="s">
        <v>1147</v>
      </c>
      <c r="R312" s="79" t="s">
        <v>225</v>
      </c>
      <c r="S312" s="79" t="s">
        <v>27</v>
      </c>
      <c r="T312" s="113">
        <v>213294</v>
      </c>
      <c r="U312" s="113">
        <v>180757.62700000001</v>
      </c>
      <c r="V312" s="113">
        <v>6</v>
      </c>
      <c r="X312" s="79" t="s">
        <v>1147</v>
      </c>
      <c r="Y312" s="79" t="s">
        <v>225</v>
      </c>
      <c r="Z312" s="79" t="s">
        <v>27</v>
      </c>
      <c r="AA312" s="113">
        <v>0</v>
      </c>
      <c r="AB312" s="113"/>
      <c r="AC312" s="113"/>
    </row>
    <row r="313" spans="1:29" ht="15.75" hidden="1" customHeight="1" outlineLevel="1" x14ac:dyDescent="0.2">
      <c r="A313" s="281" t="s">
        <v>222</v>
      </c>
      <c r="B313" s="198" t="s">
        <v>223</v>
      </c>
      <c r="C313" s="265"/>
      <c r="D313" s="283" t="s">
        <v>1147</v>
      </c>
      <c r="E313" s="198"/>
      <c r="F313" s="281" t="s">
        <v>17</v>
      </c>
      <c r="G313" s="182">
        <v>70</v>
      </c>
      <c r="H313" s="182">
        <v>91</v>
      </c>
      <c r="J313" s="79" t="s">
        <v>1147</v>
      </c>
      <c r="K313" s="42" t="s">
        <v>29</v>
      </c>
      <c r="L313" s="42" t="s">
        <v>30</v>
      </c>
      <c r="M313" s="113">
        <v>2954486</v>
      </c>
      <c r="N313" s="113">
        <v>2503801.6947000013</v>
      </c>
      <c r="O313" s="113">
        <v>64</v>
      </c>
      <c r="Q313" s="79" t="s">
        <v>1147</v>
      </c>
      <c r="R313" s="42" t="s">
        <v>29</v>
      </c>
      <c r="S313" s="42" t="s">
        <v>30</v>
      </c>
      <c r="T313" s="113">
        <v>453639</v>
      </c>
      <c r="U313" s="113">
        <v>384439.83039999998</v>
      </c>
      <c r="V313" s="113">
        <v>11</v>
      </c>
      <c r="X313" s="79" t="s">
        <v>1147</v>
      </c>
      <c r="Y313" s="42" t="s">
        <v>29</v>
      </c>
      <c r="Z313" s="42" t="s">
        <v>30</v>
      </c>
      <c r="AA313" s="113">
        <v>0</v>
      </c>
      <c r="AB313" s="113"/>
      <c r="AC313" s="113"/>
    </row>
    <row r="314" spans="1:29" ht="15.75" hidden="1" customHeight="1" outlineLevel="1" x14ac:dyDescent="0.2">
      <c r="A314" s="281" t="s">
        <v>70</v>
      </c>
      <c r="B314" s="198" t="s">
        <v>34</v>
      </c>
      <c r="C314" s="265"/>
      <c r="D314" s="283" t="s">
        <v>1147</v>
      </c>
      <c r="E314" s="198"/>
      <c r="F314" s="281" t="s">
        <v>17</v>
      </c>
      <c r="G314" s="182">
        <v>45</v>
      </c>
      <c r="H314" s="182">
        <v>58.5</v>
      </c>
      <c r="J314" s="79" t="s">
        <v>1147</v>
      </c>
      <c r="K314" s="79" t="s">
        <v>244</v>
      </c>
      <c r="L314" s="79" t="s">
        <v>245</v>
      </c>
      <c r="M314" s="113">
        <v>1593310</v>
      </c>
      <c r="N314" s="113">
        <v>1350262.7115999998</v>
      </c>
      <c r="O314" s="113">
        <v>40</v>
      </c>
      <c r="Q314" s="79" t="s">
        <v>1147</v>
      </c>
      <c r="R314" s="79" t="s">
        <v>244</v>
      </c>
      <c r="S314" s="79" t="s">
        <v>245</v>
      </c>
      <c r="T314" s="113">
        <v>387540</v>
      </c>
      <c r="U314" s="113">
        <v>328423.72870000004</v>
      </c>
      <c r="V314" s="113">
        <v>10</v>
      </c>
      <c r="X314" s="79" t="s">
        <v>1147</v>
      </c>
      <c r="Y314" s="79" t="s">
        <v>244</v>
      </c>
      <c r="Z314" s="79" t="s">
        <v>245</v>
      </c>
      <c r="AA314" s="113">
        <v>0</v>
      </c>
      <c r="AB314" s="113"/>
      <c r="AC314" s="113"/>
    </row>
    <row r="315" spans="1:29" ht="15.75" hidden="1" customHeight="1" outlineLevel="1" x14ac:dyDescent="0.2">
      <c r="A315" s="278" t="s">
        <v>1148</v>
      </c>
      <c r="B315" s="198" t="s">
        <v>807</v>
      </c>
      <c r="C315" s="265"/>
      <c r="D315" s="279" t="s">
        <v>1149</v>
      </c>
      <c r="E315" s="278" t="s">
        <v>63</v>
      </c>
      <c r="F315" s="278" t="s">
        <v>55</v>
      </c>
      <c r="G315" s="182">
        <v>55</v>
      </c>
      <c r="H315" s="182">
        <v>71.5</v>
      </c>
      <c r="J315" s="79" t="s">
        <v>1147</v>
      </c>
      <c r="K315" s="79" t="s">
        <v>20</v>
      </c>
      <c r="L315" s="79" t="s">
        <v>21</v>
      </c>
      <c r="M315" s="113">
        <v>2874130</v>
      </c>
      <c r="N315" s="113">
        <v>2435703.3898100001</v>
      </c>
      <c r="O315" s="113">
        <v>70</v>
      </c>
      <c r="Q315" s="79" t="s">
        <v>1147</v>
      </c>
      <c r="R315" s="79" t="s">
        <v>20</v>
      </c>
      <c r="S315" s="79" t="s">
        <v>21</v>
      </c>
      <c r="T315" s="113">
        <v>0</v>
      </c>
      <c r="U315" s="113"/>
      <c r="V315" s="113"/>
      <c r="X315" s="79" t="s">
        <v>1147</v>
      </c>
      <c r="Y315" s="79" t="s">
        <v>20</v>
      </c>
      <c r="Z315" s="79" t="s">
        <v>21</v>
      </c>
      <c r="AA315" s="113">
        <v>24997</v>
      </c>
      <c r="AB315" s="113">
        <v>21183.89831</v>
      </c>
      <c r="AC315" s="113">
        <v>3</v>
      </c>
    </row>
    <row r="316" spans="1:29" ht="15.75" hidden="1" customHeight="1" outlineLevel="1" x14ac:dyDescent="0.2">
      <c r="A316" s="278" t="s">
        <v>301</v>
      </c>
      <c r="B316" s="198" t="s">
        <v>302</v>
      </c>
      <c r="C316" s="265"/>
      <c r="D316" s="279" t="s">
        <v>1149</v>
      </c>
      <c r="E316" s="278" t="s">
        <v>63</v>
      </c>
      <c r="F316" s="278" t="s">
        <v>55</v>
      </c>
      <c r="G316" s="182">
        <v>60</v>
      </c>
      <c r="H316" s="182">
        <v>78</v>
      </c>
      <c r="J316" s="112" t="s">
        <v>1147</v>
      </c>
      <c r="K316" s="161" t="s">
        <v>699</v>
      </c>
      <c r="L316" s="79" t="s">
        <v>700</v>
      </c>
      <c r="M316" s="113">
        <v>2512893</v>
      </c>
      <c r="N316" s="113">
        <v>2129570.3384899991</v>
      </c>
      <c r="O316" s="113">
        <v>57</v>
      </c>
      <c r="Q316" s="112" t="s">
        <v>1147</v>
      </c>
      <c r="R316" s="161" t="s">
        <v>699</v>
      </c>
      <c r="S316" s="79" t="s">
        <v>700</v>
      </c>
      <c r="T316" s="113">
        <v>155646</v>
      </c>
      <c r="U316" s="113">
        <v>131903.3898</v>
      </c>
      <c r="V316" s="113">
        <v>4</v>
      </c>
      <c r="X316" s="112" t="s">
        <v>1147</v>
      </c>
      <c r="Y316" s="161" t="s">
        <v>699</v>
      </c>
      <c r="Z316" s="79" t="s">
        <v>700</v>
      </c>
      <c r="AA316" s="113">
        <v>23997</v>
      </c>
      <c r="AB316" s="113">
        <v>20336.440689999999</v>
      </c>
      <c r="AC316" s="113">
        <v>3</v>
      </c>
    </row>
    <row r="317" spans="1:29" ht="15.75" hidden="1" customHeight="1" outlineLevel="1" x14ac:dyDescent="0.2">
      <c r="A317" s="278" t="s">
        <v>1150</v>
      </c>
      <c r="B317" s="198" t="s">
        <v>1151</v>
      </c>
      <c r="C317" s="181"/>
      <c r="D317" s="279" t="s">
        <v>1149</v>
      </c>
      <c r="E317" s="278" t="s">
        <v>63</v>
      </c>
      <c r="F317" s="278" t="s">
        <v>55</v>
      </c>
      <c r="G317" s="182">
        <v>40</v>
      </c>
      <c r="H317" s="182">
        <v>52</v>
      </c>
      <c r="J317" s="112" t="s">
        <v>1147</v>
      </c>
      <c r="K317" s="161" t="s">
        <v>222</v>
      </c>
      <c r="L317" s="79" t="s">
        <v>223</v>
      </c>
      <c r="M317" s="113">
        <v>2287446</v>
      </c>
      <c r="N317" s="113">
        <v>1938513.5591999996</v>
      </c>
      <c r="O317" s="113">
        <v>54</v>
      </c>
      <c r="Q317" s="112" t="s">
        <v>1147</v>
      </c>
      <c r="R317" s="161" t="s">
        <v>222</v>
      </c>
      <c r="S317" s="79" t="s">
        <v>223</v>
      </c>
      <c r="T317" s="113">
        <v>66598</v>
      </c>
      <c r="U317" s="113">
        <v>56438.983</v>
      </c>
      <c r="V317" s="113">
        <v>2</v>
      </c>
      <c r="X317" s="112" t="s">
        <v>1147</v>
      </c>
      <c r="Y317" s="161" t="s">
        <v>222</v>
      </c>
      <c r="Z317" s="79" t="s">
        <v>223</v>
      </c>
      <c r="AA317" s="113">
        <v>0</v>
      </c>
      <c r="AB317" s="113"/>
      <c r="AC317" s="113"/>
    </row>
    <row r="318" spans="1:29" ht="15.75" hidden="1" customHeight="1" outlineLevel="1" x14ac:dyDescent="0.2">
      <c r="A318" s="278" t="s">
        <v>63</v>
      </c>
      <c r="B318" s="198" t="s">
        <v>64</v>
      </c>
      <c r="C318" s="265"/>
      <c r="D318" s="279" t="s">
        <v>1149</v>
      </c>
      <c r="E318" s="278" t="s">
        <v>63</v>
      </c>
      <c r="F318" s="278" t="s">
        <v>55</v>
      </c>
      <c r="G318" s="182">
        <v>60</v>
      </c>
      <c r="H318" s="182">
        <v>78</v>
      </c>
      <c r="J318" s="112" t="s">
        <v>1147</v>
      </c>
      <c r="K318" s="161" t="s">
        <v>70</v>
      </c>
      <c r="L318" s="79" t="s">
        <v>34</v>
      </c>
      <c r="M318" s="113">
        <v>1534812</v>
      </c>
      <c r="N318" s="113">
        <v>1300688.1353299997</v>
      </c>
      <c r="O318" s="113">
        <v>38</v>
      </c>
      <c r="Q318" s="112" t="s">
        <v>1147</v>
      </c>
      <c r="R318" s="161" t="s">
        <v>70</v>
      </c>
      <c r="S318" s="79" t="s">
        <v>34</v>
      </c>
      <c r="T318" s="113">
        <v>582336</v>
      </c>
      <c r="U318" s="113">
        <v>493505.08480000007</v>
      </c>
      <c r="V318" s="113">
        <v>14</v>
      </c>
      <c r="X318" s="112" t="s">
        <v>1147</v>
      </c>
      <c r="Y318" s="161" t="s">
        <v>70</v>
      </c>
      <c r="Z318" s="79" t="s">
        <v>34</v>
      </c>
      <c r="AA318" s="113">
        <v>6999</v>
      </c>
      <c r="AB318" s="113">
        <v>5931.3559299999997</v>
      </c>
      <c r="AC318" s="113">
        <v>1</v>
      </c>
    </row>
    <row r="319" spans="1:29" ht="15.75" hidden="1" customHeight="1" outlineLevel="1" x14ac:dyDescent="0.2">
      <c r="A319" s="279" t="s">
        <v>1152</v>
      </c>
      <c r="B319" s="198" t="s">
        <v>1153</v>
      </c>
      <c r="C319" s="181"/>
      <c r="D319" s="279" t="s">
        <v>1154</v>
      </c>
      <c r="E319" s="278" t="s">
        <v>307</v>
      </c>
      <c r="F319" s="278" t="s">
        <v>55</v>
      </c>
      <c r="G319" s="182">
        <v>50</v>
      </c>
      <c r="H319" s="182">
        <v>65</v>
      </c>
      <c r="J319" s="112" t="s">
        <v>1173</v>
      </c>
      <c r="K319" s="161"/>
      <c r="L319" s="79"/>
      <c r="M319" s="113">
        <v>16078067</v>
      </c>
      <c r="N319" s="113">
        <v>13625480.506829999</v>
      </c>
      <c r="O319" s="113">
        <v>383</v>
      </c>
      <c r="Q319" s="112" t="s">
        <v>1173</v>
      </c>
      <c r="R319" s="161"/>
      <c r="S319" s="79"/>
      <c r="T319" s="113">
        <v>1859053</v>
      </c>
      <c r="U319" s="113">
        <v>1575468.6437000001</v>
      </c>
      <c r="V319" s="113">
        <v>47</v>
      </c>
      <c r="X319" s="112" t="s">
        <v>1173</v>
      </c>
      <c r="Y319" s="161"/>
      <c r="Z319" s="79"/>
      <c r="AA319" s="113">
        <v>55993</v>
      </c>
      <c r="AB319" s="113">
        <v>47451.694929999998</v>
      </c>
      <c r="AC319" s="113">
        <v>7</v>
      </c>
    </row>
    <row r="320" spans="1:29" ht="15.75" hidden="1" customHeight="1" outlineLevel="1" x14ac:dyDescent="0.2">
      <c r="A320" s="279" t="s">
        <v>335</v>
      </c>
      <c r="B320" s="198" t="s">
        <v>342</v>
      </c>
      <c r="C320" s="181"/>
      <c r="D320" s="278" t="s">
        <v>1154</v>
      </c>
      <c r="E320" s="278" t="s">
        <v>307</v>
      </c>
      <c r="F320" s="278" t="s">
        <v>55</v>
      </c>
      <c r="G320" s="182">
        <v>65</v>
      </c>
      <c r="H320" s="182">
        <v>84.5</v>
      </c>
      <c r="J320" s="42" t="s">
        <v>1149</v>
      </c>
      <c r="K320" s="42" t="s">
        <v>806</v>
      </c>
      <c r="L320" s="42" t="s">
        <v>807</v>
      </c>
      <c r="M320" s="113">
        <v>2121854</v>
      </c>
      <c r="N320" s="113">
        <v>1798181.3553999991</v>
      </c>
      <c r="O320" s="113">
        <v>46</v>
      </c>
      <c r="Q320" s="42" t="s">
        <v>1149</v>
      </c>
      <c r="R320" s="42" t="s">
        <v>806</v>
      </c>
      <c r="S320" s="42" t="s">
        <v>807</v>
      </c>
      <c r="T320" s="113">
        <v>235895</v>
      </c>
      <c r="U320" s="113">
        <v>199911.01689999999</v>
      </c>
      <c r="V320" s="113">
        <v>5</v>
      </c>
      <c r="X320" s="42" t="s">
        <v>1149</v>
      </c>
      <c r="Y320" s="42" t="s">
        <v>806</v>
      </c>
      <c r="Z320" s="42" t="s">
        <v>807</v>
      </c>
      <c r="AA320" s="113">
        <v>0</v>
      </c>
      <c r="AB320" s="113"/>
      <c r="AC320" s="113"/>
    </row>
    <row r="321" spans="1:29" ht="15.75" hidden="1" customHeight="1" outlineLevel="1" x14ac:dyDescent="0.2">
      <c r="A321" s="279" t="s">
        <v>307</v>
      </c>
      <c r="B321" s="198" t="s">
        <v>308</v>
      </c>
      <c r="C321" s="181"/>
      <c r="D321" s="278" t="s">
        <v>1154</v>
      </c>
      <c r="E321" s="278" t="s">
        <v>307</v>
      </c>
      <c r="F321" s="278" t="s">
        <v>55</v>
      </c>
      <c r="G321" s="182">
        <v>65</v>
      </c>
      <c r="H321" s="182">
        <v>84.5</v>
      </c>
      <c r="J321" s="79" t="s">
        <v>1149</v>
      </c>
      <c r="K321" s="79" t="s">
        <v>301</v>
      </c>
      <c r="L321" s="79" t="s">
        <v>302</v>
      </c>
      <c r="M321" s="113">
        <v>1232820</v>
      </c>
      <c r="N321" s="113">
        <v>1044762.7116000005</v>
      </c>
      <c r="O321" s="113">
        <v>30</v>
      </c>
      <c r="Q321" s="79" t="s">
        <v>1149</v>
      </c>
      <c r="R321" s="79" t="s">
        <v>301</v>
      </c>
      <c r="S321" s="79" t="s">
        <v>302</v>
      </c>
      <c r="T321" s="113">
        <v>852828</v>
      </c>
      <c r="U321" s="113">
        <v>722735.59300000011</v>
      </c>
      <c r="V321" s="113">
        <v>22</v>
      </c>
      <c r="X321" s="79" t="s">
        <v>1149</v>
      </c>
      <c r="Y321" s="79" t="s">
        <v>301</v>
      </c>
      <c r="Z321" s="79" t="s">
        <v>302</v>
      </c>
      <c r="AA321" s="113">
        <v>0</v>
      </c>
      <c r="AB321" s="113"/>
      <c r="AC321" s="113"/>
    </row>
    <row r="322" spans="1:29" ht="15.75" hidden="1" customHeight="1" outlineLevel="1" x14ac:dyDescent="0.2">
      <c r="A322" s="278" t="s">
        <v>217</v>
      </c>
      <c r="B322" s="198" t="s">
        <v>197</v>
      </c>
      <c r="C322" s="265"/>
      <c r="D322" s="278" t="s">
        <v>1154</v>
      </c>
      <c r="E322" s="278" t="s">
        <v>307</v>
      </c>
      <c r="F322" s="278" t="s">
        <v>55</v>
      </c>
      <c r="G322" s="182">
        <v>65</v>
      </c>
      <c r="H322" s="182">
        <v>84.5</v>
      </c>
      <c r="J322" s="79" t="s">
        <v>1149</v>
      </c>
      <c r="K322" s="79" t="s">
        <v>1150</v>
      </c>
      <c r="L322" s="79" t="s">
        <v>1151</v>
      </c>
      <c r="M322" s="113">
        <v>1146024</v>
      </c>
      <c r="N322" s="113">
        <v>971206.77970000042</v>
      </c>
      <c r="O322" s="113">
        <v>26</v>
      </c>
      <c r="Q322" s="79" t="s">
        <v>1149</v>
      </c>
      <c r="R322" s="79" t="s">
        <v>1150</v>
      </c>
      <c r="S322" s="79" t="s">
        <v>1151</v>
      </c>
      <c r="T322" s="113">
        <v>491088</v>
      </c>
      <c r="U322" s="113">
        <v>416176.27110000001</v>
      </c>
      <c r="V322" s="113">
        <v>12</v>
      </c>
      <c r="X322" s="79" t="s">
        <v>1149</v>
      </c>
      <c r="Y322" s="79" t="s">
        <v>1150</v>
      </c>
      <c r="Z322" s="79" t="s">
        <v>1151</v>
      </c>
      <c r="AA322" s="113">
        <v>0</v>
      </c>
      <c r="AB322" s="113"/>
      <c r="AC322" s="113"/>
    </row>
    <row r="323" spans="1:29" ht="15.75" hidden="1" customHeight="1" outlineLevel="1" x14ac:dyDescent="0.2">
      <c r="A323" s="278" t="s">
        <v>286</v>
      </c>
      <c r="B323" s="198" t="s">
        <v>37</v>
      </c>
      <c r="C323" s="265"/>
      <c r="D323" s="278" t="s">
        <v>1155</v>
      </c>
      <c r="E323" s="278" t="s">
        <v>286</v>
      </c>
      <c r="F323" s="278" t="s">
        <v>55</v>
      </c>
      <c r="G323" s="182">
        <v>60</v>
      </c>
      <c r="H323" s="182">
        <v>78</v>
      </c>
      <c r="J323" s="79" t="s">
        <v>1149</v>
      </c>
      <c r="K323" s="79" t="s">
        <v>63</v>
      </c>
      <c r="L323" s="79" t="s">
        <v>64</v>
      </c>
      <c r="M323" s="113">
        <v>1292870</v>
      </c>
      <c r="N323" s="113">
        <v>1095652.5422000003</v>
      </c>
      <c r="O323" s="113">
        <v>30</v>
      </c>
      <c r="Q323" s="79" t="s">
        <v>1149</v>
      </c>
      <c r="R323" s="79" t="s">
        <v>63</v>
      </c>
      <c r="S323" s="79" t="s">
        <v>64</v>
      </c>
      <c r="T323" s="113">
        <v>1292870</v>
      </c>
      <c r="U323" s="113">
        <v>1095652.5421999998</v>
      </c>
      <c r="V323" s="113">
        <v>30</v>
      </c>
      <c r="X323" s="79" t="s">
        <v>1149</v>
      </c>
      <c r="Y323" s="79" t="s">
        <v>63</v>
      </c>
      <c r="Z323" s="79" t="s">
        <v>64</v>
      </c>
      <c r="AA323" s="113">
        <v>0</v>
      </c>
      <c r="AB323" s="113"/>
      <c r="AC323" s="113"/>
    </row>
    <row r="324" spans="1:29" ht="15.75" hidden="1" customHeight="1" outlineLevel="1" x14ac:dyDescent="0.2">
      <c r="A324" s="278" t="s">
        <v>657</v>
      </c>
      <c r="B324" s="198" t="s">
        <v>39</v>
      </c>
      <c r="C324" s="265"/>
      <c r="D324" s="278" t="s">
        <v>1155</v>
      </c>
      <c r="E324" s="278" t="s">
        <v>286</v>
      </c>
      <c r="F324" s="278" t="s">
        <v>55</v>
      </c>
      <c r="G324" s="182">
        <v>35</v>
      </c>
      <c r="H324" s="182">
        <v>45.5</v>
      </c>
      <c r="J324" s="79" t="s">
        <v>1174</v>
      </c>
      <c r="K324" s="79"/>
      <c r="L324" s="79"/>
      <c r="M324" s="113">
        <v>5793568</v>
      </c>
      <c r="N324" s="113">
        <v>4909803.3889000006</v>
      </c>
      <c r="O324" s="113">
        <v>132</v>
      </c>
      <c r="Q324" s="79" t="s">
        <v>1174</v>
      </c>
      <c r="R324" s="79"/>
      <c r="S324" s="79"/>
      <c r="T324" s="113">
        <v>2872681</v>
      </c>
      <c r="U324" s="113">
        <v>2434475.4232000001</v>
      </c>
      <c r="V324" s="113">
        <v>69</v>
      </c>
      <c r="X324" s="79" t="s">
        <v>1174</v>
      </c>
      <c r="Y324" s="79"/>
      <c r="Z324" s="79"/>
      <c r="AA324" s="113">
        <v>0</v>
      </c>
      <c r="AB324" s="113">
        <v>0</v>
      </c>
      <c r="AC324" s="113">
        <v>0</v>
      </c>
    </row>
    <row r="325" spans="1:29" ht="15.75" hidden="1" customHeight="1" outlineLevel="1" x14ac:dyDescent="0.2">
      <c r="A325" s="278" t="s">
        <v>1156</v>
      </c>
      <c r="B325" s="198" t="s">
        <v>1157</v>
      </c>
      <c r="C325" s="265"/>
      <c r="D325" s="278" t="s">
        <v>1155</v>
      </c>
      <c r="E325" s="278" t="s">
        <v>286</v>
      </c>
      <c r="F325" s="278" t="s">
        <v>55</v>
      </c>
      <c r="G325" s="182">
        <v>60</v>
      </c>
      <c r="H325" s="182">
        <v>78</v>
      </c>
      <c r="J325" s="79" t="s">
        <v>1154</v>
      </c>
      <c r="K325" s="79" t="s">
        <v>307</v>
      </c>
      <c r="L325" s="79" t="s">
        <v>308</v>
      </c>
      <c r="M325" s="113">
        <v>2198852</v>
      </c>
      <c r="N325" s="113">
        <v>1863433.8987099992</v>
      </c>
      <c r="O325" s="113">
        <v>48</v>
      </c>
      <c r="Q325" s="79" t="s">
        <v>1154</v>
      </c>
      <c r="R325" s="79" t="s">
        <v>307</v>
      </c>
      <c r="S325" s="79" t="s">
        <v>308</v>
      </c>
      <c r="T325" s="113">
        <v>1519417</v>
      </c>
      <c r="U325" s="113">
        <v>1287641.5257099997</v>
      </c>
      <c r="V325" s="113">
        <v>33</v>
      </c>
      <c r="X325" s="79" t="s">
        <v>1154</v>
      </c>
      <c r="Y325" s="79" t="s">
        <v>307</v>
      </c>
      <c r="Z325" s="79" t="s">
        <v>308</v>
      </c>
      <c r="AA325" s="113">
        <v>0</v>
      </c>
      <c r="AB325" s="113"/>
      <c r="AC325" s="113"/>
    </row>
    <row r="326" spans="1:29" ht="15.75" hidden="1" customHeight="1" outlineLevel="1" x14ac:dyDescent="0.2">
      <c r="A326" s="278" t="s">
        <v>726</v>
      </c>
      <c r="B326" s="198" t="s">
        <v>727</v>
      </c>
      <c r="C326" s="265"/>
      <c r="D326" s="278" t="s">
        <v>1158</v>
      </c>
      <c r="E326" s="278" t="s">
        <v>72</v>
      </c>
      <c r="F326" s="278" t="s">
        <v>111</v>
      </c>
      <c r="G326" s="182">
        <v>50</v>
      </c>
      <c r="H326" s="182">
        <v>65</v>
      </c>
      <c r="J326" s="79" t="s">
        <v>1154</v>
      </c>
      <c r="K326" s="79" t="s">
        <v>217</v>
      </c>
      <c r="L326" s="79" t="s">
        <v>197</v>
      </c>
      <c r="M326" s="113">
        <v>1299823</v>
      </c>
      <c r="N326" s="113">
        <v>1101544.9151999999</v>
      </c>
      <c r="O326" s="113">
        <v>27</v>
      </c>
      <c r="Q326" s="79" t="s">
        <v>1154</v>
      </c>
      <c r="R326" s="79" t="s">
        <v>217</v>
      </c>
      <c r="S326" s="79" t="s">
        <v>197</v>
      </c>
      <c r="T326" s="113">
        <v>1299823</v>
      </c>
      <c r="U326" s="113">
        <v>1101544.9152000002</v>
      </c>
      <c r="V326" s="113">
        <v>27</v>
      </c>
      <c r="X326" s="79" t="s">
        <v>1154</v>
      </c>
      <c r="Y326" s="79" t="s">
        <v>217</v>
      </c>
      <c r="Z326" s="79" t="s">
        <v>197</v>
      </c>
      <c r="AA326" s="113">
        <v>0</v>
      </c>
      <c r="AB326" s="113"/>
      <c r="AC326" s="113"/>
    </row>
    <row r="327" spans="1:29" ht="15.75" hidden="1" customHeight="1" outlineLevel="1" x14ac:dyDescent="0.2">
      <c r="A327" s="278" t="s">
        <v>758</v>
      </c>
      <c r="B327" s="198" t="s">
        <v>759</v>
      </c>
      <c r="C327" s="181"/>
      <c r="D327" s="278" t="s">
        <v>1158</v>
      </c>
      <c r="E327" s="278" t="s">
        <v>72</v>
      </c>
      <c r="F327" s="278" t="s">
        <v>111</v>
      </c>
      <c r="G327" s="182">
        <v>50</v>
      </c>
      <c r="H327" s="182">
        <v>65</v>
      </c>
      <c r="J327" s="79" t="s">
        <v>1154</v>
      </c>
      <c r="K327" s="79" t="s">
        <v>1152</v>
      </c>
      <c r="L327" s="79" t="s">
        <v>1153</v>
      </c>
      <c r="M327" s="113">
        <v>989630</v>
      </c>
      <c r="N327" s="113">
        <v>838669.49160000018</v>
      </c>
      <c r="O327" s="113">
        <v>20</v>
      </c>
      <c r="Q327" s="79" t="s">
        <v>1154</v>
      </c>
      <c r="R327" s="79" t="s">
        <v>1152</v>
      </c>
      <c r="S327" s="79" t="s">
        <v>1153</v>
      </c>
      <c r="T327" s="113">
        <v>989630</v>
      </c>
      <c r="U327" s="113">
        <v>838669.49160000007</v>
      </c>
      <c r="V327" s="113">
        <v>20</v>
      </c>
      <c r="X327" s="79" t="s">
        <v>1154</v>
      </c>
      <c r="Y327" s="79" t="s">
        <v>1152</v>
      </c>
      <c r="Z327" s="79" t="s">
        <v>1153</v>
      </c>
      <c r="AA327" s="113">
        <v>0</v>
      </c>
      <c r="AB327" s="113"/>
      <c r="AC327" s="113"/>
    </row>
    <row r="328" spans="1:29" ht="15.75" hidden="1" customHeight="1" outlineLevel="1" x14ac:dyDescent="0.2">
      <c r="A328" s="278" t="s">
        <v>1040</v>
      </c>
      <c r="B328" s="198" t="s">
        <v>1043</v>
      </c>
      <c r="C328" s="181"/>
      <c r="D328" s="278" t="s">
        <v>1158</v>
      </c>
      <c r="E328" s="278" t="s">
        <v>72</v>
      </c>
      <c r="F328" s="278" t="s">
        <v>111</v>
      </c>
      <c r="G328" s="182">
        <v>50</v>
      </c>
      <c r="H328" s="182">
        <v>65</v>
      </c>
      <c r="J328" s="79" t="s">
        <v>1154</v>
      </c>
      <c r="K328" s="79" t="s">
        <v>335</v>
      </c>
      <c r="L328" s="79" t="s">
        <v>342</v>
      </c>
      <c r="M328" s="113">
        <v>1164174</v>
      </c>
      <c r="N328" s="113">
        <v>986588.13540000014</v>
      </c>
      <c r="O328" s="113">
        <v>26</v>
      </c>
      <c r="Q328" s="79" t="s">
        <v>1154</v>
      </c>
      <c r="R328" s="79" t="s">
        <v>335</v>
      </c>
      <c r="S328" s="79" t="s">
        <v>342</v>
      </c>
      <c r="T328" s="113">
        <v>592837</v>
      </c>
      <c r="U328" s="113">
        <v>502404.23710000009</v>
      </c>
      <c r="V328" s="113">
        <v>13</v>
      </c>
      <c r="X328" s="79" t="s">
        <v>1154</v>
      </c>
      <c r="Y328" s="79" t="s">
        <v>335</v>
      </c>
      <c r="Z328" s="79" t="s">
        <v>342</v>
      </c>
      <c r="AA328" s="113">
        <v>0</v>
      </c>
      <c r="AB328" s="113"/>
      <c r="AC328" s="113"/>
    </row>
    <row r="329" spans="1:29" ht="15.75" hidden="1" customHeight="1" outlineLevel="1" x14ac:dyDescent="0.2">
      <c r="A329" s="278" t="s">
        <v>1159</v>
      </c>
      <c r="B329" s="198" t="s">
        <v>40</v>
      </c>
      <c r="C329" s="181"/>
      <c r="D329" s="278" t="s">
        <v>1158</v>
      </c>
      <c r="E329" s="278" t="s">
        <v>72</v>
      </c>
      <c r="F329" s="278" t="s">
        <v>111</v>
      </c>
      <c r="G329" s="182">
        <v>50</v>
      </c>
      <c r="H329" s="182">
        <v>65</v>
      </c>
      <c r="J329" s="79" t="s">
        <v>1175</v>
      </c>
      <c r="K329" s="79"/>
      <c r="L329" s="79"/>
      <c r="M329" s="113">
        <v>5652479</v>
      </c>
      <c r="N329" s="113">
        <v>4790236.4409099994</v>
      </c>
      <c r="O329" s="113">
        <v>121</v>
      </c>
      <c r="Q329" s="79" t="s">
        <v>1175</v>
      </c>
      <c r="R329" s="79"/>
      <c r="S329" s="79"/>
      <c r="T329" s="113">
        <v>4401707</v>
      </c>
      <c r="U329" s="113">
        <v>3730260.1696099997</v>
      </c>
      <c r="V329" s="113">
        <v>93</v>
      </c>
      <c r="X329" s="79" t="s">
        <v>1175</v>
      </c>
      <c r="Y329" s="79"/>
      <c r="Z329" s="79"/>
      <c r="AA329" s="113">
        <v>0</v>
      </c>
      <c r="AB329" s="113">
        <v>0</v>
      </c>
      <c r="AC329" s="113">
        <v>0</v>
      </c>
    </row>
    <row r="330" spans="1:29" ht="15.75" hidden="1" customHeight="1" outlineLevel="1" x14ac:dyDescent="0.2">
      <c r="A330" s="278" t="s">
        <v>72</v>
      </c>
      <c r="B330" s="198" t="s">
        <v>43</v>
      </c>
      <c r="C330" s="181"/>
      <c r="D330" s="278" t="s">
        <v>1158</v>
      </c>
      <c r="E330" s="278" t="s">
        <v>72</v>
      </c>
      <c r="F330" s="278" t="s">
        <v>111</v>
      </c>
      <c r="G330" s="182">
        <v>30</v>
      </c>
      <c r="H330" s="182">
        <v>39</v>
      </c>
      <c r="J330" s="79" t="s">
        <v>1155</v>
      </c>
      <c r="K330" s="79" t="s">
        <v>657</v>
      </c>
      <c r="L330" s="79" t="s">
        <v>39</v>
      </c>
      <c r="M330" s="113">
        <v>2757737</v>
      </c>
      <c r="N330" s="113">
        <v>2337065.2548100003</v>
      </c>
      <c r="O330" s="113">
        <v>63</v>
      </c>
      <c r="Q330" s="79" t="s">
        <v>1155</v>
      </c>
      <c r="R330" s="79" t="s">
        <v>657</v>
      </c>
      <c r="S330" s="79" t="s">
        <v>39</v>
      </c>
      <c r="T330" s="113">
        <v>504738</v>
      </c>
      <c r="U330" s="113">
        <v>427744.06780000008</v>
      </c>
      <c r="V330" s="113">
        <v>12</v>
      </c>
      <c r="X330" s="79" t="s">
        <v>1155</v>
      </c>
      <c r="Y330" s="79" t="s">
        <v>657</v>
      </c>
      <c r="Z330" s="79" t="s">
        <v>39</v>
      </c>
      <c r="AA330" s="113">
        <v>5999</v>
      </c>
      <c r="AB330" s="113">
        <v>5083.8983099999996</v>
      </c>
      <c r="AC330" s="113">
        <v>1</v>
      </c>
    </row>
    <row r="331" spans="1:29" ht="15.75" hidden="1" customHeight="1" outlineLevel="1" x14ac:dyDescent="0.2">
      <c r="A331" s="278" t="s">
        <v>925</v>
      </c>
      <c r="B331" s="198" t="s">
        <v>764</v>
      </c>
      <c r="C331" s="181"/>
      <c r="D331" s="278" t="s">
        <v>1158</v>
      </c>
      <c r="E331" s="278" t="s">
        <v>72</v>
      </c>
      <c r="F331" s="278" t="s">
        <v>111</v>
      </c>
      <c r="G331" s="182">
        <v>60</v>
      </c>
      <c r="H331" s="182">
        <v>78</v>
      </c>
      <c r="J331" s="79" t="s">
        <v>1155</v>
      </c>
      <c r="K331" s="79" t="s">
        <v>1156</v>
      </c>
      <c r="L331" s="79" t="s">
        <v>1157</v>
      </c>
      <c r="M331" s="113">
        <v>1379921</v>
      </c>
      <c r="N331" s="113">
        <v>1169424.5763999999</v>
      </c>
      <c r="O331" s="113">
        <v>29</v>
      </c>
      <c r="Q331" s="79" t="s">
        <v>1155</v>
      </c>
      <c r="R331" s="79" t="s">
        <v>1156</v>
      </c>
      <c r="S331" s="79" t="s">
        <v>1157</v>
      </c>
      <c r="T331" s="113">
        <v>518639</v>
      </c>
      <c r="U331" s="113">
        <v>439524.57640000002</v>
      </c>
      <c r="V331" s="113">
        <v>11</v>
      </c>
      <c r="X331" s="79" t="s">
        <v>1155</v>
      </c>
      <c r="Y331" s="79" t="s">
        <v>1156</v>
      </c>
      <c r="Z331" s="79" t="s">
        <v>1157</v>
      </c>
      <c r="AA331" s="113">
        <v>0</v>
      </c>
      <c r="AB331" s="113"/>
      <c r="AC331" s="113"/>
    </row>
    <row r="332" spans="1:29" ht="15.75" hidden="1" customHeight="1" outlineLevel="1" x14ac:dyDescent="0.2">
      <c r="A332" s="281" t="s">
        <v>1430</v>
      </c>
      <c r="B332" s="198" t="s">
        <v>1431</v>
      </c>
      <c r="C332" s="181"/>
      <c r="D332" s="278" t="s">
        <v>1161</v>
      </c>
      <c r="E332" s="278" t="s">
        <v>41</v>
      </c>
      <c r="F332" s="278" t="s">
        <v>111</v>
      </c>
      <c r="G332" s="182">
        <v>40</v>
      </c>
      <c r="H332" s="182">
        <v>52</v>
      </c>
      <c r="J332" s="79" t="s">
        <v>1155</v>
      </c>
      <c r="K332" s="112" t="s">
        <v>286</v>
      </c>
      <c r="L332" s="79" t="s">
        <v>37</v>
      </c>
      <c r="M332" s="113">
        <v>2389598</v>
      </c>
      <c r="N332" s="113">
        <v>2025083.0502999995</v>
      </c>
      <c r="O332" s="113">
        <v>52</v>
      </c>
      <c r="Q332" s="79" t="s">
        <v>1155</v>
      </c>
      <c r="R332" s="112" t="s">
        <v>286</v>
      </c>
      <c r="S332" s="79" t="s">
        <v>37</v>
      </c>
      <c r="T332" s="113">
        <v>35999</v>
      </c>
      <c r="U332" s="113">
        <v>30507.627100000002</v>
      </c>
      <c r="V332" s="113">
        <v>1</v>
      </c>
      <c r="X332" s="79" t="s">
        <v>1155</v>
      </c>
      <c r="Y332" s="112" t="s">
        <v>286</v>
      </c>
      <c r="Z332" s="79" t="s">
        <v>37</v>
      </c>
      <c r="AA332" s="113">
        <v>0</v>
      </c>
      <c r="AB332" s="113"/>
      <c r="AC332" s="113"/>
    </row>
    <row r="333" spans="1:29" ht="15.75" hidden="1" customHeight="1" outlineLevel="1" x14ac:dyDescent="0.2">
      <c r="A333" s="281" t="s">
        <v>659</v>
      </c>
      <c r="B333" s="198" t="s">
        <v>660</v>
      </c>
      <c r="C333" s="265"/>
      <c r="D333" s="278" t="s">
        <v>1161</v>
      </c>
      <c r="E333" s="278" t="s">
        <v>41</v>
      </c>
      <c r="F333" s="278" t="s">
        <v>111</v>
      </c>
      <c r="G333" s="182">
        <v>50</v>
      </c>
      <c r="H333" s="182">
        <v>65</v>
      </c>
      <c r="J333" s="79" t="s">
        <v>1176</v>
      </c>
      <c r="K333" s="79"/>
      <c r="L333" s="79"/>
      <c r="M333" s="113">
        <v>6527256</v>
      </c>
      <c r="N333" s="113">
        <v>5531572.8815099997</v>
      </c>
      <c r="O333" s="113">
        <v>144</v>
      </c>
      <c r="Q333" s="79" t="s">
        <v>1176</v>
      </c>
      <c r="R333" s="79"/>
      <c r="S333" s="79"/>
      <c r="T333" s="113">
        <v>1059376</v>
      </c>
      <c r="U333" s="113">
        <v>897776.27130000014</v>
      </c>
      <c r="V333" s="113">
        <v>24</v>
      </c>
      <c r="X333" s="79" t="s">
        <v>1176</v>
      </c>
      <c r="Y333" s="79"/>
      <c r="Z333" s="79"/>
      <c r="AA333" s="113">
        <v>5999</v>
      </c>
      <c r="AB333" s="113">
        <v>5083.8983099999996</v>
      </c>
      <c r="AC333" s="113">
        <v>1</v>
      </c>
    </row>
    <row r="334" spans="1:29" ht="15.75" hidden="1" customHeight="1" outlineLevel="1" x14ac:dyDescent="0.2">
      <c r="A334" s="281" t="s">
        <v>117</v>
      </c>
      <c r="B334" s="198" t="s">
        <v>196</v>
      </c>
      <c r="C334" s="181"/>
      <c r="D334" s="278" t="s">
        <v>1161</v>
      </c>
      <c r="E334" s="278" t="s">
        <v>41</v>
      </c>
      <c r="F334" s="278" t="s">
        <v>111</v>
      </c>
      <c r="G334" s="182">
        <v>30</v>
      </c>
      <c r="H334" s="182">
        <v>39</v>
      </c>
      <c r="J334" s="79" t="s">
        <v>1158</v>
      </c>
      <c r="K334" s="230" t="s">
        <v>726</v>
      </c>
      <c r="L334" s="22" t="s">
        <v>727</v>
      </c>
      <c r="M334" s="113">
        <v>1209926</v>
      </c>
      <c r="N334" s="113">
        <v>1025361.0172000002</v>
      </c>
      <c r="O334" s="113">
        <v>24</v>
      </c>
      <c r="Q334" s="79" t="s">
        <v>1158</v>
      </c>
      <c r="R334" s="230" t="s">
        <v>726</v>
      </c>
      <c r="S334" s="22" t="s">
        <v>727</v>
      </c>
      <c r="T334" s="113">
        <v>81648</v>
      </c>
      <c r="U334" s="113">
        <v>69193.220399999991</v>
      </c>
      <c r="V334" s="113">
        <v>2</v>
      </c>
      <c r="X334" s="79" t="s">
        <v>1158</v>
      </c>
      <c r="Y334" s="230" t="s">
        <v>726</v>
      </c>
      <c r="Z334" s="22" t="s">
        <v>727</v>
      </c>
      <c r="AA334" s="113">
        <v>0</v>
      </c>
      <c r="AB334" s="113"/>
      <c r="AC334" s="113"/>
    </row>
    <row r="335" spans="1:29" ht="15.75" hidden="1" customHeight="1" outlineLevel="1" x14ac:dyDescent="0.2">
      <c r="A335" s="281" t="s">
        <v>765</v>
      </c>
      <c r="B335" s="198" t="s">
        <v>766</v>
      </c>
      <c r="C335" s="265"/>
      <c r="D335" s="278" t="s">
        <v>1161</v>
      </c>
      <c r="E335" s="278" t="s">
        <v>41</v>
      </c>
      <c r="F335" s="278" t="s">
        <v>111</v>
      </c>
      <c r="G335" s="182">
        <v>30</v>
      </c>
      <c r="H335" s="182">
        <v>39</v>
      </c>
      <c r="J335" s="79" t="s">
        <v>1158</v>
      </c>
      <c r="K335" s="79" t="s">
        <v>291</v>
      </c>
      <c r="L335" s="79" t="s">
        <v>40</v>
      </c>
      <c r="M335" s="113">
        <v>697936</v>
      </c>
      <c r="N335" s="113">
        <v>591471.18660000002</v>
      </c>
      <c r="O335" s="113">
        <v>14</v>
      </c>
      <c r="Q335" s="79" t="s">
        <v>1158</v>
      </c>
      <c r="R335" s="79" t="s">
        <v>291</v>
      </c>
      <c r="S335" s="79" t="s">
        <v>40</v>
      </c>
      <c r="T335" s="113">
        <v>67999</v>
      </c>
      <c r="U335" s="113">
        <v>57626.271200000003</v>
      </c>
      <c r="V335" s="113">
        <v>1</v>
      </c>
      <c r="X335" s="79" t="s">
        <v>1158</v>
      </c>
      <c r="Y335" s="79" t="s">
        <v>291</v>
      </c>
      <c r="Z335" s="79" t="s">
        <v>40</v>
      </c>
      <c r="AA335" s="113">
        <v>0</v>
      </c>
      <c r="AB335" s="113"/>
      <c r="AC335" s="113"/>
    </row>
    <row r="336" spans="1:29" ht="15.75" hidden="1" customHeight="1" outlineLevel="1" x14ac:dyDescent="0.2">
      <c r="A336" s="281" t="s">
        <v>41</v>
      </c>
      <c r="B336" s="198" t="s">
        <v>42</v>
      </c>
      <c r="C336" s="181"/>
      <c r="D336" s="278" t="s">
        <v>1161</v>
      </c>
      <c r="E336" s="278" t="s">
        <v>41</v>
      </c>
      <c r="F336" s="278" t="s">
        <v>111</v>
      </c>
      <c r="G336" s="182">
        <v>55</v>
      </c>
      <c r="H336" s="182">
        <v>71.5</v>
      </c>
      <c r="J336" s="42" t="s">
        <v>1158</v>
      </c>
      <c r="K336" s="42" t="s">
        <v>1073</v>
      </c>
      <c r="L336" s="42" t="s">
        <v>1074</v>
      </c>
      <c r="M336" s="113">
        <v>0</v>
      </c>
      <c r="N336" s="113"/>
      <c r="O336" s="113"/>
      <c r="Q336" s="42" t="s">
        <v>1158</v>
      </c>
      <c r="R336" s="42" t="s">
        <v>1073</v>
      </c>
      <c r="S336" s="42" t="s">
        <v>1074</v>
      </c>
      <c r="T336" s="113">
        <v>0</v>
      </c>
      <c r="U336" s="113"/>
      <c r="V336" s="113"/>
      <c r="X336" s="42" t="s">
        <v>1158</v>
      </c>
      <c r="Y336" s="42" t="s">
        <v>1073</v>
      </c>
      <c r="Z336" s="42" t="s">
        <v>1074</v>
      </c>
      <c r="AA336" s="113">
        <v>0</v>
      </c>
      <c r="AB336" s="113"/>
      <c r="AC336" s="113"/>
    </row>
    <row r="337" spans="1:29" ht="15.75" hidden="1" customHeight="1" outlineLevel="1" x14ac:dyDescent="0.2">
      <c r="A337" s="281" t="s">
        <v>240</v>
      </c>
      <c r="B337" s="198" t="s">
        <v>241</v>
      </c>
      <c r="C337" s="265"/>
      <c r="D337" s="278" t="s">
        <v>1162</v>
      </c>
      <c r="E337" s="233"/>
      <c r="F337" s="278" t="s">
        <v>111</v>
      </c>
      <c r="G337" s="182">
        <v>55</v>
      </c>
      <c r="H337" s="182">
        <v>71.5</v>
      </c>
      <c r="J337" s="79" t="s">
        <v>1158</v>
      </c>
      <c r="K337" s="79" t="s">
        <v>72</v>
      </c>
      <c r="L337" s="111" t="s">
        <v>43</v>
      </c>
      <c r="M337" s="113">
        <v>2255205</v>
      </c>
      <c r="N337" s="113">
        <v>1911190.6783099999</v>
      </c>
      <c r="O337" s="113">
        <v>45</v>
      </c>
      <c r="Q337" s="79" t="s">
        <v>1158</v>
      </c>
      <c r="R337" s="79" t="s">
        <v>72</v>
      </c>
      <c r="S337" s="111" t="s">
        <v>43</v>
      </c>
      <c r="T337" s="113">
        <v>0</v>
      </c>
      <c r="U337" s="113"/>
      <c r="V337" s="113"/>
      <c r="X337" s="79" t="s">
        <v>1158</v>
      </c>
      <c r="Y337" s="79" t="s">
        <v>72</v>
      </c>
      <c r="Z337" s="111" t="s">
        <v>43</v>
      </c>
      <c r="AA337" s="113">
        <v>5999</v>
      </c>
      <c r="AB337" s="113">
        <v>5083.8983099999996</v>
      </c>
      <c r="AC337" s="113">
        <v>1</v>
      </c>
    </row>
    <row r="338" spans="1:29" ht="15.75" hidden="1" customHeight="1" outlineLevel="1" x14ac:dyDescent="0.2">
      <c r="A338" s="283" t="s">
        <v>352</v>
      </c>
      <c r="B338" s="198" t="s">
        <v>289</v>
      </c>
      <c r="C338" s="265"/>
      <c r="D338" s="278" t="s">
        <v>1162</v>
      </c>
      <c r="E338" s="233"/>
      <c r="F338" s="278" t="s">
        <v>111</v>
      </c>
      <c r="G338" s="182">
        <v>40</v>
      </c>
      <c r="H338" s="182">
        <v>52</v>
      </c>
      <c r="J338" s="79" t="s">
        <v>1158</v>
      </c>
      <c r="K338" s="79" t="s">
        <v>925</v>
      </c>
      <c r="L338" s="79" t="s">
        <v>764</v>
      </c>
      <c r="M338" s="113">
        <v>1673611</v>
      </c>
      <c r="N338" s="113">
        <v>1418314.4066999999</v>
      </c>
      <c r="O338" s="113">
        <v>39</v>
      </c>
      <c r="Q338" s="79" t="s">
        <v>1158</v>
      </c>
      <c r="R338" s="79" t="s">
        <v>925</v>
      </c>
      <c r="S338" s="79" t="s">
        <v>764</v>
      </c>
      <c r="T338" s="113">
        <v>386240</v>
      </c>
      <c r="U338" s="113">
        <v>327322.03380000003</v>
      </c>
      <c r="V338" s="113">
        <v>10</v>
      </c>
      <c r="X338" s="79" t="s">
        <v>1158</v>
      </c>
      <c r="Y338" s="79" t="s">
        <v>925</v>
      </c>
      <c r="Z338" s="79" t="s">
        <v>764</v>
      </c>
      <c r="AA338" s="113">
        <v>0</v>
      </c>
      <c r="AB338" s="113"/>
      <c r="AC338" s="113"/>
    </row>
    <row r="339" spans="1:29" ht="15.75" hidden="1" customHeight="1" outlineLevel="1" x14ac:dyDescent="0.2">
      <c r="A339" s="283" t="s">
        <v>198</v>
      </c>
      <c r="B339" s="198" t="s">
        <v>35</v>
      </c>
      <c r="C339" s="181"/>
      <c r="D339" s="278" t="s">
        <v>1162</v>
      </c>
      <c r="E339" s="233"/>
      <c r="F339" s="278" t="s">
        <v>111</v>
      </c>
      <c r="G339" s="182">
        <v>60</v>
      </c>
      <c r="H339" s="182">
        <v>78</v>
      </c>
      <c r="J339" s="79" t="s">
        <v>1158</v>
      </c>
      <c r="K339" s="79" t="s">
        <v>928</v>
      </c>
      <c r="L339" s="79" t="s">
        <v>759</v>
      </c>
      <c r="M339" s="113">
        <v>210346</v>
      </c>
      <c r="N339" s="113">
        <v>178259.32210000002</v>
      </c>
      <c r="O339" s="113">
        <v>4</v>
      </c>
      <c r="Q339" s="79" t="s">
        <v>1158</v>
      </c>
      <c r="R339" s="79" t="s">
        <v>928</v>
      </c>
      <c r="S339" s="79" t="s">
        <v>759</v>
      </c>
      <c r="T339" s="113">
        <v>210346</v>
      </c>
      <c r="U339" s="113">
        <v>178259.32209999999</v>
      </c>
      <c r="V339" s="113">
        <v>4</v>
      </c>
      <c r="X339" s="79" t="s">
        <v>1158</v>
      </c>
      <c r="Y339" s="79" t="s">
        <v>928</v>
      </c>
      <c r="Z339" s="79" t="s">
        <v>759</v>
      </c>
      <c r="AA339" s="113">
        <v>0</v>
      </c>
      <c r="AB339" s="113"/>
      <c r="AC339" s="113"/>
    </row>
    <row r="340" spans="1:29" ht="15.75" hidden="1" customHeight="1" outlineLevel="1" x14ac:dyDescent="0.2">
      <c r="A340" s="279" t="s">
        <v>2520</v>
      </c>
      <c r="B340" s="198" t="s">
        <v>2521</v>
      </c>
      <c r="C340" s="181"/>
      <c r="D340" s="278" t="s">
        <v>1161</v>
      </c>
      <c r="E340" s="278" t="s">
        <v>41</v>
      </c>
      <c r="F340" s="278" t="s">
        <v>111</v>
      </c>
      <c r="G340" s="182">
        <v>35</v>
      </c>
      <c r="H340" s="182">
        <v>45.5</v>
      </c>
      <c r="J340" s="79" t="s">
        <v>1158</v>
      </c>
      <c r="K340" s="79" t="s">
        <v>2524</v>
      </c>
      <c r="L340" s="79" t="s">
        <v>2523</v>
      </c>
      <c r="M340" s="113">
        <v>1198323</v>
      </c>
      <c r="N340" s="113">
        <v>1015527.9662</v>
      </c>
      <c r="O340" s="113">
        <v>27</v>
      </c>
      <c r="Q340" s="79" t="s">
        <v>1158</v>
      </c>
      <c r="R340" s="79" t="s">
        <v>2524</v>
      </c>
      <c r="S340" s="79" t="s">
        <v>2523</v>
      </c>
      <c r="T340" s="113">
        <v>0</v>
      </c>
      <c r="U340" s="113"/>
      <c r="V340" s="113"/>
      <c r="X340" s="79" t="s">
        <v>1158</v>
      </c>
      <c r="Y340" s="79" t="s">
        <v>2524</v>
      </c>
      <c r="Z340" s="79" t="s">
        <v>2523</v>
      </c>
      <c r="AA340" s="113">
        <v>0</v>
      </c>
      <c r="AB340" s="113"/>
      <c r="AC340" s="113"/>
    </row>
    <row r="341" spans="1:29" ht="15.75" hidden="1" customHeight="1" outlineLevel="1" x14ac:dyDescent="0.2">
      <c r="A341" s="279" t="s">
        <v>2522</v>
      </c>
      <c r="B341" s="198" t="s">
        <v>2523</v>
      </c>
      <c r="C341" s="181"/>
      <c r="D341" s="278" t="s">
        <v>1158</v>
      </c>
      <c r="E341" s="278" t="s">
        <v>72</v>
      </c>
      <c r="F341" s="278" t="s">
        <v>111</v>
      </c>
      <c r="G341" s="182">
        <v>35</v>
      </c>
      <c r="H341" s="182">
        <v>45.5</v>
      </c>
      <c r="J341" s="79" t="s">
        <v>1158</v>
      </c>
      <c r="K341" s="79" t="s">
        <v>1040</v>
      </c>
      <c r="L341" s="79" t="s">
        <v>1043</v>
      </c>
      <c r="M341" s="113">
        <v>789233</v>
      </c>
      <c r="N341" s="113">
        <v>668841.52551000006</v>
      </c>
      <c r="O341" s="113">
        <v>17</v>
      </c>
      <c r="Q341" s="79" t="s">
        <v>1158</v>
      </c>
      <c r="R341" s="79" t="s">
        <v>1040</v>
      </c>
      <c r="S341" s="79" t="s">
        <v>1043</v>
      </c>
      <c r="T341" s="113">
        <v>169996</v>
      </c>
      <c r="U341" s="113">
        <v>144064.4068</v>
      </c>
      <c r="V341" s="113">
        <v>4</v>
      </c>
      <c r="X341" s="79" t="s">
        <v>1158</v>
      </c>
      <c r="Y341" s="79" t="s">
        <v>1040</v>
      </c>
      <c r="Z341" s="79" t="s">
        <v>1043</v>
      </c>
      <c r="AA341" s="113">
        <v>5999</v>
      </c>
      <c r="AB341" s="113">
        <v>5083.8983099999996</v>
      </c>
      <c r="AC341" s="113">
        <v>1</v>
      </c>
    </row>
    <row r="342" spans="1:29" ht="15.75" hidden="1" customHeight="1" outlineLevel="1" x14ac:dyDescent="0.2">
      <c r="A342" s="278" t="s">
        <v>207</v>
      </c>
      <c r="B342" s="198" t="s">
        <v>201</v>
      </c>
      <c r="C342" s="265"/>
      <c r="D342" s="278" t="s">
        <v>1163</v>
      </c>
      <c r="E342" s="279" t="s">
        <v>57</v>
      </c>
      <c r="F342" s="278" t="s">
        <v>297</v>
      </c>
      <c r="G342" s="182">
        <v>30</v>
      </c>
      <c r="H342" s="182">
        <v>39</v>
      </c>
      <c r="J342" s="79" t="s">
        <v>1177</v>
      </c>
      <c r="K342" s="79"/>
      <c r="L342" s="79"/>
      <c r="M342" s="113">
        <v>8034580</v>
      </c>
      <c r="N342" s="113">
        <v>6808966.10262</v>
      </c>
      <c r="O342" s="113">
        <v>170</v>
      </c>
      <c r="Q342" s="79" t="s">
        <v>1177</v>
      </c>
      <c r="R342" s="79"/>
      <c r="S342" s="79"/>
      <c r="T342" s="113">
        <v>916229</v>
      </c>
      <c r="U342" s="113">
        <v>776465.25430000003</v>
      </c>
      <c r="V342" s="113">
        <v>21</v>
      </c>
      <c r="X342" s="79" t="s">
        <v>1177</v>
      </c>
      <c r="Y342" s="79"/>
      <c r="Z342" s="79"/>
      <c r="AA342" s="113">
        <v>11998</v>
      </c>
      <c r="AB342" s="113">
        <v>10167.796619999999</v>
      </c>
      <c r="AC342" s="113">
        <v>2</v>
      </c>
    </row>
    <row r="343" spans="1:29" ht="15.75" hidden="1" customHeight="1" outlineLevel="1" x14ac:dyDescent="0.2">
      <c r="A343" s="278" t="s">
        <v>299</v>
      </c>
      <c r="B343" s="198" t="s">
        <v>290</v>
      </c>
      <c r="C343" s="265"/>
      <c r="D343" s="278" t="s">
        <v>1163</v>
      </c>
      <c r="E343" s="279" t="s">
        <v>57</v>
      </c>
      <c r="F343" s="278" t="s">
        <v>297</v>
      </c>
      <c r="G343" s="182">
        <v>60</v>
      </c>
      <c r="H343" s="182">
        <v>78</v>
      </c>
      <c r="J343" s="79" t="s">
        <v>1161</v>
      </c>
      <c r="K343" s="42" t="s">
        <v>1041</v>
      </c>
      <c r="L343" s="42" t="s">
        <v>1042</v>
      </c>
      <c r="M343" s="113">
        <v>0</v>
      </c>
      <c r="N343" s="113"/>
      <c r="O343" s="113"/>
      <c r="Q343" s="79" t="s">
        <v>1161</v>
      </c>
      <c r="R343" s="42" t="s">
        <v>1041</v>
      </c>
      <c r="S343" s="42" t="s">
        <v>1042</v>
      </c>
      <c r="T343" s="113">
        <v>0</v>
      </c>
      <c r="U343" s="113"/>
      <c r="V343" s="113"/>
      <c r="X343" s="79" t="s">
        <v>1161</v>
      </c>
      <c r="Y343" s="42" t="s">
        <v>1041</v>
      </c>
      <c r="Z343" s="42" t="s">
        <v>1042</v>
      </c>
      <c r="AA343" s="113">
        <v>0</v>
      </c>
      <c r="AB343" s="113"/>
      <c r="AC343" s="113"/>
    </row>
    <row r="344" spans="1:29" ht="15.75" hidden="1" customHeight="1" outlineLevel="1" x14ac:dyDescent="0.2">
      <c r="A344" s="278" t="s">
        <v>1165</v>
      </c>
      <c r="B344" s="198" t="s">
        <v>1166</v>
      </c>
      <c r="C344" s="181"/>
      <c r="D344" s="278" t="s">
        <v>1163</v>
      </c>
      <c r="E344" s="278" t="s">
        <v>57</v>
      </c>
      <c r="F344" s="278" t="s">
        <v>297</v>
      </c>
      <c r="G344" s="182">
        <v>60</v>
      </c>
      <c r="H344" s="182">
        <v>78</v>
      </c>
      <c r="J344" s="79" t="s">
        <v>1161</v>
      </c>
      <c r="K344" s="42" t="s">
        <v>304</v>
      </c>
      <c r="L344" s="42" t="s">
        <v>306</v>
      </c>
      <c r="M344" s="113">
        <v>0</v>
      </c>
      <c r="N344" s="113"/>
      <c r="O344" s="113"/>
      <c r="Q344" s="79" t="s">
        <v>1161</v>
      </c>
      <c r="R344" s="42" t="s">
        <v>304</v>
      </c>
      <c r="S344" s="42" t="s">
        <v>306</v>
      </c>
      <c r="T344" s="113">
        <v>0</v>
      </c>
      <c r="U344" s="113"/>
      <c r="V344" s="113"/>
      <c r="X344" s="79" t="s">
        <v>1161</v>
      </c>
      <c r="Y344" s="42" t="s">
        <v>304</v>
      </c>
      <c r="Z344" s="42" t="s">
        <v>306</v>
      </c>
      <c r="AA344" s="113">
        <v>0</v>
      </c>
      <c r="AB344" s="113"/>
      <c r="AC344" s="113"/>
    </row>
    <row r="345" spans="1:29" ht="15.75" hidden="1" customHeight="1" outlineLevel="1" x14ac:dyDescent="0.2">
      <c r="A345" s="278" t="s">
        <v>57</v>
      </c>
      <c r="B345" s="198" t="s">
        <v>58</v>
      </c>
      <c r="C345" s="181"/>
      <c r="D345" s="278" t="s">
        <v>1163</v>
      </c>
      <c r="E345" s="278" t="s">
        <v>57</v>
      </c>
      <c r="F345" s="278" t="s">
        <v>297</v>
      </c>
      <c r="G345" s="182">
        <v>60</v>
      </c>
      <c r="H345" s="182">
        <v>78</v>
      </c>
      <c r="J345" s="79" t="s">
        <v>1161</v>
      </c>
      <c r="K345" s="79" t="s">
        <v>659</v>
      </c>
      <c r="L345" s="79" t="s">
        <v>660</v>
      </c>
      <c r="M345" s="113">
        <v>1094478</v>
      </c>
      <c r="N345" s="113">
        <v>927523.7289000001</v>
      </c>
      <c r="O345" s="113">
        <v>22</v>
      </c>
      <c r="Q345" s="79" t="s">
        <v>1161</v>
      </c>
      <c r="R345" s="79" t="s">
        <v>659</v>
      </c>
      <c r="S345" s="79" t="s">
        <v>660</v>
      </c>
      <c r="T345" s="113">
        <v>353343</v>
      </c>
      <c r="U345" s="113">
        <v>299443.22029999999</v>
      </c>
      <c r="V345" s="113">
        <v>7</v>
      </c>
      <c r="X345" s="79" t="s">
        <v>1161</v>
      </c>
      <c r="Y345" s="79" t="s">
        <v>659</v>
      </c>
      <c r="Z345" s="79" t="s">
        <v>660</v>
      </c>
      <c r="AA345" s="113">
        <v>0</v>
      </c>
      <c r="AB345" s="113"/>
      <c r="AC345" s="113"/>
    </row>
    <row r="346" spans="1:29" ht="15.75" hidden="1" customHeight="1" outlineLevel="1" x14ac:dyDescent="0.2">
      <c r="A346" s="281" t="s">
        <v>837</v>
      </c>
      <c r="B346" s="198" t="s">
        <v>838</v>
      </c>
      <c r="C346" s="181"/>
      <c r="D346" s="281" t="s">
        <v>1163</v>
      </c>
      <c r="E346" s="281" t="s">
        <v>57</v>
      </c>
      <c r="F346" s="278" t="s">
        <v>297</v>
      </c>
      <c r="G346" s="182">
        <v>50</v>
      </c>
      <c r="H346" s="182">
        <v>65</v>
      </c>
      <c r="J346" s="79" t="s">
        <v>1161</v>
      </c>
      <c r="K346" s="79" t="s">
        <v>117</v>
      </c>
      <c r="L346" s="79" t="s">
        <v>196</v>
      </c>
      <c r="M346" s="113">
        <v>2083859</v>
      </c>
      <c r="N346" s="113">
        <v>1765982.2034999991</v>
      </c>
      <c r="O346" s="113">
        <v>41</v>
      </c>
      <c r="Q346" s="79" t="s">
        <v>1161</v>
      </c>
      <c r="R346" s="79" t="s">
        <v>117</v>
      </c>
      <c r="S346" s="79" t="s">
        <v>196</v>
      </c>
      <c r="T346" s="113">
        <v>138596</v>
      </c>
      <c r="U346" s="113">
        <v>117454.2372</v>
      </c>
      <c r="V346" s="113">
        <v>4</v>
      </c>
      <c r="X346" s="79" t="s">
        <v>1161</v>
      </c>
      <c r="Y346" s="79" t="s">
        <v>117</v>
      </c>
      <c r="Z346" s="79" t="s">
        <v>196</v>
      </c>
      <c r="AA346" s="113">
        <v>0</v>
      </c>
      <c r="AB346" s="113"/>
      <c r="AC346" s="113"/>
    </row>
    <row r="347" spans="1:29" ht="15.75" hidden="1" customHeight="1" outlineLevel="1" x14ac:dyDescent="0.2">
      <c r="A347" s="278" t="s">
        <v>1167</v>
      </c>
      <c r="B347" s="198" t="s">
        <v>45</v>
      </c>
      <c r="C347" s="181"/>
      <c r="D347" s="278" t="s">
        <v>1163</v>
      </c>
      <c r="E347" s="278" t="s">
        <v>57</v>
      </c>
      <c r="F347" s="278" t="s">
        <v>297</v>
      </c>
      <c r="G347" s="182">
        <v>50</v>
      </c>
      <c r="H347" s="182">
        <v>65</v>
      </c>
      <c r="J347" s="79" t="s">
        <v>1161</v>
      </c>
      <c r="K347" s="79" t="s">
        <v>765</v>
      </c>
      <c r="L347" s="79" t="s">
        <v>766</v>
      </c>
      <c r="M347" s="113">
        <v>2260555</v>
      </c>
      <c r="N347" s="113">
        <v>1915724.5765999998</v>
      </c>
      <c r="O347" s="113">
        <v>45</v>
      </c>
      <c r="Q347" s="79" t="s">
        <v>1161</v>
      </c>
      <c r="R347" s="79" t="s">
        <v>765</v>
      </c>
      <c r="S347" s="79" t="s">
        <v>766</v>
      </c>
      <c r="T347" s="113">
        <v>87998</v>
      </c>
      <c r="U347" s="113">
        <v>74574.576300000001</v>
      </c>
      <c r="V347" s="113">
        <v>2</v>
      </c>
      <c r="X347" s="79" t="s">
        <v>1161</v>
      </c>
      <c r="Y347" s="79" t="s">
        <v>765</v>
      </c>
      <c r="Z347" s="79" t="s">
        <v>766</v>
      </c>
      <c r="AA347" s="113">
        <v>0</v>
      </c>
      <c r="AB347" s="113"/>
      <c r="AC347" s="113"/>
    </row>
    <row r="348" spans="1:29" ht="15.75" hidden="1" customHeight="1" outlineLevel="1" x14ac:dyDescent="0.2">
      <c r="A348" s="278" t="s">
        <v>1168</v>
      </c>
      <c r="B348" s="198" t="s">
        <v>702</v>
      </c>
      <c r="C348" s="181"/>
      <c r="D348" s="278" t="s">
        <v>1169</v>
      </c>
      <c r="E348" s="278" t="s">
        <v>216</v>
      </c>
      <c r="F348" s="278" t="s">
        <v>297</v>
      </c>
      <c r="G348" s="182">
        <v>50</v>
      </c>
      <c r="H348" s="182">
        <v>65</v>
      </c>
      <c r="J348" s="79" t="s">
        <v>1161</v>
      </c>
      <c r="K348" s="79" t="s">
        <v>1432</v>
      </c>
      <c r="L348" s="79" t="s">
        <v>1431</v>
      </c>
      <c r="M348" s="113">
        <v>2380350</v>
      </c>
      <c r="N348" s="113">
        <v>2017245.7634999992</v>
      </c>
      <c r="O348" s="113">
        <v>50</v>
      </c>
      <c r="Q348" s="79" t="s">
        <v>1161</v>
      </c>
      <c r="R348" s="79" t="s">
        <v>1432</v>
      </c>
      <c r="S348" s="79" t="s">
        <v>1431</v>
      </c>
      <c r="T348" s="113">
        <v>253895</v>
      </c>
      <c r="U348" s="113">
        <v>215165.2543</v>
      </c>
      <c r="V348" s="113">
        <v>5</v>
      </c>
      <c r="X348" s="79" t="s">
        <v>1161</v>
      </c>
      <c r="Y348" s="79" t="s">
        <v>1432</v>
      </c>
      <c r="Z348" s="79" t="s">
        <v>1431</v>
      </c>
      <c r="AA348" s="113">
        <v>0</v>
      </c>
      <c r="AB348" s="113"/>
      <c r="AC348" s="113"/>
    </row>
    <row r="349" spans="1:29" ht="15.75" hidden="1" customHeight="1" outlineLevel="1" x14ac:dyDescent="0.2">
      <c r="A349" s="278" t="s">
        <v>671</v>
      </c>
      <c r="B349" s="198" t="s">
        <v>200</v>
      </c>
      <c r="C349" s="278" t="s">
        <v>19</v>
      </c>
      <c r="D349" s="278" t="s">
        <v>1169</v>
      </c>
      <c r="E349" s="278" t="s">
        <v>216</v>
      </c>
      <c r="F349" s="278" t="s">
        <v>297</v>
      </c>
      <c r="G349" s="182">
        <v>60</v>
      </c>
      <c r="H349" s="182">
        <v>78</v>
      </c>
      <c r="J349" s="79" t="s">
        <v>1161</v>
      </c>
      <c r="K349" s="79" t="s">
        <v>2520</v>
      </c>
      <c r="L349" s="79" t="s">
        <v>2521</v>
      </c>
      <c r="M349" s="113">
        <v>1260619</v>
      </c>
      <c r="N349" s="113">
        <v>1068321.1862000006</v>
      </c>
      <c r="O349" s="113">
        <v>31</v>
      </c>
      <c r="Q349" s="79" t="s">
        <v>1161</v>
      </c>
      <c r="R349" s="79" t="s">
        <v>2520</v>
      </c>
      <c r="S349" s="79" t="s">
        <v>2521</v>
      </c>
      <c r="T349" s="113">
        <v>329344</v>
      </c>
      <c r="U349" s="113">
        <v>279105.08490000002</v>
      </c>
      <c r="V349" s="113">
        <v>6</v>
      </c>
      <c r="X349" s="79" t="s">
        <v>1161</v>
      </c>
      <c r="Y349" s="79" t="s">
        <v>2520</v>
      </c>
      <c r="Z349" s="79" t="s">
        <v>2521</v>
      </c>
      <c r="AA349" s="113">
        <v>0</v>
      </c>
      <c r="AB349" s="113"/>
      <c r="AC349" s="113"/>
    </row>
    <row r="350" spans="1:29" ht="15.75" hidden="1" customHeight="1" outlineLevel="1" x14ac:dyDescent="0.2">
      <c r="A350" s="198" t="s">
        <v>2091</v>
      </c>
      <c r="B350" s="198" t="s">
        <v>2092</v>
      </c>
      <c r="C350" s="180"/>
      <c r="D350" s="278" t="s">
        <v>1169</v>
      </c>
      <c r="E350" s="278" t="s">
        <v>216</v>
      </c>
      <c r="F350" s="278" t="s">
        <v>297</v>
      </c>
      <c r="G350" s="165">
        <v>45</v>
      </c>
      <c r="H350" s="182">
        <v>58.5</v>
      </c>
      <c r="J350" s="79" t="s">
        <v>1161</v>
      </c>
      <c r="K350" s="79" t="s">
        <v>41</v>
      </c>
      <c r="L350" s="79" t="s">
        <v>42</v>
      </c>
      <c r="M350" s="113">
        <v>2262799</v>
      </c>
      <c r="N350" s="113">
        <v>1917626.2711999994</v>
      </c>
      <c r="O350" s="113">
        <v>51</v>
      </c>
      <c r="Q350" s="79" t="s">
        <v>1161</v>
      </c>
      <c r="R350" s="79" t="s">
        <v>41</v>
      </c>
      <c r="S350" s="79" t="s">
        <v>42</v>
      </c>
      <c r="T350" s="113">
        <v>761283</v>
      </c>
      <c r="U350" s="113">
        <v>645155.0845</v>
      </c>
      <c r="V350" s="113">
        <v>17</v>
      </c>
      <c r="X350" s="79" t="s">
        <v>1161</v>
      </c>
      <c r="Y350" s="79" t="s">
        <v>41</v>
      </c>
      <c r="Z350" s="79" t="s">
        <v>42</v>
      </c>
      <c r="AA350" s="113">
        <v>0</v>
      </c>
      <c r="AB350" s="113"/>
      <c r="AC350" s="113"/>
    </row>
    <row r="351" spans="1:29" ht="15.75" hidden="1" customHeight="1" outlineLevel="1" x14ac:dyDescent="0.2">
      <c r="A351" s="278" t="s">
        <v>216</v>
      </c>
      <c r="B351" s="198" t="s">
        <v>18</v>
      </c>
      <c r="C351" s="180"/>
      <c r="D351" s="278" t="s">
        <v>1169</v>
      </c>
      <c r="E351" s="278" t="s">
        <v>216</v>
      </c>
      <c r="F351" s="278" t="s">
        <v>297</v>
      </c>
      <c r="G351" s="165">
        <v>30</v>
      </c>
      <c r="H351" s="182">
        <v>39</v>
      </c>
      <c r="J351" s="79" t="s">
        <v>1178</v>
      </c>
      <c r="K351" s="79"/>
      <c r="L351" s="79"/>
      <c r="M351" s="113">
        <v>11342660</v>
      </c>
      <c r="N351" s="113">
        <v>9612423.7298999988</v>
      </c>
      <c r="O351" s="113">
        <v>240</v>
      </c>
      <c r="Q351" s="79" t="s">
        <v>1178</v>
      </c>
      <c r="R351" s="79"/>
      <c r="S351" s="79"/>
      <c r="T351" s="113">
        <v>1924459</v>
      </c>
      <c r="U351" s="113">
        <v>1630897.4575</v>
      </c>
      <c r="V351" s="113">
        <v>41</v>
      </c>
      <c r="X351" s="79" t="s">
        <v>1178</v>
      </c>
      <c r="Y351" s="79"/>
      <c r="Z351" s="79"/>
      <c r="AA351" s="113">
        <v>0</v>
      </c>
      <c r="AB351" s="113">
        <v>0</v>
      </c>
      <c r="AC351" s="113">
        <v>0</v>
      </c>
    </row>
    <row r="352" spans="1:29" ht="15.75" hidden="1" customHeight="1" outlineLevel="1" x14ac:dyDescent="0.2">
      <c r="A352" s="278" t="s">
        <v>19</v>
      </c>
      <c r="B352" s="198" t="s">
        <v>205</v>
      </c>
      <c r="C352" s="180"/>
      <c r="D352" s="278" t="s">
        <v>1169</v>
      </c>
      <c r="E352" s="278" t="s">
        <v>216</v>
      </c>
      <c r="F352" s="278" t="s">
        <v>297</v>
      </c>
      <c r="G352" s="165">
        <v>50</v>
      </c>
      <c r="H352" s="182">
        <v>65</v>
      </c>
      <c r="J352" s="79" t="s">
        <v>1162</v>
      </c>
      <c r="K352" s="79" t="s">
        <v>240</v>
      </c>
      <c r="L352" s="79" t="s">
        <v>241</v>
      </c>
      <c r="M352" s="113">
        <v>2340550</v>
      </c>
      <c r="N352" s="113">
        <v>1983516.9486999996</v>
      </c>
      <c r="O352" s="113">
        <v>50</v>
      </c>
      <c r="Q352" s="79" t="s">
        <v>1162</v>
      </c>
      <c r="R352" s="79" t="s">
        <v>240</v>
      </c>
      <c r="S352" s="79" t="s">
        <v>241</v>
      </c>
      <c r="T352" s="113">
        <v>42999</v>
      </c>
      <c r="U352" s="113">
        <v>36439.830499999996</v>
      </c>
      <c r="V352" s="113">
        <v>1</v>
      </c>
      <c r="X352" s="79" t="s">
        <v>1162</v>
      </c>
      <c r="Y352" s="79" t="s">
        <v>240</v>
      </c>
      <c r="Z352" s="79" t="s">
        <v>241</v>
      </c>
      <c r="AA352" s="113">
        <v>0</v>
      </c>
      <c r="AB352" s="113"/>
      <c r="AC352" s="113"/>
    </row>
    <row r="353" spans="10:29" ht="15.75" hidden="1" customHeight="1" outlineLevel="1" x14ac:dyDescent="0.2">
      <c r="J353" s="112" t="s">
        <v>1162</v>
      </c>
      <c r="K353" s="79" t="s">
        <v>352</v>
      </c>
      <c r="L353" s="79" t="s">
        <v>289</v>
      </c>
      <c r="M353" s="113">
        <v>2985784</v>
      </c>
      <c r="N353" s="113">
        <v>2530325.4237000011</v>
      </c>
      <c r="O353" s="113">
        <v>66</v>
      </c>
      <c r="Q353" s="112" t="s">
        <v>1162</v>
      </c>
      <c r="R353" s="79" t="s">
        <v>352</v>
      </c>
      <c r="S353" s="79" t="s">
        <v>289</v>
      </c>
      <c r="T353" s="113">
        <v>87998</v>
      </c>
      <c r="U353" s="113">
        <v>74574.576300000001</v>
      </c>
      <c r="V353" s="113">
        <v>2</v>
      </c>
      <c r="X353" s="112" t="s">
        <v>1162</v>
      </c>
      <c r="Y353" s="79" t="s">
        <v>352</v>
      </c>
      <c r="Z353" s="79" t="s">
        <v>289</v>
      </c>
      <c r="AA353" s="113">
        <v>0</v>
      </c>
      <c r="AB353" s="113"/>
      <c r="AC353" s="113"/>
    </row>
    <row r="354" spans="10:29" ht="15.75" hidden="1" customHeight="1" outlineLevel="1" x14ac:dyDescent="0.2">
      <c r="J354" s="112" t="s">
        <v>1162</v>
      </c>
      <c r="K354" s="79" t="s">
        <v>230</v>
      </c>
      <c r="L354" s="79" t="s">
        <v>35</v>
      </c>
      <c r="M354" s="113">
        <v>1922159</v>
      </c>
      <c r="N354" s="113">
        <v>1628948.3053100002</v>
      </c>
      <c r="O354" s="113">
        <v>41</v>
      </c>
      <c r="Q354" s="112" t="s">
        <v>1162</v>
      </c>
      <c r="R354" s="79" t="s">
        <v>230</v>
      </c>
      <c r="S354" s="79" t="s">
        <v>35</v>
      </c>
      <c r="T354" s="113">
        <v>971230</v>
      </c>
      <c r="U354" s="113">
        <v>823076.27140000032</v>
      </c>
      <c r="V354" s="113">
        <v>20</v>
      </c>
      <c r="X354" s="112" t="s">
        <v>1162</v>
      </c>
      <c r="Y354" s="79" t="s">
        <v>230</v>
      </c>
      <c r="Z354" s="79" t="s">
        <v>35</v>
      </c>
      <c r="AA354" s="113">
        <v>5999</v>
      </c>
      <c r="AB354" s="113">
        <v>5083.8983099999996</v>
      </c>
      <c r="AC354" s="113">
        <v>1</v>
      </c>
    </row>
    <row r="355" spans="10:29" ht="15.75" hidden="1" customHeight="1" outlineLevel="1" x14ac:dyDescent="0.2">
      <c r="J355" s="112" t="s">
        <v>1179</v>
      </c>
      <c r="K355" s="79"/>
      <c r="L355" s="79"/>
      <c r="M355" s="113">
        <v>7248493</v>
      </c>
      <c r="N355" s="113">
        <v>6142790.6777100004</v>
      </c>
      <c r="O355" s="113">
        <v>157</v>
      </c>
      <c r="Q355" s="112" t="s">
        <v>1179</v>
      </c>
      <c r="R355" s="79"/>
      <c r="S355" s="79"/>
      <c r="T355" s="113">
        <v>1102227</v>
      </c>
      <c r="U355" s="113">
        <v>934090.67820000031</v>
      </c>
      <c r="V355" s="113">
        <v>23</v>
      </c>
      <c r="X355" s="112" t="s">
        <v>1179</v>
      </c>
      <c r="Y355" s="79"/>
      <c r="Z355" s="79"/>
      <c r="AA355" s="113">
        <v>5999</v>
      </c>
      <c r="AB355" s="113">
        <v>5083.8983099999996</v>
      </c>
      <c r="AC355" s="113">
        <v>1</v>
      </c>
    </row>
    <row r="356" spans="10:29" ht="15.75" hidden="1" customHeight="1" outlineLevel="1" x14ac:dyDescent="0.2">
      <c r="J356" s="112" t="s">
        <v>1163</v>
      </c>
      <c r="K356" s="79" t="s">
        <v>207</v>
      </c>
      <c r="L356" s="79" t="s">
        <v>201</v>
      </c>
      <c r="M356" s="113">
        <v>2254456</v>
      </c>
      <c r="N356" s="113">
        <v>1910555.9320999996</v>
      </c>
      <c r="O356" s="113">
        <v>44</v>
      </c>
      <c r="Q356" s="112" t="s">
        <v>1163</v>
      </c>
      <c r="R356" s="79" t="s">
        <v>207</v>
      </c>
      <c r="S356" s="79" t="s">
        <v>201</v>
      </c>
      <c r="T356" s="113">
        <v>552637</v>
      </c>
      <c r="U356" s="113">
        <v>468336.44070000009</v>
      </c>
      <c r="V356" s="113">
        <v>13</v>
      </c>
      <c r="X356" s="112" t="s">
        <v>1163</v>
      </c>
      <c r="Y356" s="79" t="s">
        <v>207</v>
      </c>
      <c r="Z356" s="79" t="s">
        <v>201</v>
      </c>
      <c r="AA356" s="113">
        <v>0</v>
      </c>
      <c r="AB356" s="113"/>
      <c r="AC356" s="113"/>
    </row>
    <row r="357" spans="10:29" ht="15.75" hidden="1" customHeight="1" outlineLevel="1" x14ac:dyDescent="0.2">
      <c r="J357" s="112" t="s">
        <v>1163</v>
      </c>
      <c r="K357" s="79" t="s">
        <v>299</v>
      </c>
      <c r="L357" s="79" t="s">
        <v>290</v>
      </c>
      <c r="M357" s="113">
        <v>645986</v>
      </c>
      <c r="N357" s="113">
        <v>547445.76290000009</v>
      </c>
      <c r="O357" s="113">
        <v>14</v>
      </c>
      <c r="Q357" s="112" t="s">
        <v>1163</v>
      </c>
      <c r="R357" s="79" t="s">
        <v>299</v>
      </c>
      <c r="S357" s="79" t="s">
        <v>290</v>
      </c>
      <c r="T357" s="113">
        <v>645986</v>
      </c>
      <c r="U357" s="113">
        <v>547445.76290000009</v>
      </c>
      <c r="V357" s="113">
        <v>14</v>
      </c>
      <c r="X357" s="112" t="s">
        <v>1163</v>
      </c>
      <c r="Y357" s="79" t="s">
        <v>299</v>
      </c>
      <c r="Z357" s="79" t="s">
        <v>290</v>
      </c>
      <c r="AA357" s="113">
        <v>0</v>
      </c>
      <c r="AB357" s="113"/>
      <c r="AC357" s="113"/>
    </row>
    <row r="358" spans="10:29" ht="15.75" hidden="1" customHeight="1" outlineLevel="1" x14ac:dyDescent="0.2">
      <c r="J358" s="112" t="s">
        <v>1163</v>
      </c>
      <c r="K358" s="79" t="s">
        <v>837</v>
      </c>
      <c r="L358" s="79" t="s">
        <v>838</v>
      </c>
      <c r="M358" s="113">
        <v>1460766</v>
      </c>
      <c r="N358" s="113">
        <v>1237937.2879999999</v>
      </c>
      <c r="O358" s="113">
        <v>34</v>
      </c>
      <c r="Q358" s="112" t="s">
        <v>1163</v>
      </c>
      <c r="R358" s="79" t="s">
        <v>837</v>
      </c>
      <c r="S358" s="79" t="s">
        <v>838</v>
      </c>
      <c r="T358" s="113">
        <v>213495</v>
      </c>
      <c r="U358" s="113">
        <v>180927.96609999999</v>
      </c>
      <c r="V358" s="113">
        <v>5</v>
      </c>
      <c r="X358" s="112" t="s">
        <v>1163</v>
      </c>
      <c r="Y358" s="79" t="s">
        <v>837</v>
      </c>
      <c r="Z358" s="79" t="s">
        <v>838</v>
      </c>
      <c r="AA358" s="113">
        <v>0</v>
      </c>
      <c r="AB358" s="113"/>
      <c r="AC358" s="113"/>
    </row>
    <row r="359" spans="10:29" ht="15.75" hidden="1" customHeight="1" outlineLevel="1" x14ac:dyDescent="0.2">
      <c r="J359" s="112" t="s">
        <v>1163</v>
      </c>
      <c r="K359" s="42" t="s">
        <v>221</v>
      </c>
      <c r="L359" s="42" t="s">
        <v>45</v>
      </c>
      <c r="M359" s="113">
        <v>1372872</v>
      </c>
      <c r="N359" s="113">
        <v>1163450.8473999999</v>
      </c>
      <c r="O359" s="113">
        <v>28</v>
      </c>
      <c r="Q359" s="112" t="s">
        <v>1163</v>
      </c>
      <c r="R359" s="42" t="s">
        <v>221</v>
      </c>
      <c r="S359" s="42" t="s">
        <v>45</v>
      </c>
      <c r="T359" s="113">
        <v>408690</v>
      </c>
      <c r="U359" s="113">
        <v>346347.45770000003</v>
      </c>
      <c r="V359" s="113">
        <v>10</v>
      </c>
      <c r="X359" s="112" t="s">
        <v>1163</v>
      </c>
      <c r="Y359" s="42" t="s">
        <v>221</v>
      </c>
      <c r="Z359" s="42" t="s">
        <v>45</v>
      </c>
      <c r="AA359" s="113">
        <v>0</v>
      </c>
      <c r="AB359" s="113"/>
      <c r="AC359" s="113"/>
    </row>
    <row r="360" spans="10:29" ht="15.75" hidden="1" customHeight="1" outlineLevel="1" x14ac:dyDescent="0.2">
      <c r="J360" s="112" t="s">
        <v>1163</v>
      </c>
      <c r="K360" s="42" t="s">
        <v>1165</v>
      </c>
      <c r="L360" s="42" t="s">
        <v>1166</v>
      </c>
      <c r="M360" s="113">
        <v>920180</v>
      </c>
      <c r="N360" s="113">
        <v>779813.55950000009</v>
      </c>
      <c r="O360" s="113">
        <v>20</v>
      </c>
      <c r="Q360" s="112" t="s">
        <v>1163</v>
      </c>
      <c r="R360" s="42" t="s">
        <v>1165</v>
      </c>
      <c r="S360" s="42" t="s">
        <v>1166</v>
      </c>
      <c r="T360" s="113">
        <v>507290</v>
      </c>
      <c r="U360" s="113">
        <v>429906.77990000002</v>
      </c>
      <c r="V360" s="113">
        <v>10</v>
      </c>
      <c r="X360" s="112" t="s">
        <v>1163</v>
      </c>
      <c r="Y360" s="42" t="s">
        <v>1165</v>
      </c>
      <c r="Z360" s="42" t="s">
        <v>1166</v>
      </c>
      <c r="AA360" s="113">
        <v>0</v>
      </c>
      <c r="AB360" s="113"/>
      <c r="AC360" s="113"/>
    </row>
    <row r="361" spans="10:29" ht="15.75" hidden="1" customHeight="1" outlineLevel="1" x14ac:dyDescent="0.2">
      <c r="J361" s="112" t="s">
        <v>1163</v>
      </c>
      <c r="K361" s="42" t="s">
        <v>57</v>
      </c>
      <c r="L361" s="42" t="s">
        <v>58</v>
      </c>
      <c r="M361" s="113">
        <v>1058279</v>
      </c>
      <c r="N361" s="113">
        <v>896846.61030000006</v>
      </c>
      <c r="O361" s="113">
        <v>21</v>
      </c>
      <c r="Q361" s="112" t="s">
        <v>1163</v>
      </c>
      <c r="R361" s="42" t="s">
        <v>57</v>
      </c>
      <c r="S361" s="42" t="s">
        <v>58</v>
      </c>
      <c r="T361" s="113">
        <v>1058279</v>
      </c>
      <c r="U361" s="113">
        <v>896846.61030000017</v>
      </c>
      <c r="V361" s="113">
        <v>21</v>
      </c>
      <c r="X361" s="112" t="s">
        <v>1163</v>
      </c>
      <c r="Y361" s="42" t="s">
        <v>57</v>
      </c>
      <c r="Z361" s="42" t="s">
        <v>58</v>
      </c>
      <c r="AA361" s="113">
        <v>0</v>
      </c>
      <c r="AB361" s="113"/>
      <c r="AC361" s="113"/>
    </row>
    <row r="362" spans="10:29" ht="15.75" hidden="1" customHeight="1" outlineLevel="1" x14ac:dyDescent="0.2">
      <c r="J362" s="112" t="s">
        <v>1180</v>
      </c>
      <c r="K362" s="161"/>
      <c r="L362" s="79"/>
      <c r="M362" s="113">
        <v>8933467</v>
      </c>
      <c r="N362" s="113">
        <v>7570734.7458999995</v>
      </c>
      <c r="O362" s="113">
        <v>183</v>
      </c>
      <c r="Q362" s="112" t="s">
        <v>1180</v>
      </c>
      <c r="R362" s="161"/>
      <c r="S362" s="79"/>
      <c r="T362" s="113">
        <v>3654021</v>
      </c>
      <c r="U362" s="113">
        <v>3096627.9668000005</v>
      </c>
      <c r="V362" s="113">
        <v>79</v>
      </c>
      <c r="X362" s="112" t="s">
        <v>1180</v>
      </c>
      <c r="Y362" s="161"/>
      <c r="Z362" s="79"/>
      <c r="AA362" s="113">
        <v>0</v>
      </c>
      <c r="AB362" s="113">
        <v>0</v>
      </c>
      <c r="AC362" s="113">
        <v>0</v>
      </c>
    </row>
    <row r="363" spans="10:29" ht="15.75" hidden="1" customHeight="1" outlineLevel="1" x14ac:dyDescent="0.2">
      <c r="J363" s="112" t="s">
        <v>1169</v>
      </c>
      <c r="K363" s="161" t="s">
        <v>216</v>
      </c>
      <c r="L363" s="79" t="s">
        <v>18</v>
      </c>
      <c r="M363" s="113">
        <v>1970960</v>
      </c>
      <c r="N363" s="113">
        <v>1670305.0850899995</v>
      </c>
      <c r="O363" s="113">
        <v>40</v>
      </c>
      <c r="Q363" s="112" t="s">
        <v>1169</v>
      </c>
      <c r="R363" s="161" t="s">
        <v>216</v>
      </c>
      <c r="S363" s="79" t="s">
        <v>18</v>
      </c>
      <c r="T363" s="113">
        <v>0</v>
      </c>
      <c r="U363" s="113"/>
      <c r="V363" s="113"/>
      <c r="X363" s="112" t="s">
        <v>1169</v>
      </c>
      <c r="Y363" s="161" t="s">
        <v>216</v>
      </c>
      <c r="Z363" s="79" t="s">
        <v>18</v>
      </c>
      <c r="AA363" s="113">
        <v>8999</v>
      </c>
      <c r="AB363" s="113">
        <v>7626.2711900000004</v>
      </c>
      <c r="AC363" s="113">
        <v>1</v>
      </c>
    </row>
    <row r="364" spans="10:29" ht="15.75" hidden="1" customHeight="1" outlineLevel="1" x14ac:dyDescent="0.2">
      <c r="J364" s="112" t="s">
        <v>1169</v>
      </c>
      <c r="K364" s="161" t="s">
        <v>701</v>
      </c>
      <c r="L364" s="79" t="s">
        <v>702</v>
      </c>
      <c r="M364" s="113">
        <v>1276975</v>
      </c>
      <c r="N364" s="113">
        <v>1082182.2035000003</v>
      </c>
      <c r="O364" s="113">
        <v>25</v>
      </c>
      <c r="Q364" s="112" t="s">
        <v>1169</v>
      </c>
      <c r="R364" s="161" t="s">
        <v>701</v>
      </c>
      <c r="S364" s="79" t="s">
        <v>702</v>
      </c>
      <c r="T364" s="113">
        <v>0</v>
      </c>
      <c r="U364" s="113"/>
      <c r="V364" s="113"/>
      <c r="X364" s="112" t="s">
        <v>1169</v>
      </c>
      <c r="Y364" s="161" t="s">
        <v>701</v>
      </c>
      <c r="Z364" s="79" t="s">
        <v>702</v>
      </c>
      <c r="AA364" s="113">
        <v>0</v>
      </c>
      <c r="AB364" s="113"/>
      <c r="AC364" s="113"/>
    </row>
    <row r="365" spans="10:29" ht="15.75" hidden="1" customHeight="1" outlineLevel="1" x14ac:dyDescent="0.2">
      <c r="J365" s="112" t="s">
        <v>1169</v>
      </c>
      <c r="K365" s="79" t="s">
        <v>671</v>
      </c>
      <c r="L365" s="79" t="s">
        <v>200</v>
      </c>
      <c r="M365" s="113">
        <v>735684</v>
      </c>
      <c r="N365" s="113">
        <v>623461.0168000001</v>
      </c>
      <c r="O365" s="113">
        <v>16</v>
      </c>
      <c r="Q365" s="112" t="s">
        <v>1169</v>
      </c>
      <c r="R365" s="79" t="s">
        <v>671</v>
      </c>
      <c r="S365" s="79" t="s">
        <v>200</v>
      </c>
      <c r="T365" s="113">
        <v>268693</v>
      </c>
      <c r="U365" s="113">
        <v>227705.93219999998</v>
      </c>
      <c r="V365" s="113">
        <v>7</v>
      </c>
      <c r="X365" s="112" t="s">
        <v>1169</v>
      </c>
      <c r="Y365" s="79" t="s">
        <v>671</v>
      </c>
      <c r="Z365" s="79" t="s">
        <v>200</v>
      </c>
      <c r="AA365" s="113">
        <v>0</v>
      </c>
      <c r="AB365" s="113"/>
      <c r="AC365" s="113"/>
    </row>
    <row r="366" spans="10:29" ht="15.75" hidden="1" customHeight="1" outlineLevel="1" x14ac:dyDescent="0.2">
      <c r="J366" s="112" t="s">
        <v>1169</v>
      </c>
      <c r="K366" s="22" t="s">
        <v>19</v>
      </c>
      <c r="L366" s="22" t="s">
        <v>205</v>
      </c>
      <c r="M366" s="113">
        <v>995981</v>
      </c>
      <c r="N366" s="113">
        <v>844051.69520000019</v>
      </c>
      <c r="O366" s="113">
        <v>19</v>
      </c>
      <c r="Q366" s="112" t="s">
        <v>1169</v>
      </c>
      <c r="R366" s="22" t="s">
        <v>19</v>
      </c>
      <c r="S366" s="22" t="s">
        <v>205</v>
      </c>
      <c r="T366" s="113">
        <v>0</v>
      </c>
      <c r="U366" s="113"/>
      <c r="V366" s="113"/>
      <c r="X366" s="112" t="s">
        <v>1169</v>
      </c>
      <c r="Y366" s="22" t="s">
        <v>19</v>
      </c>
      <c r="Z366" s="22" t="s">
        <v>205</v>
      </c>
      <c r="AA366" s="113">
        <v>0</v>
      </c>
      <c r="AB366" s="113"/>
      <c r="AC366" s="113"/>
    </row>
    <row r="367" spans="10:29" ht="15.75" hidden="1" customHeight="1" outlineLevel="1" x14ac:dyDescent="0.2">
      <c r="J367" s="112" t="s">
        <v>1169</v>
      </c>
      <c r="K367" s="42" t="s">
        <v>2091</v>
      </c>
      <c r="L367" s="42" t="s">
        <v>2092</v>
      </c>
      <c r="M367" s="113">
        <v>1220928</v>
      </c>
      <c r="N367" s="113">
        <v>1034684.7457000001</v>
      </c>
      <c r="O367" s="113">
        <v>22</v>
      </c>
      <c r="Q367" s="112" t="s">
        <v>1169</v>
      </c>
      <c r="R367" s="42" t="s">
        <v>2091</v>
      </c>
      <c r="S367" s="42" t="s">
        <v>2092</v>
      </c>
      <c r="T367" s="113">
        <v>267644</v>
      </c>
      <c r="U367" s="113">
        <v>226816.9492</v>
      </c>
      <c r="V367" s="113">
        <v>6</v>
      </c>
      <c r="X367" s="112" t="s">
        <v>1169</v>
      </c>
      <c r="Y367" s="42" t="s">
        <v>2091</v>
      </c>
      <c r="Z367" s="42" t="s">
        <v>2092</v>
      </c>
      <c r="AA367" s="113">
        <v>0</v>
      </c>
      <c r="AB367" s="113"/>
      <c r="AC367" s="113"/>
    </row>
    <row r="368" spans="10:29" ht="15.75" hidden="1" customHeight="1" outlineLevel="1" x14ac:dyDescent="0.2">
      <c r="J368" s="112" t="s">
        <v>1169</v>
      </c>
      <c r="K368" s="22" t="s">
        <v>333</v>
      </c>
      <c r="L368" s="22" t="s">
        <v>340</v>
      </c>
      <c r="M368" s="113">
        <v>0</v>
      </c>
      <c r="N368" s="113"/>
      <c r="O368" s="113"/>
      <c r="Q368" s="112" t="s">
        <v>1169</v>
      </c>
      <c r="R368" s="22" t="s">
        <v>333</v>
      </c>
      <c r="S368" s="22" t="s">
        <v>340</v>
      </c>
      <c r="T368" s="113">
        <v>0</v>
      </c>
      <c r="U368" s="113"/>
      <c r="V368" s="113"/>
      <c r="X368" s="112" t="s">
        <v>1169</v>
      </c>
      <c r="Y368" s="22" t="s">
        <v>333</v>
      </c>
      <c r="Z368" s="22" t="s">
        <v>340</v>
      </c>
      <c r="AA368" s="113">
        <v>0</v>
      </c>
      <c r="AB368" s="113"/>
      <c r="AC368" s="113"/>
    </row>
    <row r="369" spans="1:29" ht="15.75" hidden="1" customHeight="1" outlineLevel="1" x14ac:dyDescent="0.2">
      <c r="J369" s="112" t="s">
        <v>1181</v>
      </c>
      <c r="K369" s="20"/>
      <c r="L369" s="20"/>
      <c r="M369" s="113">
        <v>4979600</v>
      </c>
      <c r="N369" s="113">
        <v>4220000.0005900003</v>
      </c>
      <c r="O369" s="113">
        <v>100</v>
      </c>
      <c r="Q369" s="112" t="s">
        <v>1181</v>
      </c>
      <c r="R369" s="20"/>
      <c r="S369" s="20"/>
      <c r="T369" s="113">
        <v>268693</v>
      </c>
      <c r="U369" s="113">
        <v>227705.93219999998</v>
      </c>
      <c r="V369" s="113">
        <v>7</v>
      </c>
      <c r="X369" s="112" t="s">
        <v>1181</v>
      </c>
      <c r="Y369" s="20"/>
      <c r="Z369" s="20"/>
      <c r="AA369" s="113">
        <v>8999</v>
      </c>
      <c r="AB369" s="113">
        <v>7626.2711900000004</v>
      </c>
      <c r="AC369" s="113">
        <v>1</v>
      </c>
    </row>
    <row r="370" spans="1:29" ht="15.75" hidden="1" customHeight="1" outlineLevel="1" x14ac:dyDescent="0.2">
      <c r="J370" s="228" t="s">
        <v>69</v>
      </c>
      <c r="K370" s="228"/>
      <c r="L370" s="228"/>
      <c r="M370" s="229">
        <f>+M284+M289+M298+M302+M311+M319+M324+M329+M333+M342+M351+M355+M362+M369</f>
        <v>123511882</v>
      </c>
      <c r="N370" s="229">
        <f>+N284+N289+N298+N302+N311+N319+N324+N329+N333+N342+N351+N355+N362+N369</f>
        <v>104671086.43092002</v>
      </c>
      <c r="O370" s="229">
        <f>+O284+O289+O298+O302+O311+O319+O324+O329+O333+O342+O351+O355+O362+O369</f>
        <v>2768</v>
      </c>
      <c r="Q370" s="228" t="s">
        <v>69</v>
      </c>
      <c r="R370" s="228"/>
      <c r="S370" s="228"/>
      <c r="T370" s="229">
        <f>+T284+T289+T298+T302+T311+T319+T324+T329+T333+T342+T351+T355+T362+T369</f>
        <v>25715274</v>
      </c>
      <c r="U370" s="229">
        <f>+U284+U289+U298+U302+U311+U319+U324+U329+U333+U342+U351+U355+U362+U369</f>
        <v>21792605.083800003</v>
      </c>
      <c r="V370" s="229">
        <f>+V284+V289+V298+V302+V311+V319+V324+V329+V333+V342+V351+V355+V362+V369</f>
        <v>576</v>
      </c>
      <c r="X370" s="228" t="s">
        <v>69</v>
      </c>
      <c r="Y370" s="228"/>
      <c r="Z370" s="228"/>
      <c r="AA370" s="229">
        <f>+AA284+AA289+AA298+AA302+AA311+AA319+AA324+AA329+AA333+AA342+AA351+AA355+AA362+AA369</f>
        <v>184974</v>
      </c>
      <c r="AB370" s="229">
        <f>+AB284+AB289+AB298+AB302+AB311+AB319+AB324+AB329+AB333+AB342+AB351+AB355+AB362+AB369</f>
        <v>156757.62721999999</v>
      </c>
      <c r="AC370" s="229">
        <f>+AC284+AC289+AC298+AC302+AC311+AC319+AC324+AC329+AC333+AC342+AC351+AC355+AC362+AC369</f>
        <v>26</v>
      </c>
    </row>
    <row r="372" spans="1:29" ht="15.75" customHeight="1" x14ac:dyDescent="0.2">
      <c r="A372" s="101">
        <v>46235</v>
      </c>
      <c r="J372" s="2" t="s">
        <v>231</v>
      </c>
      <c r="Q372" s="2" t="s">
        <v>214</v>
      </c>
      <c r="X372" s="2" t="s">
        <v>946</v>
      </c>
    </row>
    <row r="373" spans="1:29" ht="15.75" customHeight="1" x14ac:dyDescent="0.2">
      <c r="A373" s="383" t="s">
        <v>2777</v>
      </c>
      <c r="B373" s="384"/>
      <c r="C373" s="384"/>
      <c r="D373" s="384"/>
      <c r="E373" s="384"/>
      <c r="F373" s="384"/>
      <c r="G373" s="384"/>
      <c r="H373" s="375"/>
      <c r="J373" s="99" t="s">
        <v>68</v>
      </c>
      <c r="K373" s="99" t="s">
        <v>73</v>
      </c>
      <c r="L373" s="99" t="s">
        <v>16</v>
      </c>
      <c r="M373" s="99" t="s">
        <v>65</v>
      </c>
      <c r="N373" s="99" t="s">
        <v>66</v>
      </c>
      <c r="O373" s="99" t="s">
        <v>67</v>
      </c>
      <c r="Q373" s="99" t="s">
        <v>68</v>
      </c>
      <c r="R373" s="99" t="s">
        <v>73</v>
      </c>
      <c r="S373" s="99" t="s">
        <v>16</v>
      </c>
      <c r="T373" s="99" t="s">
        <v>65</v>
      </c>
      <c r="U373" s="99" t="s">
        <v>66</v>
      </c>
      <c r="V373" s="99" t="s">
        <v>67</v>
      </c>
      <c r="X373" s="99" t="s">
        <v>68</v>
      </c>
      <c r="Y373" s="99" t="s">
        <v>73</v>
      </c>
      <c r="Z373" s="99" t="s">
        <v>16</v>
      </c>
      <c r="AA373" s="99" t="s">
        <v>65</v>
      </c>
      <c r="AB373" s="99" t="s">
        <v>66</v>
      </c>
      <c r="AC373" s="99" t="s">
        <v>67</v>
      </c>
    </row>
    <row r="374" spans="1:29" ht="15.75" customHeight="1" x14ac:dyDescent="0.2">
      <c r="A374" s="178" t="s">
        <v>799</v>
      </c>
      <c r="B374" s="178" t="s">
        <v>800</v>
      </c>
      <c r="C374" s="264" t="s">
        <v>801</v>
      </c>
      <c r="D374" s="178" t="s">
        <v>3</v>
      </c>
      <c r="E374" s="178" t="s">
        <v>0</v>
      </c>
      <c r="F374" s="178" t="s">
        <v>772</v>
      </c>
      <c r="G374" s="179" t="s">
        <v>2778</v>
      </c>
      <c r="H374" s="179" t="s">
        <v>2779</v>
      </c>
      <c r="J374" s="112" t="s">
        <v>640</v>
      </c>
      <c r="K374" s="79" t="s">
        <v>191</v>
      </c>
      <c r="L374" s="79" t="s">
        <v>195</v>
      </c>
      <c r="M374" s="113">
        <v>21610975</v>
      </c>
      <c r="N374" s="113">
        <v>18314385.593220301</v>
      </c>
      <c r="O374" s="113">
        <v>325</v>
      </c>
      <c r="Q374" s="112" t="s">
        <v>640</v>
      </c>
      <c r="R374" s="79" t="s">
        <v>191</v>
      </c>
      <c r="S374" s="79" t="s">
        <v>195</v>
      </c>
      <c r="T374" s="113">
        <v>185997</v>
      </c>
      <c r="U374" s="113">
        <v>157624.57627118629</v>
      </c>
      <c r="V374" s="113">
        <v>3</v>
      </c>
      <c r="X374" s="112" t="s">
        <v>640</v>
      </c>
      <c r="Y374" s="79" t="s">
        <v>191</v>
      </c>
      <c r="Z374" s="79" t="s">
        <v>195</v>
      </c>
      <c r="AA374" s="113">
        <v>0</v>
      </c>
      <c r="AB374" s="113"/>
      <c r="AC374" s="113"/>
    </row>
    <row r="375" spans="1:29" ht="15.75" customHeight="1" x14ac:dyDescent="0.2">
      <c r="A375" s="278" t="s">
        <v>191</v>
      </c>
      <c r="B375" s="198" t="s">
        <v>195</v>
      </c>
      <c r="C375" s="265"/>
      <c r="D375" s="279" t="s">
        <v>640</v>
      </c>
      <c r="E375" s="278" t="s">
        <v>191</v>
      </c>
      <c r="F375" s="278" t="s">
        <v>297</v>
      </c>
      <c r="G375" s="182">
        <v>250</v>
      </c>
      <c r="H375" s="182">
        <v>325</v>
      </c>
      <c r="J375" s="112" t="s">
        <v>640</v>
      </c>
      <c r="K375" s="79" t="s">
        <v>31</v>
      </c>
      <c r="L375" s="79" t="s">
        <v>32</v>
      </c>
      <c r="M375" s="113">
        <v>18973262</v>
      </c>
      <c r="N375" s="113">
        <v>16079035.593220321</v>
      </c>
      <c r="O375" s="113">
        <v>288</v>
      </c>
      <c r="Q375" s="112" t="s">
        <v>640</v>
      </c>
      <c r="R375" s="79" t="s">
        <v>31</v>
      </c>
      <c r="S375" s="79" t="s">
        <v>32</v>
      </c>
      <c r="T375" s="113">
        <v>0</v>
      </c>
      <c r="U375" s="113"/>
      <c r="V375" s="113"/>
      <c r="X375" s="112" t="s">
        <v>640</v>
      </c>
      <c r="Y375" s="79" t="s">
        <v>31</v>
      </c>
      <c r="Z375" s="79" t="s">
        <v>32</v>
      </c>
      <c r="AA375" s="113">
        <v>0</v>
      </c>
      <c r="AB375" s="113"/>
      <c r="AC375" s="113"/>
    </row>
    <row r="376" spans="1:29" ht="15.75" customHeight="1" x14ac:dyDescent="0.2">
      <c r="A376" s="278" t="s">
        <v>31</v>
      </c>
      <c r="B376" s="198" t="s">
        <v>32</v>
      </c>
      <c r="C376" s="265"/>
      <c r="D376" s="279" t="s">
        <v>640</v>
      </c>
      <c r="E376" s="278" t="s">
        <v>191</v>
      </c>
      <c r="F376" s="278" t="s">
        <v>297</v>
      </c>
      <c r="G376" s="182">
        <v>250</v>
      </c>
      <c r="H376" s="182">
        <v>325</v>
      </c>
      <c r="J376" s="112" t="s">
        <v>640</v>
      </c>
      <c r="K376" s="79" t="s">
        <v>756</v>
      </c>
      <c r="L376" s="79" t="s">
        <v>757</v>
      </c>
      <c r="M376" s="113">
        <v>16460349</v>
      </c>
      <c r="N376" s="113">
        <v>13949448.305084717</v>
      </c>
      <c r="O376" s="113">
        <v>251</v>
      </c>
      <c r="Q376" s="112" t="s">
        <v>640</v>
      </c>
      <c r="R376" s="79" t="s">
        <v>756</v>
      </c>
      <c r="S376" s="79" t="s">
        <v>757</v>
      </c>
      <c r="T376" s="113">
        <v>0</v>
      </c>
      <c r="U376" s="113"/>
      <c r="V376" s="113"/>
      <c r="X376" s="112" t="s">
        <v>640</v>
      </c>
      <c r="Y376" s="79" t="s">
        <v>756</v>
      </c>
      <c r="Z376" s="79" t="s">
        <v>757</v>
      </c>
      <c r="AA376" s="113">
        <v>0</v>
      </c>
      <c r="AB376" s="113"/>
      <c r="AC376" s="113"/>
    </row>
    <row r="377" spans="1:29" ht="15.75" customHeight="1" x14ac:dyDescent="0.2">
      <c r="A377" s="278" t="s">
        <v>756</v>
      </c>
      <c r="B377" s="198" t="s">
        <v>757</v>
      </c>
      <c r="C377" s="265"/>
      <c r="D377" s="279" t="s">
        <v>640</v>
      </c>
      <c r="E377" s="278" t="s">
        <v>191</v>
      </c>
      <c r="F377" s="278" t="s">
        <v>297</v>
      </c>
      <c r="G377" s="182">
        <v>230</v>
      </c>
      <c r="H377" s="182">
        <v>299</v>
      </c>
      <c r="J377" s="112" t="s">
        <v>640</v>
      </c>
      <c r="K377" s="79" t="s">
        <v>705</v>
      </c>
      <c r="L377" s="79" t="s">
        <v>686</v>
      </c>
      <c r="M377" s="113">
        <v>17743738</v>
      </c>
      <c r="N377" s="113">
        <v>15037066.101694895</v>
      </c>
      <c r="O377" s="113">
        <v>262</v>
      </c>
      <c r="Q377" s="112" t="s">
        <v>640</v>
      </c>
      <c r="R377" s="79" t="s">
        <v>705</v>
      </c>
      <c r="S377" s="79" t="s">
        <v>686</v>
      </c>
      <c r="T377" s="113">
        <v>0</v>
      </c>
      <c r="U377" s="113"/>
      <c r="V377" s="113"/>
      <c r="X377" s="112" t="s">
        <v>640</v>
      </c>
      <c r="Y377" s="79" t="s">
        <v>705</v>
      </c>
      <c r="Z377" s="79" t="s">
        <v>686</v>
      </c>
      <c r="AA377" s="113">
        <v>0</v>
      </c>
      <c r="AB377" s="113"/>
      <c r="AC377" s="113"/>
    </row>
    <row r="378" spans="1:29" ht="15.75" customHeight="1" x14ac:dyDescent="0.2">
      <c r="A378" s="278" t="s">
        <v>705</v>
      </c>
      <c r="B378" s="198" t="s">
        <v>686</v>
      </c>
      <c r="C378" s="265"/>
      <c r="D378" s="279" t="s">
        <v>640</v>
      </c>
      <c r="E378" s="278" t="s">
        <v>191</v>
      </c>
      <c r="F378" s="278" t="s">
        <v>297</v>
      </c>
      <c r="G378" s="182">
        <v>230</v>
      </c>
      <c r="H378" s="182">
        <v>299</v>
      </c>
      <c r="J378" s="112" t="s">
        <v>640</v>
      </c>
      <c r="K378" s="79" t="s">
        <v>248</v>
      </c>
      <c r="L378" s="79" t="s">
        <v>251</v>
      </c>
      <c r="M378" s="113">
        <v>17669010</v>
      </c>
      <c r="N378" s="113">
        <v>14973737.28813556</v>
      </c>
      <c r="O378" s="113">
        <v>290</v>
      </c>
      <c r="Q378" s="112" t="s">
        <v>640</v>
      </c>
      <c r="R378" s="79" t="s">
        <v>248</v>
      </c>
      <c r="S378" s="79" t="s">
        <v>251</v>
      </c>
      <c r="T378" s="113">
        <v>0</v>
      </c>
      <c r="U378" s="113"/>
      <c r="V378" s="113"/>
      <c r="X378" s="112" t="s">
        <v>640</v>
      </c>
      <c r="Y378" s="79" t="s">
        <v>248</v>
      </c>
      <c r="Z378" s="79" t="s">
        <v>251</v>
      </c>
      <c r="AA378" s="113">
        <v>8999</v>
      </c>
      <c r="AB378" s="113">
        <v>7626.2711864406701</v>
      </c>
      <c r="AC378" s="113">
        <v>1</v>
      </c>
    </row>
    <row r="379" spans="1:29" ht="15.75" customHeight="1" x14ac:dyDescent="0.2">
      <c r="A379" s="278" t="s">
        <v>248</v>
      </c>
      <c r="B379" s="198" t="s">
        <v>251</v>
      </c>
      <c r="C379" s="265"/>
      <c r="D379" s="279" t="s">
        <v>640</v>
      </c>
      <c r="E379" s="278" t="s">
        <v>191</v>
      </c>
      <c r="F379" s="278" t="s">
        <v>297</v>
      </c>
      <c r="G379" s="182">
        <v>230</v>
      </c>
      <c r="H379" s="182">
        <v>299</v>
      </c>
      <c r="J379" s="112" t="s">
        <v>929</v>
      </c>
      <c r="K379" s="79"/>
      <c r="L379" s="79"/>
      <c r="M379" s="113">
        <v>92457334</v>
      </c>
      <c r="N379" s="113">
        <v>78353672.881355792</v>
      </c>
      <c r="O379" s="113">
        <v>1416</v>
      </c>
      <c r="Q379" s="112" t="s">
        <v>929</v>
      </c>
      <c r="R379" s="79"/>
      <c r="S379" s="79"/>
      <c r="T379" s="113">
        <v>185997</v>
      </c>
      <c r="U379" s="113">
        <v>157624.57627118629</v>
      </c>
      <c r="V379" s="113">
        <v>3</v>
      </c>
      <c r="X379" s="112" t="s">
        <v>929</v>
      </c>
      <c r="Y379" s="79"/>
      <c r="Z379" s="79"/>
      <c r="AA379" s="113">
        <v>8999</v>
      </c>
      <c r="AB379" s="113">
        <v>7626.2711864406701</v>
      </c>
      <c r="AC379" s="113">
        <v>1</v>
      </c>
    </row>
    <row r="380" spans="1:29" ht="15.75" customHeight="1" x14ac:dyDescent="0.2">
      <c r="A380" s="278" t="s">
        <v>224</v>
      </c>
      <c r="B380" s="198" t="s">
        <v>33</v>
      </c>
      <c r="C380" s="265"/>
      <c r="D380" s="279" t="s">
        <v>1141</v>
      </c>
      <c r="E380" s="278" t="s">
        <v>224</v>
      </c>
      <c r="F380" s="278" t="s">
        <v>297</v>
      </c>
      <c r="G380" s="182">
        <v>300</v>
      </c>
      <c r="H380" s="182">
        <v>390</v>
      </c>
      <c r="J380" s="112" t="s">
        <v>1141</v>
      </c>
      <c r="K380" s="79" t="s">
        <v>224</v>
      </c>
      <c r="L380" s="79" t="s">
        <v>33</v>
      </c>
      <c r="M380" s="113">
        <v>46339369</v>
      </c>
      <c r="N380" s="113">
        <v>39270651.694915302</v>
      </c>
      <c r="O380" s="113">
        <v>681</v>
      </c>
      <c r="Q380" s="112" t="s">
        <v>1141</v>
      </c>
      <c r="R380" s="79" t="s">
        <v>224</v>
      </c>
      <c r="S380" s="79" t="s">
        <v>33</v>
      </c>
      <c r="T380" s="113">
        <v>0</v>
      </c>
      <c r="U380" s="113"/>
      <c r="V380" s="113"/>
      <c r="X380" s="112" t="s">
        <v>1141</v>
      </c>
      <c r="Y380" s="79" t="s">
        <v>224</v>
      </c>
      <c r="Z380" s="79" t="s">
        <v>33</v>
      </c>
      <c r="AA380" s="113">
        <v>0</v>
      </c>
      <c r="AB380" s="113"/>
      <c r="AC380" s="113"/>
    </row>
    <row r="381" spans="1:29" ht="15.75" customHeight="1" x14ac:dyDescent="0.2">
      <c r="A381" s="278" t="s">
        <v>787</v>
      </c>
      <c r="B381" s="198" t="s">
        <v>788</v>
      </c>
      <c r="C381" s="265"/>
      <c r="D381" s="278" t="s">
        <v>1141</v>
      </c>
      <c r="E381" s="278" t="s">
        <v>224</v>
      </c>
      <c r="F381" s="278" t="s">
        <v>297</v>
      </c>
      <c r="G381" s="182">
        <v>200</v>
      </c>
      <c r="H381" s="182">
        <v>260</v>
      </c>
      <c r="J381" s="112" t="s">
        <v>1141</v>
      </c>
      <c r="K381" s="79" t="s">
        <v>787</v>
      </c>
      <c r="L381" s="79" t="s">
        <v>788</v>
      </c>
      <c r="M381" s="113">
        <v>9353155</v>
      </c>
      <c r="N381" s="113">
        <v>7926402.542372887</v>
      </c>
      <c r="O381" s="113">
        <v>145</v>
      </c>
      <c r="Q381" s="112" t="s">
        <v>1141</v>
      </c>
      <c r="R381" s="79" t="s">
        <v>787</v>
      </c>
      <c r="S381" s="79" t="s">
        <v>788</v>
      </c>
      <c r="T381" s="113">
        <v>311995</v>
      </c>
      <c r="U381" s="113">
        <v>264402.5423728812</v>
      </c>
      <c r="V381" s="113">
        <v>5</v>
      </c>
      <c r="X381" s="112" t="s">
        <v>1141</v>
      </c>
      <c r="Y381" s="79" t="s">
        <v>787</v>
      </c>
      <c r="Z381" s="79" t="s">
        <v>788</v>
      </c>
      <c r="AA381" s="113">
        <v>0</v>
      </c>
      <c r="AB381" s="113"/>
      <c r="AC381" s="113"/>
    </row>
    <row r="382" spans="1:29" ht="15.75" customHeight="1" x14ac:dyDescent="0.2">
      <c r="A382" s="278" t="s">
        <v>218</v>
      </c>
      <c r="B382" s="198" t="s">
        <v>219</v>
      </c>
      <c r="C382" s="265"/>
      <c r="D382" s="278" t="s">
        <v>1141</v>
      </c>
      <c r="E382" s="278" t="s">
        <v>224</v>
      </c>
      <c r="F382" s="278" t="s">
        <v>297</v>
      </c>
      <c r="G382" s="182">
        <v>250</v>
      </c>
      <c r="H382" s="182">
        <v>325</v>
      </c>
      <c r="J382" s="112" t="s">
        <v>1141</v>
      </c>
      <c r="K382" s="79" t="s">
        <v>218</v>
      </c>
      <c r="L382" s="79" t="s">
        <v>219</v>
      </c>
      <c r="M382" s="113">
        <v>12961099</v>
      </c>
      <c r="N382" s="113">
        <v>10983982.203389831</v>
      </c>
      <c r="O382" s="113">
        <v>201</v>
      </c>
      <c r="Q382" s="112" t="s">
        <v>1141</v>
      </c>
      <c r="R382" s="79" t="s">
        <v>218</v>
      </c>
      <c r="S382" s="79" t="s">
        <v>219</v>
      </c>
      <c r="T382" s="113">
        <v>70999</v>
      </c>
      <c r="U382" s="113">
        <v>60168.644067796602</v>
      </c>
      <c r="V382" s="113">
        <v>1</v>
      </c>
      <c r="X382" s="112" t="s">
        <v>1141</v>
      </c>
      <c r="Y382" s="79" t="s">
        <v>218</v>
      </c>
      <c r="Z382" s="79" t="s">
        <v>219</v>
      </c>
      <c r="AA382" s="113">
        <v>0</v>
      </c>
      <c r="AB382" s="113"/>
      <c r="AC382" s="113"/>
    </row>
    <row r="383" spans="1:29" ht="15.75" customHeight="1" x14ac:dyDescent="0.2">
      <c r="A383" s="278" t="s">
        <v>782</v>
      </c>
      <c r="B383" s="198" t="s">
        <v>781</v>
      </c>
      <c r="C383" s="181"/>
      <c r="D383" s="278" t="s">
        <v>1141</v>
      </c>
      <c r="E383" s="278" t="s">
        <v>224</v>
      </c>
      <c r="F383" s="278" t="s">
        <v>297</v>
      </c>
      <c r="G383" s="182">
        <v>250</v>
      </c>
      <c r="H383" s="182">
        <v>325</v>
      </c>
      <c r="J383" s="112" t="s">
        <v>1141</v>
      </c>
      <c r="K383" s="79" t="s">
        <v>780</v>
      </c>
      <c r="L383" s="79" t="s">
        <v>781</v>
      </c>
      <c r="M383" s="113">
        <v>15872062</v>
      </c>
      <c r="N383" s="113">
        <v>13450899.999999996</v>
      </c>
      <c r="O383" s="113">
        <v>238</v>
      </c>
      <c r="Q383" s="112" t="s">
        <v>1141</v>
      </c>
      <c r="R383" s="79" t="s">
        <v>780</v>
      </c>
      <c r="S383" s="79" t="s">
        <v>781</v>
      </c>
      <c r="T383" s="113">
        <v>71999</v>
      </c>
      <c r="U383" s="113">
        <v>61016.101694915204</v>
      </c>
      <c r="V383" s="113">
        <v>1</v>
      </c>
      <c r="X383" s="112" t="s">
        <v>1141</v>
      </c>
      <c r="Y383" s="79" t="s">
        <v>780</v>
      </c>
      <c r="Z383" s="79" t="s">
        <v>781</v>
      </c>
      <c r="AA383" s="113">
        <v>0</v>
      </c>
      <c r="AB383" s="113"/>
      <c r="AC383" s="113"/>
    </row>
    <row r="384" spans="1:29" ht="15.75" customHeight="1" x14ac:dyDescent="0.2">
      <c r="A384" s="278" t="s">
        <v>1109</v>
      </c>
      <c r="B384" s="198" t="s">
        <v>1110</v>
      </c>
      <c r="C384" s="265"/>
      <c r="D384" s="278" t="s">
        <v>646</v>
      </c>
      <c r="E384" s="278" t="s">
        <v>48</v>
      </c>
      <c r="F384" s="347" t="s">
        <v>2519</v>
      </c>
      <c r="G384" s="182">
        <v>150</v>
      </c>
      <c r="H384" s="182">
        <v>195</v>
      </c>
      <c r="J384" s="112" t="s">
        <v>1170</v>
      </c>
      <c r="K384" s="79"/>
      <c r="L384" s="79"/>
      <c r="M384" s="113">
        <v>84525685</v>
      </c>
      <c r="N384" s="113">
        <v>71631936.440678015</v>
      </c>
      <c r="O384" s="113">
        <v>1265</v>
      </c>
      <c r="Q384" s="112" t="s">
        <v>1170</v>
      </c>
      <c r="R384" s="79"/>
      <c r="S384" s="79"/>
      <c r="T384" s="113">
        <v>454993</v>
      </c>
      <c r="U384" s="113">
        <v>385587.288135593</v>
      </c>
      <c r="V384" s="113">
        <v>7</v>
      </c>
      <c r="X384" s="112" t="s">
        <v>1170</v>
      </c>
      <c r="Y384" s="79"/>
      <c r="Z384" s="79"/>
      <c r="AA384" s="113">
        <v>0</v>
      </c>
      <c r="AB384" s="113">
        <v>0</v>
      </c>
      <c r="AC384" s="113">
        <v>0</v>
      </c>
    </row>
    <row r="385" spans="1:29" ht="15.75" customHeight="1" x14ac:dyDescent="0.2">
      <c r="A385" s="278" t="s">
        <v>25</v>
      </c>
      <c r="B385" s="198" t="s">
        <v>26</v>
      </c>
      <c r="C385" s="181"/>
      <c r="D385" s="278" t="s">
        <v>646</v>
      </c>
      <c r="E385" s="278" t="s">
        <v>48</v>
      </c>
      <c r="F385" s="347" t="s">
        <v>2519</v>
      </c>
      <c r="G385" s="182">
        <v>200</v>
      </c>
      <c r="H385" s="182">
        <v>260</v>
      </c>
      <c r="J385" s="112" t="s">
        <v>646</v>
      </c>
      <c r="K385" s="79" t="s">
        <v>1109</v>
      </c>
      <c r="L385" s="79" t="s">
        <v>1110</v>
      </c>
      <c r="M385" s="113">
        <v>16986344</v>
      </c>
      <c r="N385" s="113">
        <v>14395206.779660985</v>
      </c>
      <c r="O385" s="113">
        <v>256</v>
      </c>
      <c r="Q385" s="112" t="s">
        <v>646</v>
      </c>
      <c r="R385" s="79" t="s">
        <v>1109</v>
      </c>
      <c r="S385" s="79" t="s">
        <v>1110</v>
      </c>
      <c r="T385" s="113">
        <v>156297</v>
      </c>
      <c r="U385" s="113">
        <v>132455.08474576261</v>
      </c>
      <c r="V385" s="113">
        <v>3</v>
      </c>
      <c r="X385" s="112" t="s">
        <v>646</v>
      </c>
      <c r="Y385" s="79" t="s">
        <v>1109</v>
      </c>
      <c r="Z385" s="79" t="s">
        <v>1110</v>
      </c>
      <c r="AA385" s="113">
        <v>0</v>
      </c>
      <c r="AB385" s="113"/>
      <c r="AC385" s="113"/>
    </row>
    <row r="386" spans="1:29" ht="15.75" customHeight="1" x14ac:dyDescent="0.2">
      <c r="A386" s="278" t="s">
        <v>48</v>
      </c>
      <c r="B386" s="198" t="s">
        <v>49</v>
      </c>
      <c r="C386" s="181"/>
      <c r="D386" s="278" t="s">
        <v>646</v>
      </c>
      <c r="E386" s="278" t="s">
        <v>48</v>
      </c>
      <c r="F386" s="347" t="s">
        <v>2519</v>
      </c>
      <c r="G386" s="182">
        <v>150</v>
      </c>
      <c r="H386" s="182">
        <v>195</v>
      </c>
      <c r="J386" s="112" t="s">
        <v>646</v>
      </c>
      <c r="K386" s="79" t="s">
        <v>25</v>
      </c>
      <c r="L386" s="79" t="s">
        <v>26</v>
      </c>
      <c r="M386" s="113">
        <v>21501280</v>
      </c>
      <c r="N386" s="113">
        <v>18221423.728813492</v>
      </c>
      <c r="O386" s="113">
        <v>320</v>
      </c>
      <c r="Q386" s="112" t="s">
        <v>646</v>
      </c>
      <c r="R386" s="79" t="s">
        <v>25</v>
      </c>
      <c r="S386" s="79" t="s">
        <v>26</v>
      </c>
      <c r="T386" s="113">
        <v>269996</v>
      </c>
      <c r="U386" s="113">
        <v>228810.16949152519</v>
      </c>
      <c r="V386" s="113">
        <v>4</v>
      </c>
      <c r="X386" s="112" t="s">
        <v>646</v>
      </c>
      <c r="Y386" s="79" t="s">
        <v>25</v>
      </c>
      <c r="Z386" s="79" t="s">
        <v>26</v>
      </c>
      <c r="AA386" s="113">
        <v>0</v>
      </c>
      <c r="AB386" s="113"/>
      <c r="AC386" s="113"/>
    </row>
    <row r="387" spans="1:29" ht="15.75" customHeight="1" x14ac:dyDescent="0.2">
      <c r="A387" s="278" t="s">
        <v>209</v>
      </c>
      <c r="B387" s="198" t="s">
        <v>52</v>
      </c>
      <c r="C387" s="181"/>
      <c r="D387" s="278" t="s">
        <v>646</v>
      </c>
      <c r="E387" s="278" t="s">
        <v>48</v>
      </c>
      <c r="F387" s="347" t="s">
        <v>2519</v>
      </c>
      <c r="G387" s="182">
        <v>350</v>
      </c>
      <c r="H387" s="182">
        <v>455</v>
      </c>
      <c r="J387" s="112" t="s">
        <v>646</v>
      </c>
      <c r="K387" s="79" t="s">
        <v>298</v>
      </c>
      <c r="L387" s="79" t="s">
        <v>49</v>
      </c>
      <c r="M387" s="113">
        <v>16756758</v>
      </c>
      <c r="N387" s="113">
        <v>14200642.372881323</v>
      </c>
      <c r="O387" s="113">
        <v>242</v>
      </c>
      <c r="Q387" s="112" t="s">
        <v>646</v>
      </c>
      <c r="R387" s="79" t="s">
        <v>298</v>
      </c>
      <c r="S387" s="79" t="s">
        <v>49</v>
      </c>
      <c r="T387" s="113">
        <v>363994</v>
      </c>
      <c r="U387" s="113">
        <v>308469.49152542336</v>
      </c>
      <c r="V387" s="113">
        <v>6</v>
      </c>
      <c r="X387" s="112" t="s">
        <v>646</v>
      </c>
      <c r="Y387" s="79" t="s">
        <v>298</v>
      </c>
      <c r="Z387" s="79" t="s">
        <v>49</v>
      </c>
      <c r="AA387" s="113">
        <v>0</v>
      </c>
      <c r="AB387" s="113"/>
      <c r="AC387" s="113"/>
    </row>
    <row r="388" spans="1:29" ht="15.75" customHeight="1" x14ac:dyDescent="0.2">
      <c r="A388" s="278" t="s">
        <v>303</v>
      </c>
      <c r="B388" s="198" t="s">
        <v>305</v>
      </c>
      <c r="C388" s="280" t="s">
        <v>209</v>
      </c>
      <c r="D388" s="278" t="s">
        <v>646</v>
      </c>
      <c r="E388" s="278" t="s">
        <v>48</v>
      </c>
      <c r="F388" s="347" t="s">
        <v>2519</v>
      </c>
      <c r="G388" s="182">
        <v>350</v>
      </c>
      <c r="H388" s="182">
        <v>455</v>
      </c>
      <c r="J388" s="112" t="s">
        <v>646</v>
      </c>
      <c r="K388" s="79" t="s">
        <v>209</v>
      </c>
      <c r="L388" s="79" t="s">
        <v>52</v>
      </c>
      <c r="M388" s="113">
        <v>43377116</v>
      </c>
      <c r="N388" s="113">
        <v>36760267.796610184</v>
      </c>
      <c r="O388" s="113">
        <v>634</v>
      </c>
      <c r="Q388" s="112" t="s">
        <v>646</v>
      </c>
      <c r="R388" s="79" t="s">
        <v>209</v>
      </c>
      <c r="S388" s="79" t="s">
        <v>52</v>
      </c>
      <c r="T388" s="113">
        <v>0</v>
      </c>
      <c r="U388" s="113"/>
      <c r="V388" s="113"/>
      <c r="X388" s="112" t="s">
        <v>646</v>
      </c>
      <c r="Y388" s="79" t="s">
        <v>209</v>
      </c>
      <c r="Z388" s="79" t="s">
        <v>52</v>
      </c>
      <c r="AA388" s="113">
        <v>0</v>
      </c>
      <c r="AB388" s="113"/>
      <c r="AC388" s="113"/>
    </row>
    <row r="389" spans="1:29" ht="15.75" customHeight="1" x14ac:dyDescent="0.2">
      <c r="A389" s="278" t="s">
        <v>1142</v>
      </c>
      <c r="B389" s="198" t="s">
        <v>54</v>
      </c>
      <c r="C389" s="265"/>
      <c r="D389" s="279" t="s">
        <v>646</v>
      </c>
      <c r="E389" s="278" t="s">
        <v>48</v>
      </c>
      <c r="F389" s="347" t="s">
        <v>2519</v>
      </c>
      <c r="G389" s="182">
        <v>350</v>
      </c>
      <c r="H389" s="182">
        <v>455</v>
      </c>
      <c r="J389" s="42" t="s">
        <v>646</v>
      </c>
      <c r="K389" s="42" t="s">
        <v>303</v>
      </c>
      <c r="L389" s="42" t="s">
        <v>305</v>
      </c>
      <c r="M389" s="113">
        <v>37073364</v>
      </c>
      <c r="N389" s="113">
        <v>31418105.084745865</v>
      </c>
      <c r="O389" s="113">
        <v>536</v>
      </c>
      <c r="Q389" s="42" t="s">
        <v>646</v>
      </c>
      <c r="R389" s="42" t="s">
        <v>303</v>
      </c>
      <c r="S389" s="42" t="s">
        <v>305</v>
      </c>
      <c r="T389" s="113">
        <v>0</v>
      </c>
      <c r="U389" s="113"/>
      <c r="V389" s="113"/>
      <c r="X389" s="42" t="s">
        <v>646</v>
      </c>
      <c r="Y389" s="42" t="s">
        <v>303</v>
      </c>
      <c r="Z389" s="42" t="s">
        <v>305</v>
      </c>
      <c r="AA389" s="113">
        <v>0</v>
      </c>
      <c r="AB389" s="113"/>
      <c r="AC389" s="113"/>
    </row>
    <row r="390" spans="1:29" ht="15.75" customHeight="1" x14ac:dyDescent="0.2">
      <c r="A390" s="281" t="s">
        <v>334</v>
      </c>
      <c r="B390" s="198" t="s">
        <v>341</v>
      </c>
      <c r="C390" s="265"/>
      <c r="D390" s="279" t="s">
        <v>646</v>
      </c>
      <c r="E390" s="278" t="s">
        <v>48</v>
      </c>
      <c r="F390" s="347" t="s">
        <v>2519</v>
      </c>
      <c r="G390" s="182">
        <v>250</v>
      </c>
      <c r="H390" s="182">
        <v>325</v>
      </c>
      <c r="J390" s="42" t="s">
        <v>646</v>
      </c>
      <c r="K390" s="79" t="s">
        <v>285</v>
      </c>
      <c r="L390" s="79" t="s">
        <v>54</v>
      </c>
      <c r="M390" s="113">
        <v>36223078</v>
      </c>
      <c r="N390" s="113">
        <v>30697523.728813659</v>
      </c>
      <c r="O390" s="113">
        <v>522</v>
      </c>
      <c r="Q390" s="42" t="s">
        <v>646</v>
      </c>
      <c r="R390" s="79" t="s">
        <v>285</v>
      </c>
      <c r="S390" s="79" t="s">
        <v>54</v>
      </c>
      <c r="T390" s="113">
        <v>70999</v>
      </c>
      <c r="U390" s="113">
        <v>60168.644067796602</v>
      </c>
      <c r="V390" s="113">
        <v>1</v>
      </c>
      <c r="X390" s="42" t="s">
        <v>646</v>
      </c>
      <c r="Y390" s="79" t="s">
        <v>285</v>
      </c>
      <c r="Z390" s="79" t="s">
        <v>54</v>
      </c>
      <c r="AA390" s="113">
        <v>5999</v>
      </c>
      <c r="AB390" s="113">
        <v>5083.8983050847401</v>
      </c>
      <c r="AC390" s="113">
        <v>1</v>
      </c>
    </row>
    <row r="391" spans="1:29" ht="15.75" customHeight="1" x14ac:dyDescent="0.2">
      <c r="A391" s="278" t="s">
        <v>246</v>
      </c>
      <c r="B391" s="198" t="s">
        <v>247</v>
      </c>
      <c r="C391" s="265"/>
      <c r="D391" s="279" t="s">
        <v>646</v>
      </c>
      <c r="E391" s="278" t="s">
        <v>48</v>
      </c>
      <c r="F391" s="347" t="s">
        <v>2519</v>
      </c>
      <c r="G391" s="182">
        <v>160</v>
      </c>
      <c r="H391" s="182">
        <v>208</v>
      </c>
      <c r="J391" s="79" t="s">
        <v>646</v>
      </c>
      <c r="K391" s="79" t="s">
        <v>246</v>
      </c>
      <c r="L391" s="79" t="s">
        <v>247</v>
      </c>
      <c r="M391" s="113">
        <v>18407617</v>
      </c>
      <c r="N391" s="113">
        <v>15599675.42372877</v>
      </c>
      <c r="O391" s="113">
        <v>283</v>
      </c>
      <c r="Q391" s="79" t="s">
        <v>646</v>
      </c>
      <c r="R391" s="79" t="s">
        <v>246</v>
      </c>
      <c r="S391" s="79" t="s">
        <v>247</v>
      </c>
      <c r="T391" s="113">
        <v>35999</v>
      </c>
      <c r="U391" s="113">
        <v>30507.627118643999</v>
      </c>
      <c r="V391" s="113">
        <v>1</v>
      </c>
      <c r="X391" s="79" t="s">
        <v>646</v>
      </c>
      <c r="Y391" s="79" t="s">
        <v>246</v>
      </c>
      <c r="Z391" s="79" t="s">
        <v>247</v>
      </c>
      <c r="AA391" s="113">
        <v>0</v>
      </c>
      <c r="AB391" s="113"/>
      <c r="AC391" s="113"/>
    </row>
    <row r="392" spans="1:29" ht="15.75" customHeight="1" x14ac:dyDescent="0.2">
      <c r="A392" s="278" t="s">
        <v>689</v>
      </c>
      <c r="B392" s="198" t="s">
        <v>690</v>
      </c>
      <c r="C392" s="265"/>
      <c r="D392" s="279" t="s">
        <v>1143</v>
      </c>
      <c r="E392" s="278" t="s">
        <v>61</v>
      </c>
      <c r="F392" s="278" t="s">
        <v>297</v>
      </c>
      <c r="G392" s="182">
        <v>260</v>
      </c>
      <c r="H392" s="182">
        <v>338</v>
      </c>
      <c r="J392" s="79" t="s">
        <v>646</v>
      </c>
      <c r="K392" s="79" t="s">
        <v>334</v>
      </c>
      <c r="L392" s="79" t="s">
        <v>341</v>
      </c>
      <c r="M392" s="113">
        <v>30572757</v>
      </c>
      <c r="N392" s="113">
        <v>25909116.101694927</v>
      </c>
      <c r="O392" s="113">
        <v>443</v>
      </c>
      <c r="Q392" s="79" t="s">
        <v>646</v>
      </c>
      <c r="R392" s="79" t="s">
        <v>334</v>
      </c>
      <c r="S392" s="79" t="s">
        <v>341</v>
      </c>
      <c r="T392" s="113">
        <v>104298</v>
      </c>
      <c r="U392" s="113">
        <v>88388.135593220301</v>
      </c>
      <c r="V392" s="113">
        <v>2</v>
      </c>
      <c r="X392" s="79" t="s">
        <v>646</v>
      </c>
      <c r="Y392" s="79" t="s">
        <v>334</v>
      </c>
      <c r="Z392" s="79" t="s">
        <v>341</v>
      </c>
      <c r="AA392" s="113">
        <v>0</v>
      </c>
      <c r="AB392" s="113"/>
      <c r="AC392" s="113"/>
    </row>
    <row r="393" spans="1:29" ht="15.75" customHeight="1" x14ac:dyDescent="0.2">
      <c r="A393" s="278" t="s">
        <v>706</v>
      </c>
      <c r="B393" s="198" t="s">
        <v>688</v>
      </c>
      <c r="C393" s="265"/>
      <c r="D393" s="279" t="s">
        <v>1143</v>
      </c>
      <c r="E393" s="278" t="s">
        <v>61</v>
      </c>
      <c r="F393" s="278" t="s">
        <v>297</v>
      </c>
      <c r="G393" s="182">
        <v>250</v>
      </c>
      <c r="H393" s="182">
        <v>325</v>
      </c>
      <c r="J393" s="79" t="s">
        <v>930</v>
      </c>
      <c r="K393" s="79"/>
      <c r="L393" s="79"/>
      <c r="M393" s="113">
        <v>220898314</v>
      </c>
      <c r="N393" s="113">
        <v>187201961.01694918</v>
      </c>
      <c r="O393" s="113">
        <v>3236</v>
      </c>
      <c r="Q393" s="79" t="s">
        <v>930</v>
      </c>
      <c r="R393" s="79"/>
      <c r="S393" s="79"/>
      <c r="T393" s="113">
        <v>1001583</v>
      </c>
      <c r="U393" s="113">
        <v>848799.152542372</v>
      </c>
      <c r="V393" s="113">
        <v>17</v>
      </c>
      <c r="X393" s="79" t="s">
        <v>930</v>
      </c>
      <c r="Y393" s="79"/>
      <c r="Z393" s="79"/>
      <c r="AA393" s="113">
        <v>5999</v>
      </c>
      <c r="AB393" s="113">
        <v>5083.8983050847401</v>
      </c>
      <c r="AC393" s="113">
        <v>1</v>
      </c>
    </row>
    <row r="394" spans="1:29" ht="15.75" customHeight="1" x14ac:dyDescent="0.2">
      <c r="A394" s="278" t="s">
        <v>61</v>
      </c>
      <c r="B394" s="198" t="s">
        <v>62</v>
      </c>
      <c r="C394" s="265"/>
      <c r="D394" s="279" t="s">
        <v>1143</v>
      </c>
      <c r="E394" s="278" t="s">
        <v>61</v>
      </c>
      <c r="F394" s="278" t="s">
        <v>297</v>
      </c>
      <c r="G394" s="182">
        <v>230</v>
      </c>
      <c r="H394" s="182">
        <v>299</v>
      </c>
      <c r="J394" s="79" t="s">
        <v>1143</v>
      </c>
      <c r="K394" s="79" t="s">
        <v>689</v>
      </c>
      <c r="L394" s="79" t="s">
        <v>690</v>
      </c>
      <c r="M394" s="113">
        <v>12959902</v>
      </c>
      <c r="N394" s="113">
        <v>10982967.796610171</v>
      </c>
      <c r="O394" s="113">
        <v>198</v>
      </c>
      <c r="Q394" s="79" t="s">
        <v>1143</v>
      </c>
      <c r="R394" s="79" t="s">
        <v>689</v>
      </c>
      <c r="S394" s="79" t="s">
        <v>690</v>
      </c>
      <c r="T394" s="113">
        <v>195997</v>
      </c>
      <c r="U394" s="113">
        <v>166099.15254237282</v>
      </c>
      <c r="V394" s="113">
        <v>3</v>
      </c>
      <c r="X394" s="79" t="s">
        <v>1143</v>
      </c>
      <c r="Y394" s="79" t="s">
        <v>689</v>
      </c>
      <c r="Z394" s="79" t="s">
        <v>690</v>
      </c>
      <c r="AA394" s="113">
        <v>0</v>
      </c>
      <c r="AB394" s="113"/>
      <c r="AC394" s="113"/>
    </row>
    <row r="395" spans="1:29" ht="15.75" customHeight="1" x14ac:dyDescent="0.2">
      <c r="A395" s="278" t="s">
        <v>194</v>
      </c>
      <c r="B395" s="198" t="s">
        <v>199</v>
      </c>
      <c r="C395" s="265"/>
      <c r="D395" s="279" t="s">
        <v>1144</v>
      </c>
      <c r="E395" s="278" t="s">
        <v>249</v>
      </c>
      <c r="F395" s="278" t="s">
        <v>17</v>
      </c>
      <c r="G395" s="182">
        <v>265</v>
      </c>
      <c r="H395" s="182">
        <v>344.5</v>
      </c>
      <c r="J395" s="79" t="s">
        <v>1143</v>
      </c>
      <c r="K395" s="79" t="s">
        <v>706</v>
      </c>
      <c r="L395" s="79" t="s">
        <v>688</v>
      </c>
      <c r="M395" s="113">
        <v>14065796</v>
      </c>
      <c r="N395" s="113">
        <v>11920166.101694902</v>
      </c>
      <c r="O395" s="113">
        <v>204</v>
      </c>
      <c r="Q395" s="79" t="s">
        <v>1143</v>
      </c>
      <c r="R395" s="79" t="s">
        <v>706</v>
      </c>
      <c r="S395" s="79" t="s">
        <v>688</v>
      </c>
      <c r="T395" s="113">
        <v>0</v>
      </c>
      <c r="U395" s="113"/>
      <c r="V395" s="113"/>
      <c r="X395" s="79" t="s">
        <v>1143</v>
      </c>
      <c r="Y395" s="79" t="s">
        <v>706</v>
      </c>
      <c r="Z395" s="79" t="s">
        <v>688</v>
      </c>
      <c r="AA395" s="113">
        <v>0</v>
      </c>
      <c r="AB395" s="113"/>
      <c r="AC395" s="113"/>
    </row>
    <row r="396" spans="1:29" ht="15.75" customHeight="1" x14ac:dyDescent="0.2">
      <c r="A396" s="278" t="s">
        <v>1107</v>
      </c>
      <c r="B396" s="198" t="s">
        <v>1108</v>
      </c>
      <c r="C396" s="265"/>
      <c r="D396" s="279" t="s">
        <v>1144</v>
      </c>
      <c r="E396" s="278" t="s">
        <v>249</v>
      </c>
      <c r="F396" s="278" t="s">
        <v>17</v>
      </c>
      <c r="G396" s="182">
        <v>90</v>
      </c>
      <c r="H396" s="182">
        <v>117</v>
      </c>
      <c r="J396" s="79" t="s">
        <v>1143</v>
      </c>
      <c r="K396" s="79" t="s">
        <v>61</v>
      </c>
      <c r="L396" s="79" t="s">
        <v>62</v>
      </c>
      <c r="M396" s="113">
        <v>18251328</v>
      </c>
      <c r="N396" s="113">
        <v>15467227.118644033</v>
      </c>
      <c r="O396" s="113">
        <v>272</v>
      </c>
      <c r="Q396" s="79" t="s">
        <v>1143</v>
      </c>
      <c r="R396" s="79" t="s">
        <v>61</v>
      </c>
      <c r="S396" s="79" t="s">
        <v>62</v>
      </c>
      <c r="T396" s="113">
        <v>915984</v>
      </c>
      <c r="U396" s="113">
        <v>776257.62711864337</v>
      </c>
      <c r="V396" s="113">
        <v>16</v>
      </c>
      <c r="X396" s="79" t="s">
        <v>1143</v>
      </c>
      <c r="Y396" s="79" t="s">
        <v>61</v>
      </c>
      <c r="Z396" s="79" t="s">
        <v>62</v>
      </c>
      <c r="AA396" s="113">
        <v>0</v>
      </c>
      <c r="AB396" s="113"/>
      <c r="AC396" s="113"/>
    </row>
    <row r="397" spans="1:29" ht="15.75" customHeight="1" x14ac:dyDescent="0.2">
      <c r="A397" s="278" t="s">
        <v>707</v>
      </c>
      <c r="B397" s="198" t="s">
        <v>696</v>
      </c>
      <c r="C397" s="282" t="s">
        <v>194</v>
      </c>
      <c r="D397" s="279" t="s">
        <v>1144</v>
      </c>
      <c r="E397" s="278" t="s">
        <v>249</v>
      </c>
      <c r="F397" s="278" t="s">
        <v>17</v>
      </c>
      <c r="G397" s="182">
        <v>190</v>
      </c>
      <c r="H397" s="182">
        <v>247</v>
      </c>
      <c r="J397" s="79" t="s">
        <v>1171</v>
      </c>
      <c r="K397" s="79"/>
      <c r="L397" s="79"/>
      <c r="M397" s="113">
        <v>45277026</v>
      </c>
      <c r="N397" s="113">
        <v>38370361.016949102</v>
      </c>
      <c r="O397" s="113">
        <v>674</v>
      </c>
      <c r="Q397" s="79" t="s">
        <v>1171</v>
      </c>
      <c r="R397" s="79"/>
      <c r="S397" s="79"/>
      <c r="T397" s="113">
        <v>1111981</v>
      </c>
      <c r="U397" s="113">
        <v>942356.77966101619</v>
      </c>
      <c r="V397" s="113">
        <v>19</v>
      </c>
      <c r="X397" s="79" t="s">
        <v>1171</v>
      </c>
      <c r="Y397" s="79"/>
      <c r="Z397" s="79"/>
      <c r="AA397" s="113">
        <v>0</v>
      </c>
      <c r="AB397" s="113">
        <v>0</v>
      </c>
      <c r="AC397" s="113">
        <v>0</v>
      </c>
    </row>
    <row r="398" spans="1:29" ht="15.75" customHeight="1" x14ac:dyDescent="0.2">
      <c r="A398" s="278" t="s">
        <v>804</v>
      </c>
      <c r="B398" s="198" t="s">
        <v>805</v>
      </c>
      <c r="C398" s="282" t="s">
        <v>23</v>
      </c>
      <c r="D398" s="279" t="s">
        <v>1144</v>
      </c>
      <c r="E398" s="278" t="s">
        <v>249</v>
      </c>
      <c r="F398" s="278" t="s">
        <v>17</v>
      </c>
      <c r="G398" s="182">
        <v>255</v>
      </c>
      <c r="H398" s="182">
        <v>331.5</v>
      </c>
      <c r="J398" s="79" t="s">
        <v>1144</v>
      </c>
      <c r="K398" s="79" t="s">
        <v>194</v>
      </c>
      <c r="L398" s="79" t="s">
        <v>199</v>
      </c>
      <c r="M398" s="113">
        <v>11057758</v>
      </c>
      <c r="N398" s="113">
        <v>9370981.3559322003</v>
      </c>
      <c r="O398" s="113">
        <v>192</v>
      </c>
      <c r="Q398" s="79" t="s">
        <v>1144</v>
      </c>
      <c r="R398" s="79" t="s">
        <v>194</v>
      </c>
      <c r="S398" s="79" t="s">
        <v>199</v>
      </c>
      <c r="T398" s="113">
        <v>0</v>
      </c>
      <c r="U398" s="113"/>
      <c r="V398" s="113"/>
      <c r="X398" s="79" t="s">
        <v>1144</v>
      </c>
      <c r="Y398" s="79" t="s">
        <v>194</v>
      </c>
      <c r="Z398" s="79" t="s">
        <v>199</v>
      </c>
      <c r="AA398" s="113">
        <v>8999</v>
      </c>
      <c r="AB398" s="113">
        <v>7626.2711864406701</v>
      </c>
      <c r="AC398" s="113">
        <v>1</v>
      </c>
    </row>
    <row r="399" spans="1:29" ht="15.75" customHeight="1" x14ac:dyDescent="0.2">
      <c r="A399" s="279" t="s">
        <v>1145</v>
      </c>
      <c r="B399" s="198" t="s">
        <v>1146</v>
      </c>
      <c r="C399" s="280" t="s">
        <v>194</v>
      </c>
      <c r="D399" s="278" t="s">
        <v>1144</v>
      </c>
      <c r="E399" s="278" t="s">
        <v>249</v>
      </c>
      <c r="F399" s="278" t="s">
        <v>17</v>
      </c>
      <c r="G399" s="182">
        <v>150</v>
      </c>
      <c r="H399" s="182">
        <v>195</v>
      </c>
      <c r="J399" s="79" t="s">
        <v>1144</v>
      </c>
      <c r="K399" s="79" t="s">
        <v>1107</v>
      </c>
      <c r="L399" s="79" t="s">
        <v>1108</v>
      </c>
      <c r="M399" s="113">
        <v>4617928</v>
      </c>
      <c r="N399" s="113">
        <v>3913498.3050847407</v>
      </c>
      <c r="O399" s="113">
        <v>72</v>
      </c>
      <c r="Q399" s="79" t="s">
        <v>1144</v>
      </c>
      <c r="R399" s="79" t="s">
        <v>1107</v>
      </c>
      <c r="S399" s="79" t="s">
        <v>1108</v>
      </c>
      <c r="T399" s="113">
        <v>0</v>
      </c>
      <c r="U399" s="113"/>
      <c r="V399" s="113"/>
      <c r="X399" s="79" t="s">
        <v>1144</v>
      </c>
      <c r="Y399" s="79" t="s">
        <v>1107</v>
      </c>
      <c r="Z399" s="79" t="s">
        <v>1108</v>
      </c>
      <c r="AA399" s="113">
        <v>0</v>
      </c>
      <c r="AB399" s="113"/>
      <c r="AC399" s="113"/>
    </row>
    <row r="400" spans="1:29" ht="15.75" customHeight="1" x14ac:dyDescent="0.2">
      <c r="A400" s="278" t="s">
        <v>313</v>
      </c>
      <c r="B400" s="198" t="s">
        <v>314</v>
      </c>
      <c r="C400" s="265"/>
      <c r="D400" s="278" t="s">
        <v>1144</v>
      </c>
      <c r="E400" s="278" t="s">
        <v>249</v>
      </c>
      <c r="F400" s="278" t="s">
        <v>17</v>
      </c>
      <c r="G400" s="182">
        <v>200</v>
      </c>
      <c r="H400" s="182">
        <v>260</v>
      </c>
      <c r="J400" s="79" t="s">
        <v>1144</v>
      </c>
      <c r="K400" s="79" t="s">
        <v>707</v>
      </c>
      <c r="L400" s="79" t="s">
        <v>696</v>
      </c>
      <c r="M400" s="113">
        <v>7681299</v>
      </c>
      <c r="N400" s="113">
        <v>6509575.4237288088</v>
      </c>
      <c r="O400" s="113">
        <v>151</v>
      </c>
      <c r="Q400" s="79" t="s">
        <v>1144</v>
      </c>
      <c r="R400" s="79" t="s">
        <v>707</v>
      </c>
      <c r="S400" s="79" t="s">
        <v>696</v>
      </c>
      <c r="T400" s="113">
        <v>0</v>
      </c>
      <c r="U400" s="113"/>
      <c r="V400" s="113"/>
      <c r="X400" s="79" t="s">
        <v>1144</v>
      </c>
      <c r="Y400" s="79" t="s">
        <v>707</v>
      </c>
      <c r="Z400" s="79" t="s">
        <v>696</v>
      </c>
      <c r="AA400" s="113">
        <v>0</v>
      </c>
      <c r="AB400" s="113"/>
      <c r="AC400" s="113"/>
    </row>
    <row r="401" spans="1:29" ht="15.75" customHeight="1" x14ac:dyDescent="0.2">
      <c r="A401" s="278" t="s">
        <v>23</v>
      </c>
      <c r="B401" s="198" t="s">
        <v>24</v>
      </c>
      <c r="C401" s="181"/>
      <c r="D401" s="278" t="s">
        <v>1144</v>
      </c>
      <c r="E401" s="278" t="s">
        <v>249</v>
      </c>
      <c r="F401" s="278" t="s">
        <v>17</v>
      </c>
      <c r="G401" s="182">
        <v>230</v>
      </c>
      <c r="H401" s="182">
        <v>299</v>
      </c>
      <c r="J401" s="42" t="s">
        <v>1144</v>
      </c>
      <c r="K401" s="42" t="s">
        <v>804</v>
      </c>
      <c r="L401" s="42" t="s">
        <v>805</v>
      </c>
      <c r="M401" s="113">
        <v>10211035</v>
      </c>
      <c r="N401" s="113">
        <v>8653419.4915254265</v>
      </c>
      <c r="O401" s="113">
        <v>165</v>
      </c>
      <c r="Q401" s="42" t="s">
        <v>1144</v>
      </c>
      <c r="R401" s="42" t="s">
        <v>804</v>
      </c>
      <c r="S401" s="42" t="s">
        <v>805</v>
      </c>
      <c r="T401" s="113">
        <v>0</v>
      </c>
      <c r="U401" s="113"/>
      <c r="V401" s="113"/>
      <c r="X401" s="42" t="s">
        <v>1144</v>
      </c>
      <c r="Y401" s="42" t="s">
        <v>804</v>
      </c>
      <c r="Z401" s="42" t="s">
        <v>805</v>
      </c>
      <c r="AA401" s="113">
        <v>62993</v>
      </c>
      <c r="AB401" s="113">
        <v>53383.898305084702</v>
      </c>
      <c r="AC401" s="113">
        <v>7</v>
      </c>
    </row>
    <row r="402" spans="1:29" ht="15.75" customHeight="1" x14ac:dyDescent="0.2">
      <c r="A402" s="278" t="s">
        <v>249</v>
      </c>
      <c r="B402" s="198" t="s">
        <v>250</v>
      </c>
      <c r="C402" s="181"/>
      <c r="D402" s="278" t="s">
        <v>1144</v>
      </c>
      <c r="E402" s="278" t="s">
        <v>249</v>
      </c>
      <c r="F402" s="278" t="s">
        <v>17</v>
      </c>
      <c r="G402" s="182">
        <v>200</v>
      </c>
      <c r="H402" s="182">
        <v>260</v>
      </c>
      <c r="J402" s="79" t="s">
        <v>1144</v>
      </c>
      <c r="K402" s="79" t="s">
        <v>313</v>
      </c>
      <c r="L402" s="79" t="s">
        <v>314</v>
      </c>
      <c r="M402" s="113">
        <v>15351990</v>
      </c>
      <c r="N402" s="113">
        <v>13010161.016949121</v>
      </c>
      <c r="O402" s="113">
        <v>260</v>
      </c>
      <c r="Q402" s="79" t="s">
        <v>1144</v>
      </c>
      <c r="R402" s="79" t="s">
        <v>313</v>
      </c>
      <c r="S402" s="79" t="s">
        <v>314</v>
      </c>
      <c r="T402" s="113">
        <v>0</v>
      </c>
      <c r="U402" s="113"/>
      <c r="V402" s="113"/>
      <c r="X402" s="79" t="s">
        <v>1144</v>
      </c>
      <c r="Y402" s="79" t="s">
        <v>313</v>
      </c>
      <c r="Z402" s="79" t="s">
        <v>314</v>
      </c>
      <c r="AA402" s="113">
        <v>62993</v>
      </c>
      <c r="AB402" s="113">
        <v>53383.898305084702</v>
      </c>
      <c r="AC402" s="113">
        <v>7</v>
      </c>
    </row>
    <row r="403" spans="1:29" ht="15.75" customHeight="1" x14ac:dyDescent="0.2">
      <c r="A403" s="281" t="s">
        <v>225</v>
      </c>
      <c r="B403" s="198" t="s">
        <v>27</v>
      </c>
      <c r="C403" s="181"/>
      <c r="D403" s="281" t="s">
        <v>1147</v>
      </c>
      <c r="E403" s="198"/>
      <c r="F403" s="281" t="s">
        <v>17</v>
      </c>
      <c r="G403" s="182">
        <v>200</v>
      </c>
      <c r="H403" s="182">
        <v>260</v>
      </c>
      <c r="J403" s="79" t="s">
        <v>1144</v>
      </c>
      <c r="K403" s="79" t="s">
        <v>23</v>
      </c>
      <c r="L403" s="79" t="s">
        <v>24</v>
      </c>
      <c r="M403" s="113">
        <v>12991929</v>
      </c>
      <c r="N403" s="113">
        <v>11010109.32203388</v>
      </c>
      <c r="O403" s="113">
        <v>221</v>
      </c>
      <c r="Q403" s="79" t="s">
        <v>1144</v>
      </c>
      <c r="R403" s="79" t="s">
        <v>23</v>
      </c>
      <c r="S403" s="79" t="s">
        <v>24</v>
      </c>
      <c r="T403" s="113">
        <v>0</v>
      </c>
      <c r="U403" s="113"/>
      <c r="V403" s="113"/>
      <c r="X403" s="79" t="s">
        <v>1144</v>
      </c>
      <c r="Y403" s="79" t="s">
        <v>23</v>
      </c>
      <c r="Z403" s="79" t="s">
        <v>24</v>
      </c>
      <c r="AA403" s="113">
        <v>8999</v>
      </c>
      <c r="AB403" s="113">
        <v>7626.2711864406701</v>
      </c>
      <c r="AC403" s="113">
        <v>1</v>
      </c>
    </row>
    <row r="404" spans="1:29" ht="15.75" customHeight="1" x14ac:dyDescent="0.2">
      <c r="A404" s="281" t="s">
        <v>29</v>
      </c>
      <c r="B404" s="198" t="s">
        <v>30</v>
      </c>
      <c r="C404" s="181"/>
      <c r="D404" s="281" t="s">
        <v>1147</v>
      </c>
      <c r="E404" s="199"/>
      <c r="F404" s="281" t="s">
        <v>17</v>
      </c>
      <c r="G404" s="182">
        <v>260</v>
      </c>
      <c r="H404" s="182">
        <v>338</v>
      </c>
      <c r="J404" s="79" t="s">
        <v>1144</v>
      </c>
      <c r="K404" s="79" t="s">
        <v>249</v>
      </c>
      <c r="L404" s="79" t="s">
        <v>250</v>
      </c>
      <c r="M404" s="113">
        <v>14646386</v>
      </c>
      <c r="N404" s="113">
        <v>12412191.525423689</v>
      </c>
      <c r="O404" s="113">
        <v>264</v>
      </c>
      <c r="Q404" s="79" t="s">
        <v>1144</v>
      </c>
      <c r="R404" s="79" t="s">
        <v>249</v>
      </c>
      <c r="S404" s="79" t="s">
        <v>250</v>
      </c>
      <c r="T404" s="113">
        <v>0</v>
      </c>
      <c r="U404" s="113"/>
      <c r="V404" s="113"/>
      <c r="X404" s="79" t="s">
        <v>1144</v>
      </c>
      <c r="Y404" s="79" t="s">
        <v>249</v>
      </c>
      <c r="Z404" s="79" t="s">
        <v>250</v>
      </c>
      <c r="AA404" s="113">
        <v>41995</v>
      </c>
      <c r="AB404" s="113">
        <v>35588.983050847419</v>
      </c>
      <c r="AC404" s="113">
        <v>5</v>
      </c>
    </row>
    <row r="405" spans="1:29" ht="15.75" customHeight="1" x14ac:dyDescent="0.2">
      <c r="A405" s="281" t="s">
        <v>244</v>
      </c>
      <c r="B405" s="198" t="s">
        <v>245</v>
      </c>
      <c r="C405" s="181"/>
      <c r="D405" s="281" t="s">
        <v>1147</v>
      </c>
      <c r="E405" s="199"/>
      <c r="F405" s="281" t="s">
        <v>17</v>
      </c>
      <c r="G405" s="182">
        <v>190</v>
      </c>
      <c r="H405" s="182">
        <v>247</v>
      </c>
      <c r="J405" s="79" t="s">
        <v>1144</v>
      </c>
      <c r="K405" s="79" t="s">
        <v>1145</v>
      </c>
      <c r="L405" s="79" t="s">
        <v>1146</v>
      </c>
      <c r="M405" s="113">
        <v>4914010</v>
      </c>
      <c r="N405" s="113">
        <v>4164415.2542372802</v>
      </c>
      <c r="O405" s="113">
        <v>90</v>
      </c>
      <c r="Q405" s="79" t="s">
        <v>1144</v>
      </c>
      <c r="R405" s="79" t="s">
        <v>1145</v>
      </c>
      <c r="S405" s="79" t="s">
        <v>1146</v>
      </c>
      <c r="T405" s="113">
        <v>0</v>
      </c>
      <c r="U405" s="113"/>
      <c r="V405" s="113"/>
      <c r="X405" s="79" t="s">
        <v>1144</v>
      </c>
      <c r="Y405" s="79" t="s">
        <v>1145</v>
      </c>
      <c r="Z405" s="79" t="s">
        <v>1146</v>
      </c>
      <c r="AA405" s="113">
        <v>8999</v>
      </c>
      <c r="AB405" s="113">
        <v>7626.2711864406701</v>
      </c>
      <c r="AC405" s="113">
        <v>1</v>
      </c>
    </row>
    <row r="406" spans="1:29" ht="15.75" customHeight="1" x14ac:dyDescent="0.2">
      <c r="A406" s="281" t="s">
        <v>20</v>
      </c>
      <c r="B406" s="198" t="s">
        <v>21</v>
      </c>
      <c r="C406" s="181"/>
      <c r="D406" s="281" t="s">
        <v>1147</v>
      </c>
      <c r="E406" s="199"/>
      <c r="F406" s="281" t="s">
        <v>17</v>
      </c>
      <c r="G406" s="182">
        <v>150</v>
      </c>
      <c r="H406" s="182">
        <v>195</v>
      </c>
      <c r="J406" s="79" t="s">
        <v>1172</v>
      </c>
      <c r="K406" s="79"/>
      <c r="L406" s="79"/>
      <c r="M406" s="113">
        <v>81472335</v>
      </c>
      <c r="N406" s="113">
        <v>69044351.694915146</v>
      </c>
      <c r="O406" s="113">
        <v>1415</v>
      </c>
      <c r="Q406" s="79" t="s">
        <v>1172</v>
      </c>
      <c r="R406" s="79"/>
      <c r="S406" s="79"/>
      <c r="T406" s="113">
        <v>0</v>
      </c>
      <c r="U406" s="113">
        <v>0</v>
      </c>
      <c r="V406" s="113">
        <v>0</v>
      </c>
      <c r="X406" s="79" t="s">
        <v>1172</v>
      </c>
      <c r="Y406" s="79"/>
      <c r="Z406" s="79"/>
      <c r="AA406" s="113">
        <v>194978</v>
      </c>
      <c r="AB406" s="113">
        <v>165235.59322033884</v>
      </c>
      <c r="AC406" s="113">
        <v>22</v>
      </c>
    </row>
    <row r="407" spans="1:29" ht="15.75" customHeight="1" x14ac:dyDescent="0.2">
      <c r="A407" s="281" t="s">
        <v>699</v>
      </c>
      <c r="B407" s="198" t="s">
        <v>700</v>
      </c>
      <c r="C407" s="265"/>
      <c r="D407" s="283" t="s">
        <v>1147</v>
      </c>
      <c r="E407" s="198"/>
      <c r="F407" s="281" t="s">
        <v>17</v>
      </c>
      <c r="G407" s="182">
        <v>195</v>
      </c>
      <c r="H407" s="182">
        <v>253.5</v>
      </c>
      <c r="J407" s="79" t="s">
        <v>1147</v>
      </c>
      <c r="K407" s="79" t="s">
        <v>225</v>
      </c>
      <c r="L407" s="79" t="s">
        <v>27</v>
      </c>
      <c r="M407" s="113">
        <v>15673943</v>
      </c>
      <c r="N407" s="113">
        <v>13283002.54237284</v>
      </c>
      <c r="O407" s="113">
        <v>257</v>
      </c>
      <c r="Q407" s="79" t="s">
        <v>1147</v>
      </c>
      <c r="R407" s="79" t="s">
        <v>225</v>
      </c>
      <c r="S407" s="79" t="s">
        <v>27</v>
      </c>
      <c r="T407" s="113">
        <v>186996</v>
      </c>
      <c r="U407" s="113">
        <v>158471.1864406777</v>
      </c>
      <c r="V407" s="113">
        <v>4</v>
      </c>
      <c r="X407" s="79" t="s">
        <v>1147</v>
      </c>
      <c r="Y407" s="79" t="s">
        <v>225</v>
      </c>
      <c r="Z407" s="79" t="s">
        <v>27</v>
      </c>
      <c r="AA407" s="113">
        <v>0</v>
      </c>
      <c r="AB407" s="113"/>
      <c r="AC407" s="113"/>
    </row>
    <row r="408" spans="1:29" ht="15.75" customHeight="1" x14ac:dyDescent="0.2">
      <c r="A408" s="281" t="s">
        <v>222</v>
      </c>
      <c r="B408" s="198" t="s">
        <v>223</v>
      </c>
      <c r="C408" s="265"/>
      <c r="D408" s="283" t="s">
        <v>1147</v>
      </c>
      <c r="E408" s="198"/>
      <c r="F408" s="281" t="s">
        <v>17</v>
      </c>
      <c r="G408" s="182">
        <v>215</v>
      </c>
      <c r="H408" s="182">
        <v>279.5</v>
      </c>
      <c r="J408" s="79" t="s">
        <v>1147</v>
      </c>
      <c r="K408" s="42" t="s">
        <v>29</v>
      </c>
      <c r="L408" s="42" t="s">
        <v>30</v>
      </c>
      <c r="M408" s="113">
        <v>9962145</v>
      </c>
      <c r="N408" s="113">
        <v>8442495.7627118714</v>
      </c>
      <c r="O408" s="113">
        <v>155</v>
      </c>
      <c r="Q408" s="79" t="s">
        <v>1147</v>
      </c>
      <c r="R408" s="42" t="s">
        <v>29</v>
      </c>
      <c r="S408" s="42" t="s">
        <v>30</v>
      </c>
      <c r="T408" s="113">
        <v>1125482</v>
      </c>
      <c r="U408" s="113">
        <v>953798.30508474552</v>
      </c>
      <c r="V408" s="113">
        <v>18</v>
      </c>
      <c r="X408" s="79" t="s">
        <v>1147</v>
      </c>
      <c r="Y408" s="42" t="s">
        <v>29</v>
      </c>
      <c r="Z408" s="42" t="s">
        <v>30</v>
      </c>
      <c r="AA408" s="113">
        <v>0</v>
      </c>
      <c r="AB408" s="113"/>
      <c r="AC408" s="113"/>
    </row>
    <row r="409" spans="1:29" ht="15.75" customHeight="1" x14ac:dyDescent="0.2">
      <c r="A409" s="281" t="s">
        <v>70</v>
      </c>
      <c r="B409" s="198" t="s">
        <v>34</v>
      </c>
      <c r="C409" s="265"/>
      <c r="D409" s="283" t="s">
        <v>1147</v>
      </c>
      <c r="E409" s="198"/>
      <c r="F409" s="281" t="s">
        <v>17</v>
      </c>
      <c r="G409" s="182">
        <v>210</v>
      </c>
      <c r="H409" s="182">
        <v>273</v>
      </c>
      <c r="J409" s="79" t="s">
        <v>1147</v>
      </c>
      <c r="K409" s="79" t="s">
        <v>244</v>
      </c>
      <c r="L409" s="79" t="s">
        <v>245</v>
      </c>
      <c r="M409" s="113">
        <v>7591373</v>
      </c>
      <c r="N409" s="113">
        <v>6433366.9491525413</v>
      </c>
      <c r="O409" s="113">
        <v>127</v>
      </c>
      <c r="Q409" s="79" t="s">
        <v>1147</v>
      </c>
      <c r="R409" s="79" t="s">
        <v>244</v>
      </c>
      <c r="S409" s="79" t="s">
        <v>245</v>
      </c>
      <c r="T409" s="113">
        <v>0</v>
      </c>
      <c r="U409" s="113"/>
      <c r="V409" s="113"/>
      <c r="X409" s="79" t="s">
        <v>1147</v>
      </c>
      <c r="Y409" s="79" t="s">
        <v>244</v>
      </c>
      <c r="Z409" s="79" t="s">
        <v>245</v>
      </c>
      <c r="AA409" s="113">
        <v>0</v>
      </c>
      <c r="AB409" s="113"/>
      <c r="AC409" s="113"/>
    </row>
    <row r="410" spans="1:29" ht="15.75" customHeight="1" x14ac:dyDescent="0.2">
      <c r="A410" s="278" t="s">
        <v>1148</v>
      </c>
      <c r="B410" s="198" t="s">
        <v>807</v>
      </c>
      <c r="C410" s="265"/>
      <c r="D410" s="279" t="s">
        <v>1149</v>
      </c>
      <c r="E410" s="278" t="s">
        <v>63</v>
      </c>
      <c r="F410" s="278" t="s">
        <v>55</v>
      </c>
      <c r="G410" s="182">
        <v>250</v>
      </c>
      <c r="H410" s="182">
        <v>325</v>
      </c>
      <c r="J410" s="79" t="s">
        <v>1147</v>
      </c>
      <c r="K410" s="79" t="s">
        <v>20</v>
      </c>
      <c r="L410" s="79" t="s">
        <v>21</v>
      </c>
      <c r="M410" s="113">
        <v>6320978</v>
      </c>
      <c r="N410" s="113">
        <v>5356761.0169491451</v>
      </c>
      <c r="O410" s="113">
        <v>122</v>
      </c>
      <c r="Q410" s="79" t="s">
        <v>1147</v>
      </c>
      <c r="R410" s="79" t="s">
        <v>20</v>
      </c>
      <c r="S410" s="79" t="s">
        <v>21</v>
      </c>
      <c r="T410" s="113">
        <v>195995</v>
      </c>
      <c r="U410" s="113">
        <v>166097.4576271183</v>
      </c>
      <c r="V410" s="113">
        <v>5</v>
      </c>
      <c r="X410" s="79" t="s">
        <v>1147</v>
      </c>
      <c r="Y410" s="79" t="s">
        <v>20</v>
      </c>
      <c r="Z410" s="79" t="s">
        <v>21</v>
      </c>
      <c r="AA410" s="113">
        <v>0</v>
      </c>
      <c r="AB410" s="113"/>
      <c r="AC410" s="113"/>
    </row>
    <row r="411" spans="1:29" ht="15.75" customHeight="1" x14ac:dyDescent="0.2">
      <c r="A411" s="278" t="s">
        <v>301</v>
      </c>
      <c r="B411" s="198" t="s">
        <v>302</v>
      </c>
      <c r="C411" s="265"/>
      <c r="D411" s="279" t="s">
        <v>1149</v>
      </c>
      <c r="E411" s="278" t="s">
        <v>63</v>
      </c>
      <c r="F411" s="278" t="s">
        <v>55</v>
      </c>
      <c r="G411" s="182">
        <v>250</v>
      </c>
      <c r="H411" s="182">
        <v>325</v>
      </c>
      <c r="J411" s="112" t="s">
        <v>1147</v>
      </c>
      <c r="K411" s="161" t="s">
        <v>699</v>
      </c>
      <c r="L411" s="79" t="s">
        <v>700</v>
      </c>
      <c r="M411" s="113">
        <v>8401958</v>
      </c>
      <c r="N411" s="113">
        <v>7120303.3898305092</v>
      </c>
      <c r="O411" s="113">
        <v>142</v>
      </c>
      <c r="Q411" s="112" t="s">
        <v>1147</v>
      </c>
      <c r="R411" s="161" t="s">
        <v>699</v>
      </c>
      <c r="S411" s="79" t="s">
        <v>700</v>
      </c>
      <c r="T411" s="113">
        <v>538990</v>
      </c>
      <c r="U411" s="113">
        <v>456771.18644067744</v>
      </c>
      <c r="V411" s="113">
        <v>10</v>
      </c>
      <c r="X411" s="112" t="s">
        <v>1147</v>
      </c>
      <c r="Y411" s="161" t="s">
        <v>699</v>
      </c>
      <c r="Z411" s="79" t="s">
        <v>700</v>
      </c>
      <c r="AA411" s="113">
        <v>8999</v>
      </c>
      <c r="AB411" s="113">
        <v>7626.2711864406701</v>
      </c>
      <c r="AC411" s="113">
        <v>1</v>
      </c>
    </row>
    <row r="412" spans="1:29" ht="15.75" customHeight="1" x14ac:dyDescent="0.2">
      <c r="A412" s="278" t="s">
        <v>1150</v>
      </c>
      <c r="B412" s="198" t="s">
        <v>1151</v>
      </c>
      <c r="C412" s="181"/>
      <c r="D412" s="279" t="s">
        <v>1149</v>
      </c>
      <c r="E412" s="278" t="s">
        <v>63</v>
      </c>
      <c r="F412" s="278" t="s">
        <v>55</v>
      </c>
      <c r="G412" s="182">
        <v>130</v>
      </c>
      <c r="H412" s="182">
        <v>169</v>
      </c>
      <c r="J412" s="112" t="s">
        <v>1147</v>
      </c>
      <c r="K412" s="161" t="s">
        <v>222</v>
      </c>
      <c r="L412" s="79" t="s">
        <v>223</v>
      </c>
      <c r="M412" s="113">
        <v>11917459</v>
      </c>
      <c r="N412" s="113">
        <v>10099541.52542373</v>
      </c>
      <c r="O412" s="113">
        <v>191</v>
      </c>
      <c r="Q412" s="112" t="s">
        <v>1147</v>
      </c>
      <c r="R412" s="161" t="s">
        <v>222</v>
      </c>
      <c r="S412" s="79" t="s">
        <v>223</v>
      </c>
      <c r="T412" s="113">
        <v>474891</v>
      </c>
      <c r="U412" s="113">
        <v>402449.99999999965</v>
      </c>
      <c r="V412" s="113">
        <v>9</v>
      </c>
      <c r="X412" s="112" t="s">
        <v>1147</v>
      </c>
      <c r="Y412" s="161" t="s">
        <v>222</v>
      </c>
      <c r="Z412" s="79" t="s">
        <v>223</v>
      </c>
      <c r="AA412" s="113">
        <v>0</v>
      </c>
      <c r="AB412" s="113"/>
      <c r="AC412" s="113"/>
    </row>
    <row r="413" spans="1:29" ht="15.75" customHeight="1" x14ac:dyDescent="0.2">
      <c r="A413" s="278" t="s">
        <v>63</v>
      </c>
      <c r="B413" s="198" t="s">
        <v>64</v>
      </c>
      <c r="C413" s="265"/>
      <c r="D413" s="279" t="s">
        <v>1149</v>
      </c>
      <c r="E413" s="278" t="s">
        <v>63</v>
      </c>
      <c r="F413" s="278" t="s">
        <v>55</v>
      </c>
      <c r="G413" s="182">
        <v>220</v>
      </c>
      <c r="H413" s="182">
        <v>286</v>
      </c>
      <c r="J413" s="112" t="s">
        <v>1147</v>
      </c>
      <c r="K413" s="161" t="s">
        <v>70</v>
      </c>
      <c r="L413" s="79" t="s">
        <v>34</v>
      </c>
      <c r="M413" s="113">
        <v>9016363</v>
      </c>
      <c r="N413" s="113">
        <v>7640985.5932203401</v>
      </c>
      <c r="O413" s="113">
        <v>137</v>
      </c>
      <c r="Q413" s="112" t="s">
        <v>1147</v>
      </c>
      <c r="R413" s="161" t="s">
        <v>70</v>
      </c>
      <c r="S413" s="79" t="s">
        <v>34</v>
      </c>
      <c r="T413" s="113">
        <v>338995</v>
      </c>
      <c r="U413" s="113">
        <v>287283.89830508456</v>
      </c>
      <c r="V413" s="113">
        <v>5</v>
      </c>
      <c r="X413" s="112" t="s">
        <v>1147</v>
      </c>
      <c r="Y413" s="161" t="s">
        <v>70</v>
      </c>
      <c r="Z413" s="79" t="s">
        <v>34</v>
      </c>
      <c r="AA413" s="113">
        <v>0</v>
      </c>
      <c r="AB413" s="113"/>
      <c r="AC413" s="113"/>
    </row>
    <row r="414" spans="1:29" ht="15.75" customHeight="1" x14ac:dyDescent="0.2">
      <c r="A414" s="279" t="s">
        <v>1152</v>
      </c>
      <c r="B414" s="198" t="s">
        <v>1153</v>
      </c>
      <c r="C414" s="181"/>
      <c r="D414" s="279" t="s">
        <v>1154</v>
      </c>
      <c r="E414" s="278" t="s">
        <v>307</v>
      </c>
      <c r="F414" s="278" t="s">
        <v>55</v>
      </c>
      <c r="G414" s="182">
        <v>170</v>
      </c>
      <c r="H414" s="182">
        <v>221</v>
      </c>
      <c r="J414" s="112" t="s">
        <v>1173</v>
      </c>
      <c r="K414" s="161"/>
      <c r="L414" s="79"/>
      <c r="M414" s="113">
        <v>68884219</v>
      </c>
      <c r="N414" s="113">
        <v>58376456.77966097</v>
      </c>
      <c r="O414" s="113">
        <v>1131</v>
      </c>
      <c r="Q414" s="112" t="s">
        <v>1173</v>
      </c>
      <c r="R414" s="161"/>
      <c r="S414" s="79"/>
      <c r="T414" s="113">
        <v>2861349</v>
      </c>
      <c r="U414" s="113">
        <v>2424872.0338983033</v>
      </c>
      <c r="V414" s="113">
        <v>51</v>
      </c>
      <c r="X414" s="112" t="s">
        <v>1173</v>
      </c>
      <c r="Y414" s="161"/>
      <c r="Z414" s="79"/>
      <c r="AA414" s="113">
        <v>8999</v>
      </c>
      <c r="AB414" s="113">
        <v>7626.2711864406701</v>
      </c>
      <c r="AC414" s="113">
        <v>1</v>
      </c>
    </row>
    <row r="415" spans="1:29" ht="15.75" customHeight="1" x14ac:dyDescent="0.2">
      <c r="A415" s="279" t="s">
        <v>335</v>
      </c>
      <c r="B415" s="198" t="s">
        <v>342</v>
      </c>
      <c r="C415" s="181"/>
      <c r="D415" s="278" t="s">
        <v>1154</v>
      </c>
      <c r="E415" s="278" t="s">
        <v>307</v>
      </c>
      <c r="F415" s="278" t="s">
        <v>55</v>
      </c>
      <c r="G415" s="182">
        <v>200</v>
      </c>
      <c r="H415" s="182">
        <v>260</v>
      </c>
      <c r="J415" s="42" t="s">
        <v>1149</v>
      </c>
      <c r="K415" s="42" t="s">
        <v>806</v>
      </c>
      <c r="L415" s="42" t="s">
        <v>807</v>
      </c>
      <c r="M415" s="113">
        <v>26702599</v>
      </c>
      <c r="N415" s="113">
        <v>22629321.186440602</v>
      </c>
      <c r="O415" s="113">
        <v>401</v>
      </c>
      <c r="Q415" s="42" t="s">
        <v>1149</v>
      </c>
      <c r="R415" s="42" t="s">
        <v>806</v>
      </c>
      <c r="S415" s="42" t="s">
        <v>807</v>
      </c>
      <c r="T415" s="113">
        <v>0</v>
      </c>
      <c r="U415" s="113"/>
      <c r="V415" s="113"/>
      <c r="X415" s="42" t="s">
        <v>1149</v>
      </c>
      <c r="Y415" s="42" t="s">
        <v>806</v>
      </c>
      <c r="Z415" s="42" t="s">
        <v>807</v>
      </c>
      <c r="AA415" s="113">
        <v>0</v>
      </c>
      <c r="AB415" s="113"/>
      <c r="AC415" s="113"/>
    </row>
    <row r="416" spans="1:29" ht="15.75" customHeight="1" x14ac:dyDescent="0.2">
      <c r="A416" s="279" t="s">
        <v>307</v>
      </c>
      <c r="B416" s="198" t="s">
        <v>308</v>
      </c>
      <c r="C416" s="181"/>
      <c r="D416" s="278" t="s">
        <v>1154</v>
      </c>
      <c r="E416" s="278" t="s">
        <v>307</v>
      </c>
      <c r="F416" s="278" t="s">
        <v>55</v>
      </c>
      <c r="G416" s="182">
        <v>250</v>
      </c>
      <c r="H416" s="182">
        <v>325</v>
      </c>
      <c r="J416" s="79" t="s">
        <v>1149</v>
      </c>
      <c r="K416" s="79" t="s">
        <v>301</v>
      </c>
      <c r="L416" s="79" t="s">
        <v>302</v>
      </c>
      <c r="M416" s="113">
        <v>22818352</v>
      </c>
      <c r="N416" s="113">
        <v>19337586.440677892</v>
      </c>
      <c r="O416" s="113">
        <v>348</v>
      </c>
      <c r="Q416" s="79" t="s">
        <v>1149</v>
      </c>
      <c r="R416" s="79" t="s">
        <v>301</v>
      </c>
      <c r="S416" s="79" t="s">
        <v>302</v>
      </c>
      <c r="T416" s="113">
        <v>0</v>
      </c>
      <c r="U416" s="113"/>
      <c r="V416" s="113"/>
      <c r="X416" s="79" t="s">
        <v>1149</v>
      </c>
      <c r="Y416" s="79" t="s">
        <v>301</v>
      </c>
      <c r="Z416" s="79" t="s">
        <v>302</v>
      </c>
      <c r="AA416" s="113">
        <v>0</v>
      </c>
      <c r="AB416" s="113"/>
      <c r="AC416" s="113"/>
    </row>
    <row r="417" spans="1:29" ht="15.75" customHeight="1" x14ac:dyDescent="0.2">
      <c r="A417" s="278" t="s">
        <v>217</v>
      </c>
      <c r="B417" s="198" t="s">
        <v>197</v>
      </c>
      <c r="C417" s="265"/>
      <c r="D417" s="278" t="s">
        <v>1154</v>
      </c>
      <c r="E417" s="278" t="s">
        <v>307</v>
      </c>
      <c r="F417" s="278" t="s">
        <v>55</v>
      </c>
      <c r="G417" s="182">
        <v>220</v>
      </c>
      <c r="H417" s="182">
        <v>286</v>
      </c>
      <c r="J417" s="79" t="s">
        <v>1149</v>
      </c>
      <c r="K417" s="79" t="s">
        <v>1150</v>
      </c>
      <c r="L417" s="79" t="s">
        <v>1151</v>
      </c>
      <c r="M417" s="113">
        <v>10091096</v>
      </c>
      <c r="N417" s="113">
        <v>8551776.2711864412</v>
      </c>
      <c r="O417" s="113">
        <v>154</v>
      </c>
      <c r="Q417" s="79" t="s">
        <v>1149</v>
      </c>
      <c r="R417" s="79" t="s">
        <v>1150</v>
      </c>
      <c r="S417" s="79" t="s">
        <v>1151</v>
      </c>
      <c r="T417" s="113">
        <v>330995</v>
      </c>
      <c r="U417" s="113">
        <v>280504.23728813539</v>
      </c>
      <c r="V417" s="113">
        <v>5</v>
      </c>
      <c r="X417" s="79" t="s">
        <v>1149</v>
      </c>
      <c r="Y417" s="79" t="s">
        <v>1150</v>
      </c>
      <c r="Z417" s="79" t="s">
        <v>1151</v>
      </c>
      <c r="AA417" s="113">
        <v>0</v>
      </c>
      <c r="AB417" s="113"/>
      <c r="AC417" s="113"/>
    </row>
    <row r="418" spans="1:29" ht="15.75" customHeight="1" x14ac:dyDescent="0.2">
      <c r="A418" s="278" t="s">
        <v>286</v>
      </c>
      <c r="B418" s="198" t="s">
        <v>37</v>
      </c>
      <c r="C418" s="265"/>
      <c r="D418" s="278" t="s">
        <v>1155</v>
      </c>
      <c r="E418" s="278" t="s">
        <v>286</v>
      </c>
      <c r="F418" s="278" t="s">
        <v>55</v>
      </c>
      <c r="G418" s="182">
        <v>180</v>
      </c>
      <c r="H418" s="182">
        <v>234</v>
      </c>
      <c r="J418" s="79" t="s">
        <v>1149</v>
      </c>
      <c r="K418" s="79" t="s">
        <v>63</v>
      </c>
      <c r="L418" s="79" t="s">
        <v>64</v>
      </c>
      <c r="M418" s="113">
        <v>21498882</v>
      </c>
      <c r="N418" s="113">
        <v>18219391.525423698</v>
      </c>
      <c r="O418" s="113">
        <v>318</v>
      </c>
      <c r="Q418" s="79" t="s">
        <v>1149</v>
      </c>
      <c r="R418" s="79" t="s">
        <v>63</v>
      </c>
      <c r="S418" s="79" t="s">
        <v>64</v>
      </c>
      <c r="T418" s="113">
        <v>744988</v>
      </c>
      <c r="U418" s="113">
        <v>631345.76271186396</v>
      </c>
      <c r="V418" s="113">
        <v>12</v>
      </c>
      <c r="X418" s="79" t="s">
        <v>1149</v>
      </c>
      <c r="Y418" s="79" t="s">
        <v>63</v>
      </c>
      <c r="Z418" s="79" t="s">
        <v>64</v>
      </c>
      <c r="AA418" s="113">
        <v>0</v>
      </c>
      <c r="AB418" s="113"/>
      <c r="AC418" s="113"/>
    </row>
    <row r="419" spans="1:29" ht="15.75" customHeight="1" x14ac:dyDescent="0.2">
      <c r="A419" s="278" t="s">
        <v>657</v>
      </c>
      <c r="B419" s="198" t="s">
        <v>39</v>
      </c>
      <c r="C419" s="265"/>
      <c r="D419" s="278" t="s">
        <v>1155</v>
      </c>
      <c r="E419" s="278" t="s">
        <v>286</v>
      </c>
      <c r="F419" s="278" t="s">
        <v>55</v>
      </c>
      <c r="G419" s="182">
        <v>200</v>
      </c>
      <c r="H419" s="182">
        <v>260</v>
      </c>
      <c r="J419" s="79" t="s">
        <v>1174</v>
      </c>
      <c r="K419" s="79"/>
      <c r="L419" s="79"/>
      <c r="M419" s="113">
        <v>81110929</v>
      </c>
      <c r="N419" s="113">
        <v>68738075.423728645</v>
      </c>
      <c r="O419" s="113">
        <v>1221</v>
      </c>
      <c r="Q419" s="79" t="s">
        <v>1174</v>
      </c>
      <c r="R419" s="79"/>
      <c r="S419" s="79"/>
      <c r="T419" s="113">
        <v>1075983</v>
      </c>
      <c r="U419" s="113">
        <v>911849.9999999993</v>
      </c>
      <c r="V419" s="113">
        <v>17</v>
      </c>
      <c r="X419" s="79" t="s">
        <v>1174</v>
      </c>
      <c r="Y419" s="79"/>
      <c r="Z419" s="79"/>
      <c r="AA419" s="113">
        <v>0</v>
      </c>
      <c r="AB419" s="113">
        <v>0</v>
      </c>
      <c r="AC419" s="113">
        <v>0</v>
      </c>
    </row>
    <row r="420" spans="1:29" ht="15.75" customHeight="1" x14ac:dyDescent="0.2">
      <c r="A420" s="278" t="s">
        <v>1156</v>
      </c>
      <c r="B420" s="198" t="s">
        <v>1157</v>
      </c>
      <c r="C420" s="265"/>
      <c r="D420" s="278" t="s">
        <v>1155</v>
      </c>
      <c r="E420" s="278" t="s">
        <v>286</v>
      </c>
      <c r="F420" s="278" t="s">
        <v>55</v>
      </c>
      <c r="G420" s="182">
        <v>200</v>
      </c>
      <c r="H420" s="182">
        <v>260</v>
      </c>
      <c r="J420" s="79" t="s">
        <v>1154</v>
      </c>
      <c r="K420" s="79" t="s">
        <v>307</v>
      </c>
      <c r="L420" s="79" t="s">
        <v>308</v>
      </c>
      <c r="M420" s="113">
        <v>13402888</v>
      </c>
      <c r="N420" s="113">
        <v>11358379.661016954</v>
      </c>
      <c r="O420" s="113">
        <v>212</v>
      </c>
      <c r="Q420" s="79" t="s">
        <v>1154</v>
      </c>
      <c r="R420" s="79" t="s">
        <v>307</v>
      </c>
      <c r="S420" s="79" t="s">
        <v>308</v>
      </c>
      <c r="T420" s="113">
        <v>1468475</v>
      </c>
      <c r="U420" s="113">
        <v>1244470.3389830498</v>
      </c>
      <c r="V420" s="113">
        <v>25</v>
      </c>
      <c r="X420" s="79" t="s">
        <v>1154</v>
      </c>
      <c r="Y420" s="79" t="s">
        <v>307</v>
      </c>
      <c r="Z420" s="79" t="s">
        <v>308</v>
      </c>
      <c r="AA420" s="113">
        <v>8999</v>
      </c>
      <c r="AB420" s="113">
        <v>7626.2711864406701</v>
      </c>
      <c r="AC420" s="113">
        <v>1</v>
      </c>
    </row>
    <row r="421" spans="1:29" ht="15.75" customHeight="1" x14ac:dyDescent="0.2">
      <c r="A421" s="278" t="s">
        <v>726</v>
      </c>
      <c r="B421" s="198" t="s">
        <v>727</v>
      </c>
      <c r="C421" s="265"/>
      <c r="D421" s="278" t="s">
        <v>1158</v>
      </c>
      <c r="E421" s="278" t="s">
        <v>72</v>
      </c>
      <c r="F421" s="278" t="s">
        <v>111</v>
      </c>
      <c r="G421" s="182">
        <v>105</v>
      </c>
      <c r="H421" s="182">
        <v>136.5</v>
      </c>
      <c r="J421" s="79" t="s">
        <v>1154</v>
      </c>
      <c r="K421" s="79" t="s">
        <v>217</v>
      </c>
      <c r="L421" s="79" t="s">
        <v>197</v>
      </c>
      <c r="M421" s="113">
        <v>20097299</v>
      </c>
      <c r="N421" s="113">
        <v>17031609.322033871</v>
      </c>
      <c r="O421" s="113">
        <v>301</v>
      </c>
      <c r="Q421" s="79" t="s">
        <v>1154</v>
      </c>
      <c r="R421" s="79" t="s">
        <v>217</v>
      </c>
      <c r="S421" s="79" t="s">
        <v>197</v>
      </c>
      <c r="T421" s="113">
        <v>1201480</v>
      </c>
      <c r="U421" s="113">
        <v>1018203.3898305077</v>
      </c>
      <c r="V421" s="113">
        <v>20</v>
      </c>
      <c r="X421" s="79" t="s">
        <v>1154</v>
      </c>
      <c r="Y421" s="79" t="s">
        <v>217</v>
      </c>
      <c r="Z421" s="79" t="s">
        <v>197</v>
      </c>
      <c r="AA421" s="113">
        <v>0</v>
      </c>
      <c r="AB421" s="113"/>
      <c r="AC421" s="113"/>
    </row>
    <row r="422" spans="1:29" ht="15.75" customHeight="1" x14ac:dyDescent="0.2">
      <c r="A422" s="278" t="s">
        <v>1040</v>
      </c>
      <c r="B422" s="198" t="s">
        <v>1043</v>
      </c>
      <c r="C422" s="181"/>
      <c r="D422" s="278" t="s">
        <v>1158</v>
      </c>
      <c r="E422" s="278" t="s">
        <v>72</v>
      </c>
      <c r="F422" s="278" t="s">
        <v>111</v>
      </c>
      <c r="G422" s="182">
        <v>80</v>
      </c>
      <c r="H422" s="182">
        <v>104</v>
      </c>
      <c r="J422" s="79" t="s">
        <v>1154</v>
      </c>
      <c r="K422" s="79" t="s">
        <v>1152</v>
      </c>
      <c r="L422" s="79" t="s">
        <v>1153</v>
      </c>
      <c r="M422" s="113">
        <v>8290969</v>
      </c>
      <c r="N422" s="113">
        <v>7026244.9152542399</v>
      </c>
      <c r="O422" s="113">
        <v>131</v>
      </c>
      <c r="Q422" s="79" t="s">
        <v>1154</v>
      </c>
      <c r="R422" s="79" t="s">
        <v>1152</v>
      </c>
      <c r="S422" s="79" t="s">
        <v>1153</v>
      </c>
      <c r="T422" s="113">
        <v>260995</v>
      </c>
      <c r="U422" s="113">
        <v>221182.20338983019</v>
      </c>
      <c r="V422" s="113">
        <v>5</v>
      </c>
      <c r="X422" s="79" t="s">
        <v>1154</v>
      </c>
      <c r="Y422" s="79" t="s">
        <v>1152</v>
      </c>
      <c r="Z422" s="79" t="s">
        <v>1153</v>
      </c>
      <c r="AA422" s="113">
        <v>0</v>
      </c>
      <c r="AB422" s="113"/>
      <c r="AC422" s="113"/>
    </row>
    <row r="423" spans="1:29" ht="15.75" customHeight="1" x14ac:dyDescent="0.2">
      <c r="A423" s="278" t="s">
        <v>1159</v>
      </c>
      <c r="B423" s="198" t="s">
        <v>40</v>
      </c>
      <c r="C423" s="181"/>
      <c r="D423" s="278" t="s">
        <v>1158</v>
      </c>
      <c r="E423" s="278" t="s">
        <v>72</v>
      </c>
      <c r="F423" s="278" t="s">
        <v>111</v>
      </c>
      <c r="G423" s="182">
        <v>120</v>
      </c>
      <c r="H423" s="182">
        <v>156</v>
      </c>
      <c r="J423" s="79" t="s">
        <v>1154</v>
      </c>
      <c r="K423" s="79" t="s">
        <v>335</v>
      </c>
      <c r="L423" s="79" t="s">
        <v>342</v>
      </c>
      <c r="M423" s="113">
        <v>17784729</v>
      </c>
      <c r="N423" s="113">
        <v>15071804.237288103</v>
      </c>
      <c r="O423" s="113">
        <v>271</v>
      </c>
      <c r="Q423" s="79" t="s">
        <v>1154</v>
      </c>
      <c r="R423" s="79" t="s">
        <v>335</v>
      </c>
      <c r="S423" s="79" t="s">
        <v>342</v>
      </c>
      <c r="T423" s="113">
        <v>1396978</v>
      </c>
      <c r="U423" s="113">
        <v>1183879.6610169485</v>
      </c>
      <c r="V423" s="113">
        <v>22</v>
      </c>
      <c r="X423" s="79" t="s">
        <v>1154</v>
      </c>
      <c r="Y423" s="79" t="s">
        <v>335</v>
      </c>
      <c r="Z423" s="79" t="s">
        <v>342</v>
      </c>
      <c r="AA423" s="113">
        <v>0</v>
      </c>
      <c r="AB423" s="113"/>
      <c r="AC423" s="113"/>
    </row>
    <row r="424" spans="1:29" ht="15.75" customHeight="1" x14ac:dyDescent="0.2">
      <c r="A424" s="278" t="s">
        <v>72</v>
      </c>
      <c r="B424" s="198" t="s">
        <v>43</v>
      </c>
      <c r="C424" s="181"/>
      <c r="D424" s="278" t="s">
        <v>1158</v>
      </c>
      <c r="E424" s="278" t="s">
        <v>72</v>
      </c>
      <c r="F424" s="278" t="s">
        <v>111</v>
      </c>
      <c r="G424" s="182">
        <v>200</v>
      </c>
      <c r="H424" s="182">
        <v>260</v>
      </c>
      <c r="J424" s="79" t="s">
        <v>1175</v>
      </c>
      <c r="K424" s="79"/>
      <c r="L424" s="79"/>
      <c r="M424" s="113">
        <v>59575885</v>
      </c>
      <c r="N424" s="113">
        <v>50488038.135593168</v>
      </c>
      <c r="O424" s="113">
        <v>915</v>
      </c>
      <c r="Q424" s="79" t="s">
        <v>1175</v>
      </c>
      <c r="R424" s="79"/>
      <c r="S424" s="79"/>
      <c r="T424" s="113">
        <v>4327928</v>
      </c>
      <c r="U424" s="113">
        <v>3667735.5932203364</v>
      </c>
      <c r="V424" s="113">
        <v>72</v>
      </c>
      <c r="X424" s="79" t="s">
        <v>1175</v>
      </c>
      <c r="Y424" s="79"/>
      <c r="Z424" s="79"/>
      <c r="AA424" s="113">
        <v>8999</v>
      </c>
      <c r="AB424" s="113">
        <v>7626.2711864406701</v>
      </c>
      <c r="AC424" s="113">
        <v>1</v>
      </c>
    </row>
    <row r="425" spans="1:29" ht="15.75" customHeight="1" x14ac:dyDescent="0.2">
      <c r="A425" s="278" t="s">
        <v>925</v>
      </c>
      <c r="B425" s="198" t="s">
        <v>764</v>
      </c>
      <c r="C425" s="181"/>
      <c r="D425" s="278" t="s">
        <v>1158</v>
      </c>
      <c r="E425" s="278" t="s">
        <v>72</v>
      </c>
      <c r="F425" s="278" t="s">
        <v>111</v>
      </c>
      <c r="G425" s="182">
        <v>180</v>
      </c>
      <c r="H425" s="182">
        <v>234</v>
      </c>
      <c r="J425" s="79" t="s">
        <v>1155</v>
      </c>
      <c r="K425" s="79" t="s">
        <v>657</v>
      </c>
      <c r="L425" s="79" t="s">
        <v>39</v>
      </c>
      <c r="M425" s="113">
        <v>12740499</v>
      </c>
      <c r="N425" s="113">
        <v>10797033.050847456</v>
      </c>
      <c r="O425" s="113">
        <v>201</v>
      </c>
      <c r="Q425" s="79" t="s">
        <v>1155</v>
      </c>
      <c r="R425" s="79" t="s">
        <v>657</v>
      </c>
      <c r="S425" s="79" t="s">
        <v>39</v>
      </c>
      <c r="T425" s="113">
        <v>177997</v>
      </c>
      <c r="U425" s="113">
        <v>150844.9152542371</v>
      </c>
      <c r="V425" s="113">
        <v>3</v>
      </c>
      <c r="X425" s="79" t="s">
        <v>1155</v>
      </c>
      <c r="Y425" s="79" t="s">
        <v>657</v>
      </c>
      <c r="Z425" s="79" t="s">
        <v>39</v>
      </c>
      <c r="AA425" s="113">
        <v>0</v>
      </c>
      <c r="AB425" s="113"/>
      <c r="AC425" s="113"/>
    </row>
    <row r="426" spans="1:29" ht="15.75" customHeight="1" x14ac:dyDescent="0.2">
      <c r="A426" s="281" t="s">
        <v>1430</v>
      </c>
      <c r="B426" s="198" t="s">
        <v>1431</v>
      </c>
      <c r="C426" s="181"/>
      <c r="D426" s="278" t="s">
        <v>1161</v>
      </c>
      <c r="E426" s="278" t="s">
        <v>41</v>
      </c>
      <c r="F426" s="278" t="s">
        <v>111</v>
      </c>
      <c r="G426" s="182">
        <v>290</v>
      </c>
      <c r="H426" s="182">
        <v>377</v>
      </c>
      <c r="J426" s="79" t="s">
        <v>1155</v>
      </c>
      <c r="K426" s="79" t="s">
        <v>1156</v>
      </c>
      <c r="L426" s="79" t="s">
        <v>1157</v>
      </c>
      <c r="M426" s="113">
        <v>10068995</v>
      </c>
      <c r="N426" s="113">
        <v>8533046.6101694964</v>
      </c>
      <c r="O426" s="113">
        <v>155</v>
      </c>
      <c r="Q426" s="79" t="s">
        <v>1155</v>
      </c>
      <c r="R426" s="79" t="s">
        <v>1156</v>
      </c>
      <c r="S426" s="79" t="s">
        <v>1157</v>
      </c>
      <c r="T426" s="113">
        <v>372994</v>
      </c>
      <c r="U426" s="113">
        <v>316096.61016949132</v>
      </c>
      <c r="V426" s="113">
        <v>6</v>
      </c>
      <c r="X426" s="79" t="s">
        <v>1155</v>
      </c>
      <c r="Y426" s="79" t="s">
        <v>1156</v>
      </c>
      <c r="Z426" s="79" t="s">
        <v>1157</v>
      </c>
      <c r="AA426" s="113">
        <v>0</v>
      </c>
      <c r="AB426" s="113"/>
      <c r="AC426" s="113"/>
    </row>
    <row r="427" spans="1:29" ht="15.75" customHeight="1" x14ac:dyDescent="0.2">
      <c r="A427" s="281" t="s">
        <v>659</v>
      </c>
      <c r="B427" s="198" t="s">
        <v>660</v>
      </c>
      <c r="C427" s="265"/>
      <c r="D427" s="278" t="s">
        <v>1161</v>
      </c>
      <c r="E427" s="278" t="s">
        <v>41</v>
      </c>
      <c r="F427" s="278" t="s">
        <v>111</v>
      </c>
      <c r="G427" s="182">
        <v>210</v>
      </c>
      <c r="H427" s="182">
        <v>273</v>
      </c>
      <c r="J427" s="79" t="s">
        <v>1155</v>
      </c>
      <c r="K427" s="112" t="s">
        <v>286</v>
      </c>
      <c r="L427" s="79" t="s">
        <v>37</v>
      </c>
      <c r="M427" s="113">
        <v>8411166</v>
      </c>
      <c r="N427" s="113">
        <v>7128106.7796610175</v>
      </c>
      <c r="O427" s="113">
        <v>134</v>
      </c>
      <c r="Q427" s="79" t="s">
        <v>1155</v>
      </c>
      <c r="R427" s="112" t="s">
        <v>286</v>
      </c>
      <c r="S427" s="79" t="s">
        <v>37</v>
      </c>
      <c r="T427" s="113">
        <v>319995</v>
      </c>
      <c r="U427" s="113">
        <v>271182.20338983025</v>
      </c>
      <c r="V427" s="113">
        <v>5</v>
      </c>
      <c r="X427" s="79" t="s">
        <v>1155</v>
      </c>
      <c r="Y427" s="112" t="s">
        <v>286</v>
      </c>
      <c r="Z427" s="79" t="s">
        <v>37</v>
      </c>
      <c r="AA427" s="113">
        <v>0</v>
      </c>
      <c r="AB427" s="113"/>
      <c r="AC427" s="113"/>
    </row>
    <row r="428" spans="1:29" ht="15.75" customHeight="1" x14ac:dyDescent="0.2">
      <c r="A428" s="281" t="s">
        <v>117</v>
      </c>
      <c r="B428" s="198" t="s">
        <v>196</v>
      </c>
      <c r="C428" s="181"/>
      <c r="D428" s="278" t="s">
        <v>1161</v>
      </c>
      <c r="E428" s="278" t="s">
        <v>41</v>
      </c>
      <c r="F428" s="278" t="s">
        <v>111</v>
      </c>
      <c r="G428" s="182">
        <v>280</v>
      </c>
      <c r="H428" s="182">
        <v>364</v>
      </c>
      <c r="J428" s="79" t="s">
        <v>1176</v>
      </c>
      <c r="K428" s="79"/>
      <c r="L428" s="79"/>
      <c r="M428" s="113">
        <v>31220660</v>
      </c>
      <c r="N428" s="113">
        <v>26458186.440677971</v>
      </c>
      <c r="O428" s="113">
        <v>490</v>
      </c>
      <c r="Q428" s="79" t="s">
        <v>1176</v>
      </c>
      <c r="R428" s="79"/>
      <c r="S428" s="79"/>
      <c r="T428" s="113">
        <v>870986</v>
      </c>
      <c r="U428" s="113">
        <v>738123.72881355858</v>
      </c>
      <c r="V428" s="113">
        <v>14</v>
      </c>
      <c r="X428" s="79" t="s">
        <v>1176</v>
      </c>
      <c r="Y428" s="79"/>
      <c r="Z428" s="79"/>
      <c r="AA428" s="113">
        <v>0</v>
      </c>
      <c r="AB428" s="113">
        <v>0</v>
      </c>
      <c r="AC428" s="113">
        <v>0</v>
      </c>
    </row>
    <row r="429" spans="1:29" ht="15.75" customHeight="1" x14ac:dyDescent="0.2">
      <c r="A429" s="281" t="s">
        <v>765</v>
      </c>
      <c r="B429" s="198" t="s">
        <v>766</v>
      </c>
      <c r="C429" s="265"/>
      <c r="D429" s="278" t="s">
        <v>1161</v>
      </c>
      <c r="E429" s="278" t="s">
        <v>41</v>
      </c>
      <c r="F429" s="278" t="s">
        <v>111</v>
      </c>
      <c r="G429" s="182">
        <v>240</v>
      </c>
      <c r="H429" s="182">
        <v>312</v>
      </c>
      <c r="J429" s="79" t="s">
        <v>1158</v>
      </c>
      <c r="K429" s="230" t="s">
        <v>726</v>
      </c>
      <c r="L429" s="22" t="s">
        <v>727</v>
      </c>
      <c r="M429" s="113">
        <v>5130416</v>
      </c>
      <c r="N429" s="113">
        <v>4347810.1694915174</v>
      </c>
      <c r="O429" s="113">
        <v>84</v>
      </c>
      <c r="Q429" s="79" t="s">
        <v>1158</v>
      </c>
      <c r="R429" s="230" t="s">
        <v>726</v>
      </c>
      <c r="S429" s="22" t="s">
        <v>727</v>
      </c>
      <c r="T429" s="113">
        <v>719989</v>
      </c>
      <c r="U429" s="113">
        <v>610160.16949152492</v>
      </c>
      <c r="V429" s="113">
        <v>11</v>
      </c>
      <c r="X429" s="79" t="s">
        <v>1158</v>
      </c>
      <c r="Y429" s="230" t="s">
        <v>726</v>
      </c>
      <c r="Z429" s="22" t="s">
        <v>727</v>
      </c>
      <c r="AA429" s="113">
        <v>0</v>
      </c>
      <c r="AB429" s="113"/>
      <c r="AC429" s="113"/>
    </row>
    <row r="430" spans="1:29" ht="15.75" customHeight="1" x14ac:dyDescent="0.2">
      <c r="A430" s="281" t="s">
        <v>41</v>
      </c>
      <c r="B430" s="198" t="s">
        <v>42</v>
      </c>
      <c r="C430" s="181"/>
      <c r="D430" s="278" t="s">
        <v>1161</v>
      </c>
      <c r="E430" s="278" t="s">
        <v>41</v>
      </c>
      <c r="F430" s="278" t="s">
        <v>111</v>
      </c>
      <c r="G430" s="182">
        <v>190</v>
      </c>
      <c r="H430" s="182">
        <v>247</v>
      </c>
      <c r="J430" s="79" t="s">
        <v>1158</v>
      </c>
      <c r="K430" s="79" t="s">
        <v>291</v>
      </c>
      <c r="L430" s="79" t="s">
        <v>40</v>
      </c>
      <c r="M430" s="113">
        <v>4944420</v>
      </c>
      <c r="N430" s="113">
        <v>4190186.4406779604</v>
      </c>
      <c r="O430" s="113">
        <v>80</v>
      </c>
      <c r="Q430" s="79" t="s">
        <v>1158</v>
      </c>
      <c r="R430" s="79" t="s">
        <v>291</v>
      </c>
      <c r="S430" s="79" t="s">
        <v>40</v>
      </c>
      <c r="T430" s="113">
        <v>0</v>
      </c>
      <c r="U430" s="113"/>
      <c r="V430" s="113"/>
      <c r="X430" s="79" t="s">
        <v>1158</v>
      </c>
      <c r="Y430" s="79" t="s">
        <v>291</v>
      </c>
      <c r="Z430" s="79" t="s">
        <v>40</v>
      </c>
      <c r="AA430" s="113">
        <v>5999</v>
      </c>
      <c r="AB430" s="113">
        <v>5083.8983050847401</v>
      </c>
      <c r="AC430" s="113">
        <v>1</v>
      </c>
    </row>
    <row r="431" spans="1:29" ht="15.75" customHeight="1" x14ac:dyDescent="0.2">
      <c r="A431" s="281" t="s">
        <v>240</v>
      </c>
      <c r="B431" s="198" t="s">
        <v>241</v>
      </c>
      <c r="C431" s="265"/>
      <c r="D431" s="278" t="s">
        <v>1162</v>
      </c>
      <c r="E431" s="233"/>
      <c r="F431" s="278" t="s">
        <v>111</v>
      </c>
      <c r="G431" s="182">
        <v>170</v>
      </c>
      <c r="H431" s="182">
        <v>221</v>
      </c>
      <c r="J431" s="42" t="s">
        <v>1158</v>
      </c>
      <c r="K431" s="42" t="s">
        <v>1073</v>
      </c>
      <c r="L431" s="42" t="s">
        <v>1074</v>
      </c>
      <c r="M431" s="113">
        <v>0</v>
      </c>
      <c r="N431" s="113"/>
      <c r="O431" s="113"/>
      <c r="Q431" s="42" t="s">
        <v>1158</v>
      </c>
      <c r="R431" s="42" t="s">
        <v>1073</v>
      </c>
      <c r="S431" s="42" t="s">
        <v>1074</v>
      </c>
      <c r="T431" s="113">
        <v>0</v>
      </c>
      <c r="U431" s="113"/>
      <c r="V431" s="113"/>
      <c r="X431" s="42" t="s">
        <v>1158</v>
      </c>
      <c r="Y431" s="42" t="s">
        <v>1073</v>
      </c>
      <c r="Z431" s="42" t="s">
        <v>1074</v>
      </c>
      <c r="AA431" s="113">
        <v>0</v>
      </c>
      <c r="AB431" s="113"/>
      <c r="AC431" s="113"/>
    </row>
    <row r="432" spans="1:29" ht="15.75" customHeight="1" x14ac:dyDescent="0.2">
      <c r="A432" s="283" t="s">
        <v>352</v>
      </c>
      <c r="B432" s="198" t="s">
        <v>289</v>
      </c>
      <c r="C432" s="265"/>
      <c r="D432" s="278" t="s">
        <v>1162</v>
      </c>
      <c r="E432" s="233"/>
      <c r="F432" s="278" t="s">
        <v>111</v>
      </c>
      <c r="G432" s="182">
        <v>190</v>
      </c>
      <c r="H432" s="182">
        <v>247</v>
      </c>
      <c r="J432" s="79" t="s">
        <v>1158</v>
      </c>
      <c r="K432" s="79" t="s">
        <v>72</v>
      </c>
      <c r="L432" s="111" t="s">
        <v>43</v>
      </c>
      <c r="M432" s="113">
        <v>8715057</v>
      </c>
      <c r="N432" s="113">
        <v>7385641.5254237279</v>
      </c>
      <c r="O432" s="113">
        <v>143</v>
      </c>
      <c r="Q432" s="79" t="s">
        <v>1158</v>
      </c>
      <c r="R432" s="79" t="s">
        <v>72</v>
      </c>
      <c r="S432" s="111" t="s">
        <v>43</v>
      </c>
      <c r="T432" s="113">
        <v>0</v>
      </c>
      <c r="U432" s="113"/>
      <c r="V432" s="113"/>
      <c r="X432" s="79" t="s">
        <v>1158</v>
      </c>
      <c r="Y432" s="79" t="s">
        <v>72</v>
      </c>
      <c r="Z432" s="111" t="s">
        <v>43</v>
      </c>
      <c r="AA432" s="113">
        <v>0</v>
      </c>
      <c r="AB432" s="113"/>
      <c r="AC432" s="113"/>
    </row>
    <row r="433" spans="1:29" ht="15.75" customHeight="1" x14ac:dyDescent="0.2">
      <c r="A433" s="283" t="s">
        <v>198</v>
      </c>
      <c r="B433" s="198" t="s">
        <v>35</v>
      </c>
      <c r="C433" s="181"/>
      <c r="D433" s="278" t="s">
        <v>1162</v>
      </c>
      <c r="E433" s="233"/>
      <c r="F433" s="278" t="s">
        <v>111</v>
      </c>
      <c r="G433" s="182">
        <v>125</v>
      </c>
      <c r="H433" s="182">
        <v>162.5</v>
      </c>
      <c r="J433" s="79" t="s">
        <v>1158</v>
      </c>
      <c r="K433" s="79" t="s">
        <v>925</v>
      </c>
      <c r="L433" s="79" t="s">
        <v>764</v>
      </c>
      <c r="M433" s="113">
        <v>15497861</v>
      </c>
      <c r="N433" s="113">
        <v>13133780.508474562</v>
      </c>
      <c r="O433" s="113">
        <v>239</v>
      </c>
      <c r="Q433" s="79" t="s">
        <v>1158</v>
      </c>
      <c r="R433" s="79" t="s">
        <v>925</v>
      </c>
      <c r="S433" s="79" t="s">
        <v>764</v>
      </c>
      <c r="T433" s="113">
        <v>265995</v>
      </c>
      <c r="U433" s="113">
        <v>225419.49152542348</v>
      </c>
      <c r="V433" s="113">
        <v>5</v>
      </c>
      <c r="X433" s="79" t="s">
        <v>1158</v>
      </c>
      <c r="Y433" s="79" t="s">
        <v>925</v>
      </c>
      <c r="Z433" s="79" t="s">
        <v>764</v>
      </c>
      <c r="AA433" s="113">
        <v>0</v>
      </c>
      <c r="AB433" s="113"/>
      <c r="AC433" s="113"/>
    </row>
    <row r="434" spans="1:29" ht="15.75" customHeight="1" x14ac:dyDescent="0.2">
      <c r="A434" s="279" t="s">
        <v>2520</v>
      </c>
      <c r="B434" s="198" t="s">
        <v>2521</v>
      </c>
      <c r="C434" s="181"/>
      <c r="D434" s="278" t="s">
        <v>1161</v>
      </c>
      <c r="E434" s="278" t="s">
        <v>41</v>
      </c>
      <c r="F434" s="278" t="s">
        <v>111</v>
      </c>
      <c r="G434" s="182">
        <v>40</v>
      </c>
      <c r="H434" s="182">
        <v>52</v>
      </c>
      <c r="J434" s="79" t="s">
        <v>1158</v>
      </c>
      <c r="K434" s="79" t="s">
        <v>928</v>
      </c>
      <c r="L434" s="79" t="s">
        <v>759</v>
      </c>
      <c r="M434" s="113">
        <v>0</v>
      </c>
      <c r="N434" s="113"/>
      <c r="O434" s="113"/>
      <c r="Q434" s="79" t="s">
        <v>1158</v>
      </c>
      <c r="R434" s="79" t="s">
        <v>928</v>
      </c>
      <c r="S434" s="79" t="s">
        <v>759</v>
      </c>
      <c r="T434" s="113">
        <v>0</v>
      </c>
      <c r="U434" s="113"/>
      <c r="V434" s="113"/>
      <c r="X434" s="79" t="s">
        <v>1158</v>
      </c>
      <c r="Y434" s="79" t="s">
        <v>928</v>
      </c>
      <c r="Z434" s="79" t="s">
        <v>759</v>
      </c>
      <c r="AA434" s="113">
        <v>0</v>
      </c>
      <c r="AB434" s="113"/>
      <c r="AC434" s="113"/>
    </row>
    <row r="435" spans="1:29" ht="15.75" customHeight="1" x14ac:dyDescent="0.2">
      <c r="A435" s="279" t="s">
        <v>2522</v>
      </c>
      <c r="B435" s="198" t="s">
        <v>2523</v>
      </c>
      <c r="C435" s="181"/>
      <c r="D435" s="278" t="s">
        <v>1158</v>
      </c>
      <c r="E435" s="278" t="s">
        <v>72</v>
      </c>
      <c r="F435" s="278" t="s">
        <v>111</v>
      </c>
      <c r="G435" s="182">
        <v>130</v>
      </c>
      <c r="H435" s="182">
        <v>169</v>
      </c>
      <c r="J435" s="79" t="s">
        <v>1158</v>
      </c>
      <c r="K435" s="79" t="s">
        <v>2780</v>
      </c>
      <c r="L435" s="79" t="s">
        <v>2781</v>
      </c>
      <c r="M435" s="113">
        <v>2741254</v>
      </c>
      <c r="N435" s="113">
        <v>2323096.6101694889</v>
      </c>
      <c r="O435" s="113">
        <v>46</v>
      </c>
      <c r="Q435" s="79" t="s">
        <v>1158</v>
      </c>
      <c r="R435" s="79" t="s">
        <v>2780</v>
      </c>
      <c r="S435" s="79" t="s">
        <v>2781</v>
      </c>
      <c r="T435" s="113">
        <v>112297</v>
      </c>
      <c r="U435" s="113">
        <v>95166.949152542205</v>
      </c>
      <c r="V435" s="113">
        <v>3</v>
      </c>
      <c r="X435" s="79" t="s">
        <v>1158</v>
      </c>
      <c r="Y435" s="79" t="s">
        <v>2780</v>
      </c>
      <c r="Z435" s="79" t="s">
        <v>2781</v>
      </c>
      <c r="AA435" s="113">
        <v>0</v>
      </c>
      <c r="AB435" s="113"/>
      <c r="AC435" s="113"/>
    </row>
    <row r="436" spans="1:29" ht="15.75" customHeight="1" x14ac:dyDescent="0.2">
      <c r="A436" s="279" t="s">
        <v>2780</v>
      </c>
      <c r="B436" s="198" t="s">
        <v>2781</v>
      </c>
      <c r="C436" s="181"/>
      <c r="D436" s="278" t="s">
        <v>1158</v>
      </c>
      <c r="E436" s="278" t="s">
        <v>72</v>
      </c>
      <c r="F436" s="278" t="s">
        <v>111</v>
      </c>
      <c r="G436" s="182">
        <v>60</v>
      </c>
      <c r="H436" s="182">
        <v>78</v>
      </c>
      <c r="J436" s="79" t="s">
        <v>1158</v>
      </c>
      <c r="K436" s="79" t="s">
        <v>2524</v>
      </c>
      <c r="L436" s="79" t="s">
        <v>2523</v>
      </c>
      <c r="M436" s="113">
        <v>5571711</v>
      </c>
      <c r="N436" s="113">
        <v>4721788.9830508418</v>
      </c>
      <c r="O436" s="113">
        <v>89</v>
      </c>
      <c r="Q436" s="79" t="s">
        <v>1158</v>
      </c>
      <c r="R436" s="79" t="s">
        <v>2524</v>
      </c>
      <c r="S436" s="79" t="s">
        <v>2523</v>
      </c>
      <c r="T436" s="113">
        <v>71999</v>
      </c>
      <c r="U436" s="113">
        <v>61016.101694915204</v>
      </c>
      <c r="V436" s="113">
        <v>1</v>
      </c>
      <c r="X436" s="79" t="s">
        <v>1158</v>
      </c>
      <c r="Y436" s="79" t="s">
        <v>2524</v>
      </c>
      <c r="Z436" s="79" t="s">
        <v>2523</v>
      </c>
      <c r="AA436" s="113">
        <v>0</v>
      </c>
      <c r="AB436" s="113"/>
      <c r="AC436" s="113"/>
    </row>
    <row r="437" spans="1:29" ht="15.75" customHeight="1" x14ac:dyDescent="0.2">
      <c r="A437" s="278" t="s">
        <v>207</v>
      </c>
      <c r="B437" s="198" t="s">
        <v>201</v>
      </c>
      <c r="C437" s="265"/>
      <c r="D437" s="278" t="s">
        <v>1163</v>
      </c>
      <c r="E437" s="279" t="s">
        <v>57</v>
      </c>
      <c r="F437" s="278" t="s">
        <v>297</v>
      </c>
      <c r="G437" s="182">
        <v>180</v>
      </c>
      <c r="H437" s="182">
        <v>234</v>
      </c>
      <c r="J437" s="79" t="s">
        <v>1158</v>
      </c>
      <c r="K437" s="79" t="s">
        <v>1040</v>
      </c>
      <c r="L437" s="79" t="s">
        <v>1043</v>
      </c>
      <c r="M437" s="113">
        <v>3249944</v>
      </c>
      <c r="N437" s="113">
        <v>2754189.830508471</v>
      </c>
      <c r="O437" s="113">
        <v>56</v>
      </c>
      <c r="Q437" s="79" t="s">
        <v>1158</v>
      </c>
      <c r="R437" s="79" t="s">
        <v>1040</v>
      </c>
      <c r="S437" s="79" t="s">
        <v>1043</v>
      </c>
      <c r="T437" s="113">
        <v>498992</v>
      </c>
      <c r="U437" s="113">
        <v>422874.57627118618</v>
      </c>
      <c r="V437" s="113">
        <v>8</v>
      </c>
      <c r="X437" s="79" t="s">
        <v>1158</v>
      </c>
      <c r="Y437" s="79" t="s">
        <v>1040</v>
      </c>
      <c r="Z437" s="79" t="s">
        <v>1043</v>
      </c>
      <c r="AA437" s="113">
        <v>0</v>
      </c>
      <c r="AB437" s="113"/>
      <c r="AC437" s="113"/>
    </row>
    <row r="438" spans="1:29" ht="15.75" customHeight="1" x14ac:dyDescent="0.2">
      <c r="A438" s="278" t="s">
        <v>299</v>
      </c>
      <c r="B438" s="198" t="s">
        <v>290</v>
      </c>
      <c r="C438" s="265"/>
      <c r="D438" s="278" t="s">
        <v>1163</v>
      </c>
      <c r="E438" s="279" t="s">
        <v>57</v>
      </c>
      <c r="F438" s="278" t="s">
        <v>297</v>
      </c>
      <c r="G438" s="182">
        <v>140</v>
      </c>
      <c r="H438" s="182">
        <v>182</v>
      </c>
      <c r="J438" s="79" t="s">
        <v>1177</v>
      </c>
      <c r="K438" s="79"/>
      <c r="L438" s="79"/>
      <c r="M438" s="113">
        <v>45850663</v>
      </c>
      <c r="N438" s="113">
        <v>38856494.067796573</v>
      </c>
      <c r="O438" s="113">
        <v>737</v>
      </c>
      <c r="Q438" s="79" t="s">
        <v>1177</v>
      </c>
      <c r="R438" s="79"/>
      <c r="S438" s="79"/>
      <c r="T438" s="113">
        <v>1669272</v>
      </c>
      <c r="U438" s="113">
        <v>1414637.2881355919</v>
      </c>
      <c r="V438" s="113">
        <v>28</v>
      </c>
      <c r="X438" s="79" t="s">
        <v>1177</v>
      </c>
      <c r="Y438" s="79"/>
      <c r="Z438" s="79"/>
      <c r="AA438" s="113">
        <v>5999</v>
      </c>
      <c r="AB438" s="113">
        <v>5083.8983050847401</v>
      </c>
      <c r="AC438" s="113">
        <v>1</v>
      </c>
    </row>
    <row r="439" spans="1:29" ht="15.75" customHeight="1" x14ac:dyDescent="0.2">
      <c r="A439" s="278" t="s">
        <v>1165</v>
      </c>
      <c r="B439" s="198" t="s">
        <v>1166</v>
      </c>
      <c r="C439" s="181"/>
      <c r="D439" s="278" t="s">
        <v>1163</v>
      </c>
      <c r="E439" s="278" t="s">
        <v>57</v>
      </c>
      <c r="F439" s="278" t="s">
        <v>297</v>
      </c>
      <c r="G439" s="182">
        <v>235</v>
      </c>
      <c r="H439" s="182">
        <v>305.5</v>
      </c>
      <c r="J439" s="79" t="s">
        <v>1161</v>
      </c>
      <c r="K439" s="42" t="s">
        <v>1041</v>
      </c>
      <c r="L439" s="42" t="s">
        <v>1042</v>
      </c>
      <c r="M439" s="113">
        <v>0</v>
      </c>
      <c r="N439" s="113"/>
      <c r="O439" s="113"/>
      <c r="Q439" s="79" t="s">
        <v>1161</v>
      </c>
      <c r="R439" s="42" t="s">
        <v>1041</v>
      </c>
      <c r="S439" s="42" t="s">
        <v>1042</v>
      </c>
      <c r="T439" s="113">
        <v>0</v>
      </c>
      <c r="U439" s="113"/>
      <c r="V439" s="113"/>
      <c r="X439" s="79" t="s">
        <v>1161</v>
      </c>
      <c r="Y439" s="42" t="s">
        <v>1041</v>
      </c>
      <c r="Z439" s="42" t="s">
        <v>1042</v>
      </c>
      <c r="AA439" s="113">
        <v>0</v>
      </c>
      <c r="AB439" s="113"/>
      <c r="AC439" s="113"/>
    </row>
    <row r="440" spans="1:29" ht="15.75" customHeight="1" x14ac:dyDescent="0.2">
      <c r="A440" s="278" t="s">
        <v>57</v>
      </c>
      <c r="B440" s="198" t="s">
        <v>58</v>
      </c>
      <c r="C440" s="181"/>
      <c r="D440" s="278" t="s">
        <v>1163</v>
      </c>
      <c r="E440" s="278" t="s">
        <v>57</v>
      </c>
      <c r="F440" s="278" t="s">
        <v>297</v>
      </c>
      <c r="G440" s="182">
        <v>160</v>
      </c>
      <c r="H440" s="182">
        <v>208</v>
      </c>
      <c r="J440" s="79" t="s">
        <v>1161</v>
      </c>
      <c r="K440" s="42" t="s">
        <v>304</v>
      </c>
      <c r="L440" s="42" t="s">
        <v>306</v>
      </c>
      <c r="M440" s="113">
        <v>0</v>
      </c>
      <c r="N440" s="113"/>
      <c r="O440" s="113"/>
      <c r="Q440" s="79" t="s">
        <v>1161</v>
      </c>
      <c r="R440" s="42" t="s">
        <v>304</v>
      </c>
      <c r="S440" s="42" t="s">
        <v>306</v>
      </c>
      <c r="T440" s="113">
        <v>0</v>
      </c>
      <c r="U440" s="113"/>
      <c r="V440" s="113"/>
      <c r="X440" s="79" t="s">
        <v>1161</v>
      </c>
      <c r="Y440" s="42" t="s">
        <v>304</v>
      </c>
      <c r="Z440" s="42" t="s">
        <v>306</v>
      </c>
      <c r="AA440" s="113">
        <v>0</v>
      </c>
      <c r="AB440" s="113"/>
      <c r="AC440" s="113"/>
    </row>
    <row r="441" spans="1:29" ht="15.75" customHeight="1" x14ac:dyDescent="0.2">
      <c r="A441" s="281" t="s">
        <v>837</v>
      </c>
      <c r="B441" s="198" t="s">
        <v>838</v>
      </c>
      <c r="C441" s="181"/>
      <c r="D441" s="281" t="s">
        <v>1163</v>
      </c>
      <c r="E441" s="281" t="s">
        <v>57</v>
      </c>
      <c r="F441" s="278" t="s">
        <v>297</v>
      </c>
      <c r="G441" s="182">
        <v>200</v>
      </c>
      <c r="H441" s="182">
        <v>260</v>
      </c>
      <c r="J441" s="79" t="s">
        <v>1161</v>
      </c>
      <c r="K441" s="79" t="s">
        <v>659</v>
      </c>
      <c r="L441" s="79" t="s">
        <v>660</v>
      </c>
      <c r="M441" s="113">
        <v>9385507</v>
      </c>
      <c r="N441" s="113">
        <v>7953819.4915254265</v>
      </c>
      <c r="O441" s="113">
        <v>143</v>
      </c>
      <c r="Q441" s="79" t="s">
        <v>1161</v>
      </c>
      <c r="R441" s="79" t="s">
        <v>659</v>
      </c>
      <c r="S441" s="79" t="s">
        <v>660</v>
      </c>
      <c r="T441" s="113">
        <v>212997</v>
      </c>
      <c r="U441" s="113">
        <v>180505.93220338982</v>
      </c>
      <c r="V441" s="113">
        <v>3</v>
      </c>
      <c r="X441" s="79" t="s">
        <v>1161</v>
      </c>
      <c r="Y441" s="79" t="s">
        <v>659</v>
      </c>
      <c r="Z441" s="79" t="s">
        <v>660</v>
      </c>
      <c r="AA441" s="113">
        <v>0</v>
      </c>
      <c r="AB441" s="113"/>
      <c r="AC441" s="113"/>
    </row>
    <row r="442" spans="1:29" ht="15.75" customHeight="1" x14ac:dyDescent="0.2">
      <c r="A442" s="278" t="s">
        <v>1167</v>
      </c>
      <c r="B442" s="198" t="s">
        <v>45</v>
      </c>
      <c r="C442" s="181"/>
      <c r="D442" s="278" t="s">
        <v>1163</v>
      </c>
      <c r="E442" s="278" t="s">
        <v>57</v>
      </c>
      <c r="F442" s="278" t="s">
        <v>297</v>
      </c>
      <c r="G442" s="182">
        <v>200</v>
      </c>
      <c r="H442" s="182">
        <v>260</v>
      </c>
      <c r="J442" s="79" t="s">
        <v>1161</v>
      </c>
      <c r="K442" s="79" t="s">
        <v>117</v>
      </c>
      <c r="L442" s="79" t="s">
        <v>196</v>
      </c>
      <c r="M442" s="113">
        <v>12709344</v>
      </c>
      <c r="N442" s="113">
        <v>10770630.508474575</v>
      </c>
      <c r="O442" s="113">
        <v>206</v>
      </c>
      <c r="Q442" s="79" t="s">
        <v>1161</v>
      </c>
      <c r="R442" s="79" t="s">
        <v>117</v>
      </c>
      <c r="S442" s="79" t="s">
        <v>196</v>
      </c>
      <c r="T442" s="113">
        <v>391993</v>
      </c>
      <c r="U442" s="113">
        <v>332197.45762711822</v>
      </c>
      <c r="V442" s="113">
        <v>7</v>
      </c>
      <c r="X442" s="79" t="s">
        <v>1161</v>
      </c>
      <c r="Y442" s="79" t="s">
        <v>117</v>
      </c>
      <c r="Z442" s="79" t="s">
        <v>196</v>
      </c>
      <c r="AA442" s="113">
        <v>0</v>
      </c>
      <c r="AB442" s="113"/>
      <c r="AC442" s="113"/>
    </row>
    <row r="443" spans="1:29" ht="15.75" customHeight="1" x14ac:dyDescent="0.2">
      <c r="A443" s="278" t="s">
        <v>1168</v>
      </c>
      <c r="B443" s="198" t="s">
        <v>702</v>
      </c>
      <c r="C443" s="181"/>
      <c r="D443" s="278" t="s">
        <v>1169</v>
      </c>
      <c r="E443" s="278" t="s">
        <v>216</v>
      </c>
      <c r="F443" s="278" t="s">
        <v>297</v>
      </c>
      <c r="G443" s="182">
        <v>120</v>
      </c>
      <c r="H443" s="182">
        <v>156</v>
      </c>
      <c r="J443" s="79" t="s">
        <v>1161</v>
      </c>
      <c r="K443" s="79" t="s">
        <v>765</v>
      </c>
      <c r="L443" s="79" t="s">
        <v>766</v>
      </c>
      <c r="M443" s="113">
        <v>20693576</v>
      </c>
      <c r="N443" s="113">
        <v>17536928.813559301</v>
      </c>
      <c r="O443" s="113">
        <v>324</v>
      </c>
      <c r="Q443" s="79" t="s">
        <v>1161</v>
      </c>
      <c r="R443" s="79" t="s">
        <v>765</v>
      </c>
      <c r="S443" s="79" t="s">
        <v>766</v>
      </c>
      <c r="T443" s="113">
        <v>268996</v>
      </c>
      <c r="U443" s="113">
        <v>227962.71186440659</v>
      </c>
      <c r="V443" s="113">
        <v>4</v>
      </c>
      <c r="X443" s="79" t="s">
        <v>1161</v>
      </c>
      <c r="Y443" s="79" t="s">
        <v>765</v>
      </c>
      <c r="Z443" s="79" t="s">
        <v>766</v>
      </c>
      <c r="AA443" s="113">
        <v>0</v>
      </c>
      <c r="AB443" s="113"/>
      <c r="AC443" s="113"/>
    </row>
    <row r="444" spans="1:29" ht="15.75" customHeight="1" x14ac:dyDescent="0.2">
      <c r="A444" s="278" t="s">
        <v>671</v>
      </c>
      <c r="B444" s="198" t="s">
        <v>200</v>
      </c>
      <c r="C444" s="278" t="s">
        <v>19</v>
      </c>
      <c r="D444" s="278" t="s">
        <v>1169</v>
      </c>
      <c r="E444" s="278" t="s">
        <v>216</v>
      </c>
      <c r="F444" s="278" t="s">
        <v>297</v>
      </c>
      <c r="G444" s="182">
        <v>200</v>
      </c>
      <c r="H444" s="182">
        <v>260</v>
      </c>
      <c r="J444" s="79" t="s">
        <v>1161</v>
      </c>
      <c r="K444" s="79" t="s">
        <v>1432</v>
      </c>
      <c r="L444" s="79" t="s">
        <v>1431</v>
      </c>
      <c r="M444" s="113">
        <v>11858908</v>
      </c>
      <c r="N444" s="113">
        <v>10049922.033898307</v>
      </c>
      <c r="O444" s="113">
        <v>192</v>
      </c>
      <c r="Q444" s="79" t="s">
        <v>1161</v>
      </c>
      <c r="R444" s="79" t="s">
        <v>1432</v>
      </c>
      <c r="S444" s="79" t="s">
        <v>1431</v>
      </c>
      <c r="T444" s="113">
        <v>0</v>
      </c>
      <c r="U444" s="113"/>
      <c r="V444" s="113"/>
      <c r="X444" s="79" t="s">
        <v>1161</v>
      </c>
      <c r="Y444" s="79" t="s">
        <v>1432</v>
      </c>
      <c r="Z444" s="79" t="s">
        <v>1431</v>
      </c>
      <c r="AA444" s="113">
        <v>0</v>
      </c>
      <c r="AB444" s="113"/>
      <c r="AC444" s="113"/>
    </row>
    <row r="445" spans="1:29" ht="15.75" customHeight="1" x14ac:dyDescent="0.2">
      <c r="A445" s="198" t="s">
        <v>2091</v>
      </c>
      <c r="B445" s="198" t="s">
        <v>2092</v>
      </c>
      <c r="C445" s="180"/>
      <c r="D445" s="278" t="s">
        <v>1169</v>
      </c>
      <c r="E445" s="278" t="s">
        <v>216</v>
      </c>
      <c r="F445" s="278" t="s">
        <v>297</v>
      </c>
      <c r="G445" s="165">
        <v>80</v>
      </c>
      <c r="H445" s="182">
        <v>104</v>
      </c>
      <c r="J445" s="79" t="s">
        <v>1161</v>
      </c>
      <c r="K445" s="79" t="s">
        <v>2520</v>
      </c>
      <c r="L445" s="79" t="s">
        <v>2521</v>
      </c>
      <c r="M445" s="113">
        <v>2433254</v>
      </c>
      <c r="N445" s="113">
        <v>2062079.6610169467</v>
      </c>
      <c r="O445" s="113">
        <v>46</v>
      </c>
      <c r="Q445" s="79" t="s">
        <v>1161</v>
      </c>
      <c r="R445" s="79" t="s">
        <v>2520</v>
      </c>
      <c r="S445" s="79" t="s">
        <v>2521</v>
      </c>
      <c r="T445" s="113">
        <v>607989</v>
      </c>
      <c r="U445" s="113">
        <v>515244.91525423666</v>
      </c>
      <c r="V445" s="113">
        <v>11</v>
      </c>
      <c r="X445" s="79" t="s">
        <v>1161</v>
      </c>
      <c r="Y445" s="79" t="s">
        <v>2520</v>
      </c>
      <c r="Z445" s="79" t="s">
        <v>2521</v>
      </c>
      <c r="AA445" s="113">
        <v>0</v>
      </c>
      <c r="AB445" s="113"/>
      <c r="AC445" s="113"/>
    </row>
    <row r="446" spans="1:29" ht="15.75" customHeight="1" x14ac:dyDescent="0.2">
      <c r="A446" s="278" t="s">
        <v>216</v>
      </c>
      <c r="B446" s="198" t="s">
        <v>18</v>
      </c>
      <c r="C446" s="180"/>
      <c r="D446" s="278" t="s">
        <v>1169</v>
      </c>
      <c r="E446" s="278" t="s">
        <v>216</v>
      </c>
      <c r="F446" s="278" t="s">
        <v>297</v>
      </c>
      <c r="G446" s="165">
        <v>120</v>
      </c>
      <c r="H446" s="182">
        <v>156</v>
      </c>
      <c r="J446" s="79" t="s">
        <v>1161</v>
      </c>
      <c r="K446" s="79" t="s">
        <v>41</v>
      </c>
      <c r="L446" s="79" t="s">
        <v>42</v>
      </c>
      <c r="M446" s="113">
        <v>15194152</v>
      </c>
      <c r="N446" s="113">
        <v>12876400</v>
      </c>
      <c r="O446" s="113">
        <v>248</v>
      </c>
      <c r="Q446" s="79" t="s">
        <v>1161</v>
      </c>
      <c r="R446" s="79" t="s">
        <v>41</v>
      </c>
      <c r="S446" s="79" t="s">
        <v>42</v>
      </c>
      <c r="T446" s="113">
        <v>707837</v>
      </c>
      <c r="U446" s="113">
        <v>599861.86440677918</v>
      </c>
      <c r="V446" s="113">
        <v>13</v>
      </c>
      <c r="X446" s="79" t="s">
        <v>1161</v>
      </c>
      <c r="Y446" s="79" t="s">
        <v>41</v>
      </c>
      <c r="Z446" s="79" t="s">
        <v>42</v>
      </c>
      <c r="AA446" s="113">
        <v>0</v>
      </c>
      <c r="AB446" s="113"/>
      <c r="AC446" s="113"/>
    </row>
    <row r="447" spans="1:29" ht="15.75" customHeight="1" x14ac:dyDescent="0.2">
      <c r="A447" s="278" t="s">
        <v>19</v>
      </c>
      <c r="B447" s="198" t="s">
        <v>205</v>
      </c>
      <c r="C447" s="180"/>
      <c r="D447" s="278" t="s">
        <v>1169</v>
      </c>
      <c r="E447" s="278" t="s">
        <v>216</v>
      </c>
      <c r="F447" s="278" t="s">
        <v>297</v>
      </c>
      <c r="G447" s="165">
        <v>140</v>
      </c>
      <c r="H447" s="182">
        <v>182</v>
      </c>
      <c r="J447" s="79" t="s">
        <v>1178</v>
      </c>
      <c r="K447" s="79"/>
      <c r="L447" s="79"/>
      <c r="M447" s="113">
        <v>72274741</v>
      </c>
      <c r="N447" s="113">
        <v>61249780.508474559</v>
      </c>
      <c r="O447" s="113">
        <v>1159</v>
      </c>
      <c r="Q447" s="79" t="s">
        <v>1178</v>
      </c>
      <c r="R447" s="79"/>
      <c r="S447" s="79"/>
      <c r="T447" s="113">
        <v>2189812</v>
      </c>
      <c r="U447" s="113">
        <v>1855772.8813559304</v>
      </c>
      <c r="V447" s="113">
        <v>38</v>
      </c>
      <c r="X447" s="79" t="s">
        <v>1178</v>
      </c>
      <c r="Y447" s="79"/>
      <c r="Z447" s="79"/>
      <c r="AA447" s="113">
        <v>0</v>
      </c>
      <c r="AB447" s="113">
        <v>0</v>
      </c>
      <c r="AC447" s="113">
        <v>0</v>
      </c>
    </row>
    <row r="448" spans="1:29" ht="15.75" customHeight="1" x14ac:dyDescent="0.2">
      <c r="J448" s="79" t="s">
        <v>1162</v>
      </c>
      <c r="K448" s="79" t="s">
        <v>240</v>
      </c>
      <c r="L448" s="79" t="s">
        <v>241</v>
      </c>
      <c r="M448" s="113">
        <v>8659257</v>
      </c>
      <c r="N448" s="113">
        <v>7338353.3898305092</v>
      </c>
      <c r="O448" s="113">
        <v>143</v>
      </c>
      <c r="Q448" s="79" t="s">
        <v>1162</v>
      </c>
      <c r="R448" s="79" t="s">
        <v>240</v>
      </c>
      <c r="S448" s="79" t="s">
        <v>241</v>
      </c>
      <c r="T448" s="113">
        <v>568290</v>
      </c>
      <c r="U448" s="113">
        <v>481601.69491525367</v>
      </c>
      <c r="V448" s="113">
        <v>10</v>
      </c>
      <c r="X448" s="79" t="s">
        <v>1162</v>
      </c>
      <c r="Y448" s="79" t="s">
        <v>240</v>
      </c>
      <c r="Z448" s="79" t="s">
        <v>241</v>
      </c>
      <c r="AA448" s="113">
        <v>0</v>
      </c>
      <c r="AB448" s="113"/>
      <c r="AC448" s="113"/>
    </row>
    <row r="449" spans="10:29" ht="15.75" customHeight="1" x14ac:dyDescent="0.2">
      <c r="J449" s="112" t="s">
        <v>1162</v>
      </c>
      <c r="K449" s="79" t="s">
        <v>352</v>
      </c>
      <c r="L449" s="79" t="s">
        <v>289</v>
      </c>
      <c r="M449" s="113">
        <v>9733884</v>
      </c>
      <c r="N449" s="113">
        <v>8249054.237288136</v>
      </c>
      <c r="O449" s="113">
        <v>166</v>
      </c>
      <c r="Q449" s="112" t="s">
        <v>1162</v>
      </c>
      <c r="R449" s="79" t="s">
        <v>352</v>
      </c>
      <c r="S449" s="79" t="s">
        <v>289</v>
      </c>
      <c r="T449" s="113">
        <v>671588</v>
      </c>
      <c r="U449" s="113">
        <v>569142.37288135535</v>
      </c>
      <c r="V449" s="113">
        <v>12</v>
      </c>
      <c r="X449" s="112" t="s">
        <v>1162</v>
      </c>
      <c r="Y449" s="79" t="s">
        <v>352</v>
      </c>
      <c r="Z449" s="79" t="s">
        <v>289</v>
      </c>
      <c r="AA449" s="113">
        <v>0</v>
      </c>
      <c r="AB449" s="113"/>
      <c r="AC449" s="113"/>
    </row>
    <row r="450" spans="10:29" ht="15.75" customHeight="1" x14ac:dyDescent="0.2">
      <c r="J450" s="112" t="s">
        <v>1162</v>
      </c>
      <c r="K450" s="79" t="s">
        <v>230</v>
      </c>
      <c r="L450" s="79" t="s">
        <v>35</v>
      </c>
      <c r="M450" s="113">
        <v>5984800</v>
      </c>
      <c r="N450" s="113">
        <v>5071864.4067796543</v>
      </c>
      <c r="O450" s="113">
        <v>100</v>
      </c>
      <c r="Q450" s="112" t="s">
        <v>1162</v>
      </c>
      <c r="R450" s="79" t="s">
        <v>230</v>
      </c>
      <c r="S450" s="79" t="s">
        <v>35</v>
      </c>
      <c r="T450" s="113">
        <v>1314875</v>
      </c>
      <c r="U450" s="113">
        <v>1114300.8474576259</v>
      </c>
      <c r="V450" s="113">
        <v>25</v>
      </c>
      <c r="X450" s="112" t="s">
        <v>1162</v>
      </c>
      <c r="Y450" s="79" t="s">
        <v>230</v>
      </c>
      <c r="Z450" s="79" t="s">
        <v>35</v>
      </c>
      <c r="AA450" s="113">
        <v>8999</v>
      </c>
      <c r="AB450" s="113">
        <v>7626.2711864406701</v>
      </c>
      <c r="AC450" s="113">
        <v>1</v>
      </c>
    </row>
    <row r="451" spans="10:29" ht="15.75" customHeight="1" x14ac:dyDescent="0.2">
      <c r="J451" s="112" t="s">
        <v>1179</v>
      </c>
      <c r="K451" s="79"/>
      <c r="L451" s="79"/>
      <c r="M451" s="113">
        <v>24377941</v>
      </c>
      <c r="N451" s="113">
        <v>20659272.033898301</v>
      </c>
      <c r="O451" s="113">
        <v>409</v>
      </c>
      <c r="Q451" s="112" t="s">
        <v>1179</v>
      </c>
      <c r="R451" s="79"/>
      <c r="S451" s="79"/>
      <c r="T451" s="113">
        <v>2554753</v>
      </c>
      <c r="U451" s="113">
        <v>2165044.9152542348</v>
      </c>
      <c r="V451" s="113">
        <v>47</v>
      </c>
      <c r="X451" s="112" t="s">
        <v>1179</v>
      </c>
      <c r="Y451" s="79"/>
      <c r="Z451" s="79"/>
      <c r="AA451" s="113">
        <v>8999</v>
      </c>
      <c r="AB451" s="113">
        <v>7626.2711864406701</v>
      </c>
      <c r="AC451" s="113">
        <v>1</v>
      </c>
    </row>
    <row r="452" spans="10:29" ht="15.75" customHeight="1" x14ac:dyDescent="0.2">
      <c r="J452" s="112" t="s">
        <v>1163</v>
      </c>
      <c r="K452" s="79" t="s">
        <v>207</v>
      </c>
      <c r="L452" s="79" t="s">
        <v>201</v>
      </c>
      <c r="M452" s="113">
        <v>6613489</v>
      </c>
      <c r="N452" s="113">
        <v>5604651.6949152499</v>
      </c>
      <c r="O452" s="113">
        <v>111</v>
      </c>
      <c r="Q452" s="112" t="s">
        <v>1163</v>
      </c>
      <c r="R452" s="79" t="s">
        <v>207</v>
      </c>
      <c r="S452" s="79" t="s">
        <v>201</v>
      </c>
      <c r="T452" s="113">
        <v>336994</v>
      </c>
      <c r="U452" s="113">
        <v>285588.13559322001</v>
      </c>
      <c r="V452" s="113">
        <v>6</v>
      </c>
      <c r="X452" s="112" t="s">
        <v>1163</v>
      </c>
      <c r="Y452" s="79" t="s">
        <v>207</v>
      </c>
      <c r="Z452" s="79" t="s">
        <v>201</v>
      </c>
      <c r="AA452" s="113">
        <v>8999</v>
      </c>
      <c r="AB452" s="113">
        <v>7626.2711864406701</v>
      </c>
      <c r="AC452" s="113">
        <v>1</v>
      </c>
    </row>
    <row r="453" spans="10:29" ht="15.75" customHeight="1" x14ac:dyDescent="0.2">
      <c r="J453" s="112" t="s">
        <v>1163</v>
      </c>
      <c r="K453" s="79" t="s">
        <v>299</v>
      </c>
      <c r="L453" s="79" t="s">
        <v>290</v>
      </c>
      <c r="M453" s="113">
        <v>5367910</v>
      </c>
      <c r="N453" s="113">
        <v>4549076.2711864347</v>
      </c>
      <c r="O453" s="113">
        <v>90</v>
      </c>
      <c r="Q453" s="112" t="s">
        <v>1163</v>
      </c>
      <c r="R453" s="79" t="s">
        <v>299</v>
      </c>
      <c r="S453" s="79" t="s">
        <v>290</v>
      </c>
      <c r="T453" s="113">
        <v>522991</v>
      </c>
      <c r="U453" s="113">
        <v>443212.7118644063</v>
      </c>
      <c r="V453" s="113">
        <v>9</v>
      </c>
      <c r="X453" s="112" t="s">
        <v>1163</v>
      </c>
      <c r="Y453" s="79" t="s">
        <v>299</v>
      </c>
      <c r="Z453" s="79" t="s">
        <v>290</v>
      </c>
      <c r="AA453" s="113">
        <v>0</v>
      </c>
      <c r="AB453" s="113"/>
      <c r="AC453" s="113"/>
    </row>
    <row r="454" spans="10:29" ht="15.75" customHeight="1" x14ac:dyDescent="0.2">
      <c r="J454" s="112" t="s">
        <v>1163</v>
      </c>
      <c r="K454" s="79" t="s">
        <v>837</v>
      </c>
      <c r="L454" s="79" t="s">
        <v>838</v>
      </c>
      <c r="M454" s="113">
        <v>8562856</v>
      </c>
      <c r="N454" s="113">
        <v>7256657.6271186415</v>
      </c>
      <c r="O454" s="113">
        <v>144</v>
      </c>
      <c r="Q454" s="112" t="s">
        <v>1163</v>
      </c>
      <c r="R454" s="79" t="s">
        <v>837</v>
      </c>
      <c r="S454" s="79" t="s">
        <v>838</v>
      </c>
      <c r="T454" s="113">
        <v>327995</v>
      </c>
      <c r="U454" s="113">
        <v>277961.86440677947</v>
      </c>
      <c r="V454" s="113">
        <v>5</v>
      </c>
      <c r="X454" s="112" t="s">
        <v>1163</v>
      </c>
      <c r="Y454" s="79" t="s">
        <v>837</v>
      </c>
      <c r="Z454" s="79" t="s">
        <v>838</v>
      </c>
      <c r="AA454" s="113">
        <v>0</v>
      </c>
      <c r="AB454" s="113"/>
      <c r="AC454" s="113"/>
    </row>
    <row r="455" spans="10:29" ht="15.75" customHeight="1" x14ac:dyDescent="0.2">
      <c r="J455" s="112" t="s">
        <v>1163</v>
      </c>
      <c r="K455" s="42" t="s">
        <v>221</v>
      </c>
      <c r="L455" s="42" t="s">
        <v>45</v>
      </c>
      <c r="M455" s="113">
        <v>9498154</v>
      </c>
      <c r="N455" s="113">
        <v>8049283.0508474624</v>
      </c>
      <c r="O455" s="113">
        <v>146</v>
      </c>
      <c r="Q455" s="112" t="s">
        <v>1163</v>
      </c>
      <c r="R455" s="42" t="s">
        <v>221</v>
      </c>
      <c r="S455" s="42" t="s">
        <v>45</v>
      </c>
      <c r="T455" s="113">
        <v>789287</v>
      </c>
      <c r="U455" s="113">
        <v>668887.28813559271</v>
      </c>
      <c r="V455" s="113">
        <v>13</v>
      </c>
      <c r="X455" s="112" t="s">
        <v>1163</v>
      </c>
      <c r="Y455" s="42" t="s">
        <v>221</v>
      </c>
      <c r="Z455" s="42" t="s">
        <v>45</v>
      </c>
      <c r="AA455" s="113">
        <v>0</v>
      </c>
      <c r="AB455" s="113"/>
      <c r="AC455" s="113"/>
    </row>
    <row r="456" spans="10:29" ht="15.75" customHeight="1" x14ac:dyDescent="0.2">
      <c r="J456" s="112" t="s">
        <v>1163</v>
      </c>
      <c r="K456" s="42" t="s">
        <v>1165</v>
      </c>
      <c r="L456" s="42" t="s">
        <v>1166</v>
      </c>
      <c r="M456" s="113">
        <v>12233408</v>
      </c>
      <c r="N456" s="113">
        <v>10367294.915254252</v>
      </c>
      <c r="O456" s="113">
        <v>192</v>
      </c>
      <c r="Q456" s="112" t="s">
        <v>1163</v>
      </c>
      <c r="R456" s="42" t="s">
        <v>1165</v>
      </c>
      <c r="S456" s="42" t="s">
        <v>1166</v>
      </c>
      <c r="T456" s="113">
        <v>233996</v>
      </c>
      <c r="U456" s="113">
        <v>198301.69491525419</v>
      </c>
      <c r="V456" s="113">
        <v>4</v>
      </c>
      <c r="X456" s="112" t="s">
        <v>1163</v>
      </c>
      <c r="Y456" s="42" t="s">
        <v>1165</v>
      </c>
      <c r="Z456" s="42" t="s">
        <v>1166</v>
      </c>
      <c r="AA456" s="113">
        <v>8999</v>
      </c>
      <c r="AB456" s="113">
        <v>7626.2711864406701</v>
      </c>
      <c r="AC456" s="113">
        <v>1</v>
      </c>
    </row>
    <row r="457" spans="10:29" ht="15.75" customHeight="1" x14ac:dyDescent="0.2">
      <c r="J457" s="112" t="s">
        <v>1163</v>
      </c>
      <c r="K457" s="42" t="s">
        <v>57</v>
      </c>
      <c r="L457" s="42" t="s">
        <v>58</v>
      </c>
      <c r="M457" s="113">
        <v>9014362</v>
      </c>
      <c r="N457" s="113">
        <v>7639289.8305084761</v>
      </c>
      <c r="O457" s="113">
        <v>138</v>
      </c>
      <c r="Q457" s="112" t="s">
        <v>1163</v>
      </c>
      <c r="R457" s="42" t="s">
        <v>57</v>
      </c>
      <c r="S457" s="42" t="s">
        <v>58</v>
      </c>
      <c r="T457" s="113">
        <v>2355461</v>
      </c>
      <c r="U457" s="113">
        <v>1996153.3898305071</v>
      </c>
      <c r="V457" s="113">
        <v>39</v>
      </c>
      <c r="X457" s="112" t="s">
        <v>1163</v>
      </c>
      <c r="Y457" s="42" t="s">
        <v>57</v>
      </c>
      <c r="Z457" s="42" t="s">
        <v>58</v>
      </c>
      <c r="AA457" s="113">
        <v>0</v>
      </c>
      <c r="AB457" s="113"/>
      <c r="AC457" s="113"/>
    </row>
    <row r="458" spans="10:29" ht="15.75" customHeight="1" x14ac:dyDescent="0.2">
      <c r="J458" s="112" t="s">
        <v>1180</v>
      </c>
      <c r="K458" s="161"/>
      <c r="L458" s="79"/>
      <c r="M458" s="113">
        <v>51290179</v>
      </c>
      <c r="N458" s="113">
        <v>43466253.389830515</v>
      </c>
      <c r="O458" s="113">
        <v>821</v>
      </c>
      <c r="Q458" s="112" t="s">
        <v>1180</v>
      </c>
      <c r="R458" s="161"/>
      <c r="S458" s="79"/>
      <c r="T458" s="113">
        <v>4566724</v>
      </c>
      <c r="U458" s="113">
        <v>3870105.0847457601</v>
      </c>
      <c r="V458" s="113">
        <v>76</v>
      </c>
      <c r="X458" s="112" t="s">
        <v>1180</v>
      </c>
      <c r="Y458" s="161"/>
      <c r="Z458" s="79"/>
      <c r="AA458" s="113">
        <v>17998</v>
      </c>
      <c r="AB458" s="113">
        <v>15252.54237288134</v>
      </c>
      <c r="AC458" s="113">
        <v>2</v>
      </c>
    </row>
    <row r="459" spans="10:29" ht="15.75" customHeight="1" x14ac:dyDescent="0.2">
      <c r="J459" s="112" t="s">
        <v>1169</v>
      </c>
      <c r="K459" s="161" t="s">
        <v>216</v>
      </c>
      <c r="L459" s="79" t="s">
        <v>18</v>
      </c>
      <c r="M459" s="113">
        <v>3613939</v>
      </c>
      <c r="N459" s="113">
        <v>3062660.1694915206</v>
      </c>
      <c r="O459" s="113">
        <v>61</v>
      </c>
      <c r="Q459" s="112" t="s">
        <v>1169</v>
      </c>
      <c r="R459" s="161" t="s">
        <v>216</v>
      </c>
      <c r="S459" s="79" t="s">
        <v>18</v>
      </c>
      <c r="T459" s="113">
        <v>534990</v>
      </c>
      <c r="U459" s="113">
        <v>453381.35593220271</v>
      </c>
      <c r="V459" s="113">
        <v>10</v>
      </c>
      <c r="X459" s="112" t="s">
        <v>1169</v>
      </c>
      <c r="Y459" s="161" t="s">
        <v>216</v>
      </c>
      <c r="Z459" s="79" t="s">
        <v>18</v>
      </c>
      <c r="AA459" s="113">
        <v>0</v>
      </c>
      <c r="AB459" s="113"/>
      <c r="AC459" s="113"/>
    </row>
    <row r="460" spans="10:29" ht="15.75" customHeight="1" x14ac:dyDescent="0.2">
      <c r="J460" s="112" t="s">
        <v>1169</v>
      </c>
      <c r="K460" s="161" t="s">
        <v>701</v>
      </c>
      <c r="L460" s="79" t="s">
        <v>702</v>
      </c>
      <c r="M460" s="113">
        <v>4327578</v>
      </c>
      <c r="N460" s="113">
        <v>3667438.9830508428</v>
      </c>
      <c r="O460" s="113">
        <v>72</v>
      </c>
      <c r="Q460" s="112" t="s">
        <v>1169</v>
      </c>
      <c r="R460" s="161" t="s">
        <v>701</v>
      </c>
      <c r="S460" s="79" t="s">
        <v>702</v>
      </c>
      <c r="T460" s="113">
        <v>204997</v>
      </c>
      <c r="U460" s="113">
        <v>173726.2711864406</v>
      </c>
      <c r="V460" s="113">
        <v>3</v>
      </c>
      <c r="X460" s="112" t="s">
        <v>1169</v>
      </c>
      <c r="Y460" s="161" t="s">
        <v>701</v>
      </c>
      <c r="Z460" s="79" t="s">
        <v>702</v>
      </c>
      <c r="AA460" s="113">
        <v>0</v>
      </c>
      <c r="AB460" s="113"/>
      <c r="AC460" s="113"/>
    </row>
    <row r="461" spans="10:29" ht="15.75" customHeight="1" x14ac:dyDescent="0.2">
      <c r="J461" s="112" t="s">
        <v>1169</v>
      </c>
      <c r="K461" s="79" t="s">
        <v>671</v>
      </c>
      <c r="L461" s="79" t="s">
        <v>200</v>
      </c>
      <c r="M461" s="113">
        <v>10679826</v>
      </c>
      <c r="N461" s="113">
        <v>9050700.0000000019</v>
      </c>
      <c r="O461" s="113">
        <v>174</v>
      </c>
      <c r="Q461" s="112" t="s">
        <v>1169</v>
      </c>
      <c r="R461" s="79" t="s">
        <v>671</v>
      </c>
      <c r="S461" s="79" t="s">
        <v>200</v>
      </c>
      <c r="T461" s="113">
        <v>0</v>
      </c>
      <c r="U461" s="113"/>
      <c r="V461" s="113"/>
      <c r="X461" s="112" t="s">
        <v>1169</v>
      </c>
      <c r="Y461" s="79" t="s">
        <v>671</v>
      </c>
      <c r="Z461" s="79" t="s">
        <v>200</v>
      </c>
      <c r="AA461" s="113">
        <v>0</v>
      </c>
      <c r="AB461" s="113"/>
      <c r="AC461" s="113"/>
    </row>
    <row r="462" spans="10:29" ht="15.75" customHeight="1" x14ac:dyDescent="0.2">
      <c r="J462" s="112" t="s">
        <v>1169</v>
      </c>
      <c r="K462" s="22" t="s">
        <v>19</v>
      </c>
      <c r="L462" s="22" t="s">
        <v>205</v>
      </c>
      <c r="M462" s="113">
        <v>5745795</v>
      </c>
      <c r="N462" s="113">
        <v>4869317.7966101654</v>
      </c>
      <c r="O462" s="113">
        <v>105</v>
      </c>
      <c r="Q462" s="112" t="s">
        <v>1169</v>
      </c>
      <c r="R462" s="22" t="s">
        <v>19</v>
      </c>
      <c r="S462" s="22" t="s">
        <v>205</v>
      </c>
      <c r="T462" s="113">
        <v>35999</v>
      </c>
      <c r="U462" s="113">
        <v>30507.627118643999</v>
      </c>
      <c r="V462" s="113">
        <v>1</v>
      </c>
      <c r="X462" s="112" t="s">
        <v>1169</v>
      </c>
      <c r="Y462" s="22" t="s">
        <v>19</v>
      </c>
      <c r="Z462" s="22" t="s">
        <v>205</v>
      </c>
      <c r="AA462" s="113">
        <v>0</v>
      </c>
      <c r="AB462" s="113"/>
      <c r="AC462" s="113"/>
    </row>
    <row r="463" spans="10:29" ht="15.75" customHeight="1" x14ac:dyDescent="0.2">
      <c r="J463" s="112" t="s">
        <v>1169</v>
      </c>
      <c r="K463" s="42" t="s">
        <v>2091</v>
      </c>
      <c r="L463" s="42" t="s">
        <v>2092</v>
      </c>
      <c r="M463" s="113">
        <v>2133966</v>
      </c>
      <c r="N463" s="113">
        <v>1808445.7627118633</v>
      </c>
      <c r="O463" s="113">
        <v>34</v>
      </c>
      <c r="Q463" s="112" t="s">
        <v>1169</v>
      </c>
      <c r="R463" s="42" t="s">
        <v>2091</v>
      </c>
      <c r="S463" s="42" t="s">
        <v>2092</v>
      </c>
      <c r="T463" s="113">
        <v>517992</v>
      </c>
      <c r="U463" s="113">
        <v>438976.27118644019</v>
      </c>
      <c r="V463" s="113">
        <v>8</v>
      </c>
      <c r="X463" s="112" t="s">
        <v>1169</v>
      </c>
      <c r="Y463" s="42" t="s">
        <v>2091</v>
      </c>
      <c r="Z463" s="42" t="s">
        <v>2092</v>
      </c>
      <c r="AA463" s="113">
        <v>0</v>
      </c>
      <c r="AB463" s="113"/>
      <c r="AC463" s="113"/>
    </row>
    <row r="464" spans="10:29" ht="15.75" customHeight="1" x14ac:dyDescent="0.2">
      <c r="J464" s="112" t="s">
        <v>1169</v>
      </c>
      <c r="K464" s="22" t="s">
        <v>333</v>
      </c>
      <c r="L464" s="22" t="s">
        <v>340</v>
      </c>
      <c r="M464" s="113">
        <v>0</v>
      </c>
      <c r="N464" s="113"/>
      <c r="O464" s="113"/>
      <c r="Q464" s="112" t="s">
        <v>1169</v>
      </c>
      <c r="R464" s="22" t="s">
        <v>333</v>
      </c>
      <c r="S464" s="22" t="s">
        <v>340</v>
      </c>
      <c r="T464" s="113">
        <v>0</v>
      </c>
      <c r="U464" s="113"/>
      <c r="V464" s="113"/>
      <c r="X464" s="112" t="s">
        <v>1169</v>
      </c>
      <c r="Y464" s="22" t="s">
        <v>333</v>
      </c>
      <c r="Z464" s="22" t="s">
        <v>340</v>
      </c>
      <c r="AA464" s="113">
        <v>0</v>
      </c>
      <c r="AB464" s="113"/>
      <c r="AC464" s="113"/>
    </row>
    <row r="465" spans="10:29" ht="15.75" customHeight="1" x14ac:dyDescent="0.2">
      <c r="J465" s="112" t="s">
        <v>1181</v>
      </c>
      <c r="K465" s="20"/>
      <c r="L465" s="20"/>
      <c r="M465" s="113">
        <v>26501104</v>
      </c>
      <c r="N465" s="113">
        <v>22458562.711864393</v>
      </c>
      <c r="O465" s="113">
        <v>446</v>
      </c>
      <c r="Q465" s="112" t="s">
        <v>1181</v>
      </c>
      <c r="R465" s="20"/>
      <c r="S465" s="20"/>
      <c r="T465" s="113">
        <v>1293978</v>
      </c>
      <c r="U465" s="113">
        <v>1096591.5254237275</v>
      </c>
      <c r="V465" s="113">
        <v>22</v>
      </c>
      <c r="X465" s="112" t="s">
        <v>1181</v>
      </c>
      <c r="Y465" s="20"/>
      <c r="Z465" s="20"/>
      <c r="AA465" s="113">
        <v>0</v>
      </c>
      <c r="AB465" s="113">
        <v>0</v>
      </c>
      <c r="AC465" s="113">
        <v>0</v>
      </c>
    </row>
    <row r="466" spans="10:29" ht="15.75" customHeight="1" x14ac:dyDescent="0.2">
      <c r="J466" s="228" t="s">
        <v>69</v>
      </c>
      <c r="K466" s="228"/>
      <c r="L466" s="228"/>
      <c r="M466" s="229">
        <f>+M379+M384+M393+M397+M406+M414+M419+M424+M428+M438+M447+M451+M458+M465</f>
        <v>985717015</v>
      </c>
      <c r="N466" s="229">
        <f>+N379+N384+N393+N397+N406+N414+N419+N424+N428+N438+N447+N451+N458+N465</f>
        <v>835353402.54237247</v>
      </c>
      <c r="O466" s="229">
        <f>+O379+O384+O393+O397+O406+O414+O419+O424+O428+O438+O447+O451+O458+O465</f>
        <v>15335</v>
      </c>
      <c r="Q466" s="228" t="s">
        <v>69</v>
      </c>
      <c r="R466" s="228"/>
      <c r="S466" s="228"/>
      <c r="T466" s="229">
        <f>+T379+T384+T393+T397+T406+T414+T419+T424+T428+T438+T447+T451+T458+T465</f>
        <v>24165339</v>
      </c>
      <c r="U466" s="229">
        <f>+U379+U384+U393+U397+U406+U414+U419+U424+U428+U438+U447+U451+U458+U465</f>
        <v>20479100.84745761</v>
      </c>
      <c r="V466" s="229">
        <f>+V379+V384+V393+V397+V406+V414+V419+V424+V428+V438+V447+V451+V458+V465</f>
        <v>411</v>
      </c>
      <c r="X466" s="228" t="s">
        <v>69</v>
      </c>
      <c r="Y466" s="228"/>
      <c r="Z466" s="228"/>
      <c r="AA466" s="229">
        <f>+AA379+AA384+AA393+AA397+AA406+AA414+AA419+AA424+AA428+AA438+AA447+AA451+AA458+AA465</f>
        <v>260970</v>
      </c>
      <c r="AB466" s="229">
        <f>+AB379+AB384+AB393+AB397+AB406+AB414+AB419+AB424+AB428+AB438+AB447+AB451+AB458+AB465</f>
        <v>221161.01694915231</v>
      </c>
      <c r="AC466" s="229">
        <f>+AC379+AC384+AC393+AC397+AC406+AC414+AC419+AC424+AC428+AC438+AC447+AC451+AC458+AC465</f>
        <v>30</v>
      </c>
    </row>
  </sheetData>
  <mergeCells count="5">
    <mergeCell ref="A2:H2"/>
    <mergeCell ref="A93:H93"/>
    <mergeCell ref="A185:H185"/>
    <mergeCell ref="A278:H278"/>
    <mergeCell ref="A373:H373"/>
  </mergeCells>
  <conditionalFormatting sqref="B2:B74">
    <cfRule type="duplicateValues" dxfId="7" priority="32"/>
  </conditionalFormatting>
  <conditionalFormatting sqref="B93:B165">
    <cfRule type="duplicateValues" dxfId="6" priority="33"/>
  </conditionalFormatting>
  <conditionalFormatting sqref="B187:B258">
    <cfRule type="duplicateValues" dxfId="5" priority="6"/>
  </conditionalFormatting>
  <conditionalFormatting sqref="B280:B351">
    <cfRule type="duplicateValues" dxfId="4" priority="38"/>
  </conditionalFormatting>
  <conditionalFormatting sqref="B280:B352">
    <cfRule type="duplicateValues" dxfId="3" priority="34"/>
  </conditionalFormatting>
  <conditionalFormatting sqref="B375:B446">
    <cfRule type="duplicateValues" dxfId="2" priority="39"/>
  </conditionalFormatting>
  <conditionalFormatting sqref="B375:B447">
    <cfRule type="duplicateValues" dxfId="1" priority="41"/>
    <cfRule type="duplicateValues" dxfId="0" priority="42"/>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CA63B-50BF-784D-844E-3340B0F437FB}">
  <sheetPr codeName="Sheet6">
    <tabColor rgb="FFFFFF99"/>
    <outlinePr summaryBelow="0" summaryRight="0"/>
  </sheetPr>
  <dimension ref="A1:AQ481"/>
  <sheetViews>
    <sheetView showGridLines="0" tabSelected="1" topLeftCell="AB449" zoomScaleNormal="100" workbookViewId="0">
      <selection activeCell="AN480" sqref="AN480"/>
    </sheetView>
  </sheetViews>
  <sheetFormatPr baseColWidth="10" defaultColWidth="14.5" defaultRowHeight="15.75" customHeight="1" outlineLevelRow="1" x14ac:dyDescent="0.2"/>
  <cols>
    <col min="1" max="1" width="18.6640625" style="290" bestFit="1" customWidth="1"/>
    <col min="2" max="2" width="9.6640625" style="290" bestFit="1" customWidth="1"/>
    <col min="3" max="3" width="9.6640625" style="290" customWidth="1"/>
    <col min="4" max="4" width="12" style="37" bestFit="1" customWidth="1"/>
    <col min="5" max="5" width="15" style="37" customWidth="1"/>
    <col min="6" max="6" width="11.5" style="37" customWidth="1"/>
    <col min="7" max="7" width="11.33203125" style="37" customWidth="1"/>
    <col min="8" max="8" width="11" style="37" customWidth="1"/>
    <col min="9" max="9" width="12" style="37" customWidth="1"/>
    <col min="10" max="10" width="13.5" style="37" customWidth="1"/>
    <col min="11" max="11" width="13.33203125" style="37" customWidth="1"/>
    <col min="12" max="12" width="15" style="37" customWidth="1"/>
    <col min="13" max="13" width="15.5" style="37" customWidth="1"/>
    <col min="14" max="14" width="20.6640625" style="37" customWidth="1"/>
    <col min="15" max="15" width="16.6640625" style="37" customWidth="1"/>
    <col min="16" max="16" width="18.6640625" style="37" customWidth="1"/>
    <col min="17" max="18" width="25.33203125" style="37" customWidth="1"/>
    <col min="19" max="19" width="19.33203125" style="37" customWidth="1"/>
    <col min="20" max="20" width="22" style="193" customWidth="1"/>
    <col min="21" max="21" width="24.5" style="193" customWidth="1"/>
    <col min="22" max="22" width="20.6640625" style="37" customWidth="1"/>
    <col min="23" max="23" width="18.5" style="193" customWidth="1"/>
    <col min="24" max="24" width="15.83203125" style="37" customWidth="1"/>
    <col min="25" max="25" width="19" style="37" customWidth="1"/>
    <col min="26" max="26" width="15.33203125" style="37" customWidth="1"/>
    <col min="27" max="27" width="20.33203125" style="37" customWidth="1"/>
    <col min="28" max="28" width="29" style="37" customWidth="1"/>
    <col min="29" max="29" width="22" style="37" customWidth="1"/>
    <col min="30" max="30" width="23.33203125" style="37" customWidth="1"/>
    <col min="31" max="31" width="20.1640625" style="37" bestFit="1" customWidth="1"/>
    <col min="32" max="32" width="19.1640625" style="37" bestFit="1" customWidth="1"/>
    <col min="33" max="33" width="3.33203125" style="37" customWidth="1"/>
    <col min="34" max="34" width="2.6640625" style="37" customWidth="1"/>
    <col min="35" max="35" width="16.1640625" style="37" bestFit="1" customWidth="1"/>
    <col min="36" max="36" width="11.5" style="37" bestFit="1" customWidth="1"/>
    <col min="37" max="37" width="12" style="37" bestFit="1" customWidth="1"/>
    <col min="38" max="38" width="14.1640625" style="296" bestFit="1" customWidth="1"/>
    <col min="39" max="39" width="21" style="296" bestFit="1" customWidth="1"/>
    <col min="40" max="40" width="12.6640625" style="296" bestFit="1" customWidth="1"/>
    <col min="41" max="41" width="11" style="296" customWidth="1"/>
    <col min="42" max="16384" width="14.5" style="37"/>
  </cols>
  <sheetData>
    <row r="1" spans="1:41" ht="15.75" customHeight="1" x14ac:dyDescent="0.2">
      <c r="J1" s="37">
        <f>SUMIF(D:D,"R10",O:O)</f>
        <v>113737772.88308057</v>
      </c>
    </row>
    <row r="2" spans="1:41" ht="19" collapsed="1" x14ac:dyDescent="0.2">
      <c r="A2" s="155">
        <v>46113</v>
      </c>
      <c r="B2" s="119"/>
      <c r="C2" s="119"/>
      <c r="D2" s="291"/>
      <c r="E2" s="31"/>
      <c r="F2" s="31"/>
      <c r="G2" s="31"/>
      <c r="H2" s="32"/>
      <c r="I2" s="32"/>
      <c r="J2" s="31"/>
      <c r="K2" s="32"/>
      <c r="L2" s="31"/>
      <c r="M2" s="31"/>
      <c r="N2" s="32"/>
      <c r="O2" s="33"/>
      <c r="P2" s="34"/>
      <c r="Q2" s="35"/>
      <c r="R2" s="35"/>
      <c r="S2" s="35"/>
      <c r="T2" s="194"/>
      <c r="U2" s="194"/>
      <c r="V2" s="31"/>
      <c r="W2" s="194"/>
      <c r="X2" s="35"/>
      <c r="Y2" s="35"/>
      <c r="Z2" s="31"/>
      <c r="AA2" s="36"/>
      <c r="AB2" s="31"/>
      <c r="AC2" s="31"/>
      <c r="AD2" s="31"/>
      <c r="AE2" s="35"/>
      <c r="AF2" s="35"/>
      <c r="AG2" s="31"/>
      <c r="AH2" s="31"/>
      <c r="AI2" s="35"/>
      <c r="AJ2" s="35"/>
      <c r="AK2" s="35"/>
      <c r="AL2" s="295"/>
      <c r="AM2" s="295"/>
      <c r="AN2" s="295"/>
    </row>
    <row r="3" spans="1:41" ht="15.75" hidden="1" customHeight="1" outlineLevel="1" x14ac:dyDescent="0.2">
      <c r="A3" s="409" t="s">
        <v>74</v>
      </c>
      <c r="B3" s="410"/>
      <c r="C3" s="411"/>
      <c r="D3" s="412"/>
      <c r="E3" s="413" t="s">
        <v>1</v>
      </c>
      <c r="F3" s="414"/>
      <c r="G3" s="414"/>
      <c r="H3" s="414"/>
      <c r="I3" s="414"/>
      <c r="J3" s="414"/>
      <c r="K3" s="414"/>
      <c r="L3" s="414"/>
      <c r="M3" s="414"/>
      <c r="N3" s="414"/>
      <c r="O3" s="414"/>
      <c r="P3" s="414"/>
      <c r="Q3" s="414"/>
      <c r="R3" s="414"/>
      <c r="S3" s="414"/>
      <c r="T3" s="415" t="s">
        <v>75</v>
      </c>
      <c r="U3" s="414"/>
      <c r="V3" s="414"/>
      <c r="W3" s="414"/>
      <c r="X3" s="416" t="s">
        <v>76</v>
      </c>
      <c r="Y3" s="414"/>
      <c r="Z3" s="414"/>
      <c r="AA3" s="414"/>
      <c r="AB3" s="56" t="s">
        <v>204</v>
      </c>
      <c r="AC3" s="417" t="s">
        <v>1139</v>
      </c>
      <c r="AD3" s="414"/>
      <c r="AE3" s="414"/>
      <c r="AF3" s="418"/>
      <c r="AG3" s="31"/>
      <c r="AH3" s="419" t="s">
        <v>77</v>
      </c>
      <c r="AI3" s="409" t="s">
        <v>74</v>
      </c>
      <c r="AJ3" s="410"/>
      <c r="AK3" s="418"/>
      <c r="AL3" s="420" t="s">
        <v>78</v>
      </c>
      <c r="AM3" s="421"/>
      <c r="AN3" s="422"/>
    </row>
    <row r="4" spans="1:41" s="294" customFormat="1" ht="45" hidden="1" customHeight="1" outlineLevel="1" x14ac:dyDescent="0.2">
      <c r="A4" s="145" t="s">
        <v>79</v>
      </c>
      <c r="B4" s="146" t="s">
        <v>16</v>
      </c>
      <c r="C4" s="146" t="s">
        <v>2</v>
      </c>
      <c r="D4" s="147" t="s">
        <v>3</v>
      </c>
      <c r="E4" s="148" t="s">
        <v>80</v>
      </c>
      <c r="F4" s="149" t="s">
        <v>81</v>
      </c>
      <c r="G4" s="149" t="s">
        <v>215</v>
      </c>
      <c r="H4" s="149" t="s">
        <v>210</v>
      </c>
      <c r="I4" s="243" t="s">
        <v>949</v>
      </c>
      <c r="J4" s="149" t="s">
        <v>83</v>
      </c>
      <c r="K4" s="149" t="s">
        <v>84</v>
      </c>
      <c r="L4" s="149" t="s">
        <v>4</v>
      </c>
      <c r="M4" s="150" t="s">
        <v>213</v>
      </c>
      <c r="N4" s="150" t="s">
        <v>212</v>
      </c>
      <c r="O4" s="150" t="s">
        <v>211</v>
      </c>
      <c r="P4" s="150" t="s">
        <v>5</v>
      </c>
      <c r="Q4" s="149" t="s">
        <v>88</v>
      </c>
      <c r="R4" s="243" t="s">
        <v>950</v>
      </c>
      <c r="S4" s="150" t="s">
        <v>157</v>
      </c>
      <c r="T4" s="183" t="s">
        <v>255</v>
      </c>
      <c r="U4" s="183" t="s">
        <v>256</v>
      </c>
      <c r="V4" s="151" t="s">
        <v>104</v>
      </c>
      <c r="W4" s="183" t="s">
        <v>105</v>
      </c>
      <c r="X4" s="151" t="s">
        <v>90</v>
      </c>
      <c r="Y4" s="151" t="s">
        <v>91</v>
      </c>
      <c r="Z4" s="151" t="s">
        <v>92</v>
      </c>
      <c r="AA4" s="152" t="s">
        <v>93</v>
      </c>
      <c r="AB4" s="152" t="s">
        <v>202</v>
      </c>
      <c r="AC4" s="152" t="s">
        <v>185</v>
      </c>
      <c r="AD4" s="152" t="s">
        <v>95</v>
      </c>
      <c r="AE4" s="152" t="s">
        <v>96</v>
      </c>
      <c r="AF4" s="152" t="s">
        <v>97</v>
      </c>
      <c r="AG4" s="31"/>
      <c r="AH4" s="419"/>
      <c r="AI4" s="38" t="s">
        <v>79</v>
      </c>
      <c r="AJ4" s="38" t="str">
        <f>B4</f>
        <v>Employee ID</v>
      </c>
      <c r="AK4" s="38" t="s">
        <v>3</v>
      </c>
      <c r="AL4" s="297" t="s">
        <v>98</v>
      </c>
      <c r="AM4" s="297" t="s">
        <v>99</v>
      </c>
      <c r="AN4" s="297" t="s">
        <v>100</v>
      </c>
      <c r="AO4" s="298"/>
    </row>
    <row r="5" spans="1:41" ht="15.75" hidden="1" customHeight="1" outlineLevel="1" x14ac:dyDescent="0.2">
      <c r="A5" s="79" t="s">
        <v>191</v>
      </c>
      <c r="B5" s="161" t="s">
        <v>195</v>
      </c>
      <c r="C5" s="79" t="s">
        <v>0</v>
      </c>
      <c r="D5" s="1" t="s">
        <v>663</v>
      </c>
      <c r="E5" s="47">
        <f>ROUND(SUMIF('Target Achieved- Input'!$B$2:$B$90,'Incentive Report- Output'!B5,'Target Achieved- Input'!$G$2:$G$90),0)</f>
        <v>60</v>
      </c>
      <c r="F5" s="47">
        <f>ROUND(SUMIF('Target Achieved- Input'!$B$2:$B$90,'Incentive Report- Output'!B5,'Target Achieved- Input'!$H$2:$H$90),0)</f>
        <v>78</v>
      </c>
      <c r="G5" s="47">
        <f>SUMIF('Target Achieved- Input'!$L$2:$L$90,'Incentive Report- Output'!B5,'Target Achieved- Input'!$O$2:$O$90)</f>
        <v>37</v>
      </c>
      <c r="H5" s="39">
        <f>SUMIF('Target Achieved- Input'!$S$2:$S$90,'Incentive Report- Output'!B5,'Target Achieved- Input'!$V$2:$V$90)</f>
        <v>5</v>
      </c>
      <c r="I5" s="48">
        <f>SUMIF('Target Achieved- Input'!$L$2:$L$90,'Incentive Report- Output'!B5,'Target Achieved- Input'!$AC$2:$AC$90)</f>
        <v>2</v>
      </c>
      <c r="J5" s="39">
        <f t="shared" ref="J5" si="0">G5-H5</f>
        <v>32</v>
      </c>
      <c r="K5" s="40">
        <f t="shared" ref="K5" si="1">IFERROR(J5/E5,0)</f>
        <v>0.53333333333333333</v>
      </c>
      <c r="L5" s="41">
        <f t="shared" ref="L5" si="2">E5*33000</f>
        <v>1980000</v>
      </c>
      <c r="M5" s="41">
        <f>SUMIF('Target Achieved- Input'!$L$2:$L$90,'Incentive Report- Output'!B5,'Target Achieved- Input'!$M$2:$M$90)</f>
        <v>1387763</v>
      </c>
      <c r="N5" s="41">
        <f>SUMIF('Target Achieved- Input'!$S$2:$S$90,'Incentive Report- Output'!B5,'Target Achieved- Input'!$U$2:$U$90)</f>
        <v>169487.288135593</v>
      </c>
      <c r="O5" s="41">
        <f>SUMIF('Target Achieved- Input'!$L$2:$L$90,'Incentive Report- Output'!B5,'Target Achieved- Input'!$N$2:$N$90)-N5</f>
        <v>1006583.0508474561</v>
      </c>
      <c r="P5" s="40">
        <f t="shared" ref="P5" si="3">IFERROR(O5/L5,0)</f>
        <v>0.50837527820578587</v>
      </c>
      <c r="Q5" s="40">
        <f t="shared" ref="Q5" si="4">P5</f>
        <v>0.50837527820578587</v>
      </c>
      <c r="R5" s="40">
        <v>0</v>
      </c>
      <c r="S5" s="49">
        <f>(LOOKUP(Q5,Policy!$L$12:$M$16)+R5)*O5</f>
        <v>5032.9152542372804</v>
      </c>
      <c r="T5" s="184"/>
      <c r="U5" s="184"/>
      <c r="V5" s="115"/>
      <c r="W5" s="184"/>
      <c r="X5" s="423">
        <f>E10</f>
        <v>280</v>
      </c>
      <c r="Y5" s="423">
        <f>J10</f>
        <v>200</v>
      </c>
      <c r="Z5" s="425">
        <f>Y5/X5</f>
        <v>0.7142857142857143</v>
      </c>
      <c r="AA5" s="52">
        <v>0</v>
      </c>
      <c r="AB5" s="41">
        <v>0</v>
      </c>
      <c r="AC5" s="41">
        <v>0</v>
      </c>
      <c r="AD5" s="41">
        <f t="shared" ref="AD5:AD9" si="5">IF(AF5&gt;200000,AF5-200000,0)</f>
        <v>0</v>
      </c>
      <c r="AE5" s="41">
        <f t="shared" ref="AE5:AE9" si="6">AF5-AD5</f>
        <v>5032.9152542372804</v>
      </c>
      <c r="AF5" s="41">
        <f>S5+W5+AB5+AC5</f>
        <v>5032.9152542372804</v>
      </c>
      <c r="AG5" s="31"/>
      <c r="AH5" s="419"/>
      <c r="AI5" s="22" t="s">
        <v>191</v>
      </c>
      <c r="AJ5" s="19" t="s">
        <v>195</v>
      </c>
      <c r="AK5" s="195" t="s">
        <v>663</v>
      </c>
      <c r="AL5" s="299">
        <v>5880.3516949152463</v>
      </c>
      <c r="AM5" s="299">
        <f t="shared" ref="AM5:AM9" si="7">AF5</f>
        <v>5032.9152542372804</v>
      </c>
      <c r="AN5" s="300">
        <f>AL5-AM5</f>
        <v>847.43644067796595</v>
      </c>
    </row>
    <row r="6" spans="1:41" ht="15.75" hidden="1" customHeight="1" outlineLevel="1" x14ac:dyDescent="0.2">
      <c r="A6" s="79" t="s">
        <v>31</v>
      </c>
      <c r="B6" s="79" t="s">
        <v>32</v>
      </c>
      <c r="C6" s="79" t="s">
        <v>1</v>
      </c>
      <c r="D6" s="1" t="s">
        <v>663</v>
      </c>
      <c r="E6" s="47">
        <f>ROUND(SUMIF('Target Achieved- Input'!$B$2:$B$90,'Incentive Report- Output'!B6,'Target Achieved- Input'!$G$2:$G$90),0)</f>
        <v>60</v>
      </c>
      <c r="F6" s="47">
        <f>ROUND(SUMIF('Target Achieved- Input'!$B$2:$B$90,'Incentive Report- Output'!B6,'Target Achieved- Input'!$H$2:$H$90),0)</f>
        <v>78</v>
      </c>
      <c r="G6" s="47">
        <f>SUMIF('Target Achieved- Input'!$L$2:$L$90,'Incentive Report- Output'!B6,'Target Achieved- Input'!$O$2:$O$90)</f>
        <v>52</v>
      </c>
      <c r="H6" s="39">
        <f>SUMIF('Target Achieved- Input'!$S$2:$S$90,'Incentive Report- Output'!B6,'Target Achieved- Input'!$V$2:$V$90)</f>
        <v>2</v>
      </c>
      <c r="I6" s="48">
        <f>SUMIF('Target Achieved- Input'!$L$2:$L$90,'Incentive Report- Output'!B6,'Target Achieved- Input'!$AC$2:$AC$90)</f>
        <v>5</v>
      </c>
      <c r="J6" s="39">
        <f t="shared" ref="J6:J9" si="8">G6-H6</f>
        <v>50</v>
      </c>
      <c r="K6" s="40">
        <f t="shared" ref="K6:K9" si="9">IFERROR(J6/E6,0)</f>
        <v>0.83333333333333337</v>
      </c>
      <c r="L6" s="41">
        <f t="shared" ref="L6:L9" si="10">E6*33000</f>
        <v>1980000</v>
      </c>
      <c r="M6" s="41">
        <f>SUMIF('Target Achieved- Input'!$L$2:$L$90,'Incentive Report- Output'!B6,'Target Achieved- Input'!$M$2:$M$90)</f>
        <v>1999998</v>
      </c>
      <c r="N6" s="41">
        <f>SUMIF('Target Achieved- Input'!$S$2:$S$90,'Incentive Report- Output'!B6,'Target Achieved- Input'!$U$2:$U$90)</f>
        <v>56481.355932203296</v>
      </c>
      <c r="O6" s="41">
        <f>SUMIF('Target Achieved- Input'!$L$2:$L$90,'Incentive Report- Output'!B6,'Target Achieved- Input'!$N$2:$N$90)-N6</f>
        <v>1638432.2033898274</v>
      </c>
      <c r="P6" s="40">
        <f t="shared" ref="P6:P9" si="11">IFERROR(O6/L6,0)</f>
        <v>0.82749101181304419</v>
      </c>
      <c r="Q6" s="40">
        <f t="shared" ref="Q6:Q9" si="12">P6</f>
        <v>0.82749101181304419</v>
      </c>
      <c r="R6" s="40">
        <v>0</v>
      </c>
      <c r="S6" s="49">
        <f>(LOOKUP(Q6,Policy!$L$12:$M$16)+R6)*O6</f>
        <v>16384.322033898276</v>
      </c>
      <c r="T6" s="184"/>
      <c r="U6" s="184"/>
      <c r="V6" s="40"/>
      <c r="W6" s="53"/>
      <c r="X6" s="424"/>
      <c r="Y6" s="424"/>
      <c r="Z6" s="426"/>
      <c r="AA6" s="55">
        <v>0</v>
      </c>
      <c r="AB6" s="41">
        <v>0</v>
      </c>
      <c r="AC6" s="41">
        <v>0</v>
      </c>
      <c r="AD6" s="41">
        <f t="shared" si="5"/>
        <v>0</v>
      </c>
      <c r="AE6" s="41">
        <f t="shared" si="6"/>
        <v>16384.322033898276</v>
      </c>
      <c r="AF6" s="41">
        <f>S6+W6+AB6+AC6</f>
        <v>16384.322033898276</v>
      </c>
      <c r="AG6" s="31"/>
      <c r="AH6" s="419"/>
      <c r="AI6" s="22" t="s">
        <v>31</v>
      </c>
      <c r="AJ6" s="22" t="s">
        <v>32</v>
      </c>
      <c r="AK6" s="195" t="s">
        <v>663</v>
      </c>
      <c r="AL6" s="299">
        <v>16949.135593220308</v>
      </c>
      <c r="AM6" s="299">
        <f t="shared" si="7"/>
        <v>16384.322033898276</v>
      </c>
      <c r="AN6" s="300">
        <f t="shared" ref="AN6:AN9" si="13">AL6-AM6</f>
        <v>564.81355932203223</v>
      </c>
    </row>
    <row r="7" spans="1:41" ht="15.75" hidden="1" customHeight="1" outlineLevel="1" x14ac:dyDescent="0.2">
      <c r="A7" s="79" t="s">
        <v>756</v>
      </c>
      <c r="B7" s="79" t="s">
        <v>757</v>
      </c>
      <c r="C7" s="79" t="s">
        <v>1</v>
      </c>
      <c r="D7" s="1" t="s">
        <v>663</v>
      </c>
      <c r="E7" s="47">
        <f>ROUND(SUMIF('Target Achieved- Input'!$B$2:$B$90,'Incentive Report- Output'!B7,'Target Achieved- Input'!$G$2:$G$90),0)</f>
        <v>50</v>
      </c>
      <c r="F7" s="47">
        <f>ROUND(SUMIF('Target Achieved- Input'!$B$2:$B$90,'Incentive Report- Output'!B7,'Target Achieved- Input'!$H$2:$H$90),0)</f>
        <v>65</v>
      </c>
      <c r="G7" s="47">
        <f>SUMIF('Target Achieved- Input'!$L$2:$L$90,'Incentive Report- Output'!B7,'Target Achieved- Input'!$O$2:$O$90)</f>
        <v>28</v>
      </c>
      <c r="H7" s="39">
        <f>SUMIF('Target Achieved- Input'!$S$2:$S$90,'Incentive Report- Output'!B7,'Target Achieved- Input'!$V$2:$V$90)</f>
        <v>4</v>
      </c>
      <c r="I7" s="48">
        <f>SUMIF('Target Achieved- Input'!$L$2:$L$90,'Incentive Report- Output'!B7,'Target Achieved- Input'!$AC$2:$AC$90)</f>
        <v>7</v>
      </c>
      <c r="J7" s="39">
        <f t="shared" si="8"/>
        <v>24</v>
      </c>
      <c r="K7" s="40">
        <f t="shared" si="9"/>
        <v>0.48</v>
      </c>
      <c r="L7" s="41">
        <f t="shared" si="10"/>
        <v>1650000</v>
      </c>
      <c r="M7" s="41">
        <f>SUMIF('Target Achieved- Input'!$L$2:$L$90,'Incentive Report- Output'!B7,'Target Achieved- Input'!$M$2:$M$90)</f>
        <v>982522</v>
      </c>
      <c r="N7" s="41">
        <f>SUMIF('Target Achieved- Input'!$S$2:$S$90,'Incentive Report- Output'!B7,'Target Achieved- Input'!$U$2:$U$90)</f>
        <v>120335.59322033889</v>
      </c>
      <c r="O7" s="41">
        <f>SUMIF('Target Achieved- Input'!$L$2:$L$90,'Incentive Report- Output'!B7,'Target Achieved- Input'!$N$2:$N$90)-N7</f>
        <v>712310.16949152434</v>
      </c>
      <c r="P7" s="40">
        <f t="shared" si="11"/>
        <v>0.43170313302516627</v>
      </c>
      <c r="Q7" s="40">
        <f t="shared" si="12"/>
        <v>0.43170313302516627</v>
      </c>
      <c r="R7" s="40">
        <v>0</v>
      </c>
      <c r="S7" s="49">
        <f>(LOOKUP(Q7,Policy!$L$12:$M$16)+R7)*O7</f>
        <v>0</v>
      </c>
      <c r="T7" s="184"/>
      <c r="U7" s="184"/>
      <c r="V7" s="40"/>
      <c r="W7" s="53"/>
      <c r="X7" s="424"/>
      <c r="Y7" s="424"/>
      <c r="Z7" s="426"/>
      <c r="AA7" s="55">
        <v>0</v>
      </c>
      <c r="AB7" s="41">
        <v>0</v>
      </c>
      <c r="AC7" s="41">
        <v>0</v>
      </c>
      <c r="AD7" s="41">
        <f t="shared" si="5"/>
        <v>0</v>
      </c>
      <c r="AE7" s="41">
        <f t="shared" si="6"/>
        <v>0</v>
      </c>
      <c r="AF7" s="41">
        <f>S7+W7+AB7+AC7</f>
        <v>0</v>
      </c>
      <c r="AG7" s="31"/>
      <c r="AH7" s="419"/>
      <c r="AI7" s="22" t="s">
        <v>756</v>
      </c>
      <c r="AJ7" s="22" t="s">
        <v>757</v>
      </c>
      <c r="AK7" s="195" t="s">
        <v>663</v>
      </c>
      <c r="AL7" s="299">
        <v>4163.2288135593162</v>
      </c>
      <c r="AM7" s="299">
        <f t="shared" si="7"/>
        <v>0</v>
      </c>
      <c r="AN7" s="300">
        <f t="shared" si="13"/>
        <v>4163.2288135593162</v>
      </c>
    </row>
    <row r="8" spans="1:41" ht="15.75" hidden="1" customHeight="1" outlineLevel="1" x14ac:dyDescent="0.2">
      <c r="A8" s="79" t="s">
        <v>705</v>
      </c>
      <c r="B8" s="79" t="s">
        <v>686</v>
      </c>
      <c r="C8" s="79" t="s">
        <v>1</v>
      </c>
      <c r="D8" s="1" t="s">
        <v>663</v>
      </c>
      <c r="E8" s="47">
        <f>ROUND(SUMIF('Target Achieved- Input'!$B$2:$B$90,'Incentive Report- Output'!B8,'Target Achieved- Input'!$G$2:$G$90),0)</f>
        <v>50</v>
      </c>
      <c r="F8" s="47">
        <f>ROUND(SUMIF('Target Achieved- Input'!$B$2:$B$90,'Incentive Report- Output'!B8,'Target Achieved- Input'!$H$2:$H$90),0)</f>
        <v>65</v>
      </c>
      <c r="G8" s="47">
        <f>SUMIF('Target Achieved- Input'!$L$2:$L$90,'Incentive Report- Output'!B8,'Target Achieved- Input'!$O$2:$O$90)</f>
        <v>45</v>
      </c>
      <c r="H8" s="39">
        <f>SUMIF('Target Achieved- Input'!$S$2:$S$90,'Incentive Report- Output'!B8,'Target Achieved- Input'!$V$2:$V$90)</f>
        <v>1</v>
      </c>
      <c r="I8" s="48">
        <f>SUMIF('Target Achieved- Input'!$L$2:$L$90,'Incentive Report- Output'!B8,'Target Achieved- Input'!$AC$2:$AC$90)</f>
        <v>1</v>
      </c>
      <c r="J8" s="39">
        <f t="shared" si="8"/>
        <v>44</v>
      </c>
      <c r="K8" s="40">
        <f t="shared" si="9"/>
        <v>0.88</v>
      </c>
      <c r="L8" s="41">
        <f t="shared" si="10"/>
        <v>1650000</v>
      </c>
      <c r="M8" s="41">
        <f>SUMIF('Target Achieved- Input'!$L$2:$L$90,'Incentive Report- Output'!B8,'Target Achieved- Input'!$M$2:$M$90)</f>
        <v>1616955</v>
      </c>
      <c r="N8" s="41">
        <f>SUMIF('Target Achieved- Input'!$S$2:$S$90,'Incentive Report- Output'!B8,'Target Achieved- Input'!$U$2:$U$90)</f>
        <v>33897.457627118602</v>
      </c>
      <c r="O8" s="41">
        <f>SUMIF('Target Achieved- Input'!$L$2:$L$90,'Incentive Report- Output'!B8,'Target Achieved- Input'!$N$2:$N$90)-N8</f>
        <v>1336403.3898305062</v>
      </c>
      <c r="P8" s="40">
        <f t="shared" si="11"/>
        <v>0.80994144838212501</v>
      </c>
      <c r="Q8" s="40">
        <f t="shared" si="12"/>
        <v>0.80994144838212501</v>
      </c>
      <c r="R8" s="40">
        <v>0</v>
      </c>
      <c r="S8" s="49">
        <f>(LOOKUP(Q8,Policy!$L$12:$M$16)+R8)*O8</f>
        <v>13364.033898305062</v>
      </c>
      <c r="T8" s="184"/>
      <c r="U8" s="184"/>
      <c r="V8" s="40"/>
      <c r="W8" s="53"/>
      <c r="X8" s="424"/>
      <c r="Y8" s="424"/>
      <c r="Z8" s="426"/>
      <c r="AA8" s="55">
        <v>0</v>
      </c>
      <c r="AB8" s="41">
        <v>0</v>
      </c>
      <c r="AC8" s="41">
        <v>0</v>
      </c>
      <c r="AD8" s="41">
        <f t="shared" si="5"/>
        <v>0</v>
      </c>
      <c r="AE8" s="41">
        <f t="shared" si="6"/>
        <v>13364.033898305062</v>
      </c>
      <c r="AF8" s="41">
        <f>S8+W8+AB8+AC8</f>
        <v>13364.033898305062</v>
      </c>
      <c r="AG8" s="31"/>
      <c r="AH8" s="419"/>
      <c r="AI8" s="22" t="s">
        <v>705</v>
      </c>
      <c r="AJ8" s="22" t="s">
        <v>686</v>
      </c>
      <c r="AK8" s="195" t="s">
        <v>663</v>
      </c>
      <c r="AL8" s="299">
        <v>13703.008474576247</v>
      </c>
      <c r="AM8" s="299">
        <f t="shared" si="7"/>
        <v>13364.033898305062</v>
      </c>
      <c r="AN8" s="300">
        <f t="shared" si="13"/>
        <v>338.97457627118456</v>
      </c>
    </row>
    <row r="9" spans="1:41" s="329" customFormat="1" ht="15.75" hidden="1" customHeight="1" outlineLevel="1" x14ac:dyDescent="0.2">
      <c r="A9" s="311" t="s">
        <v>248</v>
      </c>
      <c r="B9" s="311" t="s">
        <v>251</v>
      </c>
      <c r="C9" s="311" t="s">
        <v>1</v>
      </c>
      <c r="D9" s="312" t="s">
        <v>663</v>
      </c>
      <c r="E9" s="313">
        <f>ROUND(SUMIF('Target Achieved- Input'!$B$2:$B$90,'Incentive Report- Output'!B9,'Target Achieved- Input'!$G$2:$G$90),0)</f>
        <v>60</v>
      </c>
      <c r="F9" s="313">
        <f>ROUND(SUMIF('Target Achieved- Input'!$B$2:$B$90,'Incentive Report- Output'!B9,'Target Achieved- Input'!$H$2:$H$90),0)</f>
        <v>78</v>
      </c>
      <c r="G9" s="313">
        <f>SUMIF('Target Achieved- Input'!$L$2:$L$90,'Incentive Report- Output'!B9,'Target Achieved- Input'!$O$2:$O$90)</f>
        <v>51</v>
      </c>
      <c r="H9" s="314">
        <f>SUMIF('Target Achieved- Input'!$S$2:$S$90,'Incentive Report- Output'!B9,'Target Achieved- Input'!$V$2:$V$90)</f>
        <v>1</v>
      </c>
      <c r="I9" s="315">
        <f>SUMIF('Target Achieved- Input'!$L$2:$L$90,'Incentive Report- Output'!B9,'Target Achieved- Input'!$AC$2:$AC$90)</f>
        <v>0</v>
      </c>
      <c r="J9" s="314">
        <f t="shared" si="8"/>
        <v>50</v>
      </c>
      <c r="K9" s="316">
        <f t="shared" si="9"/>
        <v>0.83333333333333337</v>
      </c>
      <c r="L9" s="317">
        <f t="shared" si="10"/>
        <v>1980000</v>
      </c>
      <c r="M9" s="317">
        <f>SUMIF('Target Achieved- Input'!$L$2:$L$90,'Incentive Report- Output'!B9,'Target Achieved- Input'!$M$2:$M$90)</f>
        <v>1773949</v>
      </c>
      <c r="N9" s="317">
        <f>SUMIF('Target Achieved- Input'!$S$2:$S$90,'Incentive Report- Output'!B9,'Target Achieved- Input'!$U$2:$U$90)</f>
        <v>33897.457627118602</v>
      </c>
      <c r="O9" s="317">
        <f>SUMIF('Target Achieved- Input'!$L$2:$L$90,'Incentive Report- Output'!B9,'Target Achieved- Input'!$N$2:$N$90)-N9</f>
        <v>1469449.1525423706</v>
      </c>
      <c r="P9" s="316">
        <f t="shared" si="11"/>
        <v>0.74214603663756096</v>
      </c>
      <c r="Q9" s="316">
        <f t="shared" si="12"/>
        <v>0.74214603663756096</v>
      </c>
      <c r="R9" s="316">
        <v>0</v>
      </c>
      <c r="S9" s="318">
        <f>(LOOKUP(Q9,Policy!$L$12:$M$16)+R9)*O9</f>
        <v>7347.2457627118529</v>
      </c>
      <c r="T9" s="319"/>
      <c r="U9" s="320"/>
      <c r="V9" s="321"/>
      <c r="W9" s="320"/>
      <c r="X9" s="424"/>
      <c r="Y9" s="424"/>
      <c r="Z9" s="426"/>
      <c r="AA9" s="322">
        <v>0</v>
      </c>
      <c r="AB9" s="317">
        <v>0</v>
      </c>
      <c r="AC9" s="317">
        <v>0</v>
      </c>
      <c r="AD9" s="317">
        <f t="shared" si="5"/>
        <v>0</v>
      </c>
      <c r="AE9" s="317">
        <f t="shared" si="6"/>
        <v>7347.2457627118529</v>
      </c>
      <c r="AF9" s="317">
        <f>S9+W9+AB9+AC9</f>
        <v>7347.2457627118529</v>
      </c>
      <c r="AG9" s="323"/>
      <c r="AH9" s="419"/>
      <c r="AI9" s="324" t="s">
        <v>248</v>
      </c>
      <c r="AJ9" s="324" t="s">
        <v>251</v>
      </c>
      <c r="AK9" s="325" t="s">
        <v>663</v>
      </c>
      <c r="AL9" s="326">
        <v>7516.7330508474461</v>
      </c>
      <c r="AM9" s="326">
        <f t="shared" si="7"/>
        <v>7347.2457627118529</v>
      </c>
      <c r="AN9" s="327">
        <f t="shared" si="13"/>
        <v>169.48728813559319</v>
      </c>
      <c r="AO9" s="328"/>
    </row>
    <row r="10" spans="1:41" ht="15.75" hidden="1" customHeight="1" outlineLevel="1" x14ac:dyDescent="0.2">
      <c r="A10" s="109" t="s">
        <v>6</v>
      </c>
      <c r="B10" s="109"/>
      <c r="C10" s="109"/>
      <c r="D10" s="292" t="s">
        <v>663</v>
      </c>
      <c r="E10" s="44">
        <f t="shared" ref="E10:J10" si="14">SUM(E5:E9)</f>
        <v>280</v>
      </c>
      <c r="F10" s="44">
        <f t="shared" si="14"/>
        <v>364</v>
      </c>
      <c r="G10" s="44">
        <f t="shared" si="14"/>
        <v>213</v>
      </c>
      <c r="H10" s="44">
        <f t="shared" si="14"/>
        <v>13</v>
      </c>
      <c r="I10" s="44">
        <f t="shared" si="14"/>
        <v>15</v>
      </c>
      <c r="J10" s="44">
        <f t="shared" si="14"/>
        <v>200</v>
      </c>
      <c r="K10" s="44"/>
      <c r="L10" s="44">
        <f>SUM(L5:L9)</f>
        <v>9240000</v>
      </c>
      <c r="M10" s="44">
        <f>SUM(M5:M9)</f>
        <v>7761187</v>
      </c>
      <c r="N10" s="44">
        <f>SUM(N5:N9)</f>
        <v>414099.15254237247</v>
      </c>
      <c r="O10" s="44">
        <f>SUM(O5:O9)</f>
        <v>6163177.9661016846</v>
      </c>
      <c r="P10" s="45"/>
      <c r="Q10" s="46"/>
      <c r="R10" s="46"/>
      <c r="S10" s="44">
        <f t="shared" ref="S10:AF10" si="15">SUM(S5:S9)</f>
        <v>42128.516949152472</v>
      </c>
      <c r="T10" s="187">
        <f t="shared" si="15"/>
        <v>0</v>
      </c>
      <c r="U10" s="187">
        <f t="shared" si="15"/>
        <v>0</v>
      </c>
      <c r="V10" s="104">
        <f t="shared" si="15"/>
        <v>0</v>
      </c>
      <c r="W10" s="187">
        <f t="shared" si="15"/>
        <v>0</v>
      </c>
      <c r="X10" s="44">
        <f t="shared" si="15"/>
        <v>280</v>
      </c>
      <c r="Y10" s="44">
        <f t="shared" si="15"/>
        <v>200</v>
      </c>
      <c r="Z10" s="54">
        <f t="shared" si="15"/>
        <v>0.7142857142857143</v>
      </c>
      <c r="AA10" s="44">
        <f t="shared" si="15"/>
        <v>0</v>
      </c>
      <c r="AB10" s="44">
        <f t="shared" si="15"/>
        <v>0</v>
      </c>
      <c r="AC10" s="44">
        <f t="shared" si="15"/>
        <v>0</v>
      </c>
      <c r="AD10" s="44">
        <f t="shared" si="15"/>
        <v>0</v>
      </c>
      <c r="AE10" s="44">
        <f t="shared" si="15"/>
        <v>42128.516949152472</v>
      </c>
      <c r="AF10" s="44">
        <f t="shared" si="15"/>
        <v>42128.516949152472</v>
      </c>
      <c r="AG10" s="31"/>
      <c r="AH10" s="419"/>
      <c r="AI10" s="43" t="s">
        <v>6</v>
      </c>
      <c r="AJ10" s="43"/>
      <c r="AK10" s="43" t="s">
        <v>663</v>
      </c>
      <c r="AL10" s="303">
        <v>48212.457627118565</v>
      </c>
      <c r="AM10" s="303">
        <f>SUM(AM5:AM9)</f>
        <v>42128.516949152472</v>
      </c>
      <c r="AN10" s="303">
        <f>SUM(AN5:AN9)</f>
        <v>6083.9406779660922</v>
      </c>
    </row>
    <row r="11" spans="1:41" ht="15.75" hidden="1" customHeight="1" outlineLevel="1" x14ac:dyDescent="0.2">
      <c r="A11" s="79" t="s">
        <v>224</v>
      </c>
      <c r="B11" s="161" t="s">
        <v>33</v>
      </c>
      <c r="C11" s="79" t="s">
        <v>0</v>
      </c>
      <c r="D11" s="1" t="s">
        <v>666</v>
      </c>
      <c r="E11" s="47">
        <f>ROUND(SUMIF('Target Achieved- Input'!$B$2:$B$90,'Incentive Report- Output'!B11,'Target Achieved- Input'!$G$2:$G$90),0)</f>
        <v>50</v>
      </c>
      <c r="F11" s="47">
        <f>ROUND(SUMIF('Target Achieved- Input'!$B$2:$B$90,'Incentive Report- Output'!B11,'Target Achieved- Input'!$H$2:$H$90),0)</f>
        <v>65</v>
      </c>
      <c r="G11" s="47">
        <f>SUMIF('Target Achieved- Input'!$L$2:$L$90,'Incentive Report- Output'!B11,'Target Achieved- Input'!$O$2:$O$90)</f>
        <v>29</v>
      </c>
      <c r="H11" s="39">
        <f>SUMIF('Target Achieved- Input'!$S$2:$S$90,'Incentive Report- Output'!B11,'Target Achieved- Input'!$V$2:$V$90)</f>
        <v>0</v>
      </c>
      <c r="I11" s="48">
        <f>SUMIF('Target Achieved- Input'!$L$2:$L$90,'Incentive Report- Output'!B11,'Target Achieved- Input'!$AC$2:$AC$90)</f>
        <v>0</v>
      </c>
      <c r="J11" s="39">
        <f t="shared" ref="J11:J14" si="16">G11-H11</f>
        <v>29</v>
      </c>
      <c r="K11" s="40">
        <f t="shared" ref="K11:K14" si="17">IFERROR(J11/E11,0)</f>
        <v>0.57999999999999996</v>
      </c>
      <c r="L11" s="41">
        <f t="shared" ref="L11:L14" si="18">E11*33000</f>
        <v>1650000</v>
      </c>
      <c r="M11" s="41">
        <f>SUMIF('Target Achieved- Input'!$L$2:$L$90,'Incentive Report- Output'!B11,'Target Achieved- Input'!$M$2:$M$90)</f>
        <v>1156621</v>
      </c>
      <c r="N11" s="41">
        <f>SUMIF('Target Achieved- Input'!$S$2:$S$90,'Incentive Report- Output'!B11,'Target Achieved- Input'!$U$2:$U$90)</f>
        <v>0</v>
      </c>
      <c r="O11" s="41">
        <f>SUMIF('Target Achieved- Input'!$L$2:$L$90,'Incentive Report- Output'!B11,'Target Achieved- Input'!$N$2:$N$90)-N11</f>
        <v>980187.28813559155</v>
      </c>
      <c r="P11" s="40">
        <f t="shared" ref="P11:P14" si="19">IFERROR(O11/L11,0)</f>
        <v>0.59405290190035853</v>
      </c>
      <c r="Q11" s="40">
        <f t="shared" ref="Q11:Q14" si="20">MAX(P11,K11)</f>
        <v>0.59405290190035853</v>
      </c>
      <c r="R11" s="40">
        <v>0</v>
      </c>
      <c r="S11" s="49">
        <f>(LOOKUP(Q11,Policy!$L$12:$M$16)+R11)*O11</f>
        <v>4900.9364406779578</v>
      </c>
      <c r="T11" s="188"/>
      <c r="U11" s="53"/>
      <c r="V11" s="40"/>
      <c r="W11" s="53"/>
      <c r="X11" s="427">
        <f>E15</f>
        <v>210</v>
      </c>
      <c r="Y11" s="397">
        <f>J15</f>
        <v>117</v>
      </c>
      <c r="Z11" s="406">
        <f>Y11/X11</f>
        <v>0.55714285714285716</v>
      </c>
      <c r="AA11" s="55">
        <v>0</v>
      </c>
      <c r="AB11" s="41">
        <v>0</v>
      </c>
      <c r="AC11" s="41">
        <v>0</v>
      </c>
      <c r="AD11" s="41">
        <f t="shared" ref="AD11:AD14" si="21">IF(AF11&gt;200000,AF11-200000,0)</f>
        <v>0</v>
      </c>
      <c r="AE11" s="41">
        <f t="shared" ref="AE11:AE14" si="22">AF11-AD11</f>
        <v>4900.9364406779578</v>
      </c>
      <c r="AF11" s="41">
        <f>S11+W11+AB11+AC11</f>
        <v>4900.9364406779578</v>
      </c>
      <c r="AG11" s="31"/>
      <c r="AH11" s="419"/>
      <c r="AI11" s="22" t="s">
        <v>224</v>
      </c>
      <c r="AJ11" s="19" t="s">
        <v>33</v>
      </c>
      <c r="AK11" s="195" t="s">
        <v>666</v>
      </c>
      <c r="AL11" s="299">
        <v>4900.9364406779578</v>
      </c>
      <c r="AM11" s="299">
        <f t="shared" ref="AM11:AM14" si="23">AF11</f>
        <v>4900.9364406779578</v>
      </c>
      <c r="AN11" s="300">
        <f t="shared" ref="AN11:AN14" si="24">AL11-AM11</f>
        <v>0</v>
      </c>
    </row>
    <row r="12" spans="1:41" ht="15.75" hidden="1" customHeight="1" outlineLevel="1" x14ac:dyDescent="0.2">
      <c r="A12" s="79" t="s">
        <v>787</v>
      </c>
      <c r="B12" s="161" t="s">
        <v>788</v>
      </c>
      <c r="C12" s="79" t="s">
        <v>1</v>
      </c>
      <c r="D12" s="1" t="s">
        <v>666</v>
      </c>
      <c r="E12" s="47">
        <f>ROUND(SUMIF('Target Achieved- Input'!$B$2:$B$90,'Incentive Report- Output'!B12,'Target Achieved- Input'!$G$2:$G$90),0)</f>
        <v>50</v>
      </c>
      <c r="F12" s="47">
        <f>ROUND(SUMIF('Target Achieved- Input'!$B$2:$B$90,'Incentive Report- Output'!B12,'Target Achieved- Input'!$H$2:$H$90),0)</f>
        <v>65</v>
      </c>
      <c r="G12" s="47">
        <f>SUMIF('Target Achieved- Input'!$L$2:$L$90,'Incentive Report- Output'!B12,'Target Achieved- Input'!$O$2:$O$90)</f>
        <v>34</v>
      </c>
      <c r="H12" s="39">
        <f>SUMIF('Target Achieved- Input'!$S$2:$S$90,'Incentive Report- Output'!B12,'Target Achieved- Input'!$V$2:$V$90)</f>
        <v>2</v>
      </c>
      <c r="I12" s="48">
        <f>SUMIF('Target Achieved- Input'!$L$2:$L$90,'Incentive Report- Output'!B12,'Target Achieved- Input'!$AC$2:$AC$90)</f>
        <v>5</v>
      </c>
      <c r="J12" s="39">
        <f t="shared" si="16"/>
        <v>32</v>
      </c>
      <c r="K12" s="40">
        <f t="shared" si="17"/>
        <v>0.64</v>
      </c>
      <c r="L12" s="41">
        <f t="shared" si="18"/>
        <v>1650000</v>
      </c>
      <c r="M12" s="41">
        <f>SUMIF('Target Achieved- Input'!$L$2:$L$90,'Incentive Report- Output'!B12,'Target Achieved- Input'!$M$2:$M$90)</f>
        <v>1225766</v>
      </c>
      <c r="N12" s="41">
        <f>SUMIF('Target Achieved- Input'!$S$2:$S$90,'Incentive Report- Output'!B12,'Target Achieved- Input'!$U$2:$U$90)</f>
        <v>45167.796610169396</v>
      </c>
      <c r="O12" s="41">
        <f>SUMIF('Target Achieved- Input'!$L$2:$L$90,'Incentive Report- Output'!B12,'Target Achieved- Input'!$N$2:$N$90)-N12</f>
        <v>993616.949152541</v>
      </c>
      <c r="P12" s="40">
        <f t="shared" si="19"/>
        <v>0.60219209039547938</v>
      </c>
      <c r="Q12" s="40">
        <f t="shared" ref="Q12:Q13" si="25">P12</f>
        <v>0.60219209039547938</v>
      </c>
      <c r="R12" s="40">
        <v>0</v>
      </c>
      <c r="S12" s="49">
        <f>(LOOKUP(Q12,Policy!$L$12:$M$16)+R12)*O12</f>
        <v>4968.0847457627051</v>
      </c>
      <c r="T12" s="185"/>
      <c r="U12" s="156"/>
      <c r="V12" s="51"/>
      <c r="W12" s="156"/>
      <c r="X12" s="427"/>
      <c r="Y12" s="397"/>
      <c r="Z12" s="406"/>
      <c r="AA12" s="55">
        <v>0</v>
      </c>
      <c r="AB12" s="41">
        <v>0</v>
      </c>
      <c r="AC12" s="41">
        <v>0</v>
      </c>
      <c r="AD12" s="41">
        <f t="shared" si="21"/>
        <v>0</v>
      </c>
      <c r="AE12" s="41">
        <f t="shared" si="22"/>
        <v>4968.0847457627051</v>
      </c>
      <c r="AF12" s="41">
        <f>S12+W12+AB12+AC12</f>
        <v>4968.0847457627051</v>
      </c>
      <c r="AG12" s="31"/>
      <c r="AH12" s="419"/>
      <c r="AI12" s="22" t="s">
        <v>787</v>
      </c>
      <c r="AJ12" s="19" t="s">
        <v>788</v>
      </c>
      <c r="AK12" s="195" t="s">
        <v>666</v>
      </c>
      <c r="AL12" s="299">
        <v>5193.9237288135519</v>
      </c>
      <c r="AM12" s="299">
        <f t="shared" si="23"/>
        <v>4968.0847457627051</v>
      </c>
      <c r="AN12" s="300">
        <f t="shared" si="24"/>
        <v>225.83898305084676</v>
      </c>
    </row>
    <row r="13" spans="1:41" ht="15.75" hidden="1" customHeight="1" outlineLevel="1" x14ac:dyDescent="0.2">
      <c r="A13" s="79" t="s">
        <v>218</v>
      </c>
      <c r="B13" s="161" t="s">
        <v>219</v>
      </c>
      <c r="C13" s="79" t="s">
        <v>1</v>
      </c>
      <c r="D13" s="1" t="s">
        <v>666</v>
      </c>
      <c r="E13" s="47">
        <f>ROUND(SUMIF('Target Achieved- Input'!$B$2:$B$90,'Incentive Report- Output'!B13,'Target Achieved- Input'!$G$2:$G$90),0)</f>
        <v>60</v>
      </c>
      <c r="F13" s="47">
        <f>ROUND(SUMIF('Target Achieved- Input'!$B$2:$B$90,'Incentive Report- Output'!B13,'Target Achieved- Input'!$H$2:$H$90),0)</f>
        <v>78</v>
      </c>
      <c r="G13" s="47">
        <f>SUMIF('Target Achieved- Input'!$L$2:$L$90,'Incentive Report- Output'!B13,'Target Achieved- Input'!$O$2:$O$90)</f>
        <v>31</v>
      </c>
      <c r="H13" s="39">
        <f>SUMIF('Target Achieved- Input'!$S$2:$S$90,'Incentive Report- Output'!B13,'Target Achieved- Input'!$V$2:$V$90)</f>
        <v>7</v>
      </c>
      <c r="I13" s="48">
        <f>SUMIF('Target Achieved- Input'!$L$2:$L$90,'Incentive Report- Output'!B13,'Target Achieved- Input'!$AC$2:$AC$90)</f>
        <v>6</v>
      </c>
      <c r="J13" s="39">
        <f t="shared" si="16"/>
        <v>24</v>
      </c>
      <c r="K13" s="40">
        <f t="shared" si="17"/>
        <v>0.4</v>
      </c>
      <c r="L13" s="41">
        <f t="shared" si="18"/>
        <v>1980000</v>
      </c>
      <c r="M13" s="41">
        <f>SUMIF('Target Achieved- Input'!$L$2:$L$90,'Incentive Report- Output'!B13,'Target Achieved- Input'!$M$2:$M$90)</f>
        <v>1102419</v>
      </c>
      <c r="N13" s="41">
        <f>SUMIF('Target Achieved- Input'!$S$2:$S$90,'Incentive Report- Output'!B13,'Target Achieved- Input'!$U$2:$U$90)</f>
        <v>221434.74576271162</v>
      </c>
      <c r="O13" s="41">
        <f>SUMIF('Target Achieved- Input'!$L$2:$L$90,'Incentive Report- Output'!B13,'Target Achieved- Input'!$N$2:$N$90)-N13</f>
        <v>712818.6440677956</v>
      </c>
      <c r="P13" s="40">
        <f t="shared" si="19"/>
        <v>0.36000941619585636</v>
      </c>
      <c r="Q13" s="40">
        <f t="shared" si="25"/>
        <v>0.36000941619585636</v>
      </c>
      <c r="R13" s="40">
        <v>0</v>
      </c>
      <c r="S13" s="49">
        <f>(LOOKUP(Q13,Policy!$L$12:$M$16)+R13)*O13</f>
        <v>0</v>
      </c>
      <c r="T13" s="188"/>
      <c r="U13" s="53"/>
      <c r="V13" s="40"/>
      <c r="W13" s="53"/>
      <c r="X13" s="427"/>
      <c r="Y13" s="397"/>
      <c r="Z13" s="406"/>
      <c r="AA13" s="55">
        <v>0</v>
      </c>
      <c r="AB13" s="41">
        <v>0</v>
      </c>
      <c r="AC13" s="41">
        <v>0</v>
      </c>
      <c r="AD13" s="41">
        <f t="shared" si="21"/>
        <v>0</v>
      </c>
      <c r="AE13" s="41">
        <f t="shared" si="22"/>
        <v>0</v>
      </c>
      <c r="AF13" s="41">
        <f>S13+W13+AB13+AC13</f>
        <v>0</v>
      </c>
      <c r="AG13" s="31"/>
      <c r="AH13" s="419"/>
      <c r="AI13" s="22" t="s">
        <v>218</v>
      </c>
      <c r="AJ13" s="19" t="s">
        <v>219</v>
      </c>
      <c r="AK13" s="195" t="s">
        <v>666</v>
      </c>
      <c r="AL13" s="299">
        <v>0</v>
      </c>
      <c r="AM13" s="299">
        <f t="shared" si="23"/>
        <v>0</v>
      </c>
      <c r="AN13" s="300">
        <f t="shared" si="24"/>
        <v>0</v>
      </c>
    </row>
    <row r="14" spans="1:41" ht="15.75" hidden="1" customHeight="1" outlineLevel="1" x14ac:dyDescent="0.2">
      <c r="A14" s="79" t="s">
        <v>780</v>
      </c>
      <c r="B14" s="161" t="s">
        <v>781</v>
      </c>
      <c r="C14" s="79" t="s">
        <v>1</v>
      </c>
      <c r="D14" s="1" t="s">
        <v>666</v>
      </c>
      <c r="E14" s="47">
        <f>ROUND(SUMIF('Target Achieved- Input'!$B$2:$B$90,'Incentive Report- Output'!B14,'Target Achieved- Input'!$G$2:$G$90),0)</f>
        <v>50</v>
      </c>
      <c r="F14" s="47">
        <f>ROUND(SUMIF('Target Achieved- Input'!$B$2:$B$90,'Incentive Report- Output'!B14,'Target Achieved- Input'!$H$2:$H$90),0)</f>
        <v>65</v>
      </c>
      <c r="G14" s="47">
        <f>SUMIF('Target Achieved- Input'!$L$2:$L$90,'Incentive Report- Output'!B14,'Target Achieved- Input'!$O$2:$O$90)</f>
        <v>32</v>
      </c>
      <c r="H14" s="39">
        <f>SUMIF('Target Achieved- Input'!$S$2:$S$90,'Incentive Report- Output'!B14,'Target Achieved- Input'!$V$2:$V$90)</f>
        <v>0</v>
      </c>
      <c r="I14" s="48">
        <f>SUMIF('Target Achieved- Input'!$L$2:$L$90,'Incentive Report- Output'!B14,'Target Achieved- Input'!$AC$2:$AC$90)</f>
        <v>2</v>
      </c>
      <c r="J14" s="39">
        <f t="shared" si="16"/>
        <v>32</v>
      </c>
      <c r="K14" s="40">
        <f t="shared" si="17"/>
        <v>0.64</v>
      </c>
      <c r="L14" s="41">
        <f t="shared" si="18"/>
        <v>1650000</v>
      </c>
      <c r="M14" s="41">
        <f>SUMIF('Target Achieved- Input'!$L$2:$L$90,'Incentive Report- Output'!B14,'Target Achieved- Input'!$M$2:$M$90)</f>
        <v>1390868</v>
      </c>
      <c r="N14" s="41">
        <f>SUMIF('Target Achieved- Input'!$S$2:$S$90,'Incentive Report- Output'!B14,'Target Achieved- Input'!$U$2:$U$90)</f>
        <v>0</v>
      </c>
      <c r="O14" s="41">
        <f>SUMIF('Target Achieved- Input'!$L$2:$L$90,'Incentive Report- Output'!B14,'Target Achieved- Input'!$N$2:$N$90)-N14</f>
        <v>1178701.6949152523</v>
      </c>
      <c r="P14" s="40">
        <f t="shared" si="19"/>
        <v>0.71436466358500139</v>
      </c>
      <c r="Q14" s="40">
        <f t="shared" si="20"/>
        <v>0.71436466358500139</v>
      </c>
      <c r="R14" s="40">
        <v>0</v>
      </c>
      <c r="S14" s="49">
        <f>(LOOKUP(Q14,Policy!$L$12:$M$16)+R14)*O14</f>
        <v>5893.5084745762615</v>
      </c>
      <c r="T14" s="185"/>
      <c r="U14" s="156"/>
      <c r="V14" s="51"/>
      <c r="W14" s="156"/>
      <c r="X14" s="427"/>
      <c r="Y14" s="397"/>
      <c r="Z14" s="406"/>
      <c r="AA14" s="55">
        <v>0</v>
      </c>
      <c r="AB14" s="41">
        <v>0</v>
      </c>
      <c r="AC14" s="41">
        <v>0</v>
      </c>
      <c r="AD14" s="41">
        <f t="shared" si="21"/>
        <v>0</v>
      </c>
      <c r="AE14" s="41">
        <f t="shared" si="22"/>
        <v>5893.5084745762615</v>
      </c>
      <c r="AF14" s="41">
        <f>S14+W14+AB14+AC14</f>
        <v>5893.5084745762615</v>
      </c>
      <c r="AG14" s="31"/>
      <c r="AH14" s="419"/>
      <c r="AI14" s="22" t="s">
        <v>780</v>
      </c>
      <c r="AJ14" s="19" t="s">
        <v>781</v>
      </c>
      <c r="AK14" s="195" t="s">
        <v>666</v>
      </c>
      <c r="AL14" s="299">
        <v>5893.5084745762615</v>
      </c>
      <c r="AM14" s="299">
        <f t="shared" si="23"/>
        <v>5893.5084745762615</v>
      </c>
      <c r="AN14" s="300">
        <f t="shared" si="24"/>
        <v>0</v>
      </c>
    </row>
    <row r="15" spans="1:41" ht="15.75" hidden="1" customHeight="1" outlineLevel="1" x14ac:dyDescent="0.2">
      <c r="A15" s="109" t="s">
        <v>6</v>
      </c>
      <c r="B15" s="109"/>
      <c r="C15" s="109"/>
      <c r="D15" s="292" t="s">
        <v>666</v>
      </c>
      <c r="E15" s="44">
        <f t="shared" ref="E15:J15" si="26">SUM(E11:E14)</f>
        <v>210</v>
      </c>
      <c r="F15" s="44">
        <f t="shared" si="26"/>
        <v>273</v>
      </c>
      <c r="G15" s="44">
        <f t="shared" si="26"/>
        <v>126</v>
      </c>
      <c r="H15" s="44">
        <f t="shared" si="26"/>
        <v>9</v>
      </c>
      <c r="I15" s="44">
        <f t="shared" si="26"/>
        <v>13</v>
      </c>
      <c r="J15" s="44">
        <f t="shared" si="26"/>
        <v>117</v>
      </c>
      <c r="K15" s="45"/>
      <c r="L15" s="44">
        <f>SUM(L11:L14)</f>
        <v>6930000</v>
      </c>
      <c r="M15" s="44">
        <f>SUM(M11:M14)</f>
        <v>4875674</v>
      </c>
      <c r="N15" s="44">
        <f>SUM(N11:N14)</f>
        <v>266602.54237288103</v>
      </c>
      <c r="O15" s="44">
        <f>SUM(O11:O14)</f>
        <v>3865324.5762711805</v>
      </c>
      <c r="P15" s="45"/>
      <c r="Q15" s="46"/>
      <c r="R15" s="46"/>
      <c r="S15" s="44">
        <f t="shared" ref="S15:AF15" si="27">SUM(S11:S14)</f>
        <v>15762.529661016924</v>
      </c>
      <c r="T15" s="189">
        <f t="shared" si="27"/>
        <v>0</v>
      </c>
      <c r="U15" s="189">
        <f t="shared" si="27"/>
        <v>0</v>
      </c>
      <c r="V15" s="103">
        <f t="shared" si="27"/>
        <v>0</v>
      </c>
      <c r="W15" s="189">
        <f t="shared" si="27"/>
        <v>0</v>
      </c>
      <c r="X15" s="44">
        <f t="shared" si="27"/>
        <v>210</v>
      </c>
      <c r="Y15" s="44">
        <f t="shared" si="27"/>
        <v>117</v>
      </c>
      <c r="Z15" s="54">
        <f t="shared" si="27"/>
        <v>0.55714285714285716</v>
      </c>
      <c r="AA15" s="87">
        <f t="shared" si="27"/>
        <v>0</v>
      </c>
      <c r="AB15" s="87">
        <f t="shared" si="27"/>
        <v>0</v>
      </c>
      <c r="AC15" s="87">
        <f t="shared" si="27"/>
        <v>0</v>
      </c>
      <c r="AD15" s="87">
        <f t="shared" si="27"/>
        <v>0</v>
      </c>
      <c r="AE15" s="87">
        <f t="shared" si="27"/>
        <v>15762.529661016924</v>
      </c>
      <c r="AF15" s="87">
        <f t="shared" si="27"/>
        <v>15762.529661016924</v>
      </c>
      <c r="AG15" s="31"/>
      <c r="AH15" s="419"/>
      <c r="AI15" s="43" t="s">
        <v>6</v>
      </c>
      <c r="AJ15" s="43"/>
      <c r="AK15" s="43" t="s">
        <v>666</v>
      </c>
      <c r="AL15" s="304">
        <v>15988.36864406777</v>
      </c>
      <c r="AM15" s="304">
        <f>SUM(AM11:AM14)</f>
        <v>15762.529661016924</v>
      </c>
      <c r="AN15" s="304">
        <f>SUM(AN11:AN14)</f>
        <v>225.83898305084676</v>
      </c>
    </row>
    <row r="16" spans="1:41" ht="15.75" hidden="1" customHeight="1" outlineLevel="1" x14ac:dyDescent="0.2">
      <c r="A16" s="79" t="s">
        <v>298</v>
      </c>
      <c r="B16" s="79" t="s">
        <v>49</v>
      </c>
      <c r="C16" s="79" t="s">
        <v>0</v>
      </c>
      <c r="D16" s="1" t="s">
        <v>667</v>
      </c>
      <c r="E16" s="47">
        <f>ROUND(SUMIF('Target Achieved- Input'!$B$2:$B$90,'Incentive Report- Output'!B16,'Target Achieved- Input'!$G$2:$G$90),0)</f>
        <v>50</v>
      </c>
      <c r="F16" s="47">
        <f>ROUND(SUMIF('Target Achieved- Input'!$B$2:$B$90,'Incentive Report- Output'!B16,'Target Achieved- Input'!$H$2:$H$90),0)</f>
        <v>65</v>
      </c>
      <c r="G16" s="47">
        <f>SUMIF('Target Achieved- Input'!$L$2:$L$90,'Incentive Report- Output'!B16,'Target Achieved- Input'!$O$2:$O$90)</f>
        <v>11</v>
      </c>
      <c r="H16" s="39">
        <f>SUMIF('Target Achieved- Input'!$S$2:$S$90,'Incentive Report- Output'!B16,'Target Achieved- Input'!$V$2:$V$90)</f>
        <v>11</v>
      </c>
      <c r="I16" s="48">
        <f>SUMIF('Target Achieved- Input'!$L$2:$L$90,'Incentive Report- Output'!B16,'Target Achieved- Input'!$AC$2:$AC$90)</f>
        <v>0</v>
      </c>
      <c r="J16" s="39">
        <f t="shared" ref="J16:J23" si="28">G16-H16</f>
        <v>0</v>
      </c>
      <c r="K16" s="40">
        <f t="shared" ref="K16:K23" si="29">IFERROR(J16/E16,0)</f>
        <v>0</v>
      </c>
      <c r="L16" s="41">
        <f t="shared" ref="L16:L23" si="30">E16*33000</f>
        <v>1650000</v>
      </c>
      <c r="M16" s="41">
        <f>SUMIF('Target Achieved- Input'!$L$2:$L$90,'Incentive Report- Output'!B16,'Target Achieved- Input'!$M$2:$M$90)</f>
        <v>567639</v>
      </c>
      <c r="N16" s="41">
        <f>SUMIF('Target Achieved- Input'!$S$2:$S$90,'Incentive Report- Output'!B16,'Target Achieved- Input'!$U$2:$U$90)</f>
        <v>481049.99999999942</v>
      </c>
      <c r="O16" s="41">
        <f>SUMIF('Target Achieved- Input'!$L$2:$L$90,'Incentive Report- Output'!B16,'Target Achieved- Input'!$N$2:$N$90)-N16</f>
        <v>0</v>
      </c>
      <c r="P16" s="40">
        <f t="shared" ref="P16:P23" si="31">IFERROR(O16/L16,0)</f>
        <v>0</v>
      </c>
      <c r="Q16" s="40">
        <f t="shared" ref="Q16:Q23" si="32">MAX(P16,K16)</f>
        <v>0</v>
      </c>
      <c r="R16" s="40">
        <v>0</v>
      </c>
      <c r="S16" s="49">
        <f>(LOOKUP(Q16,Policy!$L$12:$M$16)+R16)*O16</f>
        <v>0</v>
      </c>
      <c r="T16" s="188" t="s">
        <v>1426</v>
      </c>
      <c r="U16" s="53"/>
      <c r="V16" s="40"/>
      <c r="W16" s="53"/>
      <c r="X16" s="428">
        <f>E24</f>
        <v>510</v>
      </c>
      <c r="Y16" s="396">
        <f>J24</f>
        <v>289</v>
      </c>
      <c r="Z16" s="430">
        <f>Y16/X16</f>
        <v>0.56666666666666665</v>
      </c>
      <c r="AA16" s="55">
        <v>0</v>
      </c>
      <c r="AB16" s="41">
        <v>0</v>
      </c>
      <c r="AC16" s="41">
        <v>0</v>
      </c>
      <c r="AD16" s="41">
        <f t="shared" ref="AD16" si="33">IF(AF16&gt;200000,AF16-200000,0)</f>
        <v>0</v>
      </c>
      <c r="AE16" s="41">
        <f t="shared" ref="AE16" si="34">AF16-AD16</f>
        <v>0</v>
      </c>
      <c r="AF16" s="41">
        <f t="shared" ref="AF16:AF23" si="35">S16+W16+AB16+AC16</f>
        <v>0</v>
      </c>
      <c r="AG16" s="31"/>
      <c r="AH16" s="419"/>
      <c r="AI16" s="22" t="s">
        <v>298</v>
      </c>
      <c r="AJ16" s="22" t="s">
        <v>49</v>
      </c>
      <c r="AK16" s="195" t="s">
        <v>667</v>
      </c>
      <c r="AL16" s="299">
        <v>0</v>
      </c>
      <c r="AM16" s="299">
        <f t="shared" ref="AM16" si="36">AF16</f>
        <v>0</v>
      </c>
      <c r="AN16" s="300">
        <f t="shared" ref="AN16" si="37">AL16-AM16</f>
        <v>0</v>
      </c>
    </row>
    <row r="17" spans="1:42" ht="15.75" hidden="1" customHeight="1" outlineLevel="1" x14ac:dyDescent="0.2">
      <c r="A17" s="79" t="s">
        <v>1109</v>
      </c>
      <c r="B17" s="79" t="s">
        <v>1110</v>
      </c>
      <c r="C17" s="79" t="s">
        <v>1</v>
      </c>
      <c r="D17" s="1" t="s">
        <v>667</v>
      </c>
      <c r="E17" s="47">
        <f>ROUND(SUMIF('Target Achieved- Input'!$B$2:$B$90,'Incentive Report- Output'!B17,'Target Achieved- Input'!$G$2:$G$90),0)</f>
        <v>50</v>
      </c>
      <c r="F17" s="47">
        <f>ROUND(SUMIF('Target Achieved- Input'!$B$2:$B$90,'Incentive Report- Output'!B17,'Target Achieved- Input'!$H$2:$H$90),0)</f>
        <v>65</v>
      </c>
      <c r="G17" s="47">
        <f>SUMIF('Target Achieved- Input'!$L$2:$L$90,'Incentive Report- Output'!B17,'Target Achieved- Input'!$O$2:$O$90)</f>
        <v>40</v>
      </c>
      <c r="H17" s="39">
        <f>SUMIF('Target Achieved- Input'!$S$2:$S$90,'Incentive Report- Output'!B17,'Target Achieved- Input'!$V$2:$V$90)</f>
        <v>0</v>
      </c>
      <c r="I17" s="48">
        <f>SUMIF('Target Achieved- Input'!$L$2:$L$90,'Incentive Report- Output'!B17,'Target Achieved- Input'!$AC$2:$AC$90)</f>
        <v>0</v>
      </c>
      <c r="J17" s="39">
        <f t="shared" si="28"/>
        <v>40</v>
      </c>
      <c r="K17" s="40">
        <f t="shared" si="29"/>
        <v>0.8</v>
      </c>
      <c r="L17" s="41">
        <f t="shared" si="30"/>
        <v>1650000</v>
      </c>
      <c r="M17" s="41">
        <f>SUMIF('Target Achieved- Input'!$L$2:$L$90,'Incentive Report- Output'!B17,'Target Achieved- Input'!$M$2:$M$90)</f>
        <v>1646160</v>
      </c>
      <c r="N17" s="41">
        <f>SUMIF('Target Achieved- Input'!$S$2:$S$90,'Incentive Report- Output'!B17,'Target Achieved- Input'!$U$2:$U$90)</f>
        <v>0</v>
      </c>
      <c r="O17" s="41">
        <f>SUMIF('Target Achieved- Input'!$L$2:$L$90,'Incentive Report- Output'!B17,'Target Achieved- Input'!$N$2:$N$90)-N17</f>
        <v>1395050.8474576252</v>
      </c>
      <c r="P17" s="40">
        <f t="shared" si="31"/>
        <v>0.84548536209553038</v>
      </c>
      <c r="Q17" s="40">
        <f t="shared" si="32"/>
        <v>0.84548536209553038</v>
      </c>
      <c r="R17" s="40">
        <v>0</v>
      </c>
      <c r="S17" s="49">
        <f>(LOOKUP(Q17,Policy!$L$12:$M$16)+R17)*O17</f>
        <v>13950.508474576252</v>
      </c>
      <c r="T17" s="188"/>
      <c r="U17" s="53"/>
      <c r="V17" s="40"/>
      <c r="W17" s="53"/>
      <c r="X17" s="427"/>
      <c r="Y17" s="397"/>
      <c r="Z17" s="431"/>
      <c r="AA17" s="55">
        <v>0</v>
      </c>
      <c r="AB17" s="41">
        <v>0</v>
      </c>
      <c r="AC17" s="41">
        <v>0</v>
      </c>
      <c r="AD17" s="41">
        <f t="shared" ref="AD17:AD23" si="38">IF(AF17&gt;200000,AF17-200000,0)</f>
        <v>0</v>
      </c>
      <c r="AE17" s="41">
        <f t="shared" ref="AE17:AE23" si="39">AF17-AD17</f>
        <v>13950.508474576252</v>
      </c>
      <c r="AF17" s="41">
        <f t="shared" si="35"/>
        <v>13950.508474576252</v>
      </c>
      <c r="AG17" s="31"/>
      <c r="AH17" s="419"/>
      <c r="AI17" s="22" t="s">
        <v>1109</v>
      </c>
      <c r="AJ17" s="22" t="s">
        <v>1110</v>
      </c>
      <c r="AK17" s="195" t="s">
        <v>667</v>
      </c>
      <c r="AL17" s="299">
        <v>13950.508474576252</v>
      </c>
      <c r="AM17" s="299">
        <f t="shared" ref="AM17:AM23" si="40">AF17</f>
        <v>13950.508474576252</v>
      </c>
      <c r="AN17" s="300">
        <f t="shared" ref="AN17:AN23" si="41">AL17-AM17</f>
        <v>0</v>
      </c>
    </row>
    <row r="18" spans="1:42" ht="15.75" hidden="1" customHeight="1" outlineLevel="1" x14ac:dyDescent="0.2">
      <c r="A18" s="79" t="s">
        <v>25</v>
      </c>
      <c r="B18" s="79" t="s">
        <v>26</v>
      </c>
      <c r="C18" s="79" t="s">
        <v>1</v>
      </c>
      <c r="D18" s="1" t="s">
        <v>667</v>
      </c>
      <c r="E18" s="47">
        <f>ROUND(SUMIF('Target Achieved- Input'!$B$2:$B$90,'Incentive Report- Output'!B18,'Target Achieved- Input'!$G$2:$G$90),0)</f>
        <v>70</v>
      </c>
      <c r="F18" s="47">
        <f>ROUND(SUMIF('Target Achieved- Input'!$B$2:$B$90,'Incentive Report- Output'!B18,'Target Achieved- Input'!$H$2:$H$90),0)</f>
        <v>91</v>
      </c>
      <c r="G18" s="47">
        <f>SUMIF('Target Achieved- Input'!$L$2:$L$90,'Incentive Report- Output'!B18,'Target Achieved- Input'!$O$2:$O$90)</f>
        <v>49</v>
      </c>
      <c r="H18" s="39">
        <f>SUMIF('Target Achieved- Input'!$S$2:$S$90,'Incentive Report- Output'!B18,'Target Achieved- Input'!$V$2:$V$90)</f>
        <v>5</v>
      </c>
      <c r="I18" s="48">
        <f>SUMIF('Target Achieved- Input'!$L$2:$L$90,'Incentive Report- Output'!B18,'Target Achieved- Input'!$AC$2:$AC$90)</f>
        <v>2</v>
      </c>
      <c r="J18" s="39">
        <f t="shared" si="28"/>
        <v>44</v>
      </c>
      <c r="K18" s="40">
        <f t="shared" si="29"/>
        <v>0.62857142857142856</v>
      </c>
      <c r="L18" s="41">
        <f t="shared" si="30"/>
        <v>2310000</v>
      </c>
      <c r="M18" s="41">
        <f>SUMIF('Target Achieved- Input'!$L$2:$L$90,'Incentive Report- Output'!B18,'Target Achieved- Input'!$M$2:$M$90)</f>
        <v>2078651</v>
      </c>
      <c r="N18" s="41">
        <f>SUMIF('Target Achieved- Input'!$S$2:$S$90,'Incentive Report- Output'!B18,'Target Achieved- Input'!$U$2:$U$90)</f>
        <v>218639.83050847432</v>
      </c>
      <c r="O18" s="41">
        <f>SUMIF('Target Achieved- Input'!$L$2:$L$90,'Incentive Report- Output'!B18,'Target Achieved- Input'!$N$2:$N$90)-N18</f>
        <v>1542928.8135593198</v>
      </c>
      <c r="P18" s="40">
        <f t="shared" si="31"/>
        <v>0.66793455132438084</v>
      </c>
      <c r="Q18" s="40">
        <f t="shared" si="32"/>
        <v>0.66793455132438084</v>
      </c>
      <c r="R18" s="40">
        <v>0</v>
      </c>
      <c r="S18" s="49">
        <f>(LOOKUP(Q18,Policy!$L$12:$M$16)+R18)*O18</f>
        <v>7714.6440677965993</v>
      </c>
      <c r="T18" s="185"/>
      <c r="U18" s="156"/>
      <c r="V18" s="51"/>
      <c r="W18" s="156"/>
      <c r="X18" s="427"/>
      <c r="Y18" s="397"/>
      <c r="Z18" s="431"/>
      <c r="AA18" s="55">
        <v>0</v>
      </c>
      <c r="AB18" s="41">
        <v>0</v>
      </c>
      <c r="AC18" s="41">
        <v>0</v>
      </c>
      <c r="AD18" s="41">
        <f t="shared" si="38"/>
        <v>0</v>
      </c>
      <c r="AE18" s="41">
        <f t="shared" si="39"/>
        <v>7714.6440677965993</v>
      </c>
      <c r="AF18" s="41">
        <f t="shared" si="35"/>
        <v>7714.6440677965993</v>
      </c>
      <c r="AG18" s="31"/>
      <c r="AH18" s="419"/>
      <c r="AI18" s="22" t="s">
        <v>25</v>
      </c>
      <c r="AJ18" s="22" t="s">
        <v>26</v>
      </c>
      <c r="AK18" s="195" t="s">
        <v>667</v>
      </c>
      <c r="AL18" s="299">
        <v>8807.8432203389712</v>
      </c>
      <c r="AM18" s="299">
        <f t="shared" si="40"/>
        <v>7714.6440677965993</v>
      </c>
      <c r="AN18" s="300">
        <f t="shared" si="41"/>
        <v>1093.1991525423718</v>
      </c>
    </row>
    <row r="19" spans="1:42" ht="15.75" hidden="1" customHeight="1" outlineLevel="1" x14ac:dyDescent="0.2">
      <c r="A19" s="79" t="s">
        <v>209</v>
      </c>
      <c r="B19" s="79" t="s">
        <v>52</v>
      </c>
      <c r="C19" s="79" t="s">
        <v>1185</v>
      </c>
      <c r="D19" s="1" t="s">
        <v>667</v>
      </c>
      <c r="E19" s="47">
        <f>ROUND(SUMIF('Target Achieved- Input'!$B$2:$B$90,'Incentive Report- Output'!B19,'Target Achieved- Input'!$G$2:$G$90),0)</f>
        <v>70</v>
      </c>
      <c r="F19" s="47">
        <f>ROUND(SUMIF('Target Achieved- Input'!$B$2:$B$90,'Incentive Report- Output'!B19,'Target Achieved- Input'!$H$2:$H$90),0)</f>
        <v>91</v>
      </c>
      <c r="G19" s="47">
        <f>SUMIF('Target Achieved- Input'!$L$2:$L$90,'Incentive Report- Output'!B19,'Target Achieved- Input'!$O$2:$O$90)</f>
        <v>57</v>
      </c>
      <c r="H19" s="39">
        <f>SUMIF('Target Achieved- Input'!$S$2:$S$90,'Incentive Report- Output'!B19,'Target Achieved- Input'!$V$2:$V$90)</f>
        <v>0</v>
      </c>
      <c r="I19" s="48">
        <f>SUMIF('Target Achieved- Input'!$L$2:$L$90,'Incentive Report- Output'!B19,'Target Achieved- Input'!$AC$2:$AC$90)</f>
        <v>4</v>
      </c>
      <c r="J19" s="39">
        <f t="shared" si="28"/>
        <v>57</v>
      </c>
      <c r="K19" s="40">
        <f t="shared" si="29"/>
        <v>0.81428571428571428</v>
      </c>
      <c r="L19" s="41">
        <f t="shared" si="30"/>
        <v>2310000</v>
      </c>
      <c r="M19" s="41">
        <f>SUMIF('Target Achieved- Input'!$L$2:$L$90,'Incentive Report- Output'!B19,'Target Achieved- Input'!$M$2:$M$90)</f>
        <v>2314593</v>
      </c>
      <c r="N19" s="41">
        <f>SUMIF('Target Achieved- Input'!$S$2:$S$90,'Incentive Report- Output'!B19,'Target Achieved- Input'!$U$2:$U$90)</f>
        <v>0</v>
      </c>
      <c r="O19" s="41">
        <f>SUMIF('Target Achieved- Input'!$L$2:$L$90,'Incentive Report- Output'!B19,'Target Achieved- Input'!$N$2:$N$90)-N19</f>
        <v>1961519.4915254212</v>
      </c>
      <c r="P19" s="40">
        <f t="shared" si="31"/>
        <v>0.84914263702399184</v>
      </c>
      <c r="Q19" s="40">
        <f t="shared" si="32"/>
        <v>0.84914263702399184</v>
      </c>
      <c r="R19" s="40">
        <v>0</v>
      </c>
      <c r="S19" s="49">
        <f>(LOOKUP(Q19,Policy!$L$12:$M$16)+R19)*O19</f>
        <v>19615.194915254211</v>
      </c>
      <c r="T19" s="185">
        <f>L20</f>
        <v>2310000</v>
      </c>
      <c r="U19" s="156">
        <f>O20</f>
        <v>1087513.5593220321</v>
      </c>
      <c r="V19" s="51">
        <f>IFERROR(U19/T19,0)</f>
        <v>0.47078509061559831</v>
      </c>
      <c r="W19" s="156">
        <f>LOOKUP(V19,Policy!$L$18:$M$21)*U19</f>
        <v>0</v>
      </c>
      <c r="X19" s="427"/>
      <c r="Y19" s="397"/>
      <c r="Z19" s="431"/>
      <c r="AA19" s="55">
        <v>0</v>
      </c>
      <c r="AB19" s="41">
        <v>0</v>
      </c>
      <c r="AC19" s="41">
        <v>0</v>
      </c>
      <c r="AD19" s="41">
        <f t="shared" si="38"/>
        <v>0</v>
      </c>
      <c r="AE19" s="41">
        <f t="shared" si="39"/>
        <v>19615.194915254211</v>
      </c>
      <c r="AF19" s="41">
        <f t="shared" si="35"/>
        <v>19615.194915254211</v>
      </c>
      <c r="AG19" s="31"/>
      <c r="AH19" s="419"/>
      <c r="AI19" s="22" t="s">
        <v>209</v>
      </c>
      <c r="AJ19" s="22" t="s">
        <v>52</v>
      </c>
      <c r="AK19" s="195" t="s">
        <v>667</v>
      </c>
      <c r="AL19" s="299">
        <v>19615.194915254211</v>
      </c>
      <c r="AM19" s="299">
        <f t="shared" si="40"/>
        <v>19615.194915254211</v>
      </c>
      <c r="AN19" s="300">
        <f t="shared" si="41"/>
        <v>0</v>
      </c>
    </row>
    <row r="20" spans="1:42" ht="15.75" hidden="1" customHeight="1" outlineLevel="1" x14ac:dyDescent="0.2">
      <c r="A20" s="79" t="s">
        <v>303</v>
      </c>
      <c r="B20" s="79" t="s">
        <v>305</v>
      </c>
      <c r="C20" s="79" t="s">
        <v>1</v>
      </c>
      <c r="D20" s="1" t="s">
        <v>667</v>
      </c>
      <c r="E20" s="47">
        <f>ROUND(SUMIF('Target Achieved- Input'!$B$2:$B$90,'Incentive Report- Output'!B20,'Target Achieved- Input'!$G$2:$G$90),0)</f>
        <v>70</v>
      </c>
      <c r="F20" s="47">
        <f>ROUND(SUMIF('Target Achieved- Input'!$B$2:$B$90,'Incentive Report- Output'!B20,'Target Achieved- Input'!$H$2:$H$90),0)</f>
        <v>91</v>
      </c>
      <c r="G20" s="47">
        <f>SUMIF('Target Achieved- Input'!$L$2:$L$90,'Incentive Report- Output'!B20,'Target Achieved- Input'!$O$2:$O$90)</f>
        <v>34</v>
      </c>
      <c r="H20" s="39">
        <f>SUMIF('Target Achieved- Input'!$S$2:$S$90,'Incentive Report- Output'!B20,'Target Achieved- Input'!$V$2:$V$90)</f>
        <v>0</v>
      </c>
      <c r="I20" s="48">
        <f>SUMIF('Target Achieved- Input'!$L$2:$L$90,'Incentive Report- Output'!B20,'Target Achieved- Input'!$AC$2:$AC$90)</f>
        <v>2</v>
      </c>
      <c r="J20" s="39">
        <f t="shared" si="28"/>
        <v>34</v>
      </c>
      <c r="K20" s="40">
        <f t="shared" si="29"/>
        <v>0.48571428571428571</v>
      </c>
      <c r="L20" s="41">
        <f t="shared" si="30"/>
        <v>2310000</v>
      </c>
      <c r="M20" s="41">
        <f>SUMIF('Target Achieved- Input'!$L$2:$L$90,'Incentive Report- Output'!B20,'Target Achieved- Input'!$M$2:$M$90)</f>
        <v>1283266</v>
      </c>
      <c r="N20" s="41">
        <f>SUMIF('Target Achieved- Input'!$S$2:$S$90,'Incentive Report- Output'!B20,'Target Achieved- Input'!$U$2:$U$90)</f>
        <v>0</v>
      </c>
      <c r="O20" s="41">
        <f>SUMIF('Target Achieved- Input'!$L$2:$L$90,'Incentive Report- Output'!B20,'Target Achieved- Input'!$N$2:$N$90)-N20</f>
        <v>1087513.5593220321</v>
      </c>
      <c r="P20" s="40">
        <f t="shared" si="31"/>
        <v>0.47078509061559831</v>
      </c>
      <c r="Q20" s="40">
        <f>P20</f>
        <v>0.47078509061559831</v>
      </c>
      <c r="R20" s="40">
        <v>0</v>
      </c>
      <c r="S20" s="49">
        <f>(LOOKUP(Q20,Policy!$L$12:$M$16)+R20)*O20</f>
        <v>0</v>
      </c>
      <c r="T20" s="185"/>
      <c r="U20" s="156"/>
      <c r="V20" s="51"/>
      <c r="W20" s="156"/>
      <c r="X20" s="427"/>
      <c r="Y20" s="397"/>
      <c r="Z20" s="431"/>
      <c r="AA20" s="55">
        <v>0</v>
      </c>
      <c r="AB20" s="41">
        <v>0</v>
      </c>
      <c r="AC20" s="41">
        <v>0</v>
      </c>
      <c r="AD20" s="41">
        <f t="shared" si="38"/>
        <v>0</v>
      </c>
      <c r="AE20" s="41">
        <f t="shared" si="39"/>
        <v>0</v>
      </c>
      <c r="AF20" s="41">
        <f t="shared" si="35"/>
        <v>0</v>
      </c>
      <c r="AG20" s="31"/>
      <c r="AH20" s="419"/>
      <c r="AI20" s="22" t="s">
        <v>303</v>
      </c>
      <c r="AJ20" s="22" t="s">
        <v>305</v>
      </c>
      <c r="AK20" s="195" t="s">
        <v>667</v>
      </c>
      <c r="AL20" s="299">
        <v>0</v>
      </c>
      <c r="AM20" s="299">
        <f t="shared" si="40"/>
        <v>0</v>
      </c>
      <c r="AN20" s="300">
        <f t="shared" si="41"/>
        <v>0</v>
      </c>
    </row>
    <row r="21" spans="1:42" ht="15.75" hidden="1" customHeight="1" outlineLevel="1" x14ac:dyDescent="0.2">
      <c r="A21" s="79" t="s">
        <v>285</v>
      </c>
      <c r="B21" s="79" t="s">
        <v>54</v>
      </c>
      <c r="C21" s="79" t="s">
        <v>1</v>
      </c>
      <c r="D21" s="1" t="s">
        <v>667</v>
      </c>
      <c r="E21" s="47">
        <f>ROUND(SUMIF('Target Achieved- Input'!$B$2:$B$90,'Incentive Report- Output'!B21,'Target Achieved- Input'!$G$2:$G$90),0)</f>
        <v>70</v>
      </c>
      <c r="F21" s="47">
        <f>ROUND(SUMIF('Target Achieved- Input'!$B$2:$B$90,'Incentive Report- Output'!B21,'Target Achieved- Input'!$H$2:$H$90),0)</f>
        <v>91</v>
      </c>
      <c r="G21" s="47">
        <f>SUMIF('Target Achieved- Input'!$L$2:$L$90,'Incentive Report- Output'!B21,'Target Achieved- Input'!$O$2:$O$90)</f>
        <v>61</v>
      </c>
      <c r="H21" s="39">
        <f>SUMIF('Target Achieved- Input'!$S$2:$S$90,'Incentive Report- Output'!B21,'Target Achieved- Input'!$V$2:$V$90)</f>
        <v>6</v>
      </c>
      <c r="I21" s="48">
        <f>SUMIF('Target Achieved- Input'!$L$2:$L$90,'Incentive Report- Output'!B21,'Target Achieved- Input'!$AC$2:$AC$90)</f>
        <v>2</v>
      </c>
      <c r="J21" s="39">
        <f t="shared" si="28"/>
        <v>55</v>
      </c>
      <c r="K21" s="40">
        <f t="shared" si="29"/>
        <v>0.7857142857142857</v>
      </c>
      <c r="L21" s="41">
        <f t="shared" si="30"/>
        <v>2310000</v>
      </c>
      <c r="M21" s="41">
        <f>SUMIF('Target Achieved- Input'!$L$2:$L$90,'Incentive Report- Output'!B21,'Target Achieved- Input'!$M$2:$M$90)</f>
        <v>2593239</v>
      </c>
      <c r="N21" s="41">
        <f>SUMIF('Target Achieved- Input'!$S$2:$S$90,'Incentive Report- Output'!B21,'Target Achieved- Input'!$U$2:$U$90)</f>
        <v>271181.35593220312</v>
      </c>
      <c r="O21" s="41">
        <f>SUMIF('Target Achieved- Input'!$L$2:$L$90,'Incentive Report- Output'!B21,'Target Achieved- Input'!$N$2:$N$90)-N21</f>
        <v>1926478.8135593194</v>
      </c>
      <c r="P21" s="40">
        <f t="shared" si="31"/>
        <v>0.83397351236334172</v>
      </c>
      <c r="Q21" s="40">
        <f t="shared" si="32"/>
        <v>0.83397351236334172</v>
      </c>
      <c r="R21" s="40">
        <v>0</v>
      </c>
      <c r="S21" s="49">
        <f>(LOOKUP(Q21,Policy!$L$12:$M$16)+R21)*O21</f>
        <v>19264.788135593193</v>
      </c>
      <c r="T21" s="185"/>
      <c r="U21" s="156"/>
      <c r="V21" s="51"/>
      <c r="W21" s="156"/>
      <c r="X21" s="427"/>
      <c r="Y21" s="397"/>
      <c r="Z21" s="431"/>
      <c r="AA21" s="55">
        <v>0</v>
      </c>
      <c r="AB21" s="41">
        <v>0</v>
      </c>
      <c r="AC21" s="41">
        <v>0</v>
      </c>
      <c r="AD21" s="41">
        <f t="shared" si="38"/>
        <v>0</v>
      </c>
      <c r="AE21" s="41">
        <f t="shared" si="39"/>
        <v>19264.788135593193</v>
      </c>
      <c r="AF21" s="41">
        <f t="shared" si="35"/>
        <v>19264.788135593193</v>
      </c>
      <c r="AG21" s="31"/>
      <c r="AH21" s="419"/>
      <c r="AI21" s="22" t="s">
        <v>285</v>
      </c>
      <c r="AJ21" s="22" t="s">
        <v>54</v>
      </c>
      <c r="AK21" s="195" t="s">
        <v>667</v>
      </c>
      <c r="AL21" s="299">
        <v>21976.601694915225</v>
      </c>
      <c r="AM21" s="299">
        <f t="shared" si="40"/>
        <v>19264.788135593193</v>
      </c>
      <c r="AN21" s="300">
        <f t="shared" si="41"/>
        <v>2711.8135593220322</v>
      </c>
    </row>
    <row r="22" spans="1:42" ht="15.75" hidden="1" customHeight="1" outlineLevel="1" x14ac:dyDescent="0.2">
      <c r="A22" s="79" t="s">
        <v>246</v>
      </c>
      <c r="B22" s="79" t="s">
        <v>247</v>
      </c>
      <c r="C22" s="79" t="s">
        <v>1</v>
      </c>
      <c r="D22" s="1" t="s">
        <v>667</v>
      </c>
      <c r="E22" s="47">
        <f>ROUND(SUMIF('Target Achieved- Input'!$B$2:$B$90,'Incentive Report- Output'!B22,'Target Achieved- Input'!$G$2:$G$90),0)</f>
        <v>60</v>
      </c>
      <c r="F22" s="47">
        <f>ROUND(SUMIF('Target Achieved- Input'!$B$2:$B$90,'Incentive Report- Output'!B22,'Target Achieved- Input'!$H$2:$H$90),0)</f>
        <v>78</v>
      </c>
      <c r="G22" s="47">
        <f>SUMIF('Target Achieved- Input'!$L$2:$L$90,'Incentive Report- Output'!B22,'Target Achieved- Input'!$O$2:$O$90)</f>
        <v>20</v>
      </c>
      <c r="H22" s="39">
        <f>SUMIF('Target Achieved- Input'!$S$2:$S$90,'Incentive Report- Output'!B22,'Target Achieved- Input'!$V$2:$V$90)</f>
        <v>3</v>
      </c>
      <c r="I22" s="48">
        <f>SUMIF('Target Achieved- Input'!$L$2:$L$90,'Incentive Report- Output'!B22,'Target Achieved- Input'!$AC$2:$AC$90)</f>
        <v>1</v>
      </c>
      <c r="J22" s="39">
        <f t="shared" si="28"/>
        <v>17</v>
      </c>
      <c r="K22" s="40">
        <f t="shared" si="29"/>
        <v>0.28333333333333333</v>
      </c>
      <c r="L22" s="41">
        <f t="shared" si="30"/>
        <v>1980000</v>
      </c>
      <c r="M22" s="41">
        <f>SUMIF('Target Achieved- Input'!$L$2:$L$90,'Incentive Report- Output'!B22,'Target Achieved- Input'!$M$2:$M$90)</f>
        <v>832680</v>
      </c>
      <c r="N22" s="41">
        <f>SUMIF('Target Achieved- Input'!$S$2:$S$90,'Incentive Report- Output'!B22,'Target Achieved- Input'!$U$2:$U$90)</f>
        <v>86268.644067796442</v>
      </c>
      <c r="O22" s="41">
        <f>SUMIF('Target Achieved- Input'!$L$2:$L$90,'Incentive Report- Output'!B22,'Target Achieved- Input'!$N$2:$N$90)-N22</f>
        <v>619392.372881355</v>
      </c>
      <c r="P22" s="40">
        <f t="shared" si="31"/>
        <v>0.31282443074815908</v>
      </c>
      <c r="Q22" s="40">
        <f t="shared" si="32"/>
        <v>0.31282443074815908</v>
      </c>
      <c r="R22" s="40">
        <v>0</v>
      </c>
      <c r="S22" s="49">
        <f>(LOOKUP(Q22,Policy!$L$12:$M$16)+R22)*O22</f>
        <v>0</v>
      </c>
      <c r="T22" s="185"/>
      <c r="U22" s="156"/>
      <c r="V22" s="51"/>
      <c r="W22" s="156"/>
      <c r="X22" s="427"/>
      <c r="Y22" s="397"/>
      <c r="Z22" s="431"/>
      <c r="AA22" s="55">
        <v>0</v>
      </c>
      <c r="AB22" s="41">
        <v>0</v>
      </c>
      <c r="AC22" s="41">
        <v>0</v>
      </c>
      <c r="AD22" s="41">
        <f t="shared" si="38"/>
        <v>0</v>
      </c>
      <c r="AE22" s="41">
        <f t="shared" si="39"/>
        <v>0</v>
      </c>
      <c r="AF22" s="41">
        <f t="shared" si="35"/>
        <v>0</v>
      </c>
      <c r="AG22" s="31"/>
      <c r="AH22" s="419"/>
      <c r="AI22" s="22" t="s">
        <v>246</v>
      </c>
      <c r="AJ22" s="22" t="s">
        <v>247</v>
      </c>
      <c r="AK22" s="195" t="s">
        <v>667</v>
      </c>
      <c r="AL22" s="299">
        <v>0</v>
      </c>
      <c r="AM22" s="299">
        <f t="shared" si="40"/>
        <v>0</v>
      </c>
      <c r="AN22" s="300">
        <f t="shared" si="41"/>
        <v>0</v>
      </c>
    </row>
    <row r="23" spans="1:42" ht="15.75" hidden="1" customHeight="1" outlineLevel="1" x14ac:dyDescent="0.2">
      <c r="A23" s="79" t="s">
        <v>334</v>
      </c>
      <c r="B23" s="79" t="s">
        <v>341</v>
      </c>
      <c r="C23" s="79" t="s">
        <v>1</v>
      </c>
      <c r="D23" s="1" t="s">
        <v>667</v>
      </c>
      <c r="E23" s="47">
        <f>ROUND(SUMIF('Target Achieved- Input'!$B$2:$B$90,'Incentive Report- Output'!B23,'Target Achieved- Input'!$G$2:$G$90),0)</f>
        <v>70</v>
      </c>
      <c r="F23" s="47">
        <f>ROUND(SUMIF('Target Achieved- Input'!$B$2:$B$90,'Incentive Report- Output'!B23,'Target Achieved- Input'!$H$2:$H$90),0)</f>
        <v>91</v>
      </c>
      <c r="G23" s="47">
        <f>SUMIF('Target Achieved- Input'!$L$2:$L$90,'Incentive Report- Output'!B23,'Target Achieved- Input'!$O$2:$O$90)</f>
        <v>42</v>
      </c>
      <c r="H23" s="39">
        <f>SUMIF('Target Achieved- Input'!$S$2:$S$90,'Incentive Report- Output'!B23,'Target Achieved- Input'!$V$2:$V$90)</f>
        <v>0</v>
      </c>
      <c r="I23" s="48">
        <f>SUMIF('Target Achieved- Input'!$L$2:$L$90,'Incentive Report- Output'!B23,'Target Achieved- Input'!$AC$2:$AC$90)</f>
        <v>3</v>
      </c>
      <c r="J23" s="39">
        <f t="shared" si="28"/>
        <v>42</v>
      </c>
      <c r="K23" s="40">
        <f t="shared" si="29"/>
        <v>0.6</v>
      </c>
      <c r="L23" s="41">
        <f t="shared" si="30"/>
        <v>2310000</v>
      </c>
      <c r="M23" s="41">
        <f>SUMIF('Target Achieved- Input'!$L$2:$L$90,'Incentive Report- Output'!B23,'Target Achieved- Input'!$M$2:$M$90)</f>
        <v>1826908</v>
      </c>
      <c r="N23" s="41">
        <f>SUMIF('Target Achieved- Input'!$S$2:$S$90,'Incentive Report- Output'!B23,'Target Achieved- Input'!$U$2:$U$90)</f>
        <v>0</v>
      </c>
      <c r="O23" s="41">
        <f>SUMIF('Target Achieved- Input'!$L$2:$L$90,'Incentive Report- Output'!B23,'Target Achieved- Input'!$N$2:$N$90)-N23</f>
        <v>1548227.1186440652</v>
      </c>
      <c r="P23" s="40">
        <f t="shared" si="31"/>
        <v>0.67022818988920574</v>
      </c>
      <c r="Q23" s="40">
        <f t="shared" si="32"/>
        <v>0.67022818988920574</v>
      </c>
      <c r="R23" s="40">
        <v>0</v>
      </c>
      <c r="S23" s="49">
        <f>(LOOKUP(Q23,Policy!$L$12:$M$16)+R23)*O23</f>
        <v>7741.135593220326</v>
      </c>
      <c r="T23" s="185"/>
      <c r="U23" s="156"/>
      <c r="V23" s="51"/>
      <c r="W23" s="156"/>
      <c r="X23" s="429"/>
      <c r="Y23" s="398"/>
      <c r="Z23" s="432"/>
      <c r="AA23" s="55">
        <v>0</v>
      </c>
      <c r="AB23" s="41">
        <v>0</v>
      </c>
      <c r="AC23" s="41">
        <v>0</v>
      </c>
      <c r="AD23" s="41">
        <f t="shared" si="38"/>
        <v>0</v>
      </c>
      <c r="AE23" s="41">
        <f t="shared" si="39"/>
        <v>7741.135593220326</v>
      </c>
      <c r="AF23" s="41">
        <f t="shared" si="35"/>
        <v>7741.135593220326</v>
      </c>
      <c r="AG23" s="31"/>
      <c r="AH23" s="419"/>
      <c r="AI23" s="22" t="s">
        <v>334</v>
      </c>
      <c r="AJ23" s="22" t="s">
        <v>341</v>
      </c>
      <c r="AK23" s="195" t="s">
        <v>667</v>
      </c>
      <c r="AL23" s="299">
        <v>7741.135593220326</v>
      </c>
      <c r="AM23" s="299">
        <f t="shared" si="40"/>
        <v>7741.135593220326</v>
      </c>
      <c r="AN23" s="300">
        <f t="shared" si="41"/>
        <v>0</v>
      </c>
    </row>
    <row r="24" spans="1:42" ht="15.75" hidden="1" customHeight="1" outlineLevel="1" x14ac:dyDescent="0.2">
      <c r="A24" s="109" t="s">
        <v>6</v>
      </c>
      <c r="B24" s="109"/>
      <c r="C24" s="109"/>
      <c r="D24" s="292" t="s">
        <v>667</v>
      </c>
      <c r="E24" s="44">
        <f>SUM(E16:E23)</f>
        <v>510</v>
      </c>
      <c r="F24" s="44">
        <f t="shared" ref="F24:J24" si="42">SUM(F16:F23)</f>
        <v>663</v>
      </c>
      <c r="G24" s="44">
        <f t="shared" si="42"/>
        <v>314</v>
      </c>
      <c r="H24" s="44">
        <f t="shared" si="42"/>
        <v>25</v>
      </c>
      <c r="I24" s="44">
        <f t="shared" si="42"/>
        <v>14</v>
      </c>
      <c r="J24" s="44">
        <f t="shared" si="42"/>
        <v>289</v>
      </c>
      <c r="K24" s="45"/>
      <c r="L24" s="44">
        <f t="shared" ref="L24:O24" si="43">SUM(L16:L23)</f>
        <v>16830000</v>
      </c>
      <c r="M24" s="44">
        <f t="shared" si="43"/>
        <v>13143136</v>
      </c>
      <c r="N24" s="44">
        <f t="shared" si="43"/>
        <v>1057139.8305084733</v>
      </c>
      <c r="O24" s="44">
        <f t="shared" si="43"/>
        <v>10081111.016949136</v>
      </c>
      <c r="P24" s="45"/>
      <c r="Q24" s="46"/>
      <c r="R24" s="46"/>
      <c r="S24" s="44">
        <f t="shared" ref="S24:AF24" si="44">SUM(S16:S23)</f>
        <v>68286.271186440586</v>
      </c>
      <c r="T24" s="44">
        <f t="shared" si="44"/>
        <v>2310000</v>
      </c>
      <c r="U24" s="44">
        <f t="shared" si="44"/>
        <v>1087513.5593220321</v>
      </c>
      <c r="V24" s="44">
        <f t="shared" si="44"/>
        <v>0.47078509061559831</v>
      </c>
      <c r="W24" s="44">
        <f t="shared" si="44"/>
        <v>0</v>
      </c>
      <c r="X24" s="44">
        <f t="shared" si="44"/>
        <v>510</v>
      </c>
      <c r="Y24" s="44">
        <f t="shared" si="44"/>
        <v>289</v>
      </c>
      <c r="Z24" s="44">
        <f t="shared" si="44"/>
        <v>0.56666666666666665</v>
      </c>
      <c r="AA24" s="44">
        <f t="shared" si="44"/>
        <v>0</v>
      </c>
      <c r="AB24" s="44">
        <f t="shared" si="44"/>
        <v>0</v>
      </c>
      <c r="AC24" s="44">
        <f t="shared" si="44"/>
        <v>0</v>
      </c>
      <c r="AD24" s="44">
        <f t="shared" si="44"/>
        <v>0</v>
      </c>
      <c r="AE24" s="44">
        <f t="shared" si="44"/>
        <v>68286.271186440586</v>
      </c>
      <c r="AF24" s="44">
        <f t="shared" si="44"/>
        <v>68286.271186440586</v>
      </c>
      <c r="AG24" s="31"/>
      <c r="AH24" s="419"/>
      <c r="AI24" s="43" t="s">
        <v>6</v>
      </c>
      <c r="AJ24" s="43"/>
      <c r="AK24" s="43" t="s">
        <v>667</v>
      </c>
      <c r="AL24" s="304">
        <v>72091.283898304988</v>
      </c>
      <c r="AM24" s="304">
        <f>SUM(AM16:AM23)</f>
        <v>68286.271186440586</v>
      </c>
      <c r="AN24" s="304">
        <f>SUM(AN16:AN23)</f>
        <v>3805.0127118644041</v>
      </c>
    </row>
    <row r="25" spans="1:42" ht="15.75" hidden="1" customHeight="1" outlineLevel="1" x14ac:dyDescent="0.2">
      <c r="A25" s="79" t="s">
        <v>61</v>
      </c>
      <c r="B25" s="79" t="s">
        <v>62</v>
      </c>
      <c r="C25" s="79" t="s">
        <v>0</v>
      </c>
      <c r="D25" s="1" t="s">
        <v>668</v>
      </c>
      <c r="E25" s="47">
        <f>ROUND(SUMIF('Target Achieved- Input'!$B$2:$B$90,'Incentive Report- Output'!B25,'Target Achieved- Input'!$G$2:$G$90),0)</f>
        <v>60</v>
      </c>
      <c r="F25" s="47">
        <f>ROUND(SUMIF('Target Achieved- Input'!$B$2:$B$90,'Incentive Report- Output'!B25,'Target Achieved- Input'!$H$2:$H$90),0)</f>
        <v>78</v>
      </c>
      <c r="G25" s="47">
        <f>SUMIF('Target Achieved- Input'!$L$2:$L$90,'Incentive Report- Output'!B25,'Target Achieved- Input'!$O$2:$O$90)</f>
        <v>44</v>
      </c>
      <c r="H25" s="39">
        <f>SUMIF('Target Achieved- Input'!$S$2:$S$90,'Incentive Report- Output'!B25,'Target Achieved- Input'!$V$2:$V$90)</f>
        <v>3</v>
      </c>
      <c r="I25" s="48">
        <f>SUMIF('Target Achieved- Input'!$L$2:$L$90,'Incentive Report- Output'!B25,'Target Achieved- Input'!$AC$2:$AC$90)</f>
        <v>5</v>
      </c>
      <c r="J25" s="39">
        <f t="shared" ref="J25:J27" si="45">G25-H25</f>
        <v>41</v>
      </c>
      <c r="K25" s="40">
        <f t="shared" ref="K25:K27" si="46">IFERROR(J25/E25,0)</f>
        <v>0.68333333333333335</v>
      </c>
      <c r="L25" s="41">
        <f t="shared" ref="L25:L27" si="47">E25*33000</f>
        <v>1980000</v>
      </c>
      <c r="M25" s="41">
        <f>SUMIF('Target Achieved- Input'!$L$2:$L$90,'Incentive Report- Output'!B25,'Target Achieved- Input'!$M$2:$M$90)</f>
        <v>1818156</v>
      </c>
      <c r="N25" s="41">
        <f>SUMIF('Target Achieved- Input'!$S$2:$S$90,'Incentive Report- Output'!B25,'Target Achieved- Input'!$U$2:$U$90)</f>
        <v>101692.37288135581</v>
      </c>
      <c r="O25" s="41">
        <f>SUMIF('Target Achieved- Input'!$L$2:$L$90,'Incentive Report- Output'!B25,'Target Achieved- Input'!$N$2:$N$90)-N25</f>
        <v>1439117.7966101682</v>
      </c>
      <c r="P25" s="40">
        <f t="shared" ref="P25:P27" si="48">IFERROR(O25/L25,0)</f>
        <v>0.72682717000513541</v>
      </c>
      <c r="Q25" s="40">
        <f t="shared" ref="Q25" si="49">MAX(P25,K25)</f>
        <v>0.72682717000513541</v>
      </c>
      <c r="R25" s="40">
        <v>0</v>
      </c>
      <c r="S25" s="49">
        <f>(LOOKUP(Q25,Policy!$L$12:$M$16)+R25)*O25</f>
        <v>7195.5889830508413</v>
      </c>
      <c r="T25" s="188"/>
      <c r="U25" s="53"/>
      <c r="V25" s="40"/>
      <c r="W25" s="53"/>
      <c r="X25" s="433">
        <f>E28</f>
        <v>160</v>
      </c>
      <c r="Y25" s="433">
        <f>J28</f>
        <v>83</v>
      </c>
      <c r="Z25" s="435">
        <f>Y25/X25</f>
        <v>0.51875000000000004</v>
      </c>
      <c r="AA25" s="55">
        <v>0</v>
      </c>
      <c r="AB25" s="41">
        <v>0</v>
      </c>
      <c r="AC25" s="41">
        <v>0</v>
      </c>
      <c r="AD25" s="41">
        <f t="shared" ref="AD25" si="50">IF(AF25&gt;200000,AF25-200000,0)</f>
        <v>0</v>
      </c>
      <c r="AE25" s="41">
        <f t="shared" ref="AE25" si="51">AF25-AD25+AC25</f>
        <v>7195.5889830508413</v>
      </c>
      <c r="AF25" s="41">
        <f>S25+W25+AB25+AC25</f>
        <v>7195.5889830508413</v>
      </c>
      <c r="AG25" s="31"/>
      <c r="AH25" s="419"/>
      <c r="AI25" s="22" t="s">
        <v>61</v>
      </c>
      <c r="AJ25" s="22" t="s">
        <v>62</v>
      </c>
      <c r="AK25" s="195" t="s">
        <v>668</v>
      </c>
      <c r="AL25" s="299">
        <v>7704.05084745762</v>
      </c>
      <c r="AM25" s="299">
        <f t="shared" ref="AM25" si="52">AF25</f>
        <v>7195.5889830508413</v>
      </c>
      <c r="AN25" s="300">
        <f t="shared" ref="AN25" si="53">AL25-AM25</f>
        <v>508.46186440677866</v>
      </c>
      <c r="AP25" s="172"/>
    </row>
    <row r="26" spans="1:42" s="329" customFormat="1" ht="15.75" hidden="1" customHeight="1" outlineLevel="1" x14ac:dyDescent="0.2">
      <c r="A26" s="311" t="s">
        <v>689</v>
      </c>
      <c r="B26" s="311" t="s">
        <v>690</v>
      </c>
      <c r="C26" s="311" t="s">
        <v>1</v>
      </c>
      <c r="D26" s="312" t="s">
        <v>668</v>
      </c>
      <c r="E26" s="313">
        <f>ROUND(SUMIF('Target Achieved- Input'!$B$2:$B$90,'Incentive Report- Output'!B26,'Target Achieved- Input'!$G$2:$G$90),0)</f>
        <v>50</v>
      </c>
      <c r="F26" s="313">
        <f>ROUND(SUMIF('Target Achieved- Input'!$B$2:$B$90,'Incentive Report- Output'!B26,'Target Achieved- Input'!$H$2:$H$90),0)</f>
        <v>65</v>
      </c>
      <c r="G26" s="313">
        <f>SUMIF('Target Achieved- Input'!$L$2:$L$90,'Incentive Report- Output'!B26,'Target Achieved- Input'!$O$2:$O$90)</f>
        <v>29</v>
      </c>
      <c r="H26" s="314">
        <f>SUMIF('Target Achieved- Input'!$S$2:$S$90,'Incentive Report- Output'!B26,'Target Achieved- Input'!$V$2:$V$90)</f>
        <v>4</v>
      </c>
      <c r="I26" s="315">
        <f>SUMIF('Target Achieved- Input'!$L$2:$L$90,'Incentive Report- Output'!B26,'Target Achieved- Input'!$AC$2:$AC$90)</f>
        <v>5</v>
      </c>
      <c r="J26" s="314">
        <f t="shared" si="45"/>
        <v>25</v>
      </c>
      <c r="K26" s="316">
        <f t="shared" si="46"/>
        <v>0.5</v>
      </c>
      <c r="L26" s="317">
        <f t="shared" si="47"/>
        <v>1650000</v>
      </c>
      <c r="M26" s="317">
        <f>SUMIF('Target Achieved- Input'!$L$2:$L$90,'Incentive Report- Output'!B26,'Target Achieved- Input'!$M$2:$M$90)</f>
        <v>1096521</v>
      </c>
      <c r="N26" s="317">
        <f>SUMIF('Target Achieved- Input'!$S$2:$S$90,'Incentive Report- Output'!B26,'Target Achieved- Input'!$U$2:$U$90)</f>
        <v>115632.20338983031</v>
      </c>
      <c r="O26" s="317">
        <f>SUMIF('Target Achieved- Input'!$L$2:$L$90,'Incentive Report- Output'!B26,'Target Achieved- Input'!$N$2:$N$90)-N26</f>
        <v>813622.88135593082</v>
      </c>
      <c r="P26" s="316">
        <f t="shared" si="48"/>
        <v>0.49310477657935203</v>
      </c>
      <c r="Q26" s="316">
        <f t="shared" ref="Q26:Q27" si="54">P26</f>
        <v>0.49310477657935203</v>
      </c>
      <c r="R26" s="316">
        <v>0</v>
      </c>
      <c r="S26" s="318">
        <f>(LOOKUP(Q26,Policy!$L$12:$M$16)+R26)*O26</f>
        <v>0</v>
      </c>
      <c r="T26" s="330"/>
      <c r="U26" s="331"/>
      <c r="V26" s="316"/>
      <c r="W26" s="331"/>
      <c r="X26" s="405"/>
      <c r="Y26" s="405"/>
      <c r="Z26" s="436"/>
      <c r="AA26" s="322">
        <v>0</v>
      </c>
      <c r="AB26" s="317">
        <v>0</v>
      </c>
      <c r="AC26" s="317">
        <v>0</v>
      </c>
      <c r="AD26" s="317">
        <f t="shared" ref="AD26:AD27" si="55">IF(AF26&gt;200000,AF26-200000,0)</f>
        <v>0</v>
      </c>
      <c r="AE26" s="317">
        <f t="shared" ref="AE26:AE27" si="56">AF26-AD26+AC26</f>
        <v>0</v>
      </c>
      <c r="AF26" s="317">
        <f>S26+W26+AB26+AC26</f>
        <v>0</v>
      </c>
      <c r="AG26" s="323"/>
      <c r="AH26" s="419"/>
      <c r="AI26" s="324" t="s">
        <v>689</v>
      </c>
      <c r="AJ26" s="324" t="s">
        <v>690</v>
      </c>
      <c r="AK26" s="325" t="s">
        <v>668</v>
      </c>
      <c r="AL26" s="326">
        <v>4646.2754237288054</v>
      </c>
      <c r="AM26" s="326">
        <f t="shared" ref="AM26:AM27" si="57">AF26</f>
        <v>0</v>
      </c>
      <c r="AN26" s="327">
        <f t="shared" ref="AN26:AN27" si="58">AL26-AM26</f>
        <v>4646.2754237288054</v>
      </c>
      <c r="AO26" s="328"/>
      <c r="AP26" s="332"/>
    </row>
    <row r="27" spans="1:42" ht="15.75" hidden="1" customHeight="1" outlineLevel="1" x14ac:dyDescent="0.2">
      <c r="A27" s="79" t="s">
        <v>706</v>
      </c>
      <c r="B27" s="79" t="s">
        <v>688</v>
      </c>
      <c r="C27" s="79" t="s">
        <v>1</v>
      </c>
      <c r="D27" s="1" t="s">
        <v>668</v>
      </c>
      <c r="E27" s="47">
        <f>ROUND(SUMIF('Target Achieved- Input'!$B$2:$B$90,'Incentive Report- Output'!B27,'Target Achieved- Input'!$G$2:$G$90),0)</f>
        <v>50</v>
      </c>
      <c r="F27" s="47">
        <f>ROUND(SUMIF('Target Achieved- Input'!$B$2:$B$90,'Incentive Report- Output'!B27,'Target Achieved- Input'!$H$2:$H$90),0)</f>
        <v>65</v>
      </c>
      <c r="G27" s="47">
        <f>SUMIF('Target Achieved- Input'!$L$2:$L$90,'Incentive Report- Output'!B27,'Target Achieved- Input'!$O$2:$O$90)</f>
        <v>23</v>
      </c>
      <c r="H27" s="39">
        <f>SUMIF('Target Achieved- Input'!$S$2:$S$90,'Incentive Report- Output'!B27,'Target Achieved- Input'!$V$2:$V$90)</f>
        <v>6</v>
      </c>
      <c r="I27" s="48">
        <f>SUMIF('Target Achieved- Input'!$L$2:$L$90,'Incentive Report- Output'!B27,'Target Achieved- Input'!$AC$2:$AC$90)</f>
        <v>4</v>
      </c>
      <c r="J27" s="39">
        <f t="shared" si="45"/>
        <v>17</v>
      </c>
      <c r="K27" s="40">
        <f t="shared" si="46"/>
        <v>0.34</v>
      </c>
      <c r="L27" s="41">
        <f t="shared" si="47"/>
        <v>1650000</v>
      </c>
      <c r="M27" s="41">
        <f>SUMIF('Target Achieved- Input'!$L$2:$L$90,'Incentive Report- Output'!B27,'Target Achieved- Input'!$M$2:$M$90)</f>
        <v>815227</v>
      </c>
      <c r="N27" s="41">
        <f>SUMIF('Target Achieved- Input'!$S$2:$S$90,'Incentive Report- Output'!B27,'Target Achieved- Input'!$U$2:$U$90)</f>
        <v>194740.67796610142</v>
      </c>
      <c r="O27" s="41">
        <f>SUMIF('Target Achieved- Input'!$L$2:$L$90,'Incentive Report- Output'!B27,'Target Achieved- Input'!$N$2:$N$90)-N27</f>
        <v>496129.66101694852</v>
      </c>
      <c r="P27" s="40">
        <f t="shared" si="48"/>
        <v>0.30068464304057485</v>
      </c>
      <c r="Q27" s="40">
        <f t="shared" si="54"/>
        <v>0.30068464304057485</v>
      </c>
      <c r="R27" s="40">
        <v>0</v>
      </c>
      <c r="S27" s="49">
        <f>(LOOKUP(Q27,Policy!$L$12:$M$16)+R27)*O27</f>
        <v>0</v>
      </c>
      <c r="T27" s="185"/>
      <c r="U27" s="156"/>
      <c r="V27" s="51"/>
      <c r="W27" s="156"/>
      <c r="X27" s="434"/>
      <c r="Y27" s="434"/>
      <c r="Z27" s="437"/>
      <c r="AA27" s="55">
        <v>0</v>
      </c>
      <c r="AB27" s="41">
        <v>0</v>
      </c>
      <c r="AC27" s="41">
        <v>0</v>
      </c>
      <c r="AD27" s="41">
        <f t="shared" si="55"/>
        <v>0</v>
      </c>
      <c r="AE27" s="41">
        <f t="shared" si="56"/>
        <v>0</v>
      </c>
      <c r="AF27" s="41">
        <f>S27+W27+AB27+AC27</f>
        <v>0</v>
      </c>
      <c r="AG27" s="31"/>
      <c r="AH27" s="419"/>
      <c r="AI27" s="22" t="s">
        <v>706</v>
      </c>
      <c r="AJ27" s="22" t="s">
        <v>688</v>
      </c>
      <c r="AK27" s="195" t="s">
        <v>668</v>
      </c>
      <c r="AL27" s="301">
        <v>0</v>
      </c>
      <c r="AM27" s="301">
        <f t="shared" si="57"/>
        <v>0</v>
      </c>
      <c r="AN27" s="302">
        <f t="shared" si="58"/>
        <v>0</v>
      </c>
      <c r="AP27" s="172"/>
    </row>
    <row r="28" spans="1:42" ht="15.75" hidden="1" customHeight="1" outlineLevel="1" x14ac:dyDescent="0.2">
      <c r="A28" s="109" t="s">
        <v>6</v>
      </c>
      <c r="B28" s="109"/>
      <c r="C28" s="109"/>
      <c r="D28" s="292" t="s">
        <v>668</v>
      </c>
      <c r="E28" s="44">
        <f>SUM(E25:E27)</f>
        <v>160</v>
      </c>
      <c r="F28" s="44">
        <f t="shared" ref="F28:J28" si="59">SUM(F25:F27)</f>
        <v>208</v>
      </c>
      <c r="G28" s="44">
        <f t="shared" si="59"/>
        <v>96</v>
      </c>
      <c r="H28" s="44">
        <f t="shared" si="59"/>
        <v>13</v>
      </c>
      <c r="I28" s="44">
        <f t="shared" si="59"/>
        <v>14</v>
      </c>
      <c r="J28" s="44">
        <f t="shared" si="59"/>
        <v>83</v>
      </c>
      <c r="K28" s="45"/>
      <c r="L28" s="44">
        <f t="shared" ref="L28:O28" si="60">SUM(L25:L27)</f>
        <v>5280000</v>
      </c>
      <c r="M28" s="44">
        <f t="shared" si="60"/>
        <v>3729904</v>
      </c>
      <c r="N28" s="44">
        <f t="shared" si="60"/>
        <v>412065.25423728756</v>
      </c>
      <c r="O28" s="44">
        <f t="shared" si="60"/>
        <v>2748870.3389830478</v>
      </c>
      <c r="P28" s="45"/>
      <c r="Q28" s="46"/>
      <c r="R28" s="46"/>
      <c r="S28" s="44">
        <f t="shared" ref="S28:AF28" si="61">SUM(S25:S27)</f>
        <v>7195.5889830508413</v>
      </c>
      <c r="T28" s="44">
        <f t="shared" si="61"/>
        <v>0</v>
      </c>
      <c r="U28" s="44">
        <f t="shared" si="61"/>
        <v>0</v>
      </c>
      <c r="V28" s="44">
        <f t="shared" si="61"/>
        <v>0</v>
      </c>
      <c r="W28" s="44">
        <f t="shared" si="61"/>
        <v>0</v>
      </c>
      <c r="X28" s="44">
        <f t="shared" si="61"/>
        <v>160</v>
      </c>
      <c r="Y28" s="44">
        <f t="shared" si="61"/>
        <v>83</v>
      </c>
      <c r="Z28" s="44">
        <f t="shared" si="61"/>
        <v>0.51875000000000004</v>
      </c>
      <c r="AA28" s="44">
        <f t="shared" si="61"/>
        <v>0</v>
      </c>
      <c r="AB28" s="44">
        <f t="shared" si="61"/>
        <v>0</v>
      </c>
      <c r="AC28" s="44">
        <f t="shared" si="61"/>
        <v>0</v>
      </c>
      <c r="AD28" s="44">
        <f t="shared" si="61"/>
        <v>0</v>
      </c>
      <c r="AE28" s="44">
        <f t="shared" si="61"/>
        <v>7195.5889830508413</v>
      </c>
      <c r="AF28" s="44">
        <f t="shared" si="61"/>
        <v>7195.5889830508413</v>
      </c>
      <c r="AG28" s="31"/>
      <c r="AH28" s="419"/>
      <c r="AI28" s="43" t="s">
        <v>6</v>
      </c>
      <c r="AJ28" s="43"/>
      <c r="AK28" s="43" t="s">
        <v>668</v>
      </c>
      <c r="AL28" s="305">
        <v>12350.326271186426</v>
      </c>
      <c r="AM28" s="305">
        <f>SUM(AM25:AM27)</f>
        <v>7195.5889830508413</v>
      </c>
      <c r="AN28" s="305">
        <f>SUM(AN25:AN27)</f>
        <v>5154.7372881355841</v>
      </c>
    </row>
    <row r="29" spans="1:42" ht="15.75" hidden="1" customHeight="1" outlineLevel="1" x14ac:dyDescent="0.2">
      <c r="A29" s="79" t="s">
        <v>249</v>
      </c>
      <c r="B29" s="79" t="s">
        <v>250</v>
      </c>
      <c r="C29" s="79" t="s">
        <v>0</v>
      </c>
      <c r="D29" s="1" t="s">
        <v>669</v>
      </c>
      <c r="E29" s="47">
        <f>ROUND(SUMIF('Target Achieved- Input'!$B$2:$B$90,'Incentive Report- Output'!B29,'Target Achieved- Input'!$G$2:$G$90),0)</f>
        <v>70</v>
      </c>
      <c r="F29" s="47">
        <f>ROUND(SUMIF('Target Achieved- Input'!$B$2:$B$90,'Incentive Report- Output'!B29,'Target Achieved- Input'!$H$2:$H$90),0)</f>
        <v>91</v>
      </c>
      <c r="G29" s="47">
        <f>SUMIF('Target Achieved- Input'!$L$2:$L$90,'Incentive Report- Output'!B29,'Target Achieved- Input'!$O$2:$O$90)</f>
        <v>134</v>
      </c>
      <c r="H29" s="39">
        <f>SUMIF('Target Achieved- Input'!$S$2:$S$90,'Incentive Report- Output'!B29,'Target Achieved- Input'!$V$2:$V$90)</f>
        <v>0</v>
      </c>
      <c r="I29" s="48">
        <f>SUMIF('Target Achieved- Input'!$L$2:$L$90,'Incentive Report- Output'!B29,'Target Achieved- Input'!$AC$2:$AC$90)</f>
        <v>20</v>
      </c>
      <c r="J29" s="39">
        <f t="shared" ref="J29:J36" si="62">G29-H29</f>
        <v>134</v>
      </c>
      <c r="K29" s="40">
        <f t="shared" ref="K29:K36" si="63">IFERROR(J29/E29,0)</f>
        <v>1.9142857142857144</v>
      </c>
      <c r="L29" s="41">
        <f t="shared" ref="L29:L36" si="64">E29*33000</f>
        <v>2310000</v>
      </c>
      <c r="M29" s="41">
        <f>SUMIF('Target Achieved- Input'!$L$2:$L$90,'Incentive Report- Output'!B29,'Target Achieved- Input'!$M$2:$M$90)</f>
        <v>4975016</v>
      </c>
      <c r="N29" s="41">
        <f>SUMIF('Target Achieved- Input'!$S$2:$S$90,'Incentive Report- Output'!B29,'Target Achieved- Input'!$U$2:$U$90)</f>
        <v>0</v>
      </c>
      <c r="O29" s="41">
        <f>SUMIF('Target Achieved- Input'!$L$2:$L$90,'Incentive Report- Output'!B29,'Target Achieved- Input'!$N$2:$N$90)-N29</f>
        <v>4216115.2542372793</v>
      </c>
      <c r="P29" s="40">
        <f t="shared" ref="P29:P36" si="65">IFERROR(O29/L29,0)</f>
        <v>1.8251581187174368</v>
      </c>
      <c r="Q29" s="40">
        <f>P29</f>
        <v>1.8251581187174368</v>
      </c>
      <c r="R29" s="40">
        <v>0</v>
      </c>
      <c r="S29" s="49">
        <f>(LOOKUP(Q29,Policy!$L$12:$M$16)+R29)*O29</f>
        <v>126483.45762711838</v>
      </c>
      <c r="T29" s="185"/>
      <c r="U29" s="156"/>
      <c r="V29" s="51"/>
      <c r="W29" s="156"/>
      <c r="X29" s="396">
        <f>E37</f>
        <v>455</v>
      </c>
      <c r="Y29" s="428">
        <f>J37</f>
        <v>500</v>
      </c>
      <c r="Z29" s="407">
        <f>Y29/X29</f>
        <v>1.098901098901099</v>
      </c>
      <c r="AA29" s="55">
        <v>0</v>
      </c>
      <c r="AB29" s="41">
        <v>0</v>
      </c>
      <c r="AC29" s="41">
        <v>0</v>
      </c>
      <c r="AD29" s="41">
        <f t="shared" ref="AD29" si="66">IF(AF29&gt;200000,AF29-200000,0)</f>
        <v>0</v>
      </c>
      <c r="AE29" s="41">
        <f t="shared" ref="AE29" si="67">AF29-AD29</f>
        <v>126483.45762711838</v>
      </c>
      <c r="AF29" s="41">
        <f t="shared" ref="AF29:AF36" si="68">S29+W29+AB29+AC29</f>
        <v>126483.45762711838</v>
      </c>
      <c r="AG29" s="31"/>
      <c r="AH29" s="419"/>
      <c r="AI29" s="22" t="s">
        <v>249</v>
      </c>
      <c r="AJ29" s="22" t="s">
        <v>250</v>
      </c>
      <c r="AK29" s="195" t="s">
        <v>669</v>
      </c>
      <c r="AL29" s="301">
        <v>126483.45762711838</v>
      </c>
      <c r="AM29" s="301">
        <f t="shared" ref="AM29" si="69">AF29</f>
        <v>126483.45762711838</v>
      </c>
      <c r="AN29" s="302">
        <f t="shared" ref="AN29" si="70">AL29-AM29</f>
        <v>0</v>
      </c>
    </row>
    <row r="30" spans="1:42" ht="15.75" hidden="1" customHeight="1" outlineLevel="1" x14ac:dyDescent="0.2">
      <c r="A30" s="79" t="s">
        <v>194</v>
      </c>
      <c r="B30" s="79" t="s">
        <v>199</v>
      </c>
      <c r="C30" s="79" t="s">
        <v>1185</v>
      </c>
      <c r="D30" s="1" t="s">
        <v>669</v>
      </c>
      <c r="E30" s="47">
        <f>ROUND(SUMIF('Target Achieved- Input'!$B$2:$B$90,'Incentive Report- Output'!B30,'Target Achieved- Input'!$G$2:$G$90),0)</f>
        <v>65</v>
      </c>
      <c r="F30" s="47">
        <f>ROUND(SUMIF('Target Achieved- Input'!$B$2:$B$90,'Incentive Report- Output'!B30,'Target Achieved- Input'!$H$2:$H$90),0)</f>
        <v>85</v>
      </c>
      <c r="G30" s="47">
        <f>SUMIF('Target Achieved- Input'!$L$2:$L$90,'Incentive Report- Output'!B30,'Target Achieved- Input'!$O$2:$O$90)</f>
        <v>61</v>
      </c>
      <c r="H30" s="39">
        <f>SUMIF('Target Achieved- Input'!$S$2:$S$90,'Incentive Report- Output'!B30,'Target Achieved- Input'!$V$2:$V$90)</f>
        <v>0</v>
      </c>
      <c r="I30" s="48">
        <f>SUMIF('Target Achieved- Input'!$L$2:$L$90,'Incentive Report- Output'!B30,'Target Achieved- Input'!$AC$2:$AC$90)</f>
        <v>6</v>
      </c>
      <c r="J30" s="39">
        <f t="shared" si="62"/>
        <v>61</v>
      </c>
      <c r="K30" s="40">
        <f t="shared" si="63"/>
        <v>0.93846153846153846</v>
      </c>
      <c r="L30" s="41">
        <f t="shared" si="64"/>
        <v>2145000</v>
      </c>
      <c r="M30" s="41">
        <f>SUMIF('Target Achieved- Input'!$L$2:$L$90,'Incentive Report- Output'!B30,'Target Achieved- Input'!$M$2:$M$90)</f>
        <v>2390739</v>
      </c>
      <c r="N30" s="41">
        <f>SUMIF('Target Achieved- Input'!$S$2:$S$90,'Incentive Report- Output'!B30,'Target Achieved- Input'!$U$2:$U$90)</f>
        <v>0</v>
      </c>
      <c r="O30" s="41">
        <f>SUMIF('Target Achieved- Input'!$L$2:$L$90,'Incentive Report- Output'!B30,'Target Achieved- Input'!$N$2:$N$90)-N30</f>
        <v>2026049.9999999972</v>
      </c>
      <c r="P30" s="40">
        <f t="shared" si="65"/>
        <v>0.94454545454545324</v>
      </c>
      <c r="Q30" s="40">
        <f t="shared" ref="Q30:Q35" si="71">MAX(P30,K30)</f>
        <v>0.94454545454545324</v>
      </c>
      <c r="R30" s="40">
        <v>0</v>
      </c>
      <c r="S30" s="49">
        <f>(LOOKUP(Q30,Policy!$L$12:$M$16)+R30)*O30</f>
        <v>20260.499999999971</v>
      </c>
      <c r="T30" s="185">
        <f>L32+L36</f>
        <v>3300000</v>
      </c>
      <c r="U30" s="156">
        <f>O32+O36</f>
        <v>2290704.2372881328</v>
      </c>
      <c r="V30" s="51">
        <f>IFERROR(U30/T30,0)</f>
        <v>0.69415279917822204</v>
      </c>
      <c r="W30" s="156">
        <f>LOOKUP(V30,Policy!$L$18:$M$21)*U30</f>
        <v>0</v>
      </c>
      <c r="X30" s="397"/>
      <c r="Y30" s="427"/>
      <c r="Z30" s="406"/>
      <c r="AA30" s="55">
        <v>0</v>
      </c>
      <c r="AB30" s="41">
        <v>0</v>
      </c>
      <c r="AC30" s="41">
        <v>0</v>
      </c>
      <c r="AD30" s="41">
        <f t="shared" ref="AD30:AD36" si="72">IF(AF30&gt;200000,AF30-200000,0)</f>
        <v>0</v>
      </c>
      <c r="AE30" s="41">
        <f t="shared" ref="AE30:AE36" si="73">AF30-AD30</f>
        <v>20260.499999999971</v>
      </c>
      <c r="AF30" s="41">
        <f t="shared" si="68"/>
        <v>20260.499999999971</v>
      </c>
      <c r="AG30" s="31"/>
      <c r="AH30" s="419"/>
      <c r="AI30" s="22" t="s">
        <v>194</v>
      </c>
      <c r="AJ30" s="22" t="s">
        <v>199</v>
      </c>
      <c r="AK30" s="195" t="s">
        <v>669</v>
      </c>
      <c r="AL30" s="299">
        <v>20260.499999999971</v>
      </c>
      <c r="AM30" s="299">
        <f>AF30</f>
        <v>20260.499999999971</v>
      </c>
      <c r="AN30" s="300">
        <f t="shared" ref="AN30:AN36" si="74">AL30-AM30</f>
        <v>0</v>
      </c>
      <c r="AP30" s="172"/>
    </row>
    <row r="31" spans="1:42" s="329" customFormat="1" ht="15.75" hidden="1" customHeight="1" outlineLevel="1" x14ac:dyDescent="0.2">
      <c r="A31" s="311" t="s">
        <v>1107</v>
      </c>
      <c r="B31" s="311" t="s">
        <v>1108</v>
      </c>
      <c r="C31" s="311" t="s">
        <v>1</v>
      </c>
      <c r="D31" s="312" t="s">
        <v>669</v>
      </c>
      <c r="E31" s="313">
        <f>ROUND(SUMIF('Target Achieved- Input'!$B$2:$B$90,'Incentive Report- Output'!B31,'Target Achieved- Input'!$G$2:$G$90),0)</f>
        <v>30</v>
      </c>
      <c r="F31" s="313">
        <f>ROUND(SUMIF('Target Achieved- Input'!$B$2:$B$90,'Incentive Report- Output'!B31,'Target Achieved- Input'!$H$2:$H$90),0)</f>
        <v>39</v>
      </c>
      <c r="G31" s="313">
        <f>SUMIF('Target Achieved- Input'!$L$2:$L$90,'Incentive Report- Output'!B31,'Target Achieved- Input'!$O$2:$O$90)</f>
        <v>22</v>
      </c>
      <c r="H31" s="314">
        <f>SUMIF('Target Achieved- Input'!$S$2:$S$90,'Incentive Report- Output'!B31,'Target Achieved- Input'!$V$2:$V$90)</f>
        <v>6</v>
      </c>
      <c r="I31" s="315">
        <f>SUMIF('Target Achieved- Input'!$L$2:$L$90,'Incentive Report- Output'!B31,'Target Achieved- Input'!$AC$2:$AC$90)</f>
        <v>7</v>
      </c>
      <c r="J31" s="314">
        <f t="shared" si="62"/>
        <v>16</v>
      </c>
      <c r="K31" s="316">
        <f t="shared" si="63"/>
        <v>0.53333333333333333</v>
      </c>
      <c r="L31" s="317">
        <f t="shared" si="64"/>
        <v>990000</v>
      </c>
      <c r="M31" s="317">
        <f>SUMIF('Target Achieved- Input'!$L$2:$L$90,'Incentive Report- Output'!B31,'Target Achieved- Input'!$M$2:$M$90)</f>
        <v>680078</v>
      </c>
      <c r="N31" s="317">
        <f>SUMIF('Target Achieved- Input'!$S$2:$S$90,'Incentive Report- Output'!B31,'Target Achieved- Input'!$U$2:$U$90)</f>
        <v>106774.57627118636</v>
      </c>
      <c r="O31" s="317">
        <f>SUMIF('Target Achieved- Input'!$L$2:$L$90,'Incentive Report- Output'!B31,'Target Achieved- Input'!$N$2:$N$90)-N31</f>
        <v>469562.71186440636</v>
      </c>
      <c r="P31" s="316">
        <f t="shared" si="65"/>
        <v>0.47430576956000642</v>
      </c>
      <c r="Q31" s="316">
        <f>P31</f>
        <v>0.47430576956000642</v>
      </c>
      <c r="R31" s="316">
        <v>0</v>
      </c>
      <c r="S31" s="318">
        <f>(LOOKUP(Q31,Policy!$L$12:$M$16)+R31)*O31</f>
        <v>0</v>
      </c>
      <c r="T31" s="319"/>
      <c r="U31" s="320"/>
      <c r="V31" s="333"/>
      <c r="W31" s="320"/>
      <c r="X31" s="397"/>
      <c r="Y31" s="427"/>
      <c r="Z31" s="406"/>
      <c r="AA31" s="322">
        <v>0</v>
      </c>
      <c r="AB31" s="317">
        <v>0</v>
      </c>
      <c r="AC31" s="317">
        <v>0</v>
      </c>
      <c r="AD31" s="317">
        <f t="shared" si="72"/>
        <v>0</v>
      </c>
      <c r="AE31" s="317">
        <f t="shared" si="73"/>
        <v>0</v>
      </c>
      <c r="AF31" s="317">
        <f t="shared" si="68"/>
        <v>0</v>
      </c>
      <c r="AG31" s="323"/>
      <c r="AH31" s="419"/>
      <c r="AI31" s="324" t="s">
        <v>1107</v>
      </c>
      <c r="AJ31" s="324" t="s">
        <v>1108</v>
      </c>
      <c r="AK31" s="325" t="s">
        <v>669</v>
      </c>
      <c r="AL31" s="326">
        <v>2881.6864406779637</v>
      </c>
      <c r="AM31" s="326">
        <f>AF31</f>
        <v>0</v>
      </c>
      <c r="AN31" s="327">
        <f t="shared" si="74"/>
        <v>2881.6864406779637</v>
      </c>
      <c r="AO31" s="328"/>
    </row>
    <row r="32" spans="1:42" ht="15.75" hidden="1" customHeight="1" outlineLevel="1" x14ac:dyDescent="0.2">
      <c r="A32" s="79" t="s">
        <v>707</v>
      </c>
      <c r="B32" s="79" t="s">
        <v>696</v>
      </c>
      <c r="C32" s="79" t="s">
        <v>1</v>
      </c>
      <c r="D32" s="1" t="s">
        <v>669</v>
      </c>
      <c r="E32" s="47">
        <f>ROUND(SUMIF('Target Achieved- Input'!$B$2:$B$90,'Incentive Report- Output'!B32,'Target Achieved- Input'!$G$2:$G$90),0)</f>
        <v>50</v>
      </c>
      <c r="F32" s="47">
        <f>ROUND(SUMIF('Target Achieved- Input'!$B$2:$B$90,'Incentive Report- Output'!B32,'Target Achieved- Input'!$H$2:$H$90),0)</f>
        <v>65</v>
      </c>
      <c r="G32" s="47">
        <f>SUMIF('Target Achieved- Input'!$L$2:$L$90,'Incentive Report- Output'!B32,'Target Achieved- Input'!$O$2:$O$90)</f>
        <v>42</v>
      </c>
      <c r="H32" s="39">
        <f>SUMIF('Target Achieved- Input'!$S$2:$S$90,'Incentive Report- Output'!B32,'Target Achieved- Input'!$V$2:$V$90)</f>
        <v>0</v>
      </c>
      <c r="I32" s="48">
        <f>SUMIF('Target Achieved- Input'!$L$2:$L$90,'Incentive Report- Output'!B32,'Target Achieved- Input'!$AC$2:$AC$90)</f>
        <v>4</v>
      </c>
      <c r="J32" s="39">
        <f t="shared" si="62"/>
        <v>42</v>
      </c>
      <c r="K32" s="40">
        <f t="shared" si="63"/>
        <v>0.84</v>
      </c>
      <c r="L32" s="41">
        <f t="shared" si="64"/>
        <v>1650000</v>
      </c>
      <c r="M32" s="41">
        <f>SUMIF('Target Achieved- Input'!$L$2:$L$90,'Incentive Report- Output'!B32,'Target Achieved- Input'!$M$2:$M$90)</f>
        <v>1659358</v>
      </c>
      <c r="N32" s="41">
        <f>SUMIF('Target Achieved- Input'!$S$2:$S$90,'Incentive Report- Output'!B32,'Target Achieved- Input'!$U$2:$U$90)</f>
        <v>0</v>
      </c>
      <c r="O32" s="41">
        <f>SUMIF('Target Achieved- Input'!$L$2:$L$90,'Incentive Report- Output'!B32,'Target Achieved- Input'!$N$2:$N$90)-N32</f>
        <v>1406235.5932203371</v>
      </c>
      <c r="P32" s="40">
        <f t="shared" si="65"/>
        <v>0.85226399589111335</v>
      </c>
      <c r="Q32" s="40">
        <f t="shared" si="71"/>
        <v>0.85226399589111335</v>
      </c>
      <c r="R32" s="40">
        <v>0</v>
      </c>
      <c r="S32" s="49">
        <f>(LOOKUP(Q32,Policy!$L$12:$M$16)+R32)*O32</f>
        <v>14062.355932203371</v>
      </c>
      <c r="T32" s="185"/>
      <c r="U32" s="156"/>
      <c r="V32" s="50"/>
      <c r="W32" s="156"/>
      <c r="X32" s="397"/>
      <c r="Y32" s="427"/>
      <c r="Z32" s="406"/>
      <c r="AA32" s="55">
        <v>0</v>
      </c>
      <c r="AB32" s="41">
        <v>0</v>
      </c>
      <c r="AC32" s="41">
        <v>0</v>
      </c>
      <c r="AD32" s="41">
        <f t="shared" si="72"/>
        <v>0</v>
      </c>
      <c r="AE32" s="41">
        <f t="shared" si="73"/>
        <v>14062.355932203371</v>
      </c>
      <c r="AF32" s="41">
        <f t="shared" si="68"/>
        <v>14062.355932203371</v>
      </c>
      <c r="AG32" s="31"/>
      <c r="AH32" s="419"/>
      <c r="AI32" s="22" t="s">
        <v>707</v>
      </c>
      <c r="AJ32" s="22" t="s">
        <v>696</v>
      </c>
      <c r="AK32" s="195" t="s">
        <v>669</v>
      </c>
      <c r="AL32" s="301">
        <v>14062.355932203371</v>
      </c>
      <c r="AM32" s="301">
        <f>AF32</f>
        <v>14062.355932203371</v>
      </c>
      <c r="AN32" s="302">
        <f t="shared" si="74"/>
        <v>0</v>
      </c>
    </row>
    <row r="33" spans="1:43" ht="15.75" hidden="1" customHeight="1" outlineLevel="1" x14ac:dyDescent="0.2">
      <c r="A33" s="79" t="s">
        <v>804</v>
      </c>
      <c r="B33" s="79" t="s">
        <v>805</v>
      </c>
      <c r="C33" s="79" t="s">
        <v>1</v>
      </c>
      <c r="D33" s="1" t="s">
        <v>669</v>
      </c>
      <c r="E33" s="47">
        <f>ROUND(SUMIF('Target Achieved- Input'!$B$2:$B$90,'Incentive Report- Output'!B33,'Target Achieved- Input'!$G$2:$G$90),0)</f>
        <v>60</v>
      </c>
      <c r="F33" s="47">
        <f>ROUND(SUMIF('Target Achieved- Input'!$B$2:$B$90,'Incentive Report- Output'!B33,'Target Achieved- Input'!$H$2:$H$90),0)</f>
        <v>78</v>
      </c>
      <c r="G33" s="47">
        <f>SUMIF('Target Achieved- Input'!$L$2:$L$90,'Incentive Report- Output'!B33,'Target Achieved- Input'!$O$2:$O$90)</f>
        <v>43</v>
      </c>
      <c r="H33" s="39">
        <f>SUMIF('Target Achieved- Input'!$S$2:$S$90,'Incentive Report- Output'!B33,'Target Achieved- Input'!$V$2:$V$90)</f>
        <v>0</v>
      </c>
      <c r="I33" s="48">
        <f>SUMIF('Target Achieved- Input'!$L$2:$L$90,'Incentive Report- Output'!B33,'Target Achieved- Input'!$AC$2:$AC$90)</f>
        <v>4</v>
      </c>
      <c r="J33" s="39">
        <f t="shared" si="62"/>
        <v>43</v>
      </c>
      <c r="K33" s="40">
        <f t="shared" si="63"/>
        <v>0.71666666666666667</v>
      </c>
      <c r="L33" s="41">
        <f t="shared" si="64"/>
        <v>1980000</v>
      </c>
      <c r="M33" s="41">
        <f>SUMIF('Target Achieved- Input'!$L$2:$L$90,'Incentive Report- Output'!B33,'Target Achieved- Input'!$M$2:$M$90)</f>
        <v>1854207</v>
      </c>
      <c r="N33" s="41">
        <f>SUMIF('Target Achieved- Input'!$S$2:$S$90,'Incentive Report- Output'!B33,'Target Achieved- Input'!$U$2:$U$90)</f>
        <v>0</v>
      </c>
      <c r="O33" s="41">
        <f>SUMIF('Target Achieved- Input'!$L$2:$L$90,'Incentive Report- Output'!B33,'Target Achieved- Input'!$N$2:$N$90)-N33</f>
        <v>1571361.8644067782</v>
      </c>
      <c r="P33" s="40">
        <f t="shared" si="65"/>
        <v>0.79361710323574663</v>
      </c>
      <c r="Q33" s="40">
        <f t="shared" si="71"/>
        <v>0.79361710323574663</v>
      </c>
      <c r="R33" s="40">
        <v>0</v>
      </c>
      <c r="S33" s="49">
        <f>(LOOKUP(Q33,Policy!$L$12:$M$16)+R33)*O33</f>
        <v>7856.8093220338915</v>
      </c>
      <c r="T33" s="185"/>
      <c r="U33" s="156"/>
      <c r="V33" s="50"/>
      <c r="W33" s="156"/>
      <c r="X33" s="397"/>
      <c r="Y33" s="427"/>
      <c r="Z33" s="406"/>
      <c r="AA33" s="55">
        <v>0</v>
      </c>
      <c r="AB33" s="41">
        <v>0</v>
      </c>
      <c r="AC33" s="41">
        <v>0</v>
      </c>
      <c r="AD33" s="41">
        <f t="shared" si="72"/>
        <v>0</v>
      </c>
      <c r="AE33" s="41">
        <f t="shared" si="73"/>
        <v>7856.8093220338915</v>
      </c>
      <c r="AF33" s="41">
        <f t="shared" si="68"/>
        <v>7856.8093220338915</v>
      </c>
      <c r="AG33" s="31"/>
      <c r="AH33" s="419"/>
      <c r="AI33" s="22" t="s">
        <v>804</v>
      </c>
      <c r="AJ33" s="22" t="s">
        <v>805</v>
      </c>
      <c r="AK33" s="195" t="s">
        <v>669</v>
      </c>
      <c r="AL33" s="301">
        <v>7856.8093220338915</v>
      </c>
      <c r="AM33" s="301">
        <f t="shared" ref="AM33:AM35" si="75">AF33</f>
        <v>7856.8093220338915</v>
      </c>
      <c r="AN33" s="302">
        <f t="shared" si="74"/>
        <v>0</v>
      </c>
    </row>
    <row r="34" spans="1:43" ht="15.75" hidden="1" customHeight="1" outlineLevel="1" x14ac:dyDescent="0.2">
      <c r="A34" s="79" t="s">
        <v>313</v>
      </c>
      <c r="B34" s="79" t="s">
        <v>314</v>
      </c>
      <c r="C34" s="79" t="s">
        <v>1</v>
      </c>
      <c r="D34" s="1" t="s">
        <v>669</v>
      </c>
      <c r="E34" s="47">
        <f>ROUND(SUMIF('Target Achieved- Input'!$B$2:$B$90,'Incentive Report- Output'!B34,'Target Achieved- Input'!$G$2:$G$90),0)</f>
        <v>65</v>
      </c>
      <c r="F34" s="47">
        <f>ROUND(SUMIF('Target Achieved- Input'!$B$2:$B$90,'Incentive Report- Output'!B34,'Target Achieved- Input'!$H$2:$H$90),0)</f>
        <v>85</v>
      </c>
      <c r="G34" s="47">
        <f>SUMIF('Target Achieved- Input'!$L$2:$L$90,'Incentive Report- Output'!B34,'Target Achieved- Input'!$O$2:$O$90)</f>
        <v>92</v>
      </c>
      <c r="H34" s="39">
        <f>SUMIF('Target Achieved- Input'!$S$2:$S$90,'Incentive Report- Output'!B34,'Target Achieved- Input'!$V$2:$V$90)</f>
        <v>0</v>
      </c>
      <c r="I34" s="48">
        <f>SUMIF('Target Achieved- Input'!$L$2:$L$90,'Incentive Report- Output'!B34,'Target Achieved- Input'!$AC$2:$AC$90)</f>
        <v>16</v>
      </c>
      <c r="J34" s="39">
        <f t="shared" si="62"/>
        <v>92</v>
      </c>
      <c r="K34" s="40">
        <f t="shared" si="63"/>
        <v>1.4153846153846155</v>
      </c>
      <c r="L34" s="41">
        <f t="shared" si="64"/>
        <v>2145000</v>
      </c>
      <c r="M34" s="41">
        <f>SUMIF('Target Achieved- Input'!$L$2:$L$90,'Incentive Report- Output'!B34,'Target Achieved- Input'!$M$2:$M$90)</f>
        <v>3472358</v>
      </c>
      <c r="N34" s="41">
        <f>SUMIF('Target Achieved- Input'!$S$2:$S$90,'Incentive Report- Output'!B34,'Target Achieved- Input'!$U$2:$U$90)</f>
        <v>0</v>
      </c>
      <c r="O34" s="41">
        <f>SUMIF('Target Achieved- Input'!$L$2:$L$90,'Incentive Report- Output'!B34,'Target Achieved- Input'!$N$2:$N$90)-N34</f>
        <v>2942676.2711864356</v>
      </c>
      <c r="P34" s="40">
        <f t="shared" si="65"/>
        <v>1.3718770495041657</v>
      </c>
      <c r="Q34" s="40">
        <f>P34</f>
        <v>1.3718770495041657</v>
      </c>
      <c r="R34" s="40">
        <v>0</v>
      </c>
      <c r="S34" s="49">
        <f>(LOOKUP(Q34,Policy!$L$12:$M$16)+R34)*O34</f>
        <v>88280.288135593059</v>
      </c>
      <c r="T34" s="185"/>
      <c r="U34" s="156"/>
      <c r="V34" s="50"/>
      <c r="W34" s="156"/>
      <c r="X34" s="397"/>
      <c r="Y34" s="427"/>
      <c r="Z34" s="406"/>
      <c r="AA34" s="55">
        <v>0</v>
      </c>
      <c r="AB34" s="41">
        <v>0</v>
      </c>
      <c r="AC34" s="41">
        <v>0</v>
      </c>
      <c r="AD34" s="41">
        <f t="shared" si="72"/>
        <v>0</v>
      </c>
      <c r="AE34" s="41">
        <f t="shared" si="73"/>
        <v>88280.288135593059</v>
      </c>
      <c r="AF34" s="41">
        <f t="shared" si="68"/>
        <v>88280.288135593059</v>
      </c>
      <c r="AG34" s="31"/>
      <c r="AH34" s="419"/>
      <c r="AI34" s="22" t="s">
        <v>313</v>
      </c>
      <c r="AJ34" s="22" t="s">
        <v>314</v>
      </c>
      <c r="AK34" s="195" t="s">
        <v>669</v>
      </c>
      <c r="AL34" s="299">
        <v>88280.288135593059</v>
      </c>
      <c r="AM34" s="299">
        <f t="shared" si="75"/>
        <v>88280.288135593059</v>
      </c>
      <c r="AN34" s="300">
        <f t="shared" si="74"/>
        <v>0</v>
      </c>
    </row>
    <row r="35" spans="1:43" ht="15.75" hidden="1" customHeight="1" outlineLevel="1" x14ac:dyDescent="0.2">
      <c r="A35" s="79" t="s">
        <v>23</v>
      </c>
      <c r="B35" s="79" t="s">
        <v>24</v>
      </c>
      <c r="C35" s="79" t="s">
        <v>1185</v>
      </c>
      <c r="D35" s="1" t="s">
        <v>669</v>
      </c>
      <c r="E35" s="47">
        <f>ROUND(SUMIF('Target Achieved- Input'!$B$2:$B$90,'Incentive Report- Output'!B35,'Target Achieved- Input'!$G$2:$G$90),0)</f>
        <v>65</v>
      </c>
      <c r="F35" s="47">
        <f>ROUND(SUMIF('Target Achieved- Input'!$B$2:$B$90,'Incentive Report- Output'!B35,'Target Achieved- Input'!$H$2:$H$90),0)</f>
        <v>85</v>
      </c>
      <c r="G35" s="47">
        <f>SUMIF('Target Achieved- Input'!$L$2:$L$90,'Incentive Report- Output'!B35,'Target Achieved- Input'!$O$2:$O$90)</f>
        <v>85</v>
      </c>
      <c r="H35" s="39">
        <f>SUMIF('Target Achieved- Input'!$S$2:$S$90,'Incentive Report- Output'!B35,'Target Achieved- Input'!$V$2:$V$90)</f>
        <v>0</v>
      </c>
      <c r="I35" s="48">
        <f>SUMIF('Target Achieved- Input'!$L$2:$L$90,'Incentive Report- Output'!B35,'Target Achieved- Input'!$AC$2:$AC$90)</f>
        <v>7</v>
      </c>
      <c r="J35" s="39">
        <f t="shared" si="62"/>
        <v>85</v>
      </c>
      <c r="K35" s="40">
        <f t="shared" si="63"/>
        <v>1.3076923076923077</v>
      </c>
      <c r="L35" s="41">
        <f t="shared" si="64"/>
        <v>2145000</v>
      </c>
      <c r="M35" s="41">
        <f>SUMIF('Target Achieved- Input'!$L$2:$L$90,'Incentive Report- Output'!B35,'Target Achieved- Input'!$M$2:$M$90)</f>
        <v>3447765</v>
      </c>
      <c r="N35" s="41">
        <f>SUMIF('Target Achieved- Input'!$S$2:$S$90,'Incentive Report- Output'!B35,'Target Achieved- Input'!$U$2:$U$90)</f>
        <v>0</v>
      </c>
      <c r="O35" s="41">
        <f>SUMIF('Target Achieved- Input'!$L$2:$L$90,'Incentive Report- Output'!B35,'Target Achieved- Input'!$N$2:$N$90)-N35</f>
        <v>2921834.7457627072</v>
      </c>
      <c r="P35" s="40">
        <f t="shared" si="65"/>
        <v>1.3621607206352948</v>
      </c>
      <c r="Q35" s="40">
        <f t="shared" si="71"/>
        <v>1.3621607206352948</v>
      </c>
      <c r="R35" s="40">
        <v>0</v>
      </c>
      <c r="S35" s="49">
        <f>(LOOKUP(Q35,Policy!$L$12:$M$16)+R35)*O35</f>
        <v>87655.042372881217</v>
      </c>
      <c r="T35" s="185">
        <f>L33</f>
        <v>1980000</v>
      </c>
      <c r="U35" s="156">
        <f>O33</f>
        <v>1571361.8644067782</v>
      </c>
      <c r="V35" s="51">
        <f>IFERROR(U35/T35,0)</f>
        <v>0.79361710323574663</v>
      </c>
      <c r="W35" s="156">
        <f>LOOKUP(V35,Policy!$L$18:$M$21)*U35</f>
        <v>0</v>
      </c>
      <c r="X35" s="397"/>
      <c r="Y35" s="427"/>
      <c r="Z35" s="406"/>
      <c r="AA35" s="55">
        <v>0</v>
      </c>
      <c r="AB35" s="41">
        <v>0</v>
      </c>
      <c r="AC35" s="41">
        <v>0</v>
      </c>
      <c r="AD35" s="41">
        <f t="shared" si="72"/>
        <v>0</v>
      </c>
      <c r="AE35" s="41">
        <f t="shared" si="73"/>
        <v>87655.042372881217</v>
      </c>
      <c r="AF35" s="41">
        <f t="shared" si="68"/>
        <v>87655.042372881217</v>
      </c>
      <c r="AG35" s="31"/>
      <c r="AH35" s="419"/>
      <c r="AI35" s="22" t="s">
        <v>23</v>
      </c>
      <c r="AJ35" s="22" t="s">
        <v>24</v>
      </c>
      <c r="AK35" s="195" t="s">
        <v>669</v>
      </c>
      <c r="AL35" s="299">
        <v>87655.042372881217</v>
      </c>
      <c r="AM35" s="299">
        <f t="shared" si="75"/>
        <v>87655.042372881217</v>
      </c>
      <c r="AN35" s="300">
        <f t="shared" si="74"/>
        <v>0</v>
      </c>
    </row>
    <row r="36" spans="1:43" ht="15.75" hidden="1" customHeight="1" outlineLevel="1" x14ac:dyDescent="0.2">
      <c r="A36" s="79" t="s">
        <v>1145</v>
      </c>
      <c r="B36" s="79" t="s">
        <v>1146</v>
      </c>
      <c r="C36" s="79" t="s">
        <v>1</v>
      </c>
      <c r="D36" s="1" t="s">
        <v>669</v>
      </c>
      <c r="E36" s="47">
        <f>ROUND(SUMIF('Target Achieved- Input'!$B$2:$B$90,'Incentive Report- Output'!B36,'Target Achieved- Input'!$G$2:$G$90),0)</f>
        <v>50</v>
      </c>
      <c r="F36" s="47">
        <f>ROUND(SUMIF('Target Achieved- Input'!$B$2:$B$90,'Incentive Report- Output'!B36,'Target Achieved- Input'!$H$2:$H$90),0)</f>
        <v>65</v>
      </c>
      <c r="G36" s="47">
        <f>SUMIF('Target Achieved- Input'!$L$2:$L$90,'Incentive Report- Output'!B36,'Target Achieved- Input'!$O$2:$O$90)</f>
        <v>27</v>
      </c>
      <c r="H36" s="39">
        <f>SUMIF('Target Achieved- Input'!$S$2:$S$90,'Incentive Report- Output'!B36,'Target Achieved- Input'!$V$2:$V$90)</f>
        <v>0</v>
      </c>
      <c r="I36" s="48">
        <f>SUMIF('Target Achieved- Input'!$L$2:$L$90,'Incentive Report- Output'!B36,'Target Achieved- Input'!$AC$2:$AC$90)</f>
        <v>3</v>
      </c>
      <c r="J36" s="39">
        <f t="shared" si="62"/>
        <v>27</v>
      </c>
      <c r="K36" s="40">
        <f t="shared" si="63"/>
        <v>0.54</v>
      </c>
      <c r="L36" s="41">
        <f t="shared" si="64"/>
        <v>1650000</v>
      </c>
      <c r="M36" s="41">
        <f>SUMIF('Target Achieved- Input'!$L$2:$L$90,'Incentive Report- Output'!B36,'Target Achieved- Input'!$M$2:$M$90)</f>
        <v>1043673</v>
      </c>
      <c r="N36" s="41">
        <f>SUMIF('Target Achieved- Input'!$S$2:$S$90,'Incentive Report- Output'!B36,'Target Achieved- Input'!$U$2:$U$90)</f>
        <v>0</v>
      </c>
      <c r="O36" s="41">
        <f>SUMIF('Target Achieved- Input'!$L$2:$L$90,'Incentive Report- Output'!B36,'Target Achieved- Input'!$N$2:$N$90)-N36</f>
        <v>884468.64406779571</v>
      </c>
      <c r="P36" s="40">
        <f t="shared" si="65"/>
        <v>0.53604160246533072</v>
      </c>
      <c r="Q36" s="40">
        <f>P36</f>
        <v>0.53604160246533072</v>
      </c>
      <c r="R36" s="40">
        <v>0</v>
      </c>
      <c r="S36" s="49">
        <f>(LOOKUP(Q36,Policy!$L$12:$M$16)+R36)*O36</f>
        <v>4422.3432203389784</v>
      </c>
      <c r="T36" s="185"/>
      <c r="U36" s="156"/>
      <c r="V36" s="51"/>
      <c r="W36" s="156"/>
      <c r="X36" s="398"/>
      <c r="Y36" s="429"/>
      <c r="Z36" s="408"/>
      <c r="AA36" s="55">
        <v>0</v>
      </c>
      <c r="AB36" s="41">
        <v>0</v>
      </c>
      <c r="AC36" s="41">
        <v>0</v>
      </c>
      <c r="AD36" s="41">
        <f t="shared" si="72"/>
        <v>0</v>
      </c>
      <c r="AE36" s="41">
        <f t="shared" si="73"/>
        <v>4422.3432203389784</v>
      </c>
      <c r="AF36" s="41">
        <f t="shared" si="68"/>
        <v>4422.3432203389784</v>
      </c>
      <c r="AG36" s="31"/>
      <c r="AH36" s="419"/>
      <c r="AI36" s="22" t="s">
        <v>1145</v>
      </c>
      <c r="AJ36" s="22" t="s">
        <v>1146</v>
      </c>
      <c r="AK36" s="195" t="s">
        <v>669</v>
      </c>
      <c r="AL36" s="299">
        <v>4422.3432203389784</v>
      </c>
      <c r="AM36" s="299">
        <f>AF36</f>
        <v>4422.3432203389784</v>
      </c>
      <c r="AN36" s="300">
        <f t="shared" si="74"/>
        <v>0</v>
      </c>
    </row>
    <row r="37" spans="1:43" ht="15.75" hidden="1" customHeight="1" outlineLevel="1" x14ac:dyDescent="0.2">
      <c r="A37" s="109" t="s">
        <v>6</v>
      </c>
      <c r="B37" s="109"/>
      <c r="C37" s="109"/>
      <c r="D37" s="292" t="s">
        <v>669</v>
      </c>
      <c r="E37" s="44">
        <f>SUM(E29:E36)</f>
        <v>455</v>
      </c>
      <c r="F37" s="44">
        <f t="shared" ref="F37:O37" si="76">SUM(F29:F36)</f>
        <v>593</v>
      </c>
      <c r="G37" s="44">
        <f t="shared" si="76"/>
        <v>506</v>
      </c>
      <c r="H37" s="44">
        <f t="shared" si="76"/>
        <v>6</v>
      </c>
      <c r="I37" s="44">
        <f t="shared" si="76"/>
        <v>67</v>
      </c>
      <c r="J37" s="44">
        <f t="shared" si="76"/>
        <v>500</v>
      </c>
      <c r="K37" s="44"/>
      <c r="L37" s="44">
        <f t="shared" si="76"/>
        <v>15015000</v>
      </c>
      <c r="M37" s="44">
        <f t="shared" si="76"/>
        <v>19523194</v>
      </c>
      <c r="N37" s="44">
        <f t="shared" si="76"/>
        <v>106774.57627118636</v>
      </c>
      <c r="O37" s="44">
        <f t="shared" si="76"/>
        <v>16438305.084745737</v>
      </c>
      <c r="P37" s="44"/>
      <c r="Q37" s="44"/>
      <c r="R37" s="44"/>
      <c r="S37" s="44">
        <f t="shared" ref="S37:AF37" si="77">SUM(S29:S36)</f>
        <v>349020.79661016888</v>
      </c>
      <c r="T37" s="44">
        <f t="shared" si="77"/>
        <v>5280000</v>
      </c>
      <c r="U37" s="44">
        <f t="shared" si="77"/>
        <v>3862066.1016949108</v>
      </c>
      <c r="V37" s="44">
        <f t="shared" si="77"/>
        <v>1.4877699024139686</v>
      </c>
      <c r="W37" s="44">
        <f t="shared" si="77"/>
        <v>0</v>
      </c>
      <c r="X37" s="44">
        <f t="shared" si="77"/>
        <v>455</v>
      </c>
      <c r="Y37" s="44">
        <f t="shared" si="77"/>
        <v>500</v>
      </c>
      <c r="Z37" s="44">
        <f t="shared" si="77"/>
        <v>1.098901098901099</v>
      </c>
      <c r="AA37" s="44">
        <f t="shared" si="77"/>
        <v>0</v>
      </c>
      <c r="AB37" s="44">
        <f t="shared" si="77"/>
        <v>0</v>
      </c>
      <c r="AC37" s="44">
        <f t="shared" si="77"/>
        <v>0</v>
      </c>
      <c r="AD37" s="44">
        <f t="shared" si="77"/>
        <v>0</v>
      </c>
      <c r="AE37" s="44">
        <f t="shared" si="77"/>
        <v>349020.79661016888</v>
      </c>
      <c r="AF37" s="44">
        <f t="shared" si="77"/>
        <v>349020.79661016888</v>
      </c>
      <c r="AG37" s="31"/>
      <c r="AH37" s="419"/>
      <c r="AI37" s="43" t="s">
        <v>6</v>
      </c>
      <c r="AJ37" s="43"/>
      <c r="AK37" s="43" t="s">
        <v>669</v>
      </c>
      <c r="AL37" s="306">
        <v>351902.48305084684</v>
      </c>
      <c r="AM37" s="306">
        <f>SUM(AM29:AM36)</f>
        <v>349020.79661016888</v>
      </c>
      <c r="AN37" s="306">
        <f>SUM(AN29:AN36)</f>
        <v>2881.6864406779637</v>
      </c>
    </row>
    <row r="38" spans="1:43" ht="15.75" hidden="1" customHeight="1" outlineLevel="1" x14ac:dyDescent="0.2">
      <c r="A38" s="111" t="s">
        <v>225</v>
      </c>
      <c r="B38" s="79" t="s">
        <v>27</v>
      </c>
      <c r="C38" s="79" t="s">
        <v>1</v>
      </c>
      <c r="D38" s="1" t="s">
        <v>670</v>
      </c>
      <c r="E38" s="47">
        <f>ROUND(SUMIF('Target Achieved- Input'!$B$2:$B$90,'Incentive Report- Output'!B38,'Target Achieved- Input'!$G$2:$G$90),0)</f>
        <v>50</v>
      </c>
      <c r="F38" s="47">
        <f>ROUND(SUMIF('Target Achieved- Input'!$B$2:$B$90,'Incentive Report- Output'!B38,'Target Achieved- Input'!$H$2:$H$90),0)</f>
        <v>65</v>
      </c>
      <c r="G38" s="47">
        <f>SUMIF('Target Achieved- Input'!$L$2:$L$90,'Incentive Report- Output'!B38,'Target Achieved- Input'!$O$2:$O$90)</f>
        <v>46</v>
      </c>
      <c r="H38" s="39">
        <f>SUMIF('Target Achieved- Input'!$S$2:$S$90,'Incentive Report- Output'!B38,'Target Achieved- Input'!$V$2:$V$90)</f>
        <v>0</v>
      </c>
      <c r="I38" s="48">
        <f>SUMIF('Target Achieved- Input'!$L$2:$L$90,'Incentive Report- Output'!B38,'Target Achieved- Input'!$AC$2:$AC$90)</f>
        <v>2</v>
      </c>
      <c r="J38" s="39">
        <f t="shared" ref="J38:J44" si="78">G38-H38</f>
        <v>46</v>
      </c>
      <c r="K38" s="40">
        <f t="shared" ref="K38:K44" si="79">IFERROR(J38/E38,0)</f>
        <v>0.92</v>
      </c>
      <c r="L38" s="41">
        <f t="shared" ref="L38:L44" si="80">E38*33000</f>
        <v>1650000</v>
      </c>
      <c r="M38" s="41">
        <f>SUMIF('Target Achieved- Input'!$L$2:$L$90,'Incentive Report- Output'!B38,'Target Achieved- Input'!$M$2:$M$90)</f>
        <v>2046854</v>
      </c>
      <c r="N38" s="41">
        <f>SUMIF('Target Achieved- Input'!$S$2:$S$90,'Incentive Report- Output'!B38,'Target Achieved- Input'!$U$2:$U$90)</f>
        <v>0</v>
      </c>
      <c r="O38" s="41">
        <f>SUMIF('Target Achieved- Input'!$L$2:$L$90,'Incentive Report- Output'!B38,'Target Achieved- Input'!$N$2:$N$90)-N38</f>
        <v>1734622.0338983033</v>
      </c>
      <c r="P38" s="40">
        <f t="shared" ref="P38:P44" si="81">IFERROR(O38/L38,0)</f>
        <v>1.0512860811504869</v>
      </c>
      <c r="Q38" s="40">
        <f t="shared" ref="Q38:Q44" si="82">MAX(P38,K38)</f>
        <v>1.0512860811504869</v>
      </c>
      <c r="R38" s="40">
        <v>0</v>
      </c>
      <c r="S38" s="49">
        <f>(LOOKUP(Q38,Policy!$L$12:$M$16)+R38)*O38</f>
        <v>39028.99576271182</v>
      </c>
      <c r="T38" s="185"/>
      <c r="U38" s="156"/>
      <c r="V38" s="51"/>
      <c r="W38" s="156"/>
      <c r="X38" s="405"/>
      <c r="Y38" s="405"/>
      <c r="Z38" s="406"/>
      <c r="AA38" s="55">
        <v>0</v>
      </c>
      <c r="AB38" s="41">
        <v>0</v>
      </c>
      <c r="AC38" s="41">
        <v>0</v>
      </c>
      <c r="AD38" s="41">
        <f t="shared" ref="AD38:AD44" si="83">IF(AF38&gt;200000,AF38-200000,0)</f>
        <v>0</v>
      </c>
      <c r="AE38" s="41">
        <f t="shared" ref="AE38:AE44" si="84">AF38-AD38</f>
        <v>39028.99576271182</v>
      </c>
      <c r="AF38" s="41">
        <f t="shared" ref="AF38:AF44" si="85">S38+W38+AB38+AC38</f>
        <v>39028.99576271182</v>
      </c>
      <c r="AG38" s="31"/>
      <c r="AH38" s="419"/>
      <c r="AI38" s="111" t="s">
        <v>225</v>
      </c>
      <c r="AJ38" s="22" t="s">
        <v>27</v>
      </c>
      <c r="AK38" s="195" t="s">
        <v>670</v>
      </c>
      <c r="AL38" s="299">
        <v>39028.99576271182</v>
      </c>
      <c r="AM38" s="299">
        <f t="shared" ref="AM38:AM44" si="86">AF38</f>
        <v>39028.99576271182</v>
      </c>
      <c r="AN38" s="300">
        <f t="shared" ref="AN38:AN44" si="87">AL38-AM38</f>
        <v>0</v>
      </c>
    </row>
    <row r="39" spans="1:43" ht="15.75" hidden="1" customHeight="1" outlineLevel="1" x14ac:dyDescent="0.2">
      <c r="A39" s="111" t="s">
        <v>29</v>
      </c>
      <c r="B39" s="79" t="s">
        <v>30</v>
      </c>
      <c r="C39" s="79" t="s">
        <v>1</v>
      </c>
      <c r="D39" s="1" t="s">
        <v>670</v>
      </c>
      <c r="E39" s="47">
        <f>ROUND(SUMIF('Target Achieved- Input'!$B$2:$B$90,'Incentive Report- Output'!B39,'Target Achieved- Input'!$G$2:$G$90),0)</f>
        <v>60</v>
      </c>
      <c r="F39" s="47">
        <f>ROUND(SUMIF('Target Achieved- Input'!$B$2:$B$90,'Incentive Report- Output'!B39,'Target Achieved- Input'!$H$2:$H$90),0)</f>
        <v>78</v>
      </c>
      <c r="G39" s="47">
        <f>SUMIF('Target Achieved- Input'!$L$2:$L$90,'Incentive Report- Output'!B39,'Target Achieved- Input'!$O$2:$O$90)</f>
        <v>34</v>
      </c>
      <c r="H39" s="39">
        <f>SUMIF('Target Achieved- Input'!$S$2:$S$90,'Incentive Report- Output'!B39,'Target Achieved- Input'!$V$2:$V$90)</f>
        <v>2</v>
      </c>
      <c r="I39" s="48">
        <f>SUMIF('Target Achieved- Input'!$L$2:$L$90,'Incentive Report- Output'!B39,'Target Achieved- Input'!$AC$2:$AC$90)</f>
        <v>8</v>
      </c>
      <c r="J39" s="39">
        <f t="shared" si="78"/>
        <v>32</v>
      </c>
      <c r="K39" s="40">
        <f t="shared" si="79"/>
        <v>0.53333333333333333</v>
      </c>
      <c r="L39" s="41">
        <f t="shared" si="80"/>
        <v>1980000</v>
      </c>
      <c r="M39" s="41">
        <f>SUMIF('Target Achieved- Input'!$L$2:$L$90,'Incentive Report- Output'!B39,'Target Achieved- Input'!$M$2:$M$90)</f>
        <v>1380666</v>
      </c>
      <c r="N39" s="41">
        <f>SUMIF('Target Achieved- Input'!$S$2:$S$90,'Incentive Report- Output'!B39,'Target Achieved- Input'!$U$2:$U$90)</f>
        <v>99150.847457627009</v>
      </c>
      <c r="O39" s="41">
        <f>SUMIF('Target Achieved- Input'!$L$2:$L$90,'Incentive Report- Output'!B39,'Target Achieved- Input'!$N$2:$N$90)-N39</f>
        <v>1070905.0847457615</v>
      </c>
      <c r="P39" s="40">
        <f t="shared" si="81"/>
        <v>0.54086115391200074</v>
      </c>
      <c r="Q39" s="40">
        <f t="shared" si="82"/>
        <v>0.54086115391200074</v>
      </c>
      <c r="R39" s="40">
        <v>0</v>
      </c>
      <c r="S39" s="49">
        <f>(LOOKUP(Q39,Policy!$L$12:$M$16)+R39)*O39</f>
        <v>5354.5254237288073</v>
      </c>
      <c r="T39" s="185"/>
      <c r="U39" s="156"/>
      <c r="V39" s="51"/>
      <c r="W39" s="156"/>
      <c r="X39" s="405"/>
      <c r="Y39" s="405"/>
      <c r="Z39" s="406"/>
      <c r="AA39" s="55">
        <v>0</v>
      </c>
      <c r="AB39" s="41">
        <v>0</v>
      </c>
      <c r="AC39" s="41">
        <v>0</v>
      </c>
      <c r="AD39" s="41">
        <f t="shared" si="83"/>
        <v>0</v>
      </c>
      <c r="AE39" s="41">
        <f t="shared" si="84"/>
        <v>5354.5254237288073</v>
      </c>
      <c r="AF39" s="41">
        <f t="shared" si="85"/>
        <v>5354.5254237288073</v>
      </c>
      <c r="AG39" s="31"/>
      <c r="AH39" s="419"/>
      <c r="AI39" s="111" t="s">
        <v>29</v>
      </c>
      <c r="AJ39" s="22" t="s">
        <v>30</v>
      </c>
      <c r="AK39" s="195" t="s">
        <v>670</v>
      </c>
      <c r="AL39" s="299">
        <v>5850.2796610169426</v>
      </c>
      <c r="AM39" s="299">
        <f t="shared" si="86"/>
        <v>5354.5254237288073</v>
      </c>
      <c r="AN39" s="300">
        <f t="shared" si="87"/>
        <v>495.7542372881353</v>
      </c>
    </row>
    <row r="40" spans="1:43" ht="15.75" hidden="1" customHeight="1" outlineLevel="1" x14ac:dyDescent="0.2">
      <c r="A40" s="111" t="s">
        <v>244</v>
      </c>
      <c r="B40" s="79" t="s">
        <v>245</v>
      </c>
      <c r="C40" s="79" t="s">
        <v>1</v>
      </c>
      <c r="D40" s="1" t="s">
        <v>670</v>
      </c>
      <c r="E40" s="47">
        <f>ROUND(SUMIF('Target Achieved- Input'!$B$2:$B$90,'Incentive Report- Output'!B40,'Target Achieved- Input'!$G$2:$G$90),0)</f>
        <v>60</v>
      </c>
      <c r="F40" s="47">
        <f>ROUND(SUMIF('Target Achieved- Input'!$B$2:$B$90,'Incentive Report- Output'!B40,'Target Achieved- Input'!$H$2:$H$90),0)</f>
        <v>78</v>
      </c>
      <c r="G40" s="47">
        <f>SUMIF('Target Achieved- Input'!$L$2:$L$90,'Incentive Report- Output'!B40,'Target Achieved- Input'!$O$2:$O$90)</f>
        <v>25</v>
      </c>
      <c r="H40" s="39">
        <f>SUMIF('Target Achieved- Input'!$S$2:$S$90,'Incentive Report- Output'!B40,'Target Achieved- Input'!$V$2:$V$90)</f>
        <v>0</v>
      </c>
      <c r="I40" s="48">
        <f>SUMIF('Target Achieved- Input'!$L$2:$L$90,'Incentive Report- Output'!B40,'Target Achieved- Input'!$AC$2:$AC$90)</f>
        <v>6</v>
      </c>
      <c r="J40" s="39">
        <f t="shared" si="78"/>
        <v>25</v>
      </c>
      <c r="K40" s="40">
        <f t="shared" si="79"/>
        <v>0.41666666666666669</v>
      </c>
      <c r="L40" s="41">
        <f t="shared" si="80"/>
        <v>1980000</v>
      </c>
      <c r="M40" s="41">
        <f>SUMIF('Target Achieved- Input'!$L$2:$L$90,'Incentive Report- Output'!B40,'Target Achieved- Input'!$M$2:$M$90)</f>
        <v>895175</v>
      </c>
      <c r="N40" s="41">
        <f>SUMIF('Target Achieved- Input'!$S$2:$S$90,'Incentive Report- Output'!B40,'Target Achieved- Input'!$U$2:$U$90)</f>
        <v>0</v>
      </c>
      <c r="O40" s="41">
        <f>SUMIF('Target Achieved- Input'!$L$2:$L$90,'Incentive Report- Output'!B40,'Target Achieved- Input'!$N$2:$N$90)-N40</f>
        <v>758622.88135593117</v>
      </c>
      <c r="P40" s="40">
        <f t="shared" si="81"/>
        <v>0.3831428693716824</v>
      </c>
      <c r="Q40" s="40">
        <f>P40</f>
        <v>0.3831428693716824</v>
      </c>
      <c r="R40" s="40">
        <v>0</v>
      </c>
      <c r="S40" s="49">
        <f>(LOOKUP(Q40,Policy!$L$12:$M$16)+R40)*O40</f>
        <v>0</v>
      </c>
      <c r="T40" s="185"/>
      <c r="U40" s="156"/>
      <c r="V40" s="51"/>
      <c r="W40" s="156"/>
      <c r="X40" s="405"/>
      <c r="Y40" s="405"/>
      <c r="Z40" s="406"/>
      <c r="AA40" s="55">
        <v>0</v>
      </c>
      <c r="AB40" s="41">
        <v>0</v>
      </c>
      <c r="AC40" s="41">
        <v>0</v>
      </c>
      <c r="AD40" s="41">
        <f t="shared" si="83"/>
        <v>0</v>
      </c>
      <c r="AE40" s="41">
        <f t="shared" si="84"/>
        <v>0</v>
      </c>
      <c r="AF40" s="41">
        <f t="shared" si="85"/>
        <v>0</v>
      </c>
      <c r="AG40" s="31"/>
      <c r="AH40" s="419"/>
      <c r="AI40" s="111" t="s">
        <v>244</v>
      </c>
      <c r="AJ40" s="22" t="s">
        <v>245</v>
      </c>
      <c r="AK40" s="195" t="s">
        <v>670</v>
      </c>
      <c r="AL40" s="299">
        <v>0</v>
      </c>
      <c r="AM40" s="299">
        <f t="shared" si="86"/>
        <v>0</v>
      </c>
      <c r="AN40" s="300">
        <f t="shared" si="87"/>
        <v>0</v>
      </c>
    </row>
    <row r="41" spans="1:43" ht="15.75" hidden="1" customHeight="1" outlineLevel="1" x14ac:dyDescent="0.2">
      <c r="A41" s="111" t="s">
        <v>20</v>
      </c>
      <c r="B41" s="79" t="s">
        <v>21</v>
      </c>
      <c r="C41" s="79" t="s">
        <v>1</v>
      </c>
      <c r="D41" s="1" t="s">
        <v>670</v>
      </c>
      <c r="E41" s="47">
        <f>ROUND(SUMIF('Target Achieved- Input'!$B$2:$B$90,'Incentive Report- Output'!B41,'Target Achieved- Input'!$G$2:$G$90),0)</f>
        <v>60</v>
      </c>
      <c r="F41" s="47">
        <f>ROUND(SUMIF('Target Achieved- Input'!$B$2:$B$90,'Incentive Report- Output'!B41,'Target Achieved- Input'!$H$2:$H$90),0)</f>
        <v>78</v>
      </c>
      <c r="G41" s="47">
        <f>SUMIF('Target Achieved- Input'!$L$2:$L$90,'Incentive Report- Output'!B41,'Target Achieved- Input'!$O$2:$O$90)</f>
        <v>64</v>
      </c>
      <c r="H41" s="39">
        <f>SUMIF('Target Achieved- Input'!$S$2:$S$90,'Incentive Report- Output'!B41,'Target Achieved- Input'!$V$2:$V$90)</f>
        <v>3</v>
      </c>
      <c r="I41" s="48">
        <f>SUMIF('Target Achieved- Input'!$L$2:$L$90,'Incentive Report- Output'!B41,'Target Achieved- Input'!$AC$2:$AC$90)</f>
        <v>8</v>
      </c>
      <c r="J41" s="39">
        <f t="shared" si="78"/>
        <v>61</v>
      </c>
      <c r="K41" s="40">
        <f t="shared" si="79"/>
        <v>1.0166666666666666</v>
      </c>
      <c r="L41" s="41">
        <f t="shared" si="80"/>
        <v>1980000</v>
      </c>
      <c r="M41" s="41">
        <f>SUMIF('Target Achieved- Input'!$L$2:$L$90,'Incentive Report- Output'!B41,'Target Achieved- Input'!$M$2:$M$90)</f>
        <v>2690736</v>
      </c>
      <c r="N41" s="41">
        <f>SUMIF('Target Achieved- Input'!$S$2:$S$90,'Incentive Report- Output'!B41,'Target Achieved- Input'!$U$2:$U$90)</f>
        <v>116946.61016949135</v>
      </c>
      <c r="O41" s="41">
        <f>SUMIF('Target Achieved- Input'!$L$2:$L$90,'Incentive Report- Output'!B41,'Target Achieved- Input'!$N$2:$N$90)-N41</f>
        <v>2163338.1355932183</v>
      </c>
      <c r="P41" s="40">
        <f t="shared" si="81"/>
        <v>1.0925950179763728</v>
      </c>
      <c r="Q41" s="40">
        <f t="shared" si="82"/>
        <v>1.0925950179763728</v>
      </c>
      <c r="R41" s="40">
        <v>0</v>
      </c>
      <c r="S41" s="49">
        <f>(LOOKUP(Q41,Policy!$L$12:$M$16)+R41)*O41</f>
        <v>48675.108050847412</v>
      </c>
      <c r="T41" s="185"/>
      <c r="U41" s="156"/>
      <c r="V41" s="51"/>
      <c r="W41" s="156"/>
      <c r="X41" s="405"/>
      <c r="Y41" s="405"/>
      <c r="Z41" s="406"/>
      <c r="AA41" s="55">
        <v>0</v>
      </c>
      <c r="AB41" s="41">
        <v>0</v>
      </c>
      <c r="AC41" s="41">
        <v>0</v>
      </c>
      <c r="AD41" s="41">
        <f t="shared" si="83"/>
        <v>0</v>
      </c>
      <c r="AE41" s="41">
        <f t="shared" si="84"/>
        <v>48675.108050847412</v>
      </c>
      <c r="AF41" s="41">
        <f t="shared" si="85"/>
        <v>48675.108050847412</v>
      </c>
      <c r="AG41" s="31"/>
      <c r="AH41" s="419"/>
      <c r="AI41" s="111" t="s">
        <v>20</v>
      </c>
      <c r="AJ41" s="22" t="s">
        <v>21</v>
      </c>
      <c r="AK41" s="195" t="s">
        <v>670</v>
      </c>
      <c r="AL41" s="299">
        <v>51306.40677966096</v>
      </c>
      <c r="AM41" s="299">
        <f t="shared" si="86"/>
        <v>48675.108050847412</v>
      </c>
      <c r="AN41" s="300">
        <f t="shared" si="87"/>
        <v>2631.2987288135482</v>
      </c>
    </row>
    <row r="42" spans="1:43" ht="15.75" hidden="1" customHeight="1" outlineLevel="1" x14ac:dyDescent="0.2">
      <c r="A42" s="111" t="s">
        <v>699</v>
      </c>
      <c r="B42" s="79" t="s">
        <v>700</v>
      </c>
      <c r="C42" s="79" t="s">
        <v>1</v>
      </c>
      <c r="D42" s="1" t="s">
        <v>670</v>
      </c>
      <c r="E42" s="47">
        <f>ROUND(SUMIF('Target Achieved- Input'!$B$2:$B$90,'Incentive Report- Output'!B42,'Target Achieved- Input'!$G$2:$G$90),0)</f>
        <v>70</v>
      </c>
      <c r="F42" s="47">
        <f>ROUND(SUMIF('Target Achieved- Input'!$B$2:$B$90,'Incentive Report- Output'!B42,'Target Achieved- Input'!$H$2:$H$90),0)</f>
        <v>91</v>
      </c>
      <c r="G42" s="47">
        <f>SUMIF('Target Achieved- Input'!$L$2:$L$90,'Incentive Report- Output'!B42,'Target Achieved- Input'!$O$2:$O$90)</f>
        <v>114</v>
      </c>
      <c r="H42" s="39">
        <f>SUMIF('Target Achieved- Input'!$S$2:$S$90,'Incentive Report- Output'!B42,'Target Achieved- Input'!$V$2:$V$90)</f>
        <v>0</v>
      </c>
      <c r="I42" s="48">
        <f>SUMIF('Target Achieved- Input'!$L$2:$L$90,'Incentive Report- Output'!B42,'Target Achieved- Input'!$AC$2:$AC$90)</f>
        <v>8</v>
      </c>
      <c r="J42" s="39">
        <f t="shared" si="78"/>
        <v>114</v>
      </c>
      <c r="K42" s="40">
        <f t="shared" si="79"/>
        <v>1.6285714285714286</v>
      </c>
      <c r="L42" s="41">
        <f t="shared" si="80"/>
        <v>2310000</v>
      </c>
      <c r="M42" s="41">
        <f>SUMIF('Target Achieved- Input'!$L$2:$L$90,'Incentive Report- Output'!B42,'Target Achieved- Input'!$M$2:$M$90)</f>
        <v>5457486</v>
      </c>
      <c r="N42" s="41">
        <f>SUMIF('Target Achieved- Input'!$S$2:$S$90,'Incentive Report- Output'!B42,'Target Achieved- Input'!$U$2:$U$90)</f>
        <v>0</v>
      </c>
      <c r="O42" s="41">
        <f>SUMIF('Target Achieved- Input'!$L$2:$L$90,'Incentive Report- Output'!B42,'Target Achieved- Input'!$N$2:$N$90)-N42</f>
        <v>4624988.1355932103</v>
      </c>
      <c r="P42" s="40">
        <f t="shared" si="81"/>
        <v>2.0021593660576666</v>
      </c>
      <c r="Q42" s="40">
        <f t="shared" si="82"/>
        <v>2.0021593660576666</v>
      </c>
      <c r="R42" s="40">
        <v>0</v>
      </c>
      <c r="S42" s="49">
        <f>(LOOKUP(Q42,Policy!$L$12:$M$16)+R42)*O42</f>
        <v>138749.6440677963</v>
      </c>
      <c r="T42" s="185"/>
      <c r="U42" s="156"/>
      <c r="V42" s="51"/>
      <c r="W42" s="156"/>
      <c r="X42" s="405"/>
      <c r="Y42" s="405"/>
      <c r="Z42" s="406"/>
      <c r="AA42" s="55">
        <v>0</v>
      </c>
      <c r="AB42" s="41">
        <v>0</v>
      </c>
      <c r="AC42" s="41">
        <v>0</v>
      </c>
      <c r="AD42" s="41">
        <f t="shared" si="83"/>
        <v>0</v>
      </c>
      <c r="AE42" s="41">
        <f t="shared" si="84"/>
        <v>138749.6440677963</v>
      </c>
      <c r="AF42" s="41">
        <f t="shared" si="85"/>
        <v>138749.6440677963</v>
      </c>
      <c r="AG42" s="31"/>
      <c r="AH42" s="419"/>
      <c r="AI42" s="111" t="s">
        <v>699</v>
      </c>
      <c r="AJ42" s="22" t="s">
        <v>700</v>
      </c>
      <c r="AK42" s="195" t="s">
        <v>670</v>
      </c>
      <c r="AL42" s="299">
        <v>138749.6440677963</v>
      </c>
      <c r="AM42" s="299">
        <f t="shared" si="86"/>
        <v>138749.6440677963</v>
      </c>
      <c r="AN42" s="300">
        <f t="shared" si="87"/>
        <v>0</v>
      </c>
    </row>
    <row r="43" spans="1:43" ht="15.75" hidden="1" customHeight="1" outlineLevel="1" x14ac:dyDescent="0.2">
      <c r="A43" s="111" t="s">
        <v>222</v>
      </c>
      <c r="B43" s="79" t="s">
        <v>223</v>
      </c>
      <c r="C43" s="79" t="s">
        <v>1</v>
      </c>
      <c r="D43" s="1" t="s">
        <v>670</v>
      </c>
      <c r="E43" s="47">
        <f>ROUND(SUMIF('Target Achieved- Input'!$B$2:$B$90,'Incentive Report- Output'!B43,'Target Achieved- Input'!$G$2:$G$90),0)</f>
        <v>65</v>
      </c>
      <c r="F43" s="47">
        <f>ROUND(SUMIF('Target Achieved- Input'!$B$2:$B$90,'Incentive Report- Output'!B43,'Target Achieved- Input'!$H$2:$H$90),0)</f>
        <v>85</v>
      </c>
      <c r="G43" s="47">
        <f>SUMIF('Target Achieved- Input'!$L$2:$L$90,'Incentive Report- Output'!B43,'Target Achieved- Input'!$O$2:$O$90)</f>
        <v>25</v>
      </c>
      <c r="H43" s="39">
        <f>SUMIF('Target Achieved- Input'!$S$2:$S$90,'Incentive Report- Output'!B43,'Target Achieved- Input'!$V$2:$V$90)</f>
        <v>1</v>
      </c>
      <c r="I43" s="48">
        <f>SUMIF('Target Achieved- Input'!$L$2:$L$90,'Incentive Report- Output'!B43,'Target Achieved- Input'!$AC$2:$AC$90)</f>
        <v>3</v>
      </c>
      <c r="J43" s="39">
        <f t="shared" si="78"/>
        <v>24</v>
      </c>
      <c r="K43" s="40">
        <f t="shared" si="79"/>
        <v>0.36923076923076925</v>
      </c>
      <c r="L43" s="41">
        <f t="shared" si="80"/>
        <v>2145000</v>
      </c>
      <c r="M43" s="41">
        <f>SUMIF('Target Achieved- Input'!$L$2:$L$90,'Incentive Report- Output'!B43,'Target Achieved- Input'!$M$2:$M$90)</f>
        <v>1057425</v>
      </c>
      <c r="N43" s="41">
        <f>SUMIF('Target Achieved- Input'!$S$2:$S$90,'Incentive Report- Output'!B43,'Target Achieved- Input'!$U$2:$U$90)</f>
        <v>43219.491525423698</v>
      </c>
      <c r="O43" s="41">
        <f>SUMIF('Target Achieved- Input'!$L$2:$L$90,'Incentive Report- Output'!B43,'Target Achieved- Input'!$N$2:$N$90)-N43</f>
        <v>852903.38983050745</v>
      </c>
      <c r="P43" s="40">
        <f t="shared" si="81"/>
        <v>0.39762395796294053</v>
      </c>
      <c r="Q43" s="40">
        <f t="shared" si="82"/>
        <v>0.39762395796294053</v>
      </c>
      <c r="R43" s="40">
        <v>0</v>
      </c>
      <c r="S43" s="49">
        <f>(LOOKUP(Q43,Policy!$L$12:$M$16)+R43)*O43</f>
        <v>0</v>
      </c>
      <c r="T43" s="185"/>
      <c r="U43" s="156"/>
      <c r="V43" s="51"/>
      <c r="W43" s="156"/>
      <c r="X43" s="405"/>
      <c r="Y43" s="405"/>
      <c r="Z43" s="406"/>
      <c r="AA43" s="55">
        <v>0</v>
      </c>
      <c r="AB43" s="41">
        <v>0</v>
      </c>
      <c r="AC43" s="41">
        <v>0</v>
      </c>
      <c r="AD43" s="41">
        <f t="shared" si="83"/>
        <v>0</v>
      </c>
      <c r="AE43" s="41">
        <f t="shared" si="84"/>
        <v>0</v>
      </c>
      <c r="AF43" s="41">
        <f t="shared" si="85"/>
        <v>0</v>
      </c>
      <c r="AG43" s="31"/>
      <c r="AH43" s="419"/>
      <c r="AI43" s="111" t="s">
        <v>222</v>
      </c>
      <c r="AJ43" s="22" t="s">
        <v>223</v>
      </c>
      <c r="AK43" s="195" t="s">
        <v>670</v>
      </c>
      <c r="AL43" s="301">
        <v>0</v>
      </c>
      <c r="AM43" s="301">
        <f t="shared" si="86"/>
        <v>0</v>
      </c>
      <c r="AN43" s="302">
        <f t="shared" si="87"/>
        <v>0</v>
      </c>
    </row>
    <row r="44" spans="1:43" ht="15.75" hidden="1" customHeight="1" outlineLevel="1" x14ac:dyDescent="0.2">
      <c r="A44" s="111" t="s">
        <v>70</v>
      </c>
      <c r="B44" s="79" t="s">
        <v>34</v>
      </c>
      <c r="C44" s="79" t="s">
        <v>1</v>
      </c>
      <c r="D44" s="1" t="s">
        <v>670</v>
      </c>
      <c r="E44" s="47">
        <f>ROUND(SUMIF('Target Achieved- Input'!$B$2:$B$90,'Incentive Report- Output'!B44,'Target Achieved- Input'!$G$2:$G$90),0)</f>
        <v>50</v>
      </c>
      <c r="F44" s="47">
        <f>ROUND(SUMIF('Target Achieved- Input'!$B$2:$B$90,'Incentive Report- Output'!B44,'Target Achieved- Input'!$H$2:$H$90),0)</f>
        <v>65</v>
      </c>
      <c r="G44" s="47">
        <f>SUMIF('Target Achieved- Input'!$L$2:$L$90,'Incentive Report- Output'!B44,'Target Achieved- Input'!$O$2:$O$90)</f>
        <v>12</v>
      </c>
      <c r="H44" s="39">
        <f>SUMIF('Target Achieved- Input'!$S$2:$S$90,'Incentive Report- Output'!B44,'Target Achieved- Input'!$V$2:$V$90)</f>
        <v>4</v>
      </c>
      <c r="I44" s="48">
        <f>SUMIF('Target Achieved- Input'!$L$2:$L$90,'Incentive Report- Output'!B44,'Target Achieved- Input'!$AC$2:$AC$90)</f>
        <v>0</v>
      </c>
      <c r="J44" s="39">
        <f t="shared" si="78"/>
        <v>8</v>
      </c>
      <c r="K44" s="40">
        <f t="shared" si="79"/>
        <v>0.16</v>
      </c>
      <c r="L44" s="41">
        <f t="shared" si="80"/>
        <v>1650000</v>
      </c>
      <c r="M44" s="41">
        <f>SUMIF('Target Achieved- Input'!$L$2:$L$90,'Incentive Report- Output'!B44,'Target Achieved- Input'!$M$2:$M$90)</f>
        <v>674588</v>
      </c>
      <c r="N44" s="41">
        <f>SUMIF('Target Achieved- Input'!$S$2:$S$90,'Incentive Report- Output'!B44,'Target Achieved- Input'!$U$2:$U$90)</f>
        <v>149657.62711864381</v>
      </c>
      <c r="O44" s="41">
        <f>SUMIF('Target Achieved- Input'!$L$2:$L$90,'Incentive Report- Output'!B44,'Target Achieved- Input'!$N$2:$N$90)-N44</f>
        <v>422027.1186440672</v>
      </c>
      <c r="P44" s="40">
        <f t="shared" si="81"/>
        <v>0.25577401129943467</v>
      </c>
      <c r="Q44" s="40">
        <f t="shared" si="82"/>
        <v>0.25577401129943467</v>
      </c>
      <c r="R44" s="40">
        <v>0</v>
      </c>
      <c r="S44" s="49">
        <f>(LOOKUP(Q44,Policy!$L$12:$M$16)+R44)*O44</f>
        <v>0</v>
      </c>
      <c r="T44" s="185"/>
      <c r="U44" s="156"/>
      <c r="V44" s="51"/>
      <c r="W44" s="156"/>
      <c r="X44" s="405"/>
      <c r="Y44" s="405"/>
      <c r="Z44" s="406"/>
      <c r="AA44" s="55">
        <v>0</v>
      </c>
      <c r="AB44" s="41">
        <v>0</v>
      </c>
      <c r="AC44" s="41">
        <v>0</v>
      </c>
      <c r="AD44" s="41">
        <f t="shared" si="83"/>
        <v>0</v>
      </c>
      <c r="AE44" s="41">
        <f t="shared" si="84"/>
        <v>0</v>
      </c>
      <c r="AF44" s="41">
        <f t="shared" si="85"/>
        <v>0</v>
      </c>
      <c r="AG44" s="31"/>
      <c r="AH44" s="419"/>
      <c r="AI44" s="111" t="s">
        <v>70</v>
      </c>
      <c r="AJ44" s="22" t="s">
        <v>34</v>
      </c>
      <c r="AK44" s="195" t="s">
        <v>670</v>
      </c>
      <c r="AL44" s="299">
        <v>0</v>
      </c>
      <c r="AM44" s="299">
        <f t="shared" si="86"/>
        <v>0</v>
      </c>
      <c r="AN44" s="300">
        <f t="shared" si="87"/>
        <v>0</v>
      </c>
    </row>
    <row r="45" spans="1:43" ht="15.75" hidden="1" customHeight="1" outlineLevel="1" x14ac:dyDescent="0.2">
      <c r="A45" s="109" t="s">
        <v>6</v>
      </c>
      <c r="B45" s="109"/>
      <c r="C45" s="109"/>
      <c r="D45" s="292" t="s">
        <v>670</v>
      </c>
      <c r="E45" s="44">
        <f t="shared" ref="E45:J45" si="88">SUM(E38:E44)</f>
        <v>415</v>
      </c>
      <c r="F45" s="44">
        <f t="shared" si="88"/>
        <v>540</v>
      </c>
      <c r="G45" s="44">
        <f t="shared" si="88"/>
        <v>320</v>
      </c>
      <c r="H45" s="44">
        <f t="shared" si="88"/>
        <v>10</v>
      </c>
      <c r="I45" s="44">
        <f t="shared" si="88"/>
        <v>35</v>
      </c>
      <c r="J45" s="44">
        <f t="shared" si="88"/>
        <v>310</v>
      </c>
      <c r="K45" s="45"/>
      <c r="L45" s="44">
        <f>SUM(L38:L44)</f>
        <v>13695000</v>
      </c>
      <c r="M45" s="44">
        <f>SUM(M38:M44)</f>
        <v>14202930</v>
      </c>
      <c r="N45" s="44">
        <f>SUM(N38:N44)</f>
        <v>408974.57627118588</v>
      </c>
      <c r="O45" s="44">
        <f>SUM(O38:O44)</f>
        <v>11627406.779661</v>
      </c>
      <c r="P45" s="46"/>
      <c r="Q45" s="45"/>
      <c r="R45" s="45"/>
      <c r="S45" s="44">
        <f t="shared" ref="S45:AF45" si="89">SUM(S38:S44)</f>
        <v>231808.27330508432</v>
      </c>
      <c r="T45" s="190">
        <f t="shared" si="89"/>
        <v>0</v>
      </c>
      <c r="U45" s="190">
        <f t="shared" si="89"/>
        <v>0</v>
      </c>
      <c r="V45" s="88">
        <f t="shared" si="89"/>
        <v>0</v>
      </c>
      <c r="W45" s="190">
        <f t="shared" si="89"/>
        <v>0</v>
      </c>
      <c r="X45" s="88">
        <f t="shared" si="89"/>
        <v>0</v>
      </c>
      <c r="Y45" s="88">
        <f t="shared" si="89"/>
        <v>0</v>
      </c>
      <c r="Z45" s="54">
        <f t="shared" si="89"/>
        <v>0</v>
      </c>
      <c r="AA45" s="88">
        <f t="shared" si="89"/>
        <v>0</v>
      </c>
      <c r="AB45" s="88">
        <f t="shared" si="89"/>
        <v>0</v>
      </c>
      <c r="AC45" s="88">
        <f t="shared" si="89"/>
        <v>0</v>
      </c>
      <c r="AD45" s="88">
        <f t="shared" si="89"/>
        <v>0</v>
      </c>
      <c r="AE45" s="88">
        <f t="shared" si="89"/>
        <v>231808.27330508432</v>
      </c>
      <c r="AF45" s="88">
        <f t="shared" si="89"/>
        <v>231808.27330508432</v>
      </c>
      <c r="AG45" s="31"/>
      <c r="AH45" s="419"/>
      <c r="AI45" s="43" t="s">
        <v>6</v>
      </c>
      <c r="AJ45" s="43"/>
      <c r="AK45" s="43" t="s">
        <v>670</v>
      </c>
      <c r="AL45" s="307">
        <v>234935.326271186</v>
      </c>
      <c r="AM45" s="307">
        <f>SUM(AM38:AM44)</f>
        <v>231808.27330508432</v>
      </c>
      <c r="AN45" s="307">
        <f>SUM(AN38:AN44)</f>
        <v>3127.0529661016835</v>
      </c>
    </row>
    <row r="46" spans="1:43" ht="15.75" hidden="1" customHeight="1" outlineLevel="1" x14ac:dyDescent="0.2">
      <c r="A46" s="112" t="s">
        <v>63</v>
      </c>
      <c r="B46" s="112" t="s">
        <v>64</v>
      </c>
      <c r="C46" s="79" t="s">
        <v>0</v>
      </c>
      <c r="D46" s="1" t="s">
        <v>672</v>
      </c>
      <c r="E46" s="47">
        <f>ROUND(SUMIF('Target Achieved- Input'!$B$2:$B$90,'Incentive Report- Output'!B46,'Target Achieved- Input'!$G$2:$G$90),0)</f>
        <v>60</v>
      </c>
      <c r="F46" s="47">
        <f>ROUND(SUMIF('Target Achieved- Input'!$B$2:$B$90,'Incentive Report- Output'!B46,'Target Achieved- Input'!$H$2:$H$90),0)</f>
        <v>78</v>
      </c>
      <c r="G46" s="47">
        <f>SUMIF('Target Achieved- Input'!$L$2:$L$90,'Incentive Report- Output'!B46,'Target Achieved- Input'!$O$2:$O$90)</f>
        <v>46</v>
      </c>
      <c r="H46" s="39">
        <f>SUMIF('Target Achieved- Input'!$S$2:$S$90,'Incentive Report- Output'!B46,'Target Achieved- Input'!$V$2:$V$90)</f>
        <v>12</v>
      </c>
      <c r="I46" s="48">
        <f>SUMIF('Target Achieved- Input'!$L$2:$L$90,'Incentive Report- Output'!B46,'Target Achieved- Input'!$AC$2:$AC$90)</f>
        <v>2</v>
      </c>
      <c r="J46" s="39">
        <f t="shared" ref="J46:J49" si="90">G46-H46</f>
        <v>34</v>
      </c>
      <c r="K46" s="40">
        <f t="shared" ref="K46:K49" si="91">IFERROR(J46/E46,0)</f>
        <v>0.56666666666666665</v>
      </c>
      <c r="L46" s="41">
        <f t="shared" ref="L46:L49" si="92">E46*33000</f>
        <v>1980000</v>
      </c>
      <c r="M46" s="41">
        <f>SUMIF('Target Achieved- Input'!$L$2:$L$90,'Incentive Report- Output'!B46,'Target Achieved- Input'!$M$2:$M$90)</f>
        <v>1990654</v>
      </c>
      <c r="N46" s="41">
        <f>SUMIF('Target Achieved- Input'!$S$2:$S$90,'Incentive Report- Output'!B46,'Target Achieved- Input'!$U$2:$U$90)</f>
        <v>548972.8813559314</v>
      </c>
      <c r="O46" s="41">
        <f>SUMIF('Target Achieved- Input'!$L$2:$L$90,'Incentive Report- Output'!B46,'Target Achieved- Input'!$N$2:$N$90)-N46</f>
        <v>1138022.0338983033</v>
      </c>
      <c r="P46" s="40">
        <f t="shared" ref="P46:P49" si="93">IFERROR(O46/L46,0)</f>
        <v>0.5747586029789411</v>
      </c>
      <c r="Q46" s="40">
        <f t="shared" ref="Q46:Q49" si="94">MAX(P46,K46)</f>
        <v>0.5747586029789411</v>
      </c>
      <c r="R46" s="40">
        <v>0</v>
      </c>
      <c r="S46" s="49">
        <f>(LOOKUP(Q46,Policy!$L$12:$M$16)+R46)*O46</f>
        <v>5690.1101694915169</v>
      </c>
      <c r="T46" s="188"/>
      <c r="U46" s="53"/>
      <c r="V46" s="40"/>
      <c r="W46" s="53"/>
      <c r="X46" s="396">
        <f>E50</f>
        <v>225</v>
      </c>
      <c r="Y46" s="396">
        <f>J50</f>
        <v>157</v>
      </c>
      <c r="Z46" s="407">
        <f>Y46/X46</f>
        <v>0.69777777777777783</v>
      </c>
      <c r="AA46" s="55">
        <v>0</v>
      </c>
      <c r="AB46" s="41">
        <v>0</v>
      </c>
      <c r="AC46" s="41">
        <v>0</v>
      </c>
      <c r="AD46" s="41">
        <f t="shared" ref="AD46" si="95">IF(AF46&gt;200000,AF46-200000,0)</f>
        <v>0</v>
      </c>
      <c r="AE46" s="41">
        <f t="shared" ref="AE46" si="96">AF46-AD46</f>
        <v>5690.1101694915169</v>
      </c>
      <c r="AF46" s="41">
        <f>S46+W46+AB46+AC46</f>
        <v>5690.1101694915169</v>
      </c>
      <c r="AG46" s="31"/>
      <c r="AH46" s="419"/>
      <c r="AI46" s="1" t="s">
        <v>63</v>
      </c>
      <c r="AJ46" s="1" t="s">
        <v>64</v>
      </c>
      <c r="AK46" s="195" t="s">
        <v>672</v>
      </c>
      <c r="AL46" s="299">
        <v>16869.949152542347</v>
      </c>
      <c r="AM46" s="299">
        <f t="shared" ref="AM46" si="97">AF46</f>
        <v>5690.1101694915169</v>
      </c>
      <c r="AN46" s="300">
        <f t="shared" ref="AN46" si="98">AL46-AM46</f>
        <v>11179.838983050831</v>
      </c>
      <c r="AQ46" s="172"/>
    </row>
    <row r="47" spans="1:43" ht="15.75" hidden="1" customHeight="1" outlineLevel="1" x14ac:dyDescent="0.2">
      <c r="A47" s="79" t="s">
        <v>806</v>
      </c>
      <c r="B47" s="79" t="s">
        <v>807</v>
      </c>
      <c r="C47" s="79" t="s">
        <v>1</v>
      </c>
      <c r="D47" s="1" t="s">
        <v>672</v>
      </c>
      <c r="E47" s="47">
        <f>ROUND(SUMIF('Target Achieved- Input'!$B$2:$B$90,'Incentive Report- Output'!B47,'Target Achieved- Input'!$G$2:$G$90),0)</f>
        <v>60</v>
      </c>
      <c r="F47" s="47">
        <f>ROUND(SUMIF('Target Achieved- Input'!$B$2:$B$90,'Incentive Report- Output'!B47,'Target Achieved- Input'!$H$2:$H$90),0)</f>
        <v>78</v>
      </c>
      <c r="G47" s="47">
        <f>SUMIF('Target Achieved- Input'!$L$2:$L$90,'Incentive Report- Output'!B47,'Target Achieved- Input'!$O$2:$O$90)</f>
        <v>67</v>
      </c>
      <c r="H47" s="39">
        <f>SUMIF('Target Achieved- Input'!$S$2:$S$90,'Incentive Report- Output'!B47,'Target Achieved- Input'!$V$2:$V$90)</f>
        <v>0</v>
      </c>
      <c r="I47" s="48">
        <f>SUMIF('Target Achieved- Input'!$L$2:$L$90,'Incentive Report- Output'!B47,'Target Achieved- Input'!$AC$2:$AC$90)</f>
        <v>2</v>
      </c>
      <c r="J47" s="39">
        <f t="shared" si="90"/>
        <v>67</v>
      </c>
      <c r="K47" s="40">
        <f t="shared" si="91"/>
        <v>1.1166666666666667</v>
      </c>
      <c r="L47" s="41">
        <f t="shared" si="92"/>
        <v>1980000</v>
      </c>
      <c r="M47" s="41">
        <f>SUMIF('Target Achieved- Input'!$L$2:$L$90,'Incentive Report- Output'!B47,'Target Achieved- Input'!$M$2:$M$90)</f>
        <v>3667233</v>
      </c>
      <c r="N47" s="41">
        <f>SUMIF('Target Achieved- Input'!$S$2:$S$90,'Incentive Report- Output'!B47,'Target Achieved- Input'!$U$2:$U$90)</f>
        <v>0</v>
      </c>
      <c r="O47" s="41">
        <f>SUMIF('Target Achieved- Input'!$L$2:$L$90,'Incentive Report- Output'!B47,'Target Achieved- Input'!$N$2:$N$90)-N47</f>
        <v>3107824.5762711801</v>
      </c>
      <c r="P47" s="40">
        <f t="shared" si="93"/>
        <v>1.5696083718541314</v>
      </c>
      <c r="Q47" s="40">
        <f t="shared" si="94"/>
        <v>1.5696083718541314</v>
      </c>
      <c r="R47" s="40">
        <v>0</v>
      </c>
      <c r="S47" s="49">
        <f>(LOOKUP(Q47,Policy!$L$12:$M$16)+R47)*O47</f>
        <v>93234.737288135395</v>
      </c>
      <c r="T47" s="188"/>
      <c r="U47" s="53"/>
      <c r="V47" s="40"/>
      <c r="W47" s="53"/>
      <c r="X47" s="397"/>
      <c r="Y47" s="397"/>
      <c r="Z47" s="406"/>
      <c r="AA47" s="55">
        <v>0</v>
      </c>
      <c r="AB47" s="41">
        <v>0</v>
      </c>
      <c r="AC47" s="41">
        <v>0</v>
      </c>
      <c r="AD47" s="41">
        <f t="shared" ref="AD47:AD49" si="99">IF(AF47&gt;200000,AF47-200000,0)</f>
        <v>0</v>
      </c>
      <c r="AE47" s="41">
        <f t="shared" ref="AE47:AE49" si="100">AF47-AD47</f>
        <v>93234.737288135395</v>
      </c>
      <c r="AF47" s="41">
        <f>S47+W47+AB47+AC47</f>
        <v>93234.737288135395</v>
      </c>
      <c r="AG47" s="31"/>
      <c r="AH47" s="419"/>
      <c r="AI47" s="22" t="s">
        <v>806</v>
      </c>
      <c r="AJ47" s="22" t="s">
        <v>807</v>
      </c>
      <c r="AK47" s="195" t="s">
        <v>672</v>
      </c>
      <c r="AL47" s="299">
        <v>93234.737288135395</v>
      </c>
      <c r="AM47" s="299">
        <f t="shared" ref="AM47:AM49" si="101">AF47</f>
        <v>93234.737288135395</v>
      </c>
      <c r="AN47" s="300">
        <f t="shared" ref="AN47:AN49" si="102">AL47-AM47</f>
        <v>0</v>
      </c>
    </row>
    <row r="48" spans="1:43" ht="15.75" hidden="1" customHeight="1" outlineLevel="1" x14ac:dyDescent="0.2">
      <c r="A48" s="112" t="s">
        <v>301</v>
      </c>
      <c r="B48" s="112" t="s">
        <v>302</v>
      </c>
      <c r="C48" s="79" t="s">
        <v>1</v>
      </c>
      <c r="D48" s="1" t="s">
        <v>672</v>
      </c>
      <c r="E48" s="47">
        <f>ROUND(SUMIF('Target Achieved- Input'!$B$2:$B$90,'Incentive Report- Output'!B48,'Target Achieved- Input'!$G$2:$G$90),0)</f>
        <v>70</v>
      </c>
      <c r="F48" s="47">
        <f>ROUND(SUMIF('Target Achieved- Input'!$B$2:$B$90,'Incentive Report- Output'!B48,'Target Achieved- Input'!$H$2:$H$90),0)</f>
        <v>91</v>
      </c>
      <c r="G48" s="47">
        <f>SUMIF('Target Achieved- Input'!$L$2:$L$90,'Incentive Report- Output'!B48,'Target Achieved- Input'!$O$2:$O$90)</f>
        <v>27</v>
      </c>
      <c r="H48" s="39">
        <f>SUMIF('Target Achieved- Input'!$S$2:$S$90,'Incentive Report- Output'!B48,'Target Achieved- Input'!$V$2:$V$90)</f>
        <v>0</v>
      </c>
      <c r="I48" s="48">
        <f>SUMIF('Target Achieved- Input'!$L$2:$L$90,'Incentive Report- Output'!B48,'Target Achieved- Input'!$AC$2:$AC$90)</f>
        <v>2</v>
      </c>
      <c r="J48" s="39">
        <f t="shared" si="90"/>
        <v>27</v>
      </c>
      <c r="K48" s="40">
        <f t="shared" si="91"/>
        <v>0.38571428571428573</v>
      </c>
      <c r="L48" s="41">
        <f t="shared" si="92"/>
        <v>2310000</v>
      </c>
      <c r="M48" s="41">
        <f>SUMIF('Target Achieved- Input'!$L$2:$L$90,'Incentive Report- Output'!B48,'Target Achieved- Input'!$M$2:$M$90)</f>
        <v>997473</v>
      </c>
      <c r="N48" s="41">
        <f>SUMIF('Target Achieved- Input'!$S$2:$S$90,'Incentive Report- Output'!B48,'Target Achieved- Input'!$U$2:$U$90)</f>
        <v>0</v>
      </c>
      <c r="O48" s="41">
        <f>SUMIF('Target Achieved- Input'!$L$2:$L$90,'Incentive Report- Output'!B48,'Target Achieved- Input'!$N$2:$N$90)-N48</f>
        <v>845316.10169491381</v>
      </c>
      <c r="P48" s="40">
        <f t="shared" si="93"/>
        <v>0.36593770636143458</v>
      </c>
      <c r="Q48" s="40">
        <f>P48</f>
        <v>0.36593770636143458</v>
      </c>
      <c r="R48" s="40">
        <v>0</v>
      </c>
      <c r="S48" s="49">
        <f>(LOOKUP(Q48,Policy!$L$12:$M$16)+R48)*O48</f>
        <v>0</v>
      </c>
      <c r="T48" s="188"/>
      <c r="U48" s="188"/>
      <c r="V48" s="40"/>
      <c r="W48" s="53"/>
      <c r="X48" s="397"/>
      <c r="Y48" s="397"/>
      <c r="Z48" s="406"/>
      <c r="AA48" s="55">
        <v>0</v>
      </c>
      <c r="AB48" s="41">
        <v>0</v>
      </c>
      <c r="AC48" s="41">
        <v>0</v>
      </c>
      <c r="AD48" s="41">
        <f t="shared" si="99"/>
        <v>0</v>
      </c>
      <c r="AE48" s="41">
        <f t="shared" si="100"/>
        <v>0</v>
      </c>
      <c r="AF48" s="41">
        <f>S48+W48+AB48+AC48</f>
        <v>0</v>
      </c>
      <c r="AG48" s="31"/>
      <c r="AH48" s="419"/>
      <c r="AI48" s="1" t="s">
        <v>301</v>
      </c>
      <c r="AJ48" s="1" t="s">
        <v>302</v>
      </c>
      <c r="AK48" s="195" t="s">
        <v>672</v>
      </c>
      <c r="AL48" s="299">
        <v>0</v>
      </c>
      <c r="AM48" s="299">
        <f t="shared" si="101"/>
        <v>0</v>
      </c>
      <c r="AN48" s="300">
        <f t="shared" si="102"/>
        <v>0</v>
      </c>
    </row>
    <row r="49" spans="1:42" ht="15.75" hidden="1" customHeight="1" outlineLevel="1" x14ac:dyDescent="0.2">
      <c r="A49" s="112" t="s">
        <v>1150</v>
      </c>
      <c r="B49" s="112" t="s">
        <v>1151</v>
      </c>
      <c r="C49" s="79" t="s">
        <v>1</v>
      </c>
      <c r="D49" s="1" t="s">
        <v>672</v>
      </c>
      <c r="E49" s="47">
        <f>ROUND(SUMIF('Target Achieved- Input'!$B$2:$B$90,'Incentive Report- Output'!B49,'Target Achieved- Input'!$G$2:$G$90),0)</f>
        <v>35</v>
      </c>
      <c r="F49" s="47">
        <f>ROUND(SUMIF('Target Achieved- Input'!$B$2:$B$90,'Incentive Report- Output'!B49,'Target Achieved- Input'!$H$2:$H$90),0)</f>
        <v>46</v>
      </c>
      <c r="G49" s="47">
        <f>SUMIF('Target Achieved- Input'!$L$2:$L$90,'Incentive Report- Output'!B49,'Target Achieved- Input'!$O$2:$O$90)</f>
        <v>37</v>
      </c>
      <c r="H49" s="39">
        <f>SUMIF('Target Achieved- Input'!$S$2:$S$90,'Incentive Report- Output'!B49,'Target Achieved- Input'!$V$2:$V$90)</f>
        <v>8</v>
      </c>
      <c r="I49" s="48">
        <f>SUMIF('Target Achieved- Input'!$L$2:$L$90,'Incentive Report- Output'!B49,'Target Achieved- Input'!$AC$2:$AC$90)</f>
        <v>0</v>
      </c>
      <c r="J49" s="39">
        <f t="shared" si="90"/>
        <v>29</v>
      </c>
      <c r="K49" s="40">
        <f t="shared" si="91"/>
        <v>0.82857142857142863</v>
      </c>
      <c r="L49" s="41">
        <f t="shared" si="92"/>
        <v>1155000</v>
      </c>
      <c r="M49" s="41">
        <f>SUMIF('Target Achieved- Input'!$L$2:$L$90,'Incentive Report- Output'!B49,'Target Achieved- Input'!$M$2:$M$90)</f>
        <v>1667513</v>
      </c>
      <c r="N49" s="41">
        <f>SUMIF('Target Achieved- Input'!$S$2:$S$90,'Incentive Report- Output'!B49,'Target Achieved- Input'!$U$2:$U$90)</f>
        <v>333891.5254237284</v>
      </c>
      <c r="O49" s="41">
        <f>SUMIF('Target Achieved- Input'!$L$2:$L$90,'Incentive Report- Output'!B49,'Target Achieved- Input'!$N$2:$N$90)-N49</f>
        <v>1079255.0847457615</v>
      </c>
      <c r="P49" s="40">
        <f t="shared" si="93"/>
        <v>0.93441998679286709</v>
      </c>
      <c r="Q49" s="40">
        <f t="shared" si="94"/>
        <v>0.93441998679286709</v>
      </c>
      <c r="R49" s="40">
        <v>0</v>
      </c>
      <c r="S49" s="49">
        <f>(LOOKUP(Q49,Policy!$L$12:$M$16)+R49)*O49</f>
        <v>10792.550847457615</v>
      </c>
      <c r="T49" s="186"/>
      <c r="U49" s="186"/>
      <c r="V49" s="51"/>
      <c r="W49" s="156"/>
      <c r="X49" s="398"/>
      <c r="Y49" s="398"/>
      <c r="Z49" s="408"/>
      <c r="AA49" s="55">
        <v>0</v>
      </c>
      <c r="AB49" s="41">
        <v>0</v>
      </c>
      <c r="AC49" s="41">
        <v>0</v>
      </c>
      <c r="AD49" s="41">
        <f t="shared" si="99"/>
        <v>0</v>
      </c>
      <c r="AE49" s="41">
        <f t="shared" si="100"/>
        <v>10792.550847457615</v>
      </c>
      <c r="AF49" s="41">
        <f>S49+W49+AB49+AC49</f>
        <v>10792.550847457615</v>
      </c>
      <c r="AG49" s="31"/>
      <c r="AH49" s="419"/>
      <c r="AI49" s="1" t="s">
        <v>1150</v>
      </c>
      <c r="AJ49" s="1" t="s">
        <v>1151</v>
      </c>
      <c r="AK49" s="195" t="s">
        <v>672</v>
      </c>
      <c r="AL49" s="299">
        <v>31795.798728813519</v>
      </c>
      <c r="AM49" s="299">
        <f t="shared" si="101"/>
        <v>10792.550847457615</v>
      </c>
      <c r="AN49" s="300">
        <f t="shared" si="102"/>
        <v>21003.247881355906</v>
      </c>
    </row>
    <row r="50" spans="1:42" ht="15.75" hidden="1" customHeight="1" outlineLevel="1" x14ac:dyDescent="0.2">
      <c r="A50" s="109" t="s">
        <v>6</v>
      </c>
      <c r="B50" s="109"/>
      <c r="C50" s="109"/>
      <c r="D50" s="292" t="s">
        <v>672</v>
      </c>
      <c r="E50" s="44">
        <f>SUM(E46:E49)</f>
        <v>225</v>
      </c>
      <c r="F50" s="44">
        <f t="shared" ref="F50:O50" si="103">SUM(F46:F49)</f>
        <v>293</v>
      </c>
      <c r="G50" s="44">
        <f t="shared" si="103"/>
        <v>177</v>
      </c>
      <c r="H50" s="44">
        <f t="shared" si="103"/>
        <v>20</v>
      </c>
      <c r="I50" s="44">
        <f t="shared" si="103"/>
        <v>6</v>
      </c>
      <c r="J50" s="44">
        <f t="shared" si="103"/>
        <v>157</v>
      </c>
      <c r="K50" s="44"/>
      <c r="L50" s="44">
        <f t="shared" si="103"/>
        <v>7425000</v>
      </c>
      <c r="M50" s="44">
        <f t="shared" si="103"/>
        <v>8322873</v>
      </c>
      <c r="N50" s="44">
        <f t="shared" si="103"/>
        <v>882864.4067796598</v>
      </c>
      <c r="O50" s="44">
        <f t="shared" si="103"/>
        <v>6170417.7966101579</v>
      </c>
      <c r="P50" s="45"/>
      <c r="Q50" s="46"/>
      <c r="R50" s="46"/>
      <c r="S50" s="44">
        <f t="shared" ref="S50:AF50" si="104">SUM(S46:S49)</f>
        <v>109717.39830508453</v>
      </c>
      <c r="T50" s="44">
        <f t="shared" si="104"/>
        <v>0</v>
      </c>
      <c r="U50" s="44">
        <f t="shared" si="104"/>
        <v>0</v>
      </c>
      <c r="V50" s="44">
        <f t="shared" si="104"/>
        <v>0</v>
      </c>
      <c r="W50" s="44">
        <f t="shared" si="104"/>
        <v>0</v>
      </c>
      <c r="X50" s="44">
        <f t="shared" si="104"/>
        <v>225</v>
      </c>
      <c r="Y50" s="44">
        <f t="shared" si="104"/>
        <v>157</v>
      </c>
      <c r="Z50" s="44">
        <f t="shared" si="104"/>
        <v>0.69777777777777783</v>
      </c>
      <c r="AA50" s="44">
        <f t="shared" si="104"/>
        <v>0</v>
      </c>
      <c r="AB50" s="44">
        <f t="shared" si="104"/>
        <v>0</v>
      </c>
      <c r="AC50" s="44">
        <f t="shared" si="104"/>
        <v>0</v>
      </c>
      <c r="AD50" s="44">
        <f t="shared" si="104"/>
        <v>0</v>
      </c>
      <c r="AE50" s="44">
        <f t="shared" si="104"/>
        <v>109717.39830508453</v>
      </c>
      <c r="AF50" s="44">
        <f t="shared" si="104"/>
        <v>109717.39830508453</v>
      </c>
      <c r="AG50" s="31"/>
      <c r="AH50" s="419"/>
      <c r="AI50" s="43" t="s">
        <v>6</v>
      </c>
      <c r="AJ50" s="43"/>
      <c r="AK50" s="43" t="s">
        <v>672</v>
      </c>
      <c r="AL50" s="304">
        <v>141900.48516949126</v>
      </c>
      <c r="AM50" s="304">
        <f>SUM(AM46:AM49)</f>
        <v>109717.39830508453</v>
      </c>
      <c r="AN50" s="304">
        <f>SUM(AN46:AN49)</f>
        <v>32183.086864406738</v>
      </c>
    </row>
    <row r="51" spans="1:42" ht="15.75" hidden="1" customHeight="1" outlineLevel="1" x14ac:dyDescent="0.2">
      <c r="A51" s="79" t="s">
        <v>307</v>
      </c>
      <c r="B51" s="112" t="s">
        <v>308</v>
      </c>
      <c r="C51" s="79" t="s">
        <v>0</v>
      </c>
      <c r="D51" s="1" t="s">
        <v>673</v>
      </c>
      <c r="E51" s="47">
        <f>ROUND(SUMIF('Target Achieved- Input'!$B$2:$B$90,'Incentive Report- Output'!B51,'Target Achieved- Input'!$G$2:$G$90),0)</f>
        <v>70</v>
      </c>
      <c r="F51" s="47">
        <f>ROUND(SUMIF('Target Achieved- Input'!$B$2:$B$90,'Incentive Report- Output'!B51,'Target Achieved- Input'!$H$2:$H$90),0)</f>
        <v>91</v>
      </c>
      <c r="G51" s="47">
        <f>SUMIF('Target Achieved- Input'!$L$2:$L$90,'Incentive Report- Output'!B51,'Target Achieved- Input'!$O$2:$O$90)</f>
        <v>24</v>
      </c>
      <c r="H51" s="39">
        <f>SUMIF('Target Achieved- Input'!$S$2:$S$90,'Incentive Report- Output'!B51,'Target Achieved- Input'!$V$2:$V$90)</f>
        <v>7</v>
      </c>
      <c r="I51" s="48">
        <f>SUMIF('Target Achieved- Input'!$L$2:$L$90,'Incentive Report- Output'!B51,'Target Achieved- Input'!$AC$2:$AC$90)</f>
        <v>1</v>
      </c>
      <c r="J51" s="39">
        <f t="shared" ref="J51:J54" si="105">G51-H51</f>
        <v>17</v>
      </c>
      <c r="K51" s="40">
        <f t="shared" ref="K51:K54" si="106">IFERROR(J51/E51,0)</f>
        <v>0.24285714285714285</v>
      </c>
      <c r="L51" s="41">
        <f t="shared" ref="L51:L54" si="107">E51*33000</f>
        <v>2310000</v>
      </c>
      <c r="M51" s="41">
        <f>SUMIF('Target Achieved- Input'!$L$2:$L$90,'Incentive Report- Output'!B51,'Target Achieved- Input'!$M$2:$M$90)</f>
        <v>1100626</v>
      </c>
      <c r="N51" s="41">
        <f>SUMIF('Target Achieved- Input'!$S$2:$S$90,'Incentive Report- Output'!B51,'Target Achieved- Input'!$U$2:$U$90)</f>
        <v>279019.49152542331</v>
      </c>
      <c r="O51" s="41">
        <f>SUMIF('Target Achieved- Input'!$L$2:$L$90,'Incentive Report- Output'!B51,'Target Achieved- Input'!$N$2:$N$90)-N51</f>
        <v>653714.40677966014</v>
      </c>
      <c r="P51" s="40">
        <f t="shared" ref="P51:P54" si="108">IFERROR(O51/L51,0)</f>
        <v>0.28299324968816458</v>
      </c>
      <c r="Q51" s="40">
        <f t="shared" ref="Q51:Q54" si="109">MAX(P51,K51)</f>
        <v>0.28299324968816458</v>
      </c>
      <c r="R51" s="40">
        <v>0</v>
      </c>
      <c r="S51" s="49">
        <f>(LOOKUP(Q51,Policy!$L$12:$M$16)+R51)*O51</f>
        <v>0</v>
      </c>
      <c r="T51" s="185"/>
      <c r="U51" s="185"/>
      <c r="V51" s="51"/>
      <c r="W51" s="156"/>
      <c r="X51" s="397"/>
      <c r="Y51" s="397"/>
      <c r="Z51" s="400"/>
      <c r="AA51" s="55">
        <v>0</v>
      </c>
      <c r="AB51" s="41">
        <v>0</v>
      </c>
      <c r="AC51" s="41">
        <v>0</v>
      </c>
      <c r="AD51" s="41">
        <f t="shared" ref="AD51:AD54" si="110">IF(AF51&gt;200000,AF51-200000,0)</f>
        <v>0</v>
      </c>
      <c r="AE51" s="41">
        <f t="shared" ref="AE51:AE54" si="111">AF51-AD51</f>
        <v>0</v>
      </c>
      <c r="AF51" s="41">
        <f>S51+W51+AB51+AC51</f>
        <v>0</v>
      </c>
      <c r="AG51" s="31"/>
      <c r="AH51" s="419"/>
      <c r="AI51" s="22" t="s">
        <v>307</v>
      </c>
      <c r="AJ51" s="1" t="s">
        <v>308</v>
      </c>
      <c r="AK51" s="195" t="s">
        <v>673</v>
      </c>
      <c r="AL51" s="299">
        <v>0</v>
      </c>
      <c r="AM51" s="299">
        <f t="shared" ref="AM51:AM54" si="112">AF51</f>
        <v>0</v>
      </c>
      <c r="AN51" s="300">
        <f t="shared" ref="AN51:AN54" si="113">AL51-AM51</f>
        <v>0</v>
      </c>
    </row>
    <row r="52" spans="1:42" ht="15.75" hidden="1" customHeight="1" outlineLevel="1" x14ac:dyDescent="0.2">
      <c r="A52" s="79" t="s">
        <v>217</v>
      </c>
      <c r="B52" s="112" t="s">
        <v>197</v>
      </c>
      <c r="C52" s="79" t="s">
        <v>1</v>
      </c>
      <c r="D52" s="1" t="s">
        <v>673</v>
      </c>
      <c r="E52" s="47">
        <f>ROUND(SUMIF('Target Achieved- Input'!$B$2:$B$90,'Incentive Report- Output'!B52,'Target Achieved- Input'!$G$2:$G$90),0)</f>
        <v>70</v>
      </c>
      <c r="F52" s="47">
        <f>ROUND(SUMIF('Target Achieved- Input'!$B$2:$B$90,'Incentive Report- Output'!B52,'Target Achieved- Input'!$H$2:$H$90),0)</f>
        <v>91</v>
      </c>
      <c r="G52" s="47">
        <f>SUMIF('Target Achieved- Input'!$L$2:$L$90,'Incentive Report- Output'!B52,'Target Achieved- Input'!$O$2:$O$90)</f>
        <v>23</v>
      </c>
      <c r="H52" s="39">
        <f>SUMIF('Target Achieved- Input'!$S$2:$S$90,'Incentive Report- Output'!B52,'Target Achieved- Input'!$V$2:$V$90)</f>
        <v>16</v>
      </c>
      <c r="I52" s="48">
        <f>SUMIF('Target Achieved- Input'!$L$2:$L$90,'Incentive Report- Output'!B52,'Target Achieved- Input'!$AC$2:$AC$90)</f>
        <v>2</v>
      </c>
      <c r="J52" s="39">
        <f t="shared" si="105"/>
        <v>7</v>
      </c>
      <c r="K52" s="40">
        <f t="shared" si="106"/>
        <v>0.1</v>
      </c>
      <c r="L52" s="41">
        <f t="shared" si="107"/>
        <v>2310000</v>
      </c>
      <c r="M52" s="41">
        <f>SUMIF('Target Achieved- Input'!$L$2:$L$90,'Incentive Report- Output'!B52,'Target Achieved- Input'!$M$2:$M$90)</f>
        <v>929977</v>
      </c>
      <c r="N52" s="41">
        <f>SUMIF('Target Achieved- Input'!$S$2:$S$90,'Incentive Report- Output'!B52,'Target Achieved- Input'!$U$2:$U$90)</f>
        <v>550833.89830508409</v>
      </c>
      <c r="O52" s="41">
        <f>SUMIF('Target Achieved- Input'!$L$2:$L$90,'Incentive Report- Output'!B52,'Target Achieved- Input'!$N$2:$N$90)-N52</f>
        <v>237282.20338983007</v>
      </c>
      <c r="P52" s="40">
        <f t="shared" si="108"/>
        <v>0.10271956856702601</v>
      </c>
      <c r="Q52" s="40">
        <f t="shared" si="109"/>
        <v>0.10271956856702601</v>
      </c>
      <c r="R52" s="40">
        <v>0</v>
      </c>
      <c r="S52" s="49">
        <f>(LOOKUP(Q52,Policy!$L$12:$M$16)+R52)*O52</f>
        <v>0</v>
      </c>
      <c r="T52" s="185"/>
      <c r="U52" s="156"/>
      <c r="V52" s="51"/>
      <c r="W52" s="156"/>
      <c r="X52" s="397"/>
      <c r="Y52" s="397"/>
      <c r="Z52" s="400"/>
      <c r="AA52" s="55">
        <v>0</v>
      </c>
      <c r="AB52" s="41">
        <v>0</v>
      </c>
      <c r="AC52" s="41">
        <v>0</v>
      </c>
      <c r="AD52" s="41">
        <f t="shared" si="110"/>
        <v>0</v>
      </c>
      <c r="AE52" s="41">
        <f t="shared" si="111"/>
        <v>0</v>
      </c>
      <c r="AF52" s="41">
        <f>S52+W52+AB52+AC52</f>
        <v>0</v>
      </c>
      <c r="AG52" s="31"/>
      <c r="AH52" s="419"/>
      <c r="AI52" s="22" t="s">
        <v>217</v>
      </c>
      <c r="AJ52" s="1" t="s">
        <v>197</v>
      </c>
      <c r="AK52" s="195" t="s">
        <v>673</v>
      </c>
      <c r="AL52" s="299">
        <v>0</v>
      </c>
      <c r="AM52" s="299">
        <f t="shared" si="112"/>
        <v>0</v>
      </c>
      <c r="AN52" s="300">
        <f t="shared" si="113"/>
        <v>0</v>
      </c>
    </row>
    <row r="53" spans="1:42" ht="15.75" hidden="1" customHeight="1" outlineLevel="1" x14ac:dyDescent="0.2">
      <c r="A53" s="79" t="s">
        <v>1152</v>
      </c>
      <c r="B53" s="112" t="s">
        <v>1153</v>
      </c>
      <c r="C53" s="79" t="s">
        <v>1</v>
      </c>
      <c r="D53" s="1" t="s">
        <v>673</v>
      </c>
      <c r="E53" s="47">
        <f>ROUND(SUMIF('Target Achieved- Input'!$B$2:$B$90,'Incentive Report- Output'!B53,'Target Achieved- Input'!$G$2:$G$90),0)</f>
        <v>46</v>
      </c>
      <c r="F53" s="47">
        <f>ROUND(SUMIF('Target Achieved- Input'!$B$2:$B$90,'Incentive Report- Output'!B53,'Target Achieved- Input'!$H$2:$H$90),0)</f>
        <v>60</v>
      </c>
      <c r="G53" s="47">
        <f>SUMIF('Target Achieved- Input'!$L$2:$L$90,'Incentive Report- Output'!B53,'Target Achieved- Input'!$O$2:$O$90)</f>
        <v>32</v>
      </c>
      <c r="H53" s="39">
        <f>SUMIF('Target Achieved- Input'!$S$2:$S$90,'Incentive Report- Output'!B53,'Target Achieved- Input'!$V$2:$V$90)</f>
        <v>6</v>
      </c>
      <c r="I53" s="48">
        <f>SUMIF('Target Achieved- Input'!$L$2:$L$90,'Incentive Report- Output'!B53,'Target Achieved- Input'!$AC$2:$AC$90)</f>
        <v>4</v>
      </c>
      <c r="J53" s="39">
        <f t="shared" si="105"/>
        <v>26</v>
      </c>
      <c r="K53" s="40">
        <f t="shared" si="106"/>
        <v>0.56521739130434778</v>
      </c>
      <c r="L53" s="41">
        <f t="shared" si="107"/>
        <v>1518000</v>
      </c>
      <c r="M53" s="41">
        <f>SUMIF('Target Achieved- Input'!$L$2:$L$90,'Incentive Report- Output'!B53,'Target Achieved- Input'!$M$2:$M$90)</f>
        <v>1590718</v>
      </c>
      <c r="N53" s="41">
        <f>SUMIF('Target Achieved- Input'!$S$2:$S$90,'Incentive Report- Output'!B53,'Target Achieved- Input'!$U$2:$U$90)</f>
        <v>296605.08474576229</v>
      </c>
      <c r="O53" s="41">
        <f>SUMIF('Target Achieved- Input'!$L$2:$L$90,'Incentive Report- Output'!B53,'Target Achieved- Input'!$N$2:$N$90)-N53</f>
        <v>1051461.0169491516</v>
      </c>
      <c r="P53" s="40">
        <f t="shared" si="108"/>
        <v>0.69266206650141737</v>
      </c>
      <c r="Q53" s="40">
        <f t="shared" si="109"/>
        <v>0.69266206650141737</v>
      </c>
      <c r="R53" s="40">
        <v>0</v>
      </c>
      <c r="S53" s="49">
        <f>(LOOKUP(Q53,Policy!$L$12:$M$16)+R53)*O53</f>
        <v>5257.305084745758</v>
      </c>
      <c r="T53" s="185"/>
      <c r="U53" s="156"/>
      <c r="V53" s="51"/>
      <c r="W53" s="156"/>
      <c r="X53" s="397"/>
      <c r="Y53" s="397"/>
      <c r="Z53" s="400"/>
      <c r="AA53" s="55">
        <v>0</v>
      </c>
      <c r="AB53" s="41">
        <v>0</v>
      </c>
      <c r="AC53" s="41">
        <v>0</v>
      </c>
      <c r="AD53" s="41">
        <f t="shared" si="110"/>
        <v>0</v>
      </c>
      <c r="AE53" s="41">
        <f t="shared" si="111"/>
        <v>5257.305084745758</v>
      </c>
      <c r="AF53" s="41">
        <f>S53+W53+AB53+AC53</f>
        <v>5257.305084745758</v>
      </c>
      <c r="AG53" s="31"/>
      <c r="AH53" s="419"/>
      <c r="AI53" s="22" t="s">
        <v>1152</v>
      </c>
      <c r="AJ53" s="1" t="s">
        <v>1153</v>
      </c>
      <c r="AK53" s="195" t="s">
        <v>673</v>
      </c>
      <c r="AL53" s="299">
        <v>13480.661016949141</v>
      </c>
      <c r="AM53" s="299">
        <f t="shared" si="112"/>
        <v>5257.305084745758</v>
      </c>
      <c r="AN53" s="300">
        <f t="shared" si="113"/>
        <v>8223.3559322033834</v>
      </c>
    </row>
    <row r="54" spans="1:42" ht="15.75" hidden="1" customHeight="1" outlineLevel="1" x14ac:dyDescent="0.2">
      <c r="A54" s="79" t="s">
        <v>335</v>
      </c>
      <c r="B54" s="112" t="s">
        <v>342</v>
      </c>
      <c r="C54" s="79" t="s">
        <v>1</v>
      </c>
      <c r="D54" s="1" t="s">
        <v>673</v>
      </c>
      <c r="E54" s="47">
        <f>ROUND(SUMIF('Target Achieved- Input'!$B$2:$B$90,'Incentive Report- Output'!B54,'Target Achieved- Input'!$G$2:$G$90),0)</f>
        <v>70</v>
      </c>
      <c r="F54" s="47">
        <f>ROUND(SUMIF('Target Achieved- Input'!$B$2:$B$90,'Incentive Report- Output'!B54,'Target Achieved- Input'!$H$2:$H$90),0)</f>
        <v>91</v>
      </c>
      <c r="G54" s="47">
        <f>SUMIF('Target Achieved- Input'!$L$2:$L$90,'Incentive Report- Output'!B54,'Target Achieved- Input'!$O$2:$O$90)</f>
        <v>45</v>
      </c>
      <c r="H54" s="39">
        <f>SUMIF('Target Achieved- Input'!$S$2:$S$90,'Incentive Report- Output'!B54,'Target Achieved- Input'!$V$2:$V$90)</f>
        <v>21</v>
      </c>
      <c r="I54" s="48">
        <f>SUMIF('Target Achieved- Input'!$L$2:$L$90,'Incentive Report- Output'!B54,'Target Achieved- Input'!$AC$2:$AC$90)</f>
        <v>3</v>
      </c>
      <c r="J54" s="39">
        <f t="shared" si="105"/>
        <v>24</v>
      </c>
      <c r="K54" s="40">
        <f t="shared" si="106"/>
        <v>0.34285714285714286</v>
      </c>
      <c r="L54" s="41">
        <f t="shared" si="107"/>
        <v>2310000</v>
      </c>
      <c r="M54" s="41">
        <f>SUMIF('Target Achieved- Input'!$L$2:$L$90,'Incentive Report- Output'!B54,'Target Achieved- Input'!$M$2:$M$90)</f>
        <v>2056855</v>
      </c>
      <c r="N54" s="41">
        <f>SUMIF('Target Achieved- Input'!$S$2:$S$90,'Incentive Report- Output'!B54,'Target Achieved- Input'!$U$2:$U$90)</f>
        <v>812651.69491525344</v>
      </c>
      <c r="O54" s="41">
        <f>SUMIF('Target Achieved- Input'!$L$2:$L$90,'Incentive Report- Output'!B54,'Target Achieved- Input'!$N$2:$N$90)-N54</f>
        <v>930445.7627118635</v>
      </c>
      <c r="P54" s="40">
        <f t="shared" si="108"/>
        <v>0.40279037346833918</v>
      </c>
      <c r="Q54" s="40">
        <f t="shared" si="109"/>
        <v>0.40279037346833918</v>
      </c>
      <c r="R54" s="40">
        <v>0</v>
      </c>
      <c r="S54" s="49">
        <f>(LOOKUP(Q54,Policy!$L$12:$M$16)+R54)*O54</f>
        <v>0</v>
      </c>
      <c r="T54" s="185"/>
      <c r="U54" s="156"/>
      <c r="V54" s="51"/>
      <c r="W54" s="156"/>
      <c r="X54" s="397"/>
      <c r="Y54" s="397"/>
      <c r="Z54" s="400"/>
      <c r="AA54" s="55">
        <v>0</v>
      </c>
      <c r="AB54" s="41">
        <v>0</v>
      </c>
      <c r="AC54" s="41">
        <v>0</v>
      </c>
      <c r="AD54" s="41">
        <f t="shared" si="110"/>
        <v>0</v>
      </c>
      <c r="AE54" s="41">
        <f t="shared" si="111"/>
        <v>0</v>
      </c>
      <c r="AF54" s="41">
        <f>S54+W54+AB54+AC54</f>
        <v>0</v>
      </c>
      <c r="AG54" s="31"/>
      <c r="AH54" s="419"/>
      <c r="AI54" s="22" t="s">
        <v>335</v>
      </c>
      <c r="AJ54" s="1" t="s">
        <v>342</v>
      </c>
      <c r="AK54" s="195" t="s">
        <v>673</v>
      </c>
      <c r="AL54" s="299">
        <v>8715.4872881355841</v>
      </c>
      <c r="AM54" s="299">
        <f t="shared" si="112"/>
        <v>0</v>
      </c>
      <c r="AN54" s="300">
        <f t="shared" si="113"/>
        <v>8715.4872881355841</v>
      </c>
    </row>
    <row r="55" spans="1:42" ht="15.75" hidden="1" customHeight="1" outlineLevel="1" x14ac:dyDescent="0.2">
      <c r="A55" s="109" t="s">
        <v>6</v>
      </c>
      <c r="B55" s="109"/>
      <c r="C55" s="109"/>
      <c r="D55" s="292" t="s">
        <v>673</v>
      </c>
      <c r="E55" s="44">
        <f t="shared" ref="E55:J55" si="114">SUM(E51:E54)</f>
        <v>256</v>
      </c>
      <c r="F55" s="44">
        <f t="shared" si="114"/>
        <v>333</v>
      </c>
      <c r="G55" s="44">
        <f t="shared" si="114"/>
        <v>124</v>
      </c>
      <c r="H55" s="44">
        <f t="shared" si="114"/>
        <v>50</v>
      </c>
      <c r="I55" s="44">
        <f t="shared" si="114"/>
        <v>10</v>
      </c>
      <c r="J55" s="44">
        <f t="shared" si="114"/>
        <v>74</v>
      </c>
      <c r="K55" s="45"/>
      <c r="L55" s="44">
        <f>SUM(L51:L54)</f>
        <v>8448000</v>
      </c>
      <c r="M55" s="44">
        <f>SUM(M51:M54)</f>
        <v>5678176</v>
      </c>
      <c r="N55" s="44">
        <f>SUM(N51:N54)</f>
        <v>1939110.1694915232</v>
      </c>
      <c r="O55" s="44">
        <f>SUM(O51:O54)</f>
        <v>2872903.3898305055</v>
      </c>
      <c r="P55" s="45"/>
      <c r="Q55" s="46"/>
      <c r="R55" s="46"/>
      <c r="S55" s="44">
        <f t="shared" ref="S55:AF55" si="115">SUM(S51:S54)</f>
        <v>5257.305084745758</v>
      </c>
      <c r="T55" s="189">
        <f t="shared" si="115"/>
        <v>0</v>
      </c>
      <c r="U55" s="189">
        <f t="shared" si="115"/>
        <v>0</v>
      </c>
      <c r="V55" s="86">
        <f t="shared" si="115"/>
        <v>0</v>
      </c>
      <c r="W55" s="189">
        <f t="shared" si="115"/>
        <v>0</v>
      </c>
      <c r="X55" s="86">
        <f t="shared" si="115"/>
        <v>0</v>
      </c>
      <c r="Y55" s="86">
        <f t="shared" si="115"/>
        <v>0</v>
      </c>
      <c r="Z55" s="54">
        <f t="shared" si="115"/>
        <v>0</v>
      </c>
      <c r="AA55" s="86">
        <f t="shared" si="115"/>
        <v>0</v>
      </c>
      <c r="AB55" s="86">
        <f t="shared" si="115"/>
        <v>0</v>
      </c>
      <c r="AC55" s="86">
        <f t="shared" si="115"/>
        <v>0</v>
      </c>
      <c r="AD55" s="86">
        <f t="shared" si="115"/>
        <v>0</v>
      </c>
      <c r="AE55" s="102">
        <f t="shared" si="115"/>
        <v>5257.305084745758</v>
      </c>
      <c r="AF55" s="102">
        <f t="shared" si="115"/>
        <v>5257.305084745758</v>
      </c>
      <c r="AG55" s="31"/>
      <c r="AH55" s="419"/>
      <c r="AI55" s="43" t="s">
        <v>6</v>
      </c>
      <c r="AJ55" s="43"/>
      <c r="AK55" s="43" t="s">
        <v>673</v>
      </c>
      <c r="AL55" s="304">
        <v>22196.148305084724</v>
      </c>
      <c r="AM55" s="304">
        <f>SUM(AM51:AM54)</f>
        <v>5257.305084745758</v>
      </c>
      <c r="AN55" s="304">
        <f>SUM(AN51:AN54)</f>
        <v>16938.843220338968</v>
      </c>
    </row>
    <row r="56" spans="1:42" ht="15.75" hidden="1" customHeight="1" outlineLevel="1" x14ac:dyDescent="0.2">
      <c r="A56" s="79" t="s">
        <v>286</v>
      </c>
      <c r="B56" s="112" t="s">
        <v>37</v>
      </c>
      <c r="C56" s="79" t="s">
        <v>0</v>
      </c>
      <c r="D56" s="1" t="s">
        <v>674</v>
      </c>
      <c r="E56" s="47">
        <f>ROUND(SUMIF('Target Achieved- Input'!$B$2:$B$90,'Incentive Report- Output'!B56,'Target Achieved- Input'!$G$2:$G$90),0)</f>
        <v>60</v>
      </c>
      <c r="F56" s="47">
        <f>ROUND(SUMIF('Target Achieved- Input'!$B$2:$B$90,'Incentive Report- Output'!B56,'Target Achieved- Input'!$H$2:$H$90),0)</f>
        <v>78</v>
      </c>
      <c r="G56" s="47">
        <f>SUMIF('Target Achieved- Input'!$L$2:$L$90,'Incentive Report- Output'!B56,'Target Achieved- Input'!$O$2:$O$90)</f>
        <v>27</v>
      </c>
      <c r="H56" s="39">
        <f>SUMIF('Target Achieved- Input'!$S$2:$S$90,'Incentive Report- Output'!B56,'Target Achieved- Input'!$V$2:$V$90)</f>
        <v>0</v>
      </c>
      <c r="I56" s="48">
        <f>SUMIF('Target Achieved- Input'!$L$2:$L$90,'Incentive Report- Output'!B56,'Target Achieved- Input'!$AC$2:$AC$90)</f>
        <v>6</v>
      </c>
      <c r="J56" s="39">
        <f t="shared" ref="J56:J58" si="116">G56-H56</f>
        <v>27</v>
      </c>
      <c r="K56" s="40">
        <f t="shared" ref="K56:K58" si="117">IFERROR(J56/E56,0)</f>
        <v>0.45</v>
      </c>
      <c r="L56" s="41">
        <f t="shared" ref="L56:L58" si="118">E56*33000</f>
        <v>1980000</v>
      </c>
      <c r="M56" s="41">
        <f>SUMIF('Target Achieved- Input'!$L$2:$L$90,'Incentive Report- Output'!B56,'Target Achieved- Input'!$M$2:$M$90)</f>
        <v>1085223</v>
      </c>
      <c r="N56" s="41">
        <f>SUMIF('Target Achieved- Input'!$S$2:$S$90,'Incentive Report- Output'!B56,'Target Achieved- Input'!$U$2:$U$90)</f>
        <v>0</v>
      </c>
      <c r="O56" s="41">
        <f>SUMIF('Target Achieved- Input'!$L$2:$L$90,'Incentive Report- Output'!B56,'Target Achieved- Input'!$N$2:$N$90)-N56</f>
        <v>919680.50847457536</v>
      </c>
      <c r="P56" s="40">
        <f t="shared" ref="P56:P58" si="119">IFERROR(O56/L56,0)</f>
        <v>0.46448510529018955</v>
      </c>
      <c r="Q56" s="40">
        <f t="shared" ref="Q56:Q58" si="120">MAX(P56,K56)</f>
        <v>0.46448510529018955</v>
      </c>
      <c r="R56" s="40">
        <v>0</v>
      </c>
      <c r="S56" s="49">
        <f>(LOOKUP(Q56,Policy!$L$12:$M$16)+R56)*O56</f>
        <v>0</v>
      </c>
      <c r="T56" s="188"/>
      <c r="U56" s="188"/>
      <c r="V56" s="40"/>
      <c r="W56" s="53"/>
      <c r="X56" s="396">
        <f>E59</f>
        <v>176</v>
      </c>
      <c r="Y56" s="396">
        <f>J59</f>
        <v>120</v>
      </c>
      <c r="Z56" s="399">
        <f>Y56/X56</f>
        <v>0.68181818181818177</v>
      </c>
      <c r="AA56" s="55">
        <v>0</v>
      </c>
      <c r="AB56" s="41">
        <v>0</v>
      </c>
      <c r="AC56" s="41">
        <v>0</v>
      </c>
      <c r="AD56" s="41">
        <f t="shared" ref="AD56" si="121">IF(AF56&gt;200000,AF56-200000,0)</f>
        <v>0</v>
      </c>
      <c r="AE56" s="41">
        <f t="shared" ref="AE56" si="122">AF56-AD56</f>
        <v>0</v>
      </c>
      <c r="AF56" s="41">
        <f>S56+W56+AB56+AC56</f>
        <v>0</v>
      </c>
      <c r="AG56" s="31"/>
      <c r="AH56" s="419"/>
      <c r="AI56" s="22" t="s">
        <v>286</v>
      </c>
      <c r="AJ56" s="1" t="s">
        <v>37</v>
      </c>
      <c r="AK56" s="195" t="s">
        <v>674</v>
      </c>
      <c r="AL56" s="299">
        <v>0</v>
      </c>
      <c r="AM56" s="299">
        <f t="shared" ref="AM56" si="123">AF56</f>
        <v>0</v>
      </c>
      <c r="AN56" s="300">
        <f t="shared" ref="AN56" si="124">AL56-AM56</f>
        <v>0</v>
      </c>
    </row>
    <row r="57" spans="1:42" ht="15.75" hidden="1" customHeight="1" outlineLevel="1" x14ac:dyDescent="0.2">
      <c r="A57" s="42" t="s">
        <v>657</v>
      </c>
      <c r="B57" s="112" t="s">
        <v>39</v>
      </c>
      <c r="C57" s="79" t="s">
        <v>1</v>
      </c>
      <c r="D57" s="1" t="s">
        <v>674</v>
      </c>
      <c r="E57" s="47">
        <f>ROUND(SUMIF('Target Achieved- Input'!$B$2:$B$90,'Incentive Report- Output'!B57,'Target Achieved- Input'!$G$2:$G$90),0)</f>
        <v>70</v>
      </c>
      <c r="F57" s="47">
        <f>ROUND(SUMIF('Target Achieved- Input'!$B$2:$B$90,'Incentive Report- Output'!B57,'Target Achieved- Input'!$H$2:$H$90),0)</f>
        <v>91</v>
      </c>
      <c r="G57" s="47">
        <f>SUMIF('Target Achieved- Input'!$L$2:$L$90,'Incentive Report- Output'!B57,'Target Achieved- Input'!$O$2:$O$90)</f>
        <v>68</v>
      </c>
      <c r="H57" s="39">
        <f>SUMIF('Target Achieved- Input'!$S$2:$S$90,'Incentive Report- Output'!B57,'Target Achieved- Input'!$V$2:$V$90)</f>
        <v>0</v>
      </c>
      <c r="I57" s="48">
        <f>SUMIF('Target Achieved- Input'!$L$2:$L$90,'Incentive Report- Output'!B57,'Target Achieved- Input'!$AC$2:$AC$90)</f>
        <v>4</v>
      </c>
      <c r="J57" s="39">
        <f t="shared" si="116"/>
        <v>68</v>
      </c>
      <c r="K57" s="40">
        <f t="shared" si="117"/>
        <v>0.97142857142857142</v>
      </c>
      <c r="L57" s="41">
        <f t="shared" si="118"/>
        <v>2310000</v>
      </c>
      <c r="M57" s="41">
        <f>SUMIF('Target Achieved- Input'!$L$2:$L$90,'Incentive Report- Output'!B57,'Target Achieved- Input'!$M$2:$M$90)</f>
        <v>2746982</v>
      </c>
      <c r="N57" s="41">
        <f>SUMIF('Target Achieved- Input'!$S$2:$S$90,'Incentive Report- Output'!B57,'Target Achieved- Input'!$U$2:$U$90)</f>
        <v>0</v>
      </c>
      <c r="O57" s="41">
        <f>SUMIF('Target Achieved- Input'!$L$2:$L$90,'Incentive Report- Output'!B57,'Target Achieved- Input'!$N$2:$N$90)-N57</f>
        <v>2327950.8474576236</v>
      </c>
      <c r="P57" s="40">
        <f t="shared" si="119"/>
        <v>1.007770929635335</v>
      </c>
      <c r="Q57" s="40">
        <f t="shared" si="120"/>
        <v>1.007770929635335</v>
      </c>
      <c r="R57" s="40">
        <v>0</v>
      </c>
      <c r="S57" s="49">
        <f>(LOOKUP(Q57,Policy!$L$12:$M$16)+R57)*O57</f>
        <v>52378.894067796529</v>
      </c>
      <c r="T57" s="188"/>
      <c r="U57" s="53"/>
      <c r="V57" s="40"/>
      <c r="W57" s="53"/>
      <c r="X57" s="397"/>
      <c r="Y57" s="397"/>
      <c r="Z57" s="400"/>
      <c r="AA57" s="55">
        <v>0</v>
      </c>
      <c r="AB57" s="41">
        <v>0</v>
      </c>
      <c r="AC57" s="41">
        <v>0</v>
      </c>
      <c r="AD57" s="41">
        <f t="shared" ref="AD57:AD58" si="125">IF(AF57&gt;200000,AF57-200000,0)</f>
        <v>0</v>
      </c>
      <c r="AE57" s="41">
        <f t="shared" ref="AE57:AE58" si="126">AF57-AD57</f>
        <v>52378.894067796529</v>
      </c>
      <c r="AF57" s="41">
        <f>S57+W57+AB57+AC57</f>
        <v>52378.894067796529</v>
      </c>
      <c r="AG57" s="31"/>
      <c r="AH57" s="419"/>
      <c r="AI57" s="42" t="s">
        <v>657</v>
      </c>
      <c r="AJ57" s="1" t="s">
        <v>39</v>
      </c>
      <c r="AK57" s="195" t="s">
        <v>674</v>
      </c>
      <c r="AL57" s="299">
        <v>52378.894067796529</v>
      </c>
      <c r="AM57" s="299">
        <f t="shared" ref="AM57:AM58" si="127">AF57</f>
        <v>52378.894067796529</v>
      </c>
      <c r="AN57" s="300">
        <f t="shared" ref="AN57:AN58" si="128">AL57-AM57</f>
        <v>0</v>
      </c>
    </row>
    <row r="58" spans="1:42" ht="15.75" hidden="1" customHeight="1" outlineLevel="1" x14ac:dyDescent="0.2">
      <c r="A58" s="79" t="s">
        <v>1156</v>
      </c>
      <c r="B58" s="112" t="s">
        <v>1157</v>
      </c>
      <c r="C58" s="79" t="s">
        <v>1</v>
      </c>
      <c r="D58" s="1" t="s">
        <v>674</v>
      </c>
      <c r="E58" s="47">
        <f>ROUND(SUMIF('Target Achieved- Input'!$B$2:$B$90,'Incentive Report- Output'!B58,'Target Achieved- Input'!$G$2:$G$90),0)</f>
        <v>46</v>
      </c>
      <c r="F58" s="47">
        <f>ROUND(SUMIF('Target Achieved- Input'!$B$2:$B$90,'Incentive Report- Output'!B58,'Target Achieved- Input'!$H$2:$H$90),0)</f>
        <v>60</v>
      </c>
      <c r="G58" s="47">
        <f>SUMIF('Target Achieved- Input'!$L$2:$L$90,'Incentive Report- Output'!B58,'Target Achieved- Input'!$O$2:$O$90)</f>
        <v>31</v>
      </c>
      <c r="H58" s="39">
        <f>SUMIF('Target Achieved- Input'!$S$2:$S$90,'Incentive Report- Output'!B58,'Target Achieved- Input'!$V$2:$V$90)</f>
        <v>6</v>
      </c>
      <c r="I58" s="48">
        <f>SUMIF('Target Achieved- Input'!$L$2:$L$90,'Incentive Report- Output'!B58,'Target Achieved- Input'!$AC$2:$AC$90)</f>
        <v>0</v>
      </c>
      <c r="J58" s="39">
        <f t="shared" si="116"/>
        <v>25</v>
      </c>
      <c r="K58" s="40">
        <f t="shared" si="117"/>
        <v>0.54347826086956519</v>
      </c>
      <c r="L58" s="41">
        <f t="shared" si="118"/>
        <v>1518000</v>
      </c>
      <c r="M58" s="41">
        <f>SUMIF('Target Achieved- Input'!$L$2:$L$90,'Incentive Report- Output'!B58,'Target Achieved- Input'!$M$2:$M$90)</f>
        <v>1738769</v>
      </c>
      <c r="N58" s="41">
        <f>SUMIF('Target Achieved- Input'!$S$2:$S$90,'Incentive Report- Output'!B58,'Target Achieved- Input'!$U$2:$U$90)</f>
        <v>253384.74576271162</v>
      </c>
      <c r="O58" s="41">
        <f>SUMIF('Target Achieved- Input'!$L$2:$L$90,'Incentive Report- Output'!B58,'Target Achieved- Input'!$N$2:$N$90)-N58</f>
        <v>1220148.3050847447</v>
      </c>
      <c r="P58" s="40">
        <f t="shared" si="119"/>
        <v>0.80378676224291479</v>
      </c>
      <c r="Q58" s="40">
        <f t="shared" si="120"/>
        <v>0.80378676224291479</v>
      </c>
      <c r="R58" s="40">
        <v>0</v>
      </c>
      <c r="S58" s="49">
        <f>(LOOKUP(Q58,Policy!$L$12:$M$16)+R58)*O58</f>
        <v>12201.483050847448</v>
      </c>
      <c r="T58" s="188"/>
      <c r="U58" s="188"/>
      <c r="V58" s="40"/>
      <c r="W58" s="53"/>
      <c r="X58" s="398"/>
      <c r="Y58" s="398"/>
      <c r="Z58" s="401"/>
      <c r="AA58" s="55">
        <v>0</v>
      </c>
      <c r="AB58" s="41">
        <v>0</v>
      </c>
      <c r="AC58" s="41">
        <v>0</v>
      </c>
      <c r="AD58" s="41">
        <f t="shared" si="125"/>
        <v>0</v>
      </c>
      <c r="AE58" s="41">
        <f t="shared" si="126"/>
        <v>12201.483050847448</v>
      </c>
      <c r="AF58" s="41">
        <f>S58+W58+AB58+AC58</f>
        <v>12201.483050847448</v>
      </c>
      <c r="AG58" s="31"/>
      <c r="AH58" s="419"/>
      <c r="AI58" s="22" t="s">
        <v>1156</v>
      </c>
      <c r="AJ58" s="1" t="s">
        <v>1157</v>
      </c>
      <c r="AK58" s="195" t="s">
        <v>674</v>
      </c>
      <c r="AL58" s="299">
        <v>14735.330508474564</v>
      </c>
      <c r="AM58" s="299">
        <f t="shared" si="127"/>
        <v>12201.483050847448</v>
      </c>
      <c r="AN58" s="300">
        <f t="shared" si="128"/>
        <v>2533.8474576271165</v>
      </c>
    </row>
    <row r="59" spans="1:42" ht="15.75" hidden="1" customHeight="1" outlineLevel="1" x14ac:dyDescent="0.2">
      <c r="A59" s="109" t="s">
        <v>6</v>
      </c>
      <c r="B59" s="109"/>
      <c r="C59" s="109"/>
      <c r="D59" s="292" t="s">
        <v>674</v>
      </c>
      <c r="E59" s="44">
        <f>SUM(E56:E58)</f>
        <v>176</v>
      </c>
      <c r="F59" s="44">
        <f t="shared" ref="F59:O59" si="129">SUM(F56:F58)</f>
        <v>229</v>
      </c>
      <c r="G59" s="44">
        <f t="shared" si="129"/>
        <v>126</v>
      </c>
      <c r="H59" s="44">
        <f t="shared" si="129"/>
        <v>6</v>
      </c>
      <c r="I59" s="44">
        <f t="shared" si="129"/>
        <v>10</v>
      </c>
      <c r="J59" s="44">
        <f t="shared" si="129"/>
        <v>120</v>
      </c>
      <c r="K59" s="44"/>
      <c r="L59" s="44">
        <f t="shared" si="129"/>
        <v>5808000</v>
      </c>
      <c r="M59" s="44">
        <f t="shared" si="129"/>
        <v>5570974</v>
      </c>
      <c r="N59" s="44">
        <f t="shared" si="129"/>
        <v>253384.74576271162</v>
      </c>
      <c r="O59" s="44">
        <f t="shared" si="129"/>
        <v>4467779.6610169439</v>
      </c>
      <c r="P59" s="45"/>
      <c r="Q59" s="46"/>
      <c r="R59" s="46"/>
      <c r="S59" s="44">
        <f t="shared" ref="S59:AF59" si="130">SUM(S56:S58)</f>
        <v>64580.377118643977</v>
      </c>
      <c r="T59" s="44">
        <f t="shared" si="130"/>
        <v>0</v>
      </c>
      <c r="U59" s="44">
        <f t="shared" si="130"/>
        <v>0</v>
      </c>
      <c r="V59" s="44">
        <f t="shared" si="130"/>
        <v>0</v>
      </c>
      <c r="W59" s="44">
        <f t="shared" si="130"/>
        <v>0</v>
      </c>
      <c r="X59" s="44">
        <f t="shared" si="130"/>
        <v>176</v>
      </c>
      <c r="Y59" s="44">
        <f t="shared" si="130"/>
        <v>120</v>
      </c>
      <c r="Z59" s="44">
        <f t="shared" si="130"/>
        <v>0.68181818181818177</v>
      </c>
      <c r="AA59" s="44">
        <f t="shared" si="130"/>
        <v>0</v>
      </c>
      <c r="AB59" s="44">
        <f t="shared" si="130"/>
        <v>0</v>
      </c>
      <c r="AC59" s="44">
        <f t="shared" si="130"/>
        <v>0</v>
      </c>
      <c r="AD59" s="44">
        <f t="shared" si="130"/>
        <v>0</v>
      </c>
      <c r="AE59" s="44">
        <f t="shared" si="130"/>
        <v>64580.377118643977</v>
      </c>
      <c r="AF59" s="44">
        <f t="shared" si="130"/>
        <v>64580.377118643977</v>
      </c>
      <c r="AG59" s="31"/>
      <c r="AH59" s="419"/>
      <c r="AI59" s="43" t="s">
        <v>6</v>
      </c>
      <c r="AJ59" s="43"/>
      <c r="AK59" s="43" t="s">
        <v>674</v>
      </c>
      <c r="AL59" s="308">
        <v>67114.224576271095</v>
      </c>
      <c r="AM59" s="308">
        <f>SUM(AM56:AM58)</f>
        <v>64580.377118643977</v>
      </c>
      <c r="AN59" s="308">
        <f>SUM(AN56:AN58)</f>
        <v>2533.8474576271165</v>
      </c>
    </row>
    <row r="60" spans="1:42" ht="15.75" hidden="1" customHeight="1" outlineLevel="1" x14ac:dyDescent="0.2">
      <c r="A60" s="79" t="s">
        <v>72</v>
      </c>
      <c r="B60" s="112" t="s">
        <v>43</v>
      </c>
      <c r="C60" s="79" t="s">
        <v>0</v>
      </c>
      <c r="D60" s="1" t="s">
        <v>675</v>
      </c>
      <c r="E60" s="47">
        <f>ROUND(SUMIF('Target Achieved- Input'!$B$2:$B$90,'Incentive Report- Output'!B60,'Target Achieved- Input'!$G$2:$G$90),0)</f>
        <v>50</v>
      </c>
      <c r="F60" s="47">
        <f>ROUND(SUMIF('Target Achieved- Input'!$B$2:$B$90,'Incentive Report- Output'!B60,'Target Achieved- Input'!$H$2:$H$90),0)</f>
        <v>65</v>
      </c>
      <c r="G60" s="47">
        <f>SUMIF('Target Achieved- Input'!$L$2:$L$90,'Incentive Report- Output'!B60,'Target Achieved- Input'!$O$2:$O$90)</f>
        <v>20</v>
      </c>
      <c r="H60" s="39">
        <f>SUMIF('Target Achieved- Input'!$S$2:$S$90,'Incentive Report- Output'!B60,'Target Achieved- Input'!$V$2:$V$90)</f>
        <v>6</v>
      </c>
      <c r="I60" s="48">
        <f>SUMIF('Target Achieved- Input'!$L$2:$L$90,'Incentive Report- Output'!B60,'Target Achieved- Input'!$AC$2:$AC$90)</f>
        <v>3</v>
      </c>
      <c r="J60" s="39">
        <f t="shared" ref="J60:J66" si="131">G60-H60</f>
        <v>14</v>
      </c>
      <c r="K60" s="40">
        <f t="shared" ref="K60:K66" si="132">IFERROR(J60/E60,0)</f>
        <v>0.28000000000000003</v>
      </c>
      <c r="L60" s="41">
        <f t="shared" ref="L60:L66" si="133">E60*33000</f>
        <v>1650000</v>
      </c>
      <c r="M60" s="41">
        <f>SUMIF('Target Achieved- Input'!$L$2:$L$90,'Incentive Report- Output'!B60,'Target Achieved- Input'!$M$2:$M$90)</f>
        <v>780080</v>
      </c>
      <c r="N60" s="41">
        <f>SUMIF('Target Achieved- Input'!$S$2:$S$90,'Incentive Report- Output'!B60,'Target Achieved- Input'!$U$2:$U$90)</f>
        <v>246605.0847457624</v>
      </c>
      <c r="O60" s="41">
        <f>SUMIF('Target Achieved- Input'!$L$2:$L$90,'Incentive Report- Output'!B60,'Target Achieved- Input'!$N$2:$N$90)-N60</f>
        <v>414479.66101694864</v>
      </c>
      <c r="P60" s="40">
        <f t="shared" ref="P60:P66" si="134">IFERROR(O60/L60,0)</f>
        <v>0.25119979455572644</v>
      </c>
      <c r="Q60" s="40">
        <f t="shared" ref="Q60:Q66" si="135">MAX(P60,K60)</f>
        <v>0.28000000000000003</v>
      </c>
      <c r="R60" s="40">
        <v>0</v>
      </c>
      <c r="S60" s="49">
        <f>(LOOKUP(Q60,Policy!$L$12:$M$16)+R60)*O60</f>
        <v>0</v>
      </c>
      <c r="T60" s="185"/>
      <c r="U60" s="156"/>
      <c r="V60" s="51"/>
      <c r="W60" s="156"/>
      <c r="X60" s="396">
        <f>E67</f>
        <v>360</v>
      </c>
      <c r="Y60" s="396">
        <f>J67</f>
        <v>105</v>
      </c>
      <c r="Z60" s="399">
        <f>Y60/X60</f>
        <v>0.29166666666666669</v>
      </c>
      <c r="AA60" s="55">
        <v>0</v>
      </c>
      <c r="AB60" s="41">
        <v>0</v>
      </c>
      <c r="AC60" s="41">
        <v>0</v>
      </c>
      <c r="AD60" s="41">
        <f t="shared" ref="AD60" si="136">IF(AF60&gt;200000,AF60-200000,0)</f>
        <v>0</v>
      </c>
      <c r="AE60" s="41">
        <f t="shared" ref="AE60" si="137">AF60-AD60</f>
        <v>0</v>
      </c>
      <c r="AF60" s="41">
        <f t="shared" ref="AF60:AF66" si="138">S60+W60+AB60+AC60</f>
        <v>0</v>
      </c>
      <c r="AG60" s="31"/>
      <c r="AH60" s="419"/>
      <c r="AI60" s="22" t="s">
        <v>72</v>
      </c>
      <c r="AJ60" s="1" t="s">
        <v>43</v>
      </c>
      <c r="AK60" s="195" t="s">
        <v>675</v>
      </c>
      <c r="AL60" s="299">
        <v>0</v>
      </c>
      <c r="AM60" s="299">
        <f t="shared" ref="AM60" si="139">AF60</f>
        <v>0</v>
      </c>
      <c r="AN60" s="300">
        <f t="shared" ref="AN60" si="140">AL60-AM60</f>
        <v>0</v>
      </c>
    </row>
    <row r="61" spans="1:42" ht="15.75" hidden="1" customHeight="1" outlineLevel="1" x14ac:dyDescent="0.2">
      <c r="A61" s="79" t="s">
        <v>726</v>
      </c>
      <c r="B61" s="112" t="s">
        <v>727</v>
      </c>
      <c r="C61" s="79" t="s">
        <v>1</v>
      </c>
      <c r="D61" s="1" t="s">
        <v>675</v>
      </c>
      <c r="E61" s="47">
        <f>ROUND(SUMIF('Target Achieved- Input'!$B$2:$B$90,'Incentive Report- Output'!B61,'Target Achieved- Input'!$G$2:$G$90),0)</f>
        <v>55</v>
      </c>
      <c r="F61" s="47">
        <f>ROUND(SUMIF('Target Achieved- Input'!$B$2:$B$90,'Incentive Report- Output'!B61,'Target Achieved- Input'!$H$2:$H$90),0)</f>
        <v>72</v>
      </c>
      <c r="G61" s="47">
        <f>SUMIF('Target Achieved- Input'!$L$2:$L$90,'Incentive Report- Output'!B61,'Target Achieved- Input'!$O$2:$O$90)</f>
        <v>16</v>
      </c>
      <c r="H61" s="39">
        <f>SUMIF('Target Achieved- Input'!$S$2:$S$90,'Incentive Report- Output'!B61,'Target Achieved- Input'!$V$2:$V$90)</f>
        <v>5</v>
      </c>
      <c r="I61" s="48">
        <f>SUMIF('Target Achieved- Input'!$L$2:$L$90,'Incentive Report- Output'!B61,'Target Achieved- Input'!$AC$2:$AC$90)</f>
        <v>2</v>
      </c>
      <c r="J61" s="39">
        <f t="shared" si="131"/>
        <v>11</v>
      </c>
      <c r="K61" s="40">
        <f t="shared" si="132"/>
        <v>0.2</v>
      </c>
      <c r="L61" s="41">
        <f t="shared" si="133"/>
        <v>1815000</v>
      </c>
      <c r="M61" s="41">
        <f>SUMIF('Target Achieved- Input'!$L$2:$L$90,'Incentive Report- Output'!B61,'Target Achieved- Input'!$M$2:$M$90)</f>
        <v>671434</v>
      </c>
      <c r="N61" s="41">
        <f>SUMIF('Target Achieved- Input'!$S$2:$S$90,'Incentive Report- Output'!B61,'Target Achieved- Input'!$U$2:$U$90)</f>
        <v>153766.94915254219</v>
      </c>
      <c r="O61" s="41">
        <f>SUMIF('Target Achieved- Input'!$L$2:$L$90,'Incentive Report- Output'!B61,'Target Achieved- Input'!$N$2:$N$90)-N61</f>
        <v>415244.9152542369</v>
      </c>
      <c r="P61" s="40">
        <f t="shared" si="134"/>
        <v>0.22878507727506164</v>
      </c>
      <c r="Q61" s="40">
        <f t="shared" si="135"/>
        <v>0.22878507727506164</v>
      </c>
      <c r="R61" s="40">
        <v>0</v>
      </c>
      <c r="S61" s="49">
        <f>(LOOKUP(Q61,Policy!$L$12:$M$16)+R61)*O61</f>
        <v>0</v>
      </c>
      <c r="T61" s="188"/>
      <c r="U61" s="53"/>
      <c r="V61" s="40"/>
      <c r="W61" s="53"/>
      <c r="X61" s="397"/>
      <c r="Y61" s="397"/>
      <c r="Z61" s="400"/>
      <c r="AA61" s="55">
        <v>0</v>
      </c>
      <c r="AB61" s="41">
        <v>0</v>
      </c>
      <c r="AC61" s="41">
        <v>0</v>
      </c>
      <c r="AD61" s="41">
        <f t="shared" ref="AD61:AD66" si="141">IF(AF61&gt;200000,AF61-200000,0)</f>
        <v>0</v>
      </c>
      <c r="AE61" s="41">
        <f t="shared" ref="AE61:AE66" si="142">AF61-AD61</f>
        <v>0</v>
      </c>
      <c r="AF61" s="41">
        <f t="shared" si="138"/>
        <v>0</v>
      </c>
      <c r="AG61" s="31"/>
      <c r="AH61" s="419"/>
      <c r="AI61" s="22" t="s">
        <v>726</v>
      </c>
      <c r="AJ61" s="1" t="s">
        <v>727</v>
      </c>
      <c r="AK61" s="195" t="s">
        <v>675</v>
      </c>
      <c r="AL61" s="299">
        <v>0</v>
      </c>
      <c r="AM61" s="299">
        <f t="shared" ref="AM61:AM66" si="143">AF61</f>
        <v>0</v>
      </c>
      <c r="AN61" s="300">
        <f t="shared" ref="AN61:AN66" si="144">AL61-AM61</f>
        <v>0</v>
      </c>
    </row>
    <row r="62" spans="1:42" ht="15.75" hidden="1" customHeight="1" outlineLevel="1" x14ac:dyDescent="0.2">
      <c r="A62" s="79" t="s">
        <v>291</v>
      </c>
      <c r="B62" s="112" t="s">
        <v>40</v>
      </c>
      <c r="C62" s="79" t="s">
        <v>1</v>
      </c>
      <c r="D62" s="1" t="s">
        <v>675</v>
      </c>
      <c r="E62" s="47">
        <f>ROUND(SUMIF('Target Achieved- Input'!$B$2:$B$90,'Incentive Report- Output'!B62,'Target Achieved- Input'!$G$2:$G$90),0)</f>
        <v>50</v>
      </c>
      <c r="F62" s="47">
        <f>ROUND(SUMIF('Target Achieved- Input'!$B$2:$B$90,'Incentive Report- Output'!B62,'Target Achieved- Input'!$H$2:$H$90),0)</f>
        <v>65</v>
      </c>
      <c r="G62" s="47">
        <f>SUMIF('Target Achieved- Input'!$L$2:$L$90,'Incentive Report- Output'!B62,'Target Achieved- Input'!$O$2:$O$90)</f>
        <v>10</v>
      </c>
      <c r="H62" s="39">
        <f>SUMIF('Target Achieved- Input'!$S$2:$S$90,'Incentive Report- Output'!B62,'Target Achieved- Input'!$V$2:$V$90)</f>
        <v>5</v>
      </c>
      <c r="I62" s="48">
        <f>SUMIF('Target Achieved- Input'!$L$2:$L$90,'Incentive Report- Output'!B62,'Target Achieved- Input'!$AC$2:$AC$90)</f>
        <v>0</v>
      </c>
      <c r="J62" s="39">
        <f t="shared" si="131"/>
        <v>5</v>
      </c>
      <c r="K62" s="40">
        <f t="shared" si="132"/>
        <v>0.1</v>
      </c>
      <c r="L62" s="41">
        <f t="shared" si="133"/>
        <v>1650000</v>
      </c>
      <c r="M62" s="41">
        <f>SUMIF('Target Achieved- Input'!$L$2:$L$90,'Incentive Report- Output'!B62,'Target Achieved- Input'!$M$2:$M$90)</f>
        <v>476090</v>
      </c>
      <c r="N62" s="41">
        <f>SUMIF('Target Achieved- Input'!$S$2:$S$90,'Incentive Report- Output'!B62,'Target Achieved- Input'!$U$2:$U$90)</f>
        <v>218470.33898305049</v>
      </c>
      <c r="O62" s="41">
        <f>SUMIF('Target Achieved- Input'!$L$2:$L$90,'Incentive Report- Output'!B62,'Target Achieved- Input'!$N$2:$N$90)-N62</f>
        <v>184995.76271186426</v>
      </c>
      <c r="P62" s="40">
        <f t="shared" si="134"/>
        <v>0.11211864406779652</v>
      </c>
      <c r="Q62" s="40">
        <f t="shared" si="135"/>
        <v>0.11211864406779652</v>
      </c>
      <c r="R62" s="40">
        <v>0</v>
      </c>
      <c r="S62" s="49">
        <f>(LOOKUP(Q62,Policy!$L$12:$M$16)+R62)*O62</f>
        <v>0</v>
      </c>
      <c r="T62" s="188"/>
      <c r="U62" s="188"/>
      <c r="V62" s="40"/>
      <c r="W62" s="53"/>
      <c r="X62" s="397"/>
      <c r="Y62" s="397"/>
      <c r="Z62" s="400"/>
      <c r="AA62" s="55">
        <v>0</v>
      </c>
      <c r="AB62" s="41">
        <v>0</v>
      </c>
      <c r="AC62" s="41">
        <v>0</v>
      </c>
      <c r="AD62" s="41">
        <f t="shared" si="141"/>
        <v>0</v>
      </c>
      <c r="AE62" s="41">
        <f t="shared" si="142"/>
        <v>0</v>
      </c>
      <c r="AF62" s="41">
        <f t="shared" si="138"/>
        <v>0</v>
      </c>
      <c r="AG62" s="31"/>
      <c r="AH62" s="419"/>
      <c r="AI62" s="22" t="s">
        <v>291</v>
      </c>
      <c r="AJ62" s="1" t="s">
        <v>40</v>
      </c>
      <c r="AK62" s="195" t="s">
        <v>675</v>
      </c>
      <c r="AL62" s="299">
        <v>0</v>
      </c>
      <c r="AM62" s="299">
        <f t="shared" si="143"/>
        <v>0</v>
      </c>
      <c r="AN62" s="300">
        <f t="shared" si="144"/>
        <v>0</v>
      </c>
    </row>
    <row r="63" spans="1:42" ht="15.75" hidden="1" customHeight="1" outlineLevel="1" x14ac:dyDescent="0.2">
      <c r="A63" s="79" t="s">
        <v>1073</v>
      </c>
      <c r="B63" s="161" t="s">
        <v>1074</v>
      </c>
      <c r="C63" s="79" t="s">
        <v>1</v>
      </c>
      <c r="D63" s="1" t="s">
        <v>675</v>
      </c>
      <c r="E63" s="47">
        <f>ROUND(SUMIF('Target Achieved- Input'!$B$2:$B$90,'Incentive Report- Output'!B63,'Target Achieved- Input'!$G$2:$G$90),0)</f>
        <v>55</v>
      </c>
      <c r="F63" s="47">
        <f>ROUND(SUMIF('Target Achieved- Input'!$B$2:$B$90,'Incentive Report- Output'!B63,'Target Achieved- Input'!$H$2:$H$90),0)</f>
        <v>72</v>
      </c>
      <c r="G63" s="47">
        <f>SUMIF('Target Achieved- Input'!$L$2:$L$90,'Incentive Report- Output'!B63,'Target Achieved- Input'!$O$2:$O$90)</f>
        <v>18</v>
      </c>
      <c r="H63" s="39">
        <f>SUMIF('Target Achieved- Input'!$S$2:$S$90,'Incentive Report- Output'!B63,'Target Achieved- Input'!$V$2:$V$90)</f>
        <v>7</v>
      </c>
      <c r="I63" s="48">
        <f>SUMIF('Target Achieved- Input'!$L$2:$L$90,'Incentive Report- Output'!B63,'Target Achieved- Input'!$AC$2:$AC$90)</f>
        <v>0</v>
      </c>
      <c r="J63" s="39">
        <f t="shared" si="131"/>
        <v>11</v>
      </c>
      <c r="K63" s="40">
        <f t="shared" si="132"/>
        <v>0.2</v>
      </c>
      <c r="L63" s="41">
        <f t="shared" si="133"/>
        <v>1815000</v>
      </c>
      <c r="M63" s="41">
        <f>SUMIF('Target Achieved- Input'!$L$2:$L$90,'Incentive Report- Output'!B63,'Target Achieved- Input'!$M$2:$M$90)</f>
        <v>942982</v>
      </c>
      <c r="N63" s="41">
        <f>SUMIF('Target Achieved- Input'!$S$2:$S$90,'Incentive Report- Output'!B63,'Target Achieved- Input'!$U$2:$U$90)</f>
        <v>321180.50847457594</v>
      </c>
      <c r="O63" s="41">
        <f>SUMIF('Target Achieved- Input'!$L$2:$L$90,'Incentive Report- Output'!B63,'Target Achieved- Input'!$N$2:$N$90)-N63</f>
        <v>477956.77966101619</v>
      </c>
      <c r="P63" s="40">
        <f t="shared" si="134"/>
        <v>0.26333706868375545</v>
      </c>
      <c r="Q63" s="40">
        <f t="shared" si="135"/>
        <v>0.26333706868375545</v>
      </c>
      <c r="R63" s="40">
        <v>0</v>
      </c>
      <c r="S63" s="49">
        <f>(LOOKUP(Q63,Policy!$L$12:$M$16)+R63)*O63</f>
        <v>0</v>
      </c>
      <c r="T63" s="185"/>
      <c r="U63" s="156"/>
      <c r="V63" s="51"/>
      <c r="W63" s="156"/>
      <c r="X63" s="397"/>
      <c r="Y63" s="397"/>
      <c r="Z63" s="400"/>
      <c r="AA63" s="55">
        <v>0</v>
      </c>
      <c r="AB63" s="41">
        <v>0</v>
      </c>
      <c r="AC63" s="41">
        <v>0</v>
      </c>
      <c r="AD63" s="41">
        <f t="shared" si="141"/>
        <v>0</v>
      </c>
      <c r="AE63" s="41">
        <f t="shared" si="142"/>
        <v>0</v>
      </c>
      <c r="AF63" s="41">
        <f t="shared" si="138"/>
        <v>0</v>
      </c>
      <c r="AG63" s="31"/>
      <c r="AH63" s="419"/>
      <c r="AI63" s="22" t="s">
        <v>1073</v>
      </c>
      <c r="AJ63" s="19" t="s">
        <v>1074</v>
      </c>
      <c r="AK63" s="195" t="s">
        <v>675</v>
      </c>
      <c r="AL63" s="299">
        <v>0</v>
      </c>
      <c r="AM63" s="299">
        <f t="shared" si="143"/>
        <v>0</v>
      </c>
      <c r="AN63" s="300">
        <f t="shared" si="144"/>
        <v>0</v>
      </c>
    </row>
    <row r="64" spans="1:42" ht="15.75" hidden="1" customHeight="1" outlineLevel="1" x14ac:dyDescent="0.2">
      <c r="A64" s="79" t="s">
        <v>925</v>
      </c>
      <c r="B64" s="112" t="s">
        <v>764</v>
      </c>
      <c r="C64" s="79" t="s">
        <v>1</v>
      </c>
      <c r="D64" s="1" t="s">
        <v>675</v>
      </c>
      <c r="E64" s="47">
        <f>ROUND(SUMIF('Target Achieved- Input'!$B$2:$B$90,'Incentive Report- Output'!B64,'Target Achieved- Input'!$G$2:$G$90),0)</f>
        <v>60</v>
      </c>
      <c r="F64" s="47">
        <f>ROUND(SUMIF('Target Achieved- Input'!$B$2:$B$90,'Incentive Report- Output'!B64,'Target Achieved- Input'!$H$2:$H$90),0)</f>
        <v>78</v>
      </c>
      <c r="G64" s="47">
        <f>SUMIF('Target Achieved- Input'!$L$2:$L$90,'Incentive Report- Output'!B64,'Target Achieved- Input'!$O$2:$O$90)</f>
        <v>43</v>
      </c>
      <c r="H64" s="39">
        <f>SUMIF('Target Achieved- Input'!$S$2:$S$90,'Incentive Report- Output'!B64,'Target Achieved- Input'!$V$2:$V$90)</f>
        <v>0</v>
      </c>
      <c r="I64" s="48">
        <f>SUMIF('Target Achieved- Input'!$L$2:$L$90,'Incentive Report- Output'!B64,'Target Achieved- Input'!$AC$2:$AC$90)</f>
        <v>1</v>
      </c>
      <c r="J64" s="39">
        <f t="shared" si="131"/>
        <v>43</v>
      </c>
      <c r="K64" s="40">
        <f t="shared" si="132"/>
        <v>0.71666666666666667</v>
      </c>
      <c r="L64" s="41">
        <f t="shared" si="133"/>
        <v>1980000</v>
      </c>
      <c r="M64" s="41">
        <f>SUMIF('Target Achieved- Input'!$L$2:$L$90,'Incentive Report- Output'!B64,'Target Achieved- Input'!$M$2:$M$90)</f>
        <v>2153357</v>
      </c>
      <c r="N64" s="41">
        <f>SUMIF('Target Achieved- Input'!$S$2:$S$90,'Incentive Report- Output'!B64,'Target Achieved- Input'!$U$2:$U$90)</f>
        <v>0</v>
      </c>
      <c r="O64" s="41">
        <f>SUMIF('Target Achieved- Input'!$L$2:$L$90,'Incentive Report- Output'!B64,'Target Achieved- Input'!$N$2:$N$90)-N64</f>
        <v>1824878.8135593194</v>
      </c>
      <c r="P64" s="40">
        <f t="shared" si="134"/>
        <v>0.92165596644410064</v>
      </c>
      <c r="Q64" s="40">
        <f t="shared" si="135"/>
        <v>0.92165596644410064</v>
      </c>
      <c r="R64" s="40">
        <v>0</v>
      </c>
      <c r="S64" s="49">
        <f>(LOOKUP(Q64,Policy!$L$12:$M$16)+R64)*O64</f>
        <v>18248.788135593193</v>
      </c>
      <c r="T64" s="185"/>
      <c r="U64" s="156"/>
      <c r="V64" s="51"/>
      <c r="W64" s="156"/>
      <c r="X64" s="397"/>
      <c r="Y64" s="397"/>
      <c r="Z64" s="400"/>
      <c r="AA64" s="55">
        <v>0</v>
      </c>
      <c r="AB64" s="41">
        <v>0</v>
      </c>
      <c r="AC64" s="41">
        <v>0</v>
      </c>
      <c r="AD64" s="41">
        <f t="shared" si="141"/>
        <v>0</v>
      </c>
      <c r="AE64" s="41">
        <f t="shared" si="142"/>
        <v>18248.788135593193</v>
      </c>
      <c r="AF64" s="41">
        <f t="shared" si="138"/>
        <v>18248.788135593193</v>
      </c>
      <c r="AG64" s="31"/>
      <c r="AH64" s="419"/>
      <c r="AI64" s="22" t="s">
        <v>925</v>
      </c>
      <c r="AJ64" s="1" t="s">
        <v>764</v>
      </c>
      <c r="AK64" s="195" t="s">
        <v>675</v>
      </c>
      <c r="AL64" s="299">
        <v>18248.788135593193</v>
      </c>
      <c r="AM64" s="299">
        <f t="shared" si="143"/>
        <v>18248.788135593193</v>
      </c>
      <c r="AN64" s="300">
        <f t="shared" si="144"/>
        <v>0</v>
      </c>
      <c r="AP64" s="172"/>
    </row>
    <row r="65" spans="1:42" ht="15.75" hidden="1" customHeight="1" outlineLevel="1" x14ac:dyDescent="0.2">
      <c r="A65" s="79" t="s">
        <v>928</v>
      </c>
      <c r="B65" s="112" t="s">
        <v>759</v>
      </c>
      <c r="C65" s="79" t="s">
        <v>1</v>
      </c>
      <c r="D65" s="1" t="s">
        <v>675</v>
      </c>
      <c r="E65" s="47">
        <f>ROUND(SUMIF('Target Achieved- Input'!$B$2:$B$90,'Incentive Report- Output'!B65,'Target Achieved- Input'!$G$2:$G$90),0)</f>
        <v>40</v>
      </c>
      <c r="F65" s="47">
        <f>ROUND(SUMIF('Target Achieved- Input'!$B$2:$B$90,'Incentive Report- Output'!B65,'Target Achieved- Input'!$H$2:$H$90),0)</f>
        <v>52</v>
      </c>
      <c r="G65" s="47">
        <f>SUMIF('Target Achieved- Input'!$L$2:$L$90,'Incentive Report- Output'!B65,'Target Achieved- Input'!$O$2:$O$90)</f>
        <v>11</v>
      </c>
      <c r="H65" s="39">
        <f>SUMIF('Target Achieved- Input'!$S$2:$S$90,'Incentive Report- Output'!B65,'Target Achieved- Input'!$V$2:$V$90)</f>
        <v>5</v>
      </c>
      <c r="I65" s="48">
        <f>SUMIF('Target Achieved- Input'!$L$2:$L$90,'Incentive Report- Output'!B65,'Target Achieved- Input'!$AC$2:$AC$90)</f>
        <v>2</v>
      </c>
      <c r="J65" s="39">
        <f t="shared" si="131"/>
        <v>6</v>
      </c>
      <c r="K65" s="40">
        <f t="shared" si="132"/>
        <v>0.15</v>
      </c>
      <c r="L65" s="41">
        <f t="shared" si="133"/>
        <v>1320000</v>
      </c>
      <c r="M65" s="41">
        <f>SUMIF('Target Achieved- Input'!$L$2:$L$90,'Incentive Report- Output'!B65,'Target Achieved- Input'!$M$2:$M$90)</f>
        <v>446439</v>
      </c>
      <c r="N65" s="41">
        <f>SUMIF('Target Achieved- Input'!$S$2:$S$90,'Incentive Report- Output'!B65,'Target Achieved- Input'!$U$2:$U$90)</f>
        <v>207326.27118644048</v>
      </c>
      <c r="O65" s="41">
        <f>SUMIF('Target Achieved- Input'!$L$2:$L$90,'Incentive Report- Output'!B65,'Target Achieved- Input'!$N$2:$N$90)-N65</f>
        <v>171011.86440677952</v>
      </c>
      <c r="P65" s="40">
        <f t="shared" si="134"/>
        <v>0.12955444273240874</v>
      </c>
      <c r="Q65" s="40">
        <f t="shared" si="135"/>
        <v>0.15</v>
      </c>
      <c r="R65" s="40">
        <v>0</v>
      </c>
      <c r="S65" s="49">
        <f>(LOOKUP(Q65,Policy!$L$12:$M$16)+R65)*O65</f>
        <v>0</v>
      </c>
      <c r="T65" s="185"/>
      <c r="U65" s="156"/>
      <c r="V65" s="51"/>
      <c r="W65" s="156"/>
      <c r="X65" s="397"/>
      <c r="Y65" s="397"/>
      <c r="Z65" s="400"/>
      <c r="AA65" s="55">
        <v>0</v>
      </c>
      <c r="AB65" s="41">
        <v>0</v>
      </c>
      <c r="AC65" s="41">
        <v>0</v>
      </c>
      <c r="AD65" s="41">
        <f t="shared" si="141"/>
        <v>0</v>
      </c>
      <c r="AE65" s="41">
        <f t="shared" si="142"/>
        <v>0</v>
      </c>
      <c r="AF65" s="41">
        <f t="shared" si="138"/>
        <v>0</v>
      </c>
      <c r="AG65" s="31"/>
      <c r="AH65" s="419"/>
      <c r="AI65" s="22" t="s">
        <v>928</v>
      </c>
      <c r="AJ65" s="1" t="s">
        <v>759</v>
      </c>
      <c r="AK65" s="195" t="s">
        <v>675</v>
      </c>
      <c r="AL65" s="299">
        <v>0</v>
      </c>
      <c r="AM65" s="299">
        <f t="shared" si="143"/>
        <v>0</v>
      </c>
      <c r="AN65" s="300">
        <f t="shared" si="144"/>
        <v>0</v>
      </c>
      <c r="AP65" s="172"/>
    </row>
    <row r="66" spans="1:42" ht="15.75" hidden="1" customHeight="1" outlineLevel="1" x14ac:dyDescent="0.2">
      <c r="A66" s="79" t="s">
        <v>1040</v>
      </c>
      <c r="B66" s="112" t="s">
        <v>1043</v>
      </c>
      <c r="C66" s="79" t="s">
        <v>1</v>
      </c>
      <c r="D66" s="1" t="s">
        <v>675</v>
      </c>
      <c r="E66" s="47">
        <f>ROUND(SUMIF('Target Achieved- Input'!$B$2:$B$90,'Incentive Report- Output'!B66,'Target Achieved- Input'!$G$2:$G$90),0)</f>
        <v>50</v>
      </c>
      <c r="F66" s="47">
        <f>ROUND(SUMIF('Target Achieved- Input'!$B$2:$B$90,'Incentive Report- Output'!B66,'Target Achieved- Input'!$H$2:$H$90),0)</f>
        <v>65</v>
      </c>
      <c r="G66" s="47">
        <f>SUMIF('Target Achieved- Input'!$L$2:$L$90,'Incentive Report- Output'!B66,'Target Achieved- Input'!$O$2:$O$90)</f>
        <v>18</v>
      </c>
      <c r="H66" s="39">
        <f>SUMIF('Target Achieved- Input'!$S$2:$S$90,'Incentive Report- Output'!B66,'Target Achieved- Input'!$V$2:$V$90)</f>
        <v>3</v>
      </c>
      <c r="I66" s="48">
        <f>SUMIF('Target Achieved- Input'!$L$2:$L$90,'Incentive Report- Output'!B66,'Target Achieved- Input'!$AC$2:$AC$90)</f>
        <v>1</v>
      </c>
      <c r="J66" s="39">
        <f t="shared" si="131"/>
        <v>15</v>
      </c>
      <c r="K66" s="40">
        <f t="shared" si="132"/>
        <v>0.3</v>
      </c>
      <c r="L66" s="41">
        <f t="shared" si="133"/>
        <v>1650000</v>
      </c>
      <c r="M66" s="41">
        <f>SUMIF('Target Achieved- Input'!$L$2:$L$90,'Incentive Report- Output'!B66,'Target Achieved- Input'!$M$2:$M$90)</f>
        <v>885732</v>
      </c>
      <c r="N66" s="41">
        <f>SUMIF('Target Achieved- Input'!$S$2:$S$90,'Incentive Report- Output'!B66,'Target Achieved- Input'!$U$2:$U$90)</f>
        <v>172878.8135593218</v>
      </c>
      <c r="O66" s="41">
        <f>SUMIF('Target Achieved- Input'!$L$2:$L$90,'Incentive Report- Output'!B66,'Target Achieved- Input'!$N$2:$N$90)-N66</f>
        <v>577741.52542372816</v>
      </c>
      <c r="P66" s="40">
        <f t="shared" si="134"/>
        <v>0.35014637904468371</v>
      </c>
      <c r="Q66" s="40">
        <f t="shared" si="135"/>
        <v>0.35014637904468371</v>
      </c>
      <c r="R66" s="40">
        <v>0</v>
      </c>
      <c r="S66" s="49">
        <f>(LOOKUP(Q66,Policy!$L$12:$M$16)+R66)*O66</f>
        <v>0</v>
      </c>
      <c r="T66" s="185"/>
      <c r="U66" s="156"/>
      <c r="V66" s="51"/>
      <c r="W66" s="156"/>
      <c r="X66" s="398"/>
      <c r="Y66" s="398"/>
      <c r="Z66" s="401"/>
      <c r="AA66" s="55">
        <v>0</v>
      </c>
      <c r="AB66" s="41">
        <v>0</v>
      </c>
      <c r="AC66" s="41">
        <v>0</v>
      </c>
      <c r="AD66" s="41">
        <f t="shared" si="141"/>
        <v>0</v>
      </c>
      <c r="AE66" s="41">
        <f t="shared" si="142"/>
        <v>0</v>
      </c>
      <c r="AF66" s="41">
        <f t="shared" si="138"/>
        <v>0</v>
      </c>
      <c r="AG66" s="31"/>
      <c r="AH66" s="419"/>
      <c r="AI66" s="22" t="s">
        <v>1040</v>
      </c>
      <c r="AJ66" s="1" t="s">
        <v>1043</v>
      </c>
      <c r="AK66" s="195" t="s">
        <v>675</v>
      </c>
      <c r="AL66" s="299">
        <v>0</v>
      </c>
      <c r="AM66" s="299">
        <f t="shared" si="143"/>
        <v>0</v>
      </c>
      <c r="AN66" s="300">
        <f t="shared" si="144"/>
        <v>0</v>
      </c>
    </row>
    <row r="67" spans="1:42" ht="15.75" hidden="1" customHeight="1" outlineLevel="1" x14ac:dyDescent="0.2">
      <c r="A67" s="109" t="s">
        <v>6</v>
      </c>
      <c r="B67" s="109"/>
      <c r="C67" s="109"/>
      <c r="D67" s="292" t="s">
        <v>675</v>
      </c>
      <c r="E67" s="44">
        <f>SUM(E60:E66)</f>
        <v>360</v>
      </c>
      <c r="F67" s="44">
        <f t="shared" ref="F67:O67" si="145">SUM(F60:F66)</f>
        <v>469</v>
      </c>
      <c r="G67" s="44">
        <f t="shared" si="145"/>
        <v>136</v>
      </c>
      <c r="H67" s="44">
        <f t="shared" si="145"/>
        <v>31</v>
      </c>
      <c r="I67" s="44">
        <f t="shared" si="145"/>
        <v>9</v>
      </c>
      <c r="J67" s="44">
        <f t="shared" si="145"/>
        <v>105</v>
      </c>
      <c r="K67" s="44"/>
      <c r="L67" s="44">
        <f t="shared" si="145"/>
        <v>11880000</v>
      </c>
      <c r="M67" s="44">
        <f t="shared" si="145"/>
        <v>6356114</v>
      </c>
      <c r="N67" s="44">
        <f t="shared" si="145"/>
        <v>1320227.966101693</v>
      </c>
      <c r="O67" s="44">
        <f t="shared" si="145"/>
        <v>4066309.3220338933</v>
      </c>
      <c r="P67" s="45"/>
      <c r="Q67" s="46"/>
      <c r="R67" s="46"/>
      <c r="S67" s="44">
        <f t="shared" ref="S67:AF67" si="146">SUM(S60:S66)</f>
        <v>18248.788135593193</v>
      </c>
      <c r="T67" s="44">
        <f t="shared" si="146"/>
        <v>0</v>
      </c>
      <c r="U67" s="44">
        <f t="shared" si="146"/>
        <v>0</v>
      </c>
      <c r="V67" s="44">
        <f t="shared" si="146"/>
        <v>0</v>
      </c>
      <c r="W67" s="44">
        <f t="shared" si="146"/>
        <v>0</v>
      </c>
      <c r="X67" s="44">
        <f t="shared" si="146"/>
        <v>360</v>
      </c>
      <c r="Y67" s="44">
        <f t="shared" si="146"/>
        <v>105</v>
      </c>
      <c r="Z67" s="44">
        <f t="shared" si="146"/>
        <v>0.29166666666666669</v>
      </c>
      <c r="AA67" s="44">
        <f t="shared" si="146"/>
        <v>0</v>
      </c>
      <c r="AB67" s="44">
        <f t="shared" si="146"/>
        <v>0</v>
      </c>
      <c r="AC67" s="44">
        <f t="shared" si="146"/>
        <v>0</v>
      </c>
      <c r="AD67" s="44">
        <f t="shared" si="146"/>
        <v>0</v>
      </c>
      <c r="AE67" s="44">
        <f t="shared" si="146"/>
        <v>18248.788135593193</v>
      </c>
      <c r="AF67" s="44">
        <f t="shared" si="146"/>
        <v>18248.788135593193</v>
      </c>
      <c r="AG67" s="31"/>
      <c r="AH67" s="419"/>
      <c r="AI67" s="43" t="s">
        <v>6</v>
      </c>
      <c r="AJ67" s="43"/>
      <c r="AK67" s="43" t="s">
        <v>675</v>
      </c>
      <c r="AL67" s="308">
        <v>18248.788135593193</v>
      </c>
      <c r="AM67" s="308">
        <f>SUM(AM60:AM66)</f>
        <v>18248.788135593193</v>
      </c>
      <c r="AN67" s="308">
        <f>SUM(AN60:AN66)</f>
        <v>0</v>
      </c>
    </row>
    <row r="68" spans="1:42" ht="15.75" hidden="1" customHeight="1" outlineLevel="1" x14ac:dyDescent="0.2">
      <c r="A68" s="79" t="s">
        <v>41</v>
      </c>
      <c r="B68" s="112" t="s">
        <v>42</v>
      </c>
      <c r="C68" s="79" t="s">
        <v>0</v>
      </c>
      <c r="D68" s="1" t="s">
        <v>931</v>
      </c>
      <c r="E68" s="47">
        <f>ROUND(SUMIF('Target Achieved- Input'!$B$2:$B$90,'Incentive Report- Output'!B68,'Target Achieved- Input'!$G$2:$G$90),0)</f>
        <v>60</v>
      </c>
      <c r="F68" s="47">
        <f>ROUND(SUMIF('Target Achieved- Input'!$B$2:$B$90,'Incentive Report- Output'!B68,'Target Achieved- Input'!$H$2:$H$90),0)</f>
        <v>78</v>
      </c>
      <c r="G68" s="47">
        <f>SUMIF('Target Achieved- Input'!$L$2:$L$90,'Incentive Report- Output'!B68,'Target Achieved- Input'!$O$2:$O$90)</f>
        <v>41</v>
      </c>
      <c r="H68" s="39">
        <f>SUMIF('Target Achieved- Input'!$S$2:$S$90,'Incentive Report- Output'!B68,'Target Achieved- Input'!$V$2:$V$90)</f>
        <v>13</v>
      </c>
      <c r="I68" s="48">
        <f>SUMIF('Target Achieved- Input'!$L$2:$L$90,'Incentive Report- Output'!B68,'Target Achieved- Input'!$AC$2:$AC$90)</f>
        <v>1</v>
      </c>
      <c r="J68" s="39">
        <f t="shared" ref="J68:J73" si="147">G68-H68</f>
        <v>28</v>
      </c>
      <c r="K68" s="40">
        <f t="shared" ref="K68:K73" si="148">IFERROR(J68/E68,0)</f>
        <v>0.46666666666666667</v>
      </c>
      <c r="L68" s="41">
        <f t="shared" ref="L68:L73" si="149">E68*33000</f>
        <v>1980000</v>
      </c>
      <c r="M68" s="41">
        <f>SUMIF('Target Achieved- Input'!$L$2:$L$90,'Incentive Report- Output'!B68,'Target Achieved- Input'!$M$2:$M$90)</f>
        <v>2000309</v>
      </c>
      <c r="N68" s="41">
        <f>SUMIF('Target Achieved- Input'!$S$2:$S$90,'Incentive Report- Output'!B68,'Target Achieved- Input'!$U$2:$U$90)</f>
        <v>543760.16949152481</v>
      </c>
      <c r="O68" s="41">
        <f>SUMIF('Target Achieved- Input'!$L$2:$L$90,'Incentive Report- Output'!B68,'Target Achieved- Input'!$N$2:$N$90)-N68</f>
        <v>1151416.9491525413</v>
      </c>
      <c r="P68" s="40">
        <f t="shared" ref="P68:P73" si="150">IFERROR(O68/L68,0)</f>
        <v>0.58152371169320272</v>
      </c>
      <c r="Q68" s="40">
        <f t="shared" ref="Q68:Q73" si="151">MAX(P68,K68)</f>
        <v>0.58152371169320272</v>
      </c>
      <c r="R68" s="40">
        <v>0</v>
      </c>
      <c r="S68" s="49">
        <f>(LOOKUP(Q68,Policy!$L$12:$M$16)+R68)*O68</f>
        <v>5757.0847457627069</v>
      </c>
      <c r="T68" s="191"/>
      <c r="U68" s="192"/>
      <c r="V68" s="144"/>
      <c r="W68" s="192"/>
      <c r="X68" s="402"/>
      <c r="Y68" s="402"/>
      <c r="Z68" s="402"/>
      <c r="AA68" s="52">
        <v>0</v>
      </c>
      <c r="AB68" s="52">
        <v>0</v>
      </c>
      <c r="AC68" s="52">
        <v>0</v>
      </c>
      <c r="AD68" s="41">
        <f t="shared" ref="AD68" si="152">IF(AF68&gt;200000,AF68-200000,0)</f>
        <v>0</v>
      </c>
      <c r="AE68" s="41">
        <f t="shared" ref="AE68" si="153">AF68-AD68</f>
        <v>5757.0847457627069</v>
      </c>
      <c r="AF68" s="41">
        <f t="shared" ref="AF68:AF73" si="154">S68+W68+AB68+AC68</f>
        <v>5757.0847457627069</v>
      </c>
      <c r="AG68" s="31"/>
      <c r="AH68" s="419"/>
      <c r="AI68" s="22" t="s">
        <v>41</v>
      </c>
      <c r="AJ68" s="1" t="s">
        <v>42</v>
      </c>
      <c r="AK68" s="195" t="s">
        <v>931</v>
      </c>
      <c r="AL68" s="299">
        <v>16951.771186440663</v>
      </c>
      <c r="AM68" s="299">
        <f t="shared" ref="AM68" si="155">AF68</f>
        <v>5757.0847457627069</v>
      </c>
      <c r="AN68" s="300">
        <f t="shared" ref="AN68" si="156">AL68-AM68</f>
        <v>11194.686440677957</v>
      </c>
    </row>
    <row r="69" spans="1:42" ht="15.75" hidden="1" customHeight="1" outlineLevel="1" x14ac:dyDescent="0.2">
      <c r="A69" s="79" t="s">
        <v>1041</v>
      </c>
      <c r="B69" s="112" t="s">
        <v>1042</v>
      </c>
      <c r="C69" s="79" t="s">
        <v>1</v>
      </c>
      <c r="D69" s="1" t="s">
        <v>931</v>
      </c>
      <c r="E69" s="47">
        <f>ROUND(SUMIF('Target Achieved- Input'!$B$2:$B$90,'Incentive Report- Output'!B69,'Target Achieved- Input'!$G$2:$G$90),0)</f>
        <v>50</v>
      </c>
      <c r="F69" s="47">
        <f>ROUND(SUMIF('Target Achieved- Input'!$B$2:$B$90,'Incentive Report- Output'!B69,'Target Achieved- Input'!$H$2:$H$90),0)</f>
        <v>65</v>
      </c>
      <c r="G69" s="47">
        <f>SUMIF('Target Achieved- Input'!$L$2:$L$90,'Incentive Report- Output'!B69,'Target Achieved- Input'!$O$2:$O$90)</f>
        <v>24</v>
      </c>
      <c r="H69" s="39">
        <f>SUMIF('Target Achieved- Input'!$S$2:$S$90,'Incentive Report- Output'!B69,'Target Achieved- Input'!$V$2:$V$90)</f>
        <v>13</v>
      </c>
      <c r="I69" s="48">
        <f>SUMIF('Target Achieved- Input'!$L$2:$L$90,'Incentive Report- Output'!B69,'Target Achieved- Input'!$AC$2:$AC$90)</f>
        <v>4</v>
      </c>
      <c r="J69" s="39">
        <f t="shared" si="147"/>
        <v>11</v>
      </c>
      <c r="K69" s="40">
        <f t="shared" si="148"/>
        <v>0.22</v>
      </c>
      <c r="L69" s="41">
        <f t="shared" si="149"/>
        <v>1650000</v>
      </c>
      <c r="M69" s="41">
        <f>SUMIF('Target Achieved- Input'!$L$2:$L$90,'Incentive Report- Output'!B69,'Target Achieved- Input'!$M$2:$M$90)</f>
        <v>1017626</v>
      </c>
      <c r="N69" s="41">
        <f>SUMIF('Target Achieved- Input'!$S$2:$S$90,'Incentive Report- Output'!B69,'Target Achieved- Input'!$U$2:$U$90)</f>
        <v>493209.3220338978</v>
      </c>
      <c r="O69" s="41">
        <f>SUMIF('Target Achieved- Input'!$L$2:$L$90,'Incentive Report- Output'!B69,'Target Achieved- Input'!$N$2:$N$90)-N69</f>
        <v>369185.59322033852</v>
      </c>
      <c r="P69" s="40">
        <f t="shared" si="150"/>
        <v>0.22374884437596274</v>
      </c>
      <c r="Q69" s="40">
        <f t="shared" si="151"/>
        <v>0.22374884437596274</v>
      </c>
      <c r="R69" s="40">
        <v>0</v>
      </c>
      <c r="S69" s="49">
        <f>(LOOKUP(Q69,Policy!$L$12:$M$16)+R69)*O69</f>
        <v>0</v>
      </c>
      <c r="T69" s="191"/>
      <c r="U69" s="192"/>
      <c r="V69" s="144"/>
      <c r="W69" s="192"/>
      <c r="X69" s="403"/>
      <c r="Y69" s="403"/>
      <c r="Z69" s="403"/>
      <c r="AA69" s="52">
        <v>0</v>
      </c>
      <c r="AB69" s="52">
        <v>0</v>
      </c>
      <c r="AC69" s="52">
        <v>0</v>
      </c>
      <c r="AD69" s="41">
        <f t="shared" ref="AD69:AD73" si="157">IF(AF69&gt;200000,AF69-200000,0)</f>
        <v>0</v>
      </c>
      <c r="AE69" s="41">
        <f t="shared" ref="AE69:AE73" si="158">AF69-AD69</f>
        <v>0</v>
      </c>
      <c r="AF69" s="41">
        <f t="shared" si="154"/>
        <v>0</v>
      </c>
      <c r="AG69" s="31"/>
      <c r="AH69" s="419"/>
      <c r="AI69" s="22" t="s">
        <v>1041</v>
      </c>
      <c r="AJ69" s="1" t="s">
        <v>1042</v>
      </c>
      <c r="AK69" s="195" t="s">
        <v>931</v>
      </c>
      <c r="AL69" s="299">
        <v>4311.9745762711818</v>
      </c>
      <c r="AM69" s="299">
        <f t="shared" ref="AM69:AM91" si="159">AF69</f>
        <v>0</v>
      </c>
      <c r="AN69" s="300">
        <f t="shared" ref="AN69:AN91" si="160">AL69-AM69</f>
        <v>4311.9745762711818</v>
      </c>
    </row>
    <row r="70" spans="1:42" ht="15.75" hidden="1" customHeight="1" outlineLevel="1" x14ac:dyDescent="0.2">
      <c r="A70" s="79" t="s">
        <v>304</v>
      </c>
      <c r="B70" s="112" t="s">
        <v>306</v>
      </c>
      <c r="C70" s="79" t="s">
        <v>1</v>
      </c>
      <c r="D70" s="1" t="s">
        <v>931</v>
      </c>
      <c r="E70" s="47">
        <f>ROUND(SUMIF('Target Achieved- Input'!$B$2:$B$90,'Incentive Report- Output'!B70,'Target Achieved- Input'!$G$2:$G$90),0)</f>
        <v>60</v>
      </c>
      <c r="F70" s="47">
        <f>ROUND(SUMIF('Target Achieved- Input'!$B$2:$B$90,'Incentive Report- Output'!B70,'Target Achieved- Input'!$H$2:$H$90),0)</f>
        <v>78</v>
      </c>
      <c r="G70" s="47">
        <f>SUMIF('Target Achieved- Input'!$L$2:$L$90,'Incentive Report- Output'!B70,'Target Achieved- Input'!$O$2:$O$90)</f>
        <v>36</v>
      </c>
      <c r="H70" s="39">
        <f>SUMIF('Target Achieved- Input'!$S$2:$S$90,'Incentive Report- Output'!B70,'Target Achieved- Input'!$V$2:$V$90)</f>
        <v>0</v>
      </c>
      <c r="I70" s="48">
        <f>SUMIF('Target Achieved- Input'!$L$2:$L$90,'Incentive Report- Output'!B70,'Target Achieved- Input'!$AC$2:$AC$90)</f>
        <v>2</v>
      </c>
      <c r="J70" s="39">
        <f t="shared" si="147"/>
        <v>36</v>
      </c>
      <c r="K70" s="40">
        <f t="shared" si="148"/>
        <v>0.6</v>
      </c>
      <c r="L70" s="41">
        <f t="shared" si="149"/>
        <v>1980000</v>
      </c>
      <c r="M70" s="41">
        <f>SUMIF('Target Achieved- Input'!$L$2:$L$90,'Incentive Report- Output'!B70,'Target Achieved- Input'!$M$2:$M$90)</f>
        <v>1727714</v>
      </c>
      <c r="N70" s="41">
        <f>SUMIF('Target Achieved- Input'!$S$2:$S$90,'Incentive Report- Output'!B70,'Target Achieved- Input'!$U$2:$U$90)</f>
        <v>0</v>
      </c>
      <c r="O70" s="41">
        <f>SUMIF('Target Achieved- Input'!$L$2:$L$90,'Incentive Report- Output'!B70,'Target Achieved- Input'!$N$2:$N$90)-N70</f>
        <v>1464164.4067796594</v>
      </c>
      <c r="P70" s="40">
        <f t="shared" si="150"/>
        <v>0.7394769731210401</v>
      </c>
      <c r="Q70" s="40">
        <f t="shared" si="151"/>
        <v>0.7394769731210401</v>
      </c>
      <c r="R70" s="40">
        <v>0</v>
      </c>
      <c r="S70" s="49">
        <f>(LOOKUP(Q70,Policy!$L$12:$M$16)+R70)*O70</f>
        <v>7320.8220338982974</v>
      </c>
      <c r="T70" s="191"/>
      <c r="U70" s="192"/>
      <c r="V70" s="144"/>
      <c r="W70" s="192"/>
      <c r="X70" s="403"/>
      <c r="Y70" s="403"/>
      <c r="Z70" s="403"/>
      <c r="AA70" s="52">
        <v>0</v>
      </c>
      <c r="AB70" s="52">
        <v>0</v>
      </c>
      <c r="AC70" s="52">
        <v>0</v>
      </c>
      <c r="AD70" s="41">
        <f t="shared" si="157"/>
        <v>0</v>
      </c>
      <c r="AE70" s="41">
        <f t="shared" si="158"/>
        <v>7320.8220338982974</v>
      </c>
      <c r="AF70" s="41">
        <f t="shared" si="154"/>
        <v>7320.8220338982974</v>
      </c>
      <c r="AG70" s="31"/>
      <c r="AH70" s="419"/>
      <c r="AI70" s="22" t="s">
        <v>304</v>
      </c>
      <c r="AJ70" s="1" t="s">
        <v>306</v>
      </c>
      <c r="AK70" s="195" t="s">
        <v>931</v>
      </c>
      <c r="AL70" s="299">
        <v>7320.8220338982974</v>
      </c>
      <c r="AM70" s="299">
        <f t="shared" si="159"/>
        <v>7320.8220338982974</v>
      </c>
      <c r="AN70" s="300">
        <f t="shared" si="160"/>
        <v>0</v>
      </c>
    </row>
    <row r="71" spans="1:42" ht="15.75" hidden="1" customHeight="1" outlineLevel="1" x14ac:dyDescent="0.2">
      <c r="A71" s="79" t="s">
        <v>659</v>
      </c>
      <c r="B71" s="112" t="s">
        <v>660</v>
      </c>
      <c r="C71" s="79" t="s">
        <v>1</v>
      </c>
      <c r="D71" s="1" t="s">
        <v>931</v>
      </c>
      <c r="E71" s="47">
        <f>ROUND(SUMIF('Target Achieved- Input'!$B$2:$B$90,'Incentive Report- Output'!B71,'Target Achieved- Input'!$G$2:$G$90),0)</f>
        <v>50</v>
      </c>
      <c r="F71" s="47">
        <f>ROUND(SUMIF('Target Achieved- Input'!$B$2:$B$90,'Incentive Report- Output'!B71,'Target Achieved- Input'!$H$2:$H$90),0)</f>
        <v>65</v>
      </c>
      <c r="G71" s="47">
        <f>SUMIF('Target Achieved- Input'!$L$2:$L$90,'Incentive Report- Output'!B71,'Target Achieved- Input'!$O$2:$O$90)</f>
        <v>33</v>
      </c>
      <c r="H71" s="39">
        <f>SUMIF('Target Achieved- Input'!$S$2:$S$90,'Incentive Report- Output'!B71,'Target Achieved- Input'!$V$2:$V$90)</f>
        <v>6</v>
      </c>
      <c r="I71" s="48">
        <f>SUMIF('Target Achieved- Input'!$L$2:$L$90,'Incentive Report- Output'!B71,'Target Achieved- Input'!$AC$2:$AC$90)</f>
        <v>2</v>
      </c>
      <c r="J71" s="39">
        <f t="shared" si="147"/>
        <v>27</v>
      </c>
      <c r="K71" s="40">
        <f t="shared" si="148"/>
        <v>0.54</v>
      </c>
      <c r="L71" s="41">
        <f t="shared" si="149"/>
        <v>1650000</v>
      </c>
      <c r="M71" s="41">
        <f>SUMIF('Target Achieved- Input'!$L$2:$L$90,'Incentive Report- Output'!B71,'Target Achieved- Input'!$M$2:$M$90)</f>
        <v>1541067</v>
      </c>
      <c r="N71" s="41">
        <f>SUMIF('Target Achieved- Input'!$S$2:$S$90,'Incentive Report- Output'!B71,'Target Achieved- Input'!$U$2:$U$90)</f>
        <v>206477.96610169468</v>
      </c>
      <c r="O71" s="41">
        <f>SUMIF('Target Achieved- Input'!$L$2:$L$90,'Incentive Report- Output'!B71,'Target Achieved- Input'!$N$2:$N$90)-N71</f>
        <v>1099511.0169491516</v>
      </c>
      <c r="P71" s="40">
        <f t="shared" si="150"/>
        <v>0.66637031330251617</v>
      </c>
      <c r="Q71" s="40">
        <f t="shared" si="151"/>
        <v>0.66637031330251617</v>
      </c>
      <c r="R71" s="40">
        <v>0</v>
      </c>
      <c r="S71" s="49">
        <f>(LOOKUP(Q71,Policy!$L$12:$M$16)+R71)*O71</f>
        <v>5497.555084745758</v>
      </c>
      <c r="T71" s="185"/>
      <c r="U71" s="156"/>
      <c r="V71" s="51"/>
      <c r="W71" s="156"/>
      <c r="X71" s="403"/>
      <c r="Y71" s="403"/>
      <c r="Z71" s="403"/>
      <c r="AA71" s="52">
        <v>0</v>
      </c>
      <c r="AB71" s="52">
        <v>0</v>
      </c>
      <c r="AC71" s="52">
        <v>0</v>
      </c>
      <c r="AD71" s="41">
        <f t="shared" si="157"/>
        <v>0</v>
      </c>
      <c r="AE71" s="41">
        <f t="shared" si="158"/>
        <v>5497.555084745758</v>
      </c>
      <c r="AF71" s="41">
        <f t="shared" si="154"/>
        <v>5497.555084745758</v>
      </c>
      <c r="AG71" s="31"/>
      <c r="AH71" s="419"/>
      <c r="AI71" s="22" t="s">
        <v>659</v>
      </c>
      <c r="AJ71" s="1" t="s">
        <v>660</v>
      </c>
      <c r="AK71" s="195" t="s">
        <v>931</v>
      </c>
      <c r="AL71" s="299">
        <v>6529.9449152542311</v>
      </c>
      <c r="AM71" s="299">
        <f t="shared" si="159"/>
        <v>5497.555084745758</v>
      </c>
      <c r="AN71" s="300">
        <f t="shared" si="160"/>
        <v>1032.3898305084731</v>
      </c>
    </row>
    <row r="72" spans="1:42" ht="15.75" hidden="1" customHeight="1" outlineLevel="1" x14ac:dyDescent="0.2">
      <c r="A72" s="79" t="s">
        <v>117</v>
      </c>
      <c r="B72" s="112" t="s">
        <v>196</v>
      </c>
      <c r="C72" s="79" t="s">
        <v>1185</v>
      </c>
      <c r="D72" s="1" t="s">
        <v>931</v>
      </c>
      <c r="E72" s="47">
        <f>ROUND(SUMIF('Target Achieved- Input'!$B$2:$B$90,'Incentive Report- Output'!B72,'Target Achieved- Input'!$G$2:$G$90),0)</f>
        <v>60</v>
      </c>
      <c r="F72" s="47">
        <f>ROUND(SUMIF('Target Achieved- Input'!$B$2:$B$90,'Incentive Report- Output'!B72,'Target Achieved- Input'!$H$2:$H$90),0)</f>
        <v>78</v>
      </c>
      <c r="G72" s="47">
        <f>SUMIF('Target Achieved- Input'!$L$2:$L$90,'Incentive Report- Output'!B72,'Target Achieved- Input'!$O$2:$O$90)</f>
        <v>65</v>
      </c>
      <c r="H72" s="39">
        <f>SUMIF('Target Achieved- Input'!$S$2:$S$90,'Incentive Report- Output'!B72,'Target Achieved- Input'!$V$2:$V$90)</f>
        <v>9</v>
      </c>
      <c r="I72" s="48">
        <f>SUMIF('Target Achieved- Input'!$L$2:$L$90,'Incentive Report- Output'!B72,'Target Achieved- Input'!$AC$2:$AC$90)</f>
        <v>4</v>
      </c>
      <c r="J72" s="39">
        <f t="shared" si="147"/>
        <v>56</v>
      </c>
      <c r="K72" s="40">
        <f t="shared" si="148"/>
        <v>0.93333333333333335</v>
      </c>
      <c r="L72" s="41">
        <f t="shared" si="149"/>
        <v>1980000</v>
      </c>
      <c r="M72" s="41">
        <f>SUMIF('Target Achieved- Input'!$L$2:$L$90,'Incentive Report- Output'!B72,'Target Achieved- Input'!$M$2:$M$90)</f>
        <v>3512535</v>
      </c>
      <c r="N72" s="41">
        <f>SUMIF('Target Achieved- Input'!$S$2:$S$90,'Incentive Report- Output'!B72,'Target Achieved- Input'!$U$2:$U$90)</f>
        <v>391517.79661016894</v>
      </c>
      <c r="O72" s="41">
        <f>SUMIF('Target Achieved- Input'!$L$2:$L$90,'Incentive Report- Output'!B72,'Target Achieved- Input'!$N$2:$N$90)-N72</f>
        <v>2585206.779661011</v>
      </c>
      <c r="P72" s="40">
        <f t="shared" si="150"/>
        <v>1.3056599897277834</v>
      </c>
      <c r="Q72" s="40">
        <f t="shared" si="151"/>
        <v>1.3056599897277834</v>
      </c>
      <c r="R72" s="40">
        <v>0</v>
      </c>
      <c r="S72" s="49">
        <f>(LOOKUP(Q72,Policy!$L$12:$M$16)+R72)*O72</f>
        <v>77556.20338983032</v>
      </c>
      <c r="T72" s="191">
        <f>L70</f>
        <v>1980000</v>
      </c>
      <c r="U72" s="192">
        <f>O70</f>
        <v>1464164.4067796594</v>
      </c>
      <c r="V72" s="51">
        <f>IFERROR(U72/T72,0)</f>
        <v>0.7394769731210401</v>
      </c>
      <c r="W72" s="156">
        <f>LOOKUP(V72,Policy!$L$18:$M$21)*U72</f>
        <v>0</v>
      </c>
      <c r="X72" s="403"/>
      <c r="Y72" s="403"/>
      <c r="Z72" s="403"/>
      <c r="AA72" s="52">
        <v>0</v>
      </c>
      <c r="AB72" s="52">
        <v>0</v>
      </c>
      <c r="AC72" s="52">
        <v>0</v>
      </c>
      <c r="AD72" s="41">
        <f t="shared" si="157"/>
        <v>0</v>
      </c>
      <c r="AE72" s="41">
        <f t="shared" si="158"/>
        <v>77556.20338983032</v>
      </c>
      <c r="AF72" s="41">
        <f t="shared" si="154"/>
        <v>77556.20338983032</v>
      </c>
      <c r="AG72" s="31"/>
      <c r="AH72" s="419"/>
      <c r="AI72" s="22" t="s">
        <v>117</v>
      </c>
      <c r="AJ72" s="1" t="s">
        <v>196</v>
      </c>
      <c r="AK72" s="195" t="s">
        <v>931</v>
      </c>
      <c r="AL72" s="299">
        <v>89301.737288135395</v>
      </c>
      <c r="AM72" s="299">
        <f t="shared" si="159"/>
        <v>77556.20338983032</v>
      </c>
      <c r="AN72" s="300">
        <f t="shared" si="160"/>
        <v>11745.533898305075</v>
      </c>
    </row>
    <row r="73" spans="1:42" ht="15.75" hidden="1" customHeight="1" outlineLevel="1" x14ac:dyDescent="0.2">
      <c r="A73" s="79" t="s">
        <v>765</v>
      </c>
      <c r="B73" s="112" t="s">
        <v>766</v>
      </c>
      <c r="C73" s="79" t="s">
        <v>1</v>
      </c>
      <c r="D73" s="1" t="s">
        <v>931</v>
      </c>
      <c r="E73" s="47">
        <f>ROUND(SUMIF('Target Achieved- Input'!$B$2:$B$90,'Incentive Report- Output'!B73,'Target Achieved- Input'!$G$2:$G$90),0)</f>
        <v>55</v>
      </c>
      <c r="F73" s="47">
        <f>ROUND(SUMIF('Target Achieved- Input'!$B$2:$B$90,'Incentive Report- Output'!B73,'Target Achieved- Input'!$H$2:$H$90),0)</f>
        <v>72</v>
      </c>
      <c r="G73" s="47">
        <f>SUMIF('Target Achieved- Input'!$L$2:$L$90,'Incentive Report- Output'!B73,'Target Achieved- Input'!$O$2:$O$90)</f>
        <v>49</v>
      </c>
      <c r="H73" s="39">
        <f>SUMIF('Target Achieved- Input'!$S$2:$S$90,'Incentive Report- Output'!B73,'Target Achieved- Input'!$V$2:$V$90)</f>
        <v>11</v>
      </c>
      <c r="I73" s="48">
        <f>SUMIF('Target Achieved- Input'!$L$2:$L$90,'Incentive Report- Output'!B73,'Target Achieved- Input'!$AC$2:$AC$90)</f>
        <v>5</v>
      </c>
      <c r="J73" s="39">
        <f t="shared" si="147"/>
        <v>38</v>
      </c>
      <c r="K73" s="40">
        <f t="shared" si="148"/>
        <v>0.69090909090909092</v>
      </c>
      <c r="L73" s="41">
        <f t="shared" si="149"/>
        <v>1815000</v>
      </c>
      <c r="M73" s="41">
        <f>SUMIF('Target Achieved- Input'!$L$2:$L$90,'Incentive Report- Output'!B73,'Target Achieved- Input'!$M$2:$M$90)</f>
        <v>2123251</v>
      </c>
      <c r="N73" s="41">
        <f>SUMIF('Target Achieved- Input'!$S$2:$S$90,'Incentive Report- Output'!B73,'Target Achieved- Input'!$U$2:$U$90)</f>
        <v>432194.06779660971</v>
      </c>
      <c r="O73" s="41">
        <f>SUMIF('Target Achieved- Input'!$L$2:$L$90,'Incentive Report- Output'!B73,'Target Achieved- Input'!$N$2:$N$90)-N73</f>
        <v>1367171.1864406765</v>
      </c>
      <c r="P73" s="40">
        <f t="shared" si="150"/>
        <v>0.7532623616753038</v>
      </c>
      <c r="Q73" s="40">
        <f t="shared" si="151"/>
        <v>0.7532623616753038</v>
      </c>
      <c r="R73" s="40">
        <v>0</v>
      </c>
      <c r="S73" s="49">
        <f>(LOOKUP(Q73,Policy!$L$12:$M$16)+R73)*O73</f>
        <v>6835.8559322033825</v>
      </c>
      <c r="T73" s="185"/>
      <c r="U73" s="156"/>
      <c r="V73" s="51"/>
      <c r="W73" s="156"/>
      <c r="X73" s="404"/>
      <c r="Y73" s="404"/>
      <c r="Z73" s="404"/>
      <c r="AA73" s="52">
        <v>0</v>
      </c>
      <c r="AB73" s="52">
        <v>0</v>
      </c>
      <c r="AC73" s="52">
        <v>0</v>
      </c>
      <c r="AD73" s="41">
        <f t="shared" si="157"/>
        <v>0</v>
      </c>
      <c r="AE73" s="41">
        <f t="shared" si="158"/>
        <v>6835.8559322033825</v>
      </c>
      <c r="AF73" s="41">
        <f t="shared" si="154"/>
        <v>6835.8559322033825</v>
      </c>
      <c r="AG73" s="31"/>
      <c r="AH73" s="419"/>
      <c r="AI73" s="22" t="s">
        <v>765</v>
      </c>
      <c r="AJ73" s="1" t="s">
        <v>766</v>
      </c>
      <c r="AK73" s="195" t="s">
        <v>931</v>
      </c>
      <c r="AL73" s="299">
        <v>17993.65254237286</v>
      </c>
      <c r="AM73" s="299">
        <f t="shared" si="159"/>
        <v>6835.8559322033825</v>
      </c>
      <c r="AN73" s="300">
        <f t="shared" si="160"/>
        <v>11157.796610169476</v>
      </c>
    </row>
    <row r="74" spans="1:42" ht="15.75" hidden="1" customHeight="1" outlineLevel="1" x14ac:dyDescent="0.2">
      <c r="A74" s="109" t="s">
        <v>6</v>
      </c>
      <c r="B74" s="109"/>
      <c r="C74" s="109"/>
      <c r="D74" s="292" t="s">
        <v>931</v>
      </c>
      <c r="E74" s="102">
        <f>SUM(E68:E73)</f>
        <v>335</v>
      </c>
      <c r="F74" s="102">
        <f t="shared" ref="F74:O74" si="161">SUM(F68:F73)</f>
        <v>436</v>
      </c>
      <c r="G74" s="102">
        <f t="shared" si="161"/>
        <v>248</v>
      </c>
      <c r="H74" s="102">
        <f t="shared" si="161"/>
        <v>52</v>
      </c>
      <c r="I74" s="102">
        <f t="shared" si="161"/>
        <v>18</v>
      </c>
      <c r="J74" s="102">
        <f t="shared" si="161"/>
        <v>196</v>
      </c>
      <c r="K74" s="102"/>
      <c r="L74" s="102">
        <f t="shared" si="161"/>
        <v>11055000</v>
      </c>
      <c r="M74" s="102">
        <f t="shared" si="161"/>
        <v>11922502</v>
      </c>
      <c r="N74" s="102">
        <f t="shared" si="161"/>
        <v>2067159.3220338956</v>
      </c>
      <c r="O74" s="102">
        <f t="shared" si="161"/>
        <v>8036655.9322033785</v>
      </c>
      <c r="P74" s="45"/>
      <c r="Q74" s="46"/>
      <c r="R74" s="46"/>
      <c r="S74" s="102">
        <f>SUM(S68:S73)</f>
        <v>102967.52118644046</v>
      </c>
      <c r="T74" s="102">
        <f t="shared" ref="T74:W74" si="162">SUM(T68:T73)</f>
        <v>1980000</v>
      </c>
      <c r="U74" s="102">
        <f t="shared" si="162"/>
        <v>1464164.4067796594</v>
      </c>
      <c r="V74" s="102">
        <f t="shared" si="162"/>
        <v>0.7394769731210401</v>
      </c>
      <c r="W74" s="102">
        <f t="shared" si="162"/>
        <v>0</v>
      </c>
      <c r="X74" s="102">
        <f>SUM(X69:X73)</f>
        <v>0</v>
      </c>
      <c r="Y74" s="102">
        <f>SUM(Y69:Y73)</f>
        <v>0</v>
      </c>
      <c r="Z74" s="103">
        <f>SUM(Z69:Z73)</f>
        <v>0</v>
      </c>
      <c r="AA74" s="102">
        <f t="shared" ref="AA74:AF74" si="163">SUM(AA68:AA73)</f>
        <v>0</v>
      </c>
      <c r="AB74" s="102">
        <f t="shared" si="163"/>
        <v>0</v>
      </c>
      <c r="AC74" s="102">
        <f t="shared" si="163"/>
        <v>0</v>
      </c>
      <c r="AD74" s="102">
        <f t="shared" si="163"/>
        <v>0</v>
      </c>
      <c r="AE74" s="102">
        <f t="shared" si="163"/>
        <v>102967.52118644046</v>
      </c>
      <c r="AF74" s="102">
        <f t="shared" si="163"/>
        <v>102967.52118644046</v>
      </c>
      <c r="AG74" s="31"/>
      <c r="AH74" s="419"/>
      <c r="AI74" s="43" t="s">
        <v>6</v>
      </c>
      <c r="AJ74" s="43"/>
      <c r="AK74" s="43" t="s">
        <v>931</v>
      </c>
      <c r="AL74" s="303">
        <v>142409.90254237264</v>
      </c>
      <c r="AM74" s="303">
        <f>SUM(AM68:AM73)</f>
        <v>102967.52118644046</v>
      </c>
      <c r="AN74" s="303">
        <f>SUM(AN68:AN73)</f>
        <v>39442.381355932164</v>
      </c>
    </row>
    <row r="75" spans="1:42" ht="15.75" hidden="1" customHeight="1" outlineLevel="1" x14ac:dyDescent="0.2">
      <c r="A75" s="42" t="s">
        <v>240</v>
      </c>
      <c r="B75" s="42" t="s">
        <v>241</v>
      </c>
      <c r="C75" s="79" t="s">
        <v>1</v>
      </c>
      <c r="D75" s="293" t="s">
        <v>1182</v>
      </c>
      <c r="E75" s="47">
        <f>ROUND(SUMIF('Target Achieved- Input'!$B$2:$B$90,'Incentive Report- Output'!B75,'Target Achieved- Input'!$G$2:$G$90),0)</f>
        <v>55</v>
      </c>
      <c r="F75" s="47">
        <f>ROUND(SUMIF('Target Achieved- Input'!$B$2:$B$90,'Incentive Report- Output'!B75,'Target Achieved- Input'!$H$2:$H$90),0)</f>
        <v>72</v>
      </c>
      <c r="G75" s="47">
        <f>SUMIF('Target Achieved- Input'!$L$2:$L$90,'Incentive Report- Output'!B75,'Target Achieved- Input'!$O$2:$O$90)</f>
        <v>30</v>
      </c>
      <c r="H75" s="39">
        <f>SUMIF('Target Achieved- Input'!$S$2:$S$90,'Incentive Report- Output'!B75,'Target Achieved- Input'!$V$2:$V$90)</f>
        <v>8</v>
      </c>
      <c r="I75" s="48">
        <f>SUMIF('Target Achieved- Input'!$L$2:$L$90,'Incentive Report- Output'!B75,'Target Achieved- Input'!$AC$2:$AC$90)</f>
        <v>0</v>
      </c>
      <c r="J75" s="39">
        <f t="shared" ref="J75:J78" si="164">G75-H75</f>
        <v>22</v>
      </c>
      <c r="K75" s="40">
        <f t="shared" ref="K75:K78" si="165">IFERROR(J75/E75,0)</f>
        <v>0.4</v>
      </c>
      <c r="L75" s="41">
        <f t="shared" ref="L75:L78" si="166">E75*33000</f>
        <v>1815000</v>
      </c>
      <c r="M75" s="41">
        <f>SUMIF('Target Achieved- Input'!$L$2:$L$90,'Incentive Report- Output'!B75,'Target Achieved- Input'!$M$2:$M$90)</f>
        <v>1408170</v>
      </c>
      <c r="N75" s="41">
        <f>SUMIF('Target Achieved- Input'!$S$2:$S$90,'Incentive Report- Output'!B75,'Target Achieved- Input'!$U$2:$U$90)</f>
        <v>323976.27118644014</v>
      </c>
      <c r="O75" s="41">
        <f>SUMIF('Target Achieved- Input'!$L$2:$L$90,'Incentive Report- Output'!B75,'Target Achieved- Input'!$N$2:$N$90)-N75</f>
        <v>869388.13559321931</v>
      </c>
      <c r="P75" s="40">
        <f t="shared" ref="P75:P78" si="167">IFERROR(O75/L75,0)</f>
        <v>0.47900172759956988</v>
      </c>
      <c r="Q75" s="40">
        <f t="shared" ref="Q75:Q78" si="168">MAX(P75,K75)</f>
        <v>0.47900172759956988</v>
      </c>
      <c r="R75" s="40">
        <v>0</v>
      </c>
      <c r="S75" s="49">
        <f>(LOOKUP(Q75,Policy!$L$12:$M$16)+R75)*O75</f>
        <v>0</v>
      </c>
      <c r="T75" s="191"/>
      <c r="U75" s="192"/>
      <c r="V75" s="144"/>
      <c r="W75" s="192"/>
      <c r="X75" s="385"/>
      <c r="Y75" s="385"/>
      <c r="Z75" s="385"/>
      <c r="AA75" s="52">
        <v>0</v>
      </c>
      <c r="AB75" s="52">
        <v>0</v>
      </c>
      <c r="AC75" s="52">
        <v>0</v>
      </c>
      <c r="AD75" s="41">
        <f t="shared" ref="AD75:AD78" si="169">IF(AF75&gt;200000,AF75-200000,0)</f>
        <v>0</v>
      </c>
      <c r="AE75" s="41">
        <f t="shared" ref="AE75:AE78" si="170">AF75-AD75</f>
        <v>0</v>
      </c>
      <c r="AF75" s="41">
        <f>S75+W75+AB75+AC75</f>
        <v>0</v>
      </c>
      <c r="AG75" s="32"/>
      <c r="AH75" s="419"/>
      <c r="AI75" s="22" t="s">
        <v>240</v>
      </c>
      <c r="AJ75" s="1" t="s">
        <v>241</v>
      </c>
      <c r="AK75" s="195" t="s">
        <v>1182</v>
      </c>
      <c r="AL75" s="309">
        <v>5966.8220338982974</v>
      </c>
      <c r="AM75" s="299">
        <f t="shared" si="159"/>
        <v>0</v>
      </c>
      <c r="AN75" s="300">
        <f t="shared" si="160"/>
        <v>5966.8220338982974</v>
      </c>
    </row>
    <row r="76" spans="1:42" ht="15.75" hidden="1" customHeight="1" outlineLevel="1" x14ac:dyDescent="0.2">
      <c r="A76" s="42" t="s">
        <v>352</v>
      </c>
      <c r="B76" s="42" t="s">
        <v>289</v>
      </c>
      <c r="C76" s="79" t="s">
        <v>1185</v>
      </c>
      <c r="D76" s="293" t="s">
        <v>1182</v>
      </c>
      <c r="E76" s="47">
        <f>ROUND(SUMIF('Target Achieved- Input'!$B$2:$B$90,'Incentive Report- Output'!B76,'Target Achieved- Input'!$G$2:$G$90),0)</f>
        <v>60</v>
      </c>
      <c r="F76" s="47">
        <f>ROUND(SUMIF('Target Achieved- Input'!$B$2:$B$90,'Incentive Report- Output'!B76,'Target Achieved- Input'!$H$2:$H$90),0)</f>
        <v>78</v>
      </c>
      <c r="G76" s="47">
        <f>SUMIF('Target Achieved- Input'!$L$2:$L$90,'Incentive Report- Output'!B76,'Target Achieved- Input'!$O$2:$O$90)</f>
        <v>38</v>
      </c>
      <c r="H76" s="39">
        <f>SUMIF('Target Achieved- Input'!$S$2:$S$90,'Incentive Report- Output'!B76,'Target Achieved- Input'!$V$2:$V$90)</f>
        <v>1</v>
      </c>
      <c r="I76" s="48">
        <f>SUMIF('Target Achieved- Input'!$L$2:$L$90,'Incentive Report- Output'!B76,'Target Achieved- Input'!$AC$2:$AC$90)</f>
        <v>7</v>
      </c>
      <c r="J76" s="39">
        <f t="shared" si="164"/>
        <v>37</v>
      </c>
      <c r="K76" s="40">
        <f t="shared" si="165"/>
        <v>0.6166666666666667</v>
      </c>
      <c r="L76" s="41">
        <f t="shared" si="166"/>
        <v>1980000</v>
      </c>
      <c r="M76" s="41">
        <f>SUMIF('Target Achieved- Input'!$L$2:$L$90,'Incentive Report- Output'!B76,'Target Achieved- Input'!$M$2:$M$90)</f>
        <v>1598612</v>
      </c>
      <c r="N76" s="41">
        <f>SUMIF('Target Achieved- Input'!$S$2:$S$90,'Incentive Report- Output'!B76,'Target Achieved- Input'!$U$2:$U$90)</f>
        <v>5083.8983050847401</v>
      </c>
      <c r="O76" s="41">
        <f>SUMIF('Target Achieved- Input'!$L$2:$L$90,'Incentive Report- Output'!B76,'Target Achieved- Input'!$N$2:$N$90)-N76</f>
        <v>1349672.0338983038</v>
      </c>
      <c r="P76" s="40">
        <f t="shared" si="167"/>
        <v>0.68165254237288064</v>
      </c>
      <c r="Q76" s="40">
        <f t="shared" si="168"/>
        <v>0.68165254237288064</v>
      </c>
      <c r="R76" s="40">
        <v>0</v>
      </c>
      <c r="S76" s="49">
        <f>(LOOKUP(Q76,Policy!$L$12:$M$16)+R76)*O76</f>
        <v>6748.3601694915187</v>
      </c>
      <c r="T76" s="191"/>
      <c r="U76" s="192"/>
      <c r="V76" s="51"/>
      <c r="W76" s="156"/>
      <c r="X76" s="386"/>
      <c r="Y76" s="386"/>
      <c r="Z76" s="386"/>
      <c r="AA76" s="52">
        <v>0</v>
      </c>
      <c r="AB76" s="52">
        <v>0</v>
      </c>
      <c r="AC76" s="52">
        <v>0</v>
      </c>
      <c r="AD76" s="41">
        <f t="shared" si="169"/>
        <v>0</v>
      </c>
      <c r="AE76" s="41">
        <f t="shared" si="170"/>
        <v>6748.3601694915187</v>
      </c>
      <c r="AF76" s="41">
        <f>S76+W76+AB76+AC76</f>
        <v>6748.3601694915187</v>
      </c>
      <c r="AG76" s="32"/>
      <c r="AH76" s="419"/>
      <c r="AI76" s="22" t="s">
        <v>352</v>
      </c>
      <c r="AJ76" s="1" t="s">
        <v>289</v>
      </c>
      <c r="AK76" s="195" t="s">
        <v>1182</v>
      </c>
      <c r="AL76" s="309">
        <v>6773.7796610169426</v>
      </c>
      <c r="AM76" s="299">
        <f t="shared" si="159"/>
        <v>6748.3601694915187</v>
      </c>
      <c r="AN76" s="300">
        <f t="shared" si="160"/>
        <v>25.419491525423837</v>
      </c>
    </row>
    <row r="77" spans="1:42" ht="15.75" hidden="1" customHeight="1" outlineLevel="1" x14ac:dyDescent="0.2">
      <c r="A77" s="42" t="s">
        <v>1186</v>
      </c>
      <c r="B77" s="42" t="s">
        <v>1187</v>
      </c>
      <c r="C77" s="79" t="s">
        <v>1</v>
      </c>
      <c r="D77" s="293" t="s">
        <v>1182</v>
      </c>
      <c r="E77" s="47">
        <f>ROUND(SUMIF('Target Achieved- Input'!$B$2:$B$90,'Incentive Report- Output'!B77,'Target Achieved- Input'!$G$2:$G$90),0)</f>
        <v>0</v>
      </c>
      <c r="F77" s="47">
        <f>ROUND(SUMIF('Target Achieved- Input'!$B$2:$B$90,'Incentive Report- Output'!B77,'Target Achieved- Input'!$H$2:$H$90),0)</f>
        <v>0</v>
      </c>
      <c r="G77" s="47">
        <f>SUMIF('Target Achieved- Input'!$L$2:$L$90,'Incentive Report- Output'!B77,'Target Achieved- Input'!$O$2:$O$90)</f>
        <v>0</v>
      </c>
      <c r="H77" s="39">
        <f>SUMIF('Target Achieved- Input'!$S$2:$S$90,'Incentive Report- Output'!B77,'Target Achieved- Input'!$V$2:$V$90)</f>
        <v>0</v>
      </c>
      <c r="I77" s="48">
        <f>SUMIF('Target Achieved- Input'!$L$2:$L$90,'Incentive Report- Output'!B77,'Target Achieved- Input'!$AC$2:$AC$90)</f>
        <v>0</v>
      </c>
      <c r="J77" s="39">
        <f t="shared" si="164"/>
        <v>0</v>
      </c>
      <c r="K77" s="40">
        <f t="shared" si="165"/>
        <v>0</v>
      </c>
      <c r="L77" s="41">
        <f t="shared" si="166"/>
        <v>0</v>
      </c>
      <c r="M77" s="41">
        <f>SUMIF('Target Achieved- Input'!$L$2:$L$90,'Incentive Report- Output'!B77,'Target Achieved- Input'!$M$2:$M$90)</f>
        <v>0</v>
      </c>
      <c r="N77" s="41">
        <f>SUMIF('Target Achieved- Input'!$S$2:$S$90,'Incentive Report- Output'!B77,'Target Achieved- Input'!$U$2:$U$90)</f>
        <v>0</v>
      </c>
      <c r="O77" s="41">
        <f>SUMIF('Target Achieved- Input'!$L$2:$L$90,'Incentive Report- Output'!B77,'Target Achieved- Input'!$N$2:$N$90)-N77</f>
        <v>0</v>
      </c>
      <c r="P77" s="40">
        <f t="shared" si="167"/>
        <v>0</v>
      </c>
      <c r="Q77" s="40">
        <f t="shared" si="168"/>
        <v>0</v>
      </c>
      <c r="R77" s="40">
        <v>0</v>
      </c>
      <c r="S77" s="49">
        <f>(LOOKUP(Q77,Policy!$L$12:$M$16)+R77)*O77</f>
        <v>0</v>
      </c>
      <c r="T77" s="191"/>
      <c r="U77" s="192"/>
      <c r="V77" s="144"/>
      <c r="W77" s="192"/>
      <c r="X77" s="386"/>
      <c r="Y77" s="386"/>
      <c r="Z77" s="386"/>
      <c r="AA77" s="52">
        <v>0</v>
      </c>
      <c r="AB77" s="52">
        <v>0</v>
      </c>
      <c r="AC77" s="52">
        <v>0</v>
      </c>
      <c r="AD77" s="41">
        <f t="shared" si="169"/>
        <v>0</v>
      </c>
      <c r="AE77" s="41">
        <f t="shared" si="170"/>
        <v>0</v>
      </c>
      <c r="AF77" s="41">
        <f>S77+W77+AB77+AC77</f>
        <v>0</v>
      </c>
      <c r="AG77" s="32"/>
      <c r="AH77" s="419"/>
      <c r="AI77" s="22" t="s">
        <v>1186</v>
      </c>
      <c r="AJ77" s="1" t="s">
        <v>1187</v>
      </c>
      <c r="AK77" s="195" t="s">
        <v>1182</v>
      </c>
      <c r="AL77" s="309">
        <v>0</v>
      </c>
      <c r="AM77" s="299">
        <f t="shared" si="159"/>
        <v>0</v>
      </c>
      <c r="AN77" s="300">
        <f t="shared" si="160"/>
        <v>0</v>
      </c>
    </row>
    <row r="78" spans="1:42" ht="15.75" hidden="1" customHeight="1" outlineLevel="1" x14ac:dyDescent="0.2">
      <c r="A78" s="42" t="s">
        <v>230</v>
      </c>
      <c r="B78" s="42" t="s">
        <v>35</v>
      </c>
      <c r="C78" s="79" t="s">
        <v>1</v>
      </c>
      <c r="D78" s="293" t="s">
        <v>1182</v>
      </c>
      <c r="E78" s="47">
        <f>ROUND(SUMIF('Target Achieved- Input'!$B$2:$B$90,'Incentive Report- Output'!B78,'Target Achieved- Input'!$G$2:$G$90),0)</f>
        <v>50</v>
      </c>
      <c r="F78" s="47">
        <f>ROUND(SUMIF('Target Achieved- Input'!$B$2:$B$90,'Incentive Report- Output'!B78,'Target Achieved- Input'!$H$2:$H$90),0)</f>
        <v>65</v>
      </c>
      <c r="G78" s="47">
        <f>SUMIF('Target Achieved- Input'!$L$2:$L$90,'Incentive Report- Output'!B78,'Target Achieved- Input'!$O$2:$O$90)</f>
        <v>26</v>
      </c>
      <c r="H78" s="39">
        <f>SUMIF('Target Achieved- Input'!$S$2:$S$90,'Incentive Report- Output'!B78,'Target Achieved- Input'!$V$2:$V$90)</f>
        <v>13</v>
      </c>
      <c r="I78" s="48">
        <f>SUMIF('Target Achieved- Input'!$L$2:$L$90,'Incentive Report- Output'!B78,'Target Achieved- Input'!$AC$2:$AC$90)</f>
        <v>0</v>
      </c>
      <c r="J78" s="39">
        <f t="shared" si="164"/>
        <v>13</v>
      </c>
      <c r="K78" s="40">
        <f t="shared" si="165"/>
        <v>0.26</v>
      </c>
      <c r="L78" s="41">
        <f t="shared" si="166"/>
        <v>1650000</v>
      </c>
      <c r="M78" s="41">
        <f>SUMIF('Target Achieved- Input'!$L$2:$L$90,'Incentive Report- Output'!B78,'Target Achieved- Input'!$M$2:$M$90)</f>
        <v>1307024</v>
      </c>
      <c r="N78" s="41">
        <f>SUMIF('Target Achieved- Input'!$S$2:$S$90,'Incentive Report- Output'!B78,'Target Achieved- Input'!$U$2:$U$90)</f>
        <v>546980.50847457547</v>
      </c>
      <c r="O78" s="41">
        <f>SUMIF('Target Achieved- Input'!$L$2:$L$90,'Incentive Report- Output'!B78,'Target Achieved- Input'!$N$2:$N$90)-N78</f>
        <v>560666.94915254193</v>
      </c>
      <c r="P78" s="40">
        <f t="shared" si="167"/>
        <v>0.33979815100154054</v>
      </c>
      <c r="Q78" s="40">
        <f t="shared" si="168"/>
        <v>0.33979815100154054</v>
      </c>
      <c r="R78" s="40">
        <v>0</v>
      </c>
      <c r="S78" s="49">
        <f>(LOOKUP(Q78,Policy!$L$12:$M$16)+R78)*O78</f>
        <v>0</v>
      </c>
      <c r="T78" s="185"/>
      <c r="U78" s="156"/>
      <c r="V78" s="51"/>
      <c r="W78" s="156"/>
      <c r="X78" s="387"/>
      <c r="Y78" s="387"/>
      <c r="Z78" s="387"/>
      <c r="AA78" s="52">
        <v>0</v>
      </c>
      <c r="AB78" s="52">
        <v>0</v>
      </c>
      <c r="AC78" s="52">
        <v>0</v>
      </c>
      <c r="AD78" s="41">
        <f t="shared" si="169"/>
        <v>0</v>
      </c>
      <c r="AE78" s="41">
        <f t="shared" si="170"/>
        <v>0</v>
      </c>
      <c r="AF78" s="41">
        <f>S78+W78+AB78+AC78</f>
        <v>0</v>
      </c>
      <c r="AG78" s="32"/>
      <c r="AH78" s="419"/>
      <c r="AI78" s="22" t="s">
        <v>230</v>
      </c>
      <c r="AJ78" s="1" t="s">
        <v>35</v>
      </c>
      <c r="AK78" s="195" t="s">
        <v>1182</v>
      </c>
      <c r="AL78" s="309">
        <v>5538.2372881355868</v>
      </c>
      <c r="AM78" s="299">
        <f t="shared" si="159"/>
        <v>0</v>
      </c>
      <c r="AN78" s="300">
        <f t="shared" si="160"/>
        <v>5538.2372881355868</v>
      </c>
    </row>
    <row r="79" spans="1:42" ht="15.75" hidden="1" customHeight="1" outlineLevel="1" x14ac:dyDescent="0.2">
      <c r="A79" s="109" t="s">
        <v>6</v>
      </c>
      <c r="B79" s="109"/>
      <c r="C79" s="109"/>
      <c r="D79" s="292" t="s">
        <v>1182</v>
      </c>
      <c r="E79" s="88">
        <f t="shared" ref="E79:J79" si="171">SUM(E75:E78)</f>
        <v>165</v>
      </c>
      <c r="F79" s="88">
        <f t="shared" si="171"/>
        <v>215</v>
      </c>
      <c r="G79" s="88">
        <f t="shared" si="171"/>
        <v>94</v>
      </c>
      <c r="H79" s="88">
        <f t="shared" si="171"/>
        <v>22</v>
      </c>
      <c r="I79" s="88">
        <f t="shared" si="171"/>
        <v>7</v>
      </c>
      <c r="J79" s="88">
        <f t="shared" si="171"/>
        <v>72</v>
      </c>
      <c r="K79" s="45"/>
      <c r="L79" s="88">
        <f>SUM(L75:L78)</f>
        <v>5445000</v>
      </c>
      <c r="M79" s="88">
        <f>SUM(M75:M78)</f>
        <v>4313806</v>
      </c>
      <c r="N79" s="88">
        <f>SUM(N75:N78)</f>
        <v>876040.6779661004</v>
      </c>
      <c r="O79" s="88">
        <f>SUM(O75:O78)</f>
        <v>2779727.1186440648</v>
      </c>
      <c r="P79" s="45"/>
      <c r="Q79" s="46"/>
      <c r="R79" s="237"/>
      <c r="S79" s="88">
        <f t="shared" ref="S79:AF79" si="172">SUM(S75:S78)</f>
        <v>6748.3601694915187</v>
      </c>
      <c r="T79" s="88">
        <f t="shared" si="172"/>
        <v>0</v>
      </c>
      <c r="U79" s="88">
        <f t="shared" si="172"/>
        <v>0</v>
      </c>
      <c r="V79" s="88">
        <f t="shared" si="172"/>
        <v>0</v>
      </c>
      <c r="W79" s="88">
        <f t="shared" si="172"/>
        <v>0</v>
      </c>
      <c r="X79" s="88">
        <f t="shared" si="172"/>
        <v>0</v>
      </c>
      <c r="Y79" s="88">
        <f t="shared" si="172"/>
        <v>0</v>
      </c>
      <c r="Z79" s="88">
        <f t="shared" si="172"/>
        <v>0</v>
      </c>
      <c r="AA79" s="88">
        <f t="shared" si="172"/>
        <v>0</v>
      </c>
      <c r="AB79" s="88">
        <f t="shared" si="172"/>
        <v>0</v>
      </c>
      <c r="AC79" s="88">
        <f t="shared" si="172"/>
        <v>0</v>
      </c>
      <c r="AD79" s="88">
        <f t="shared" si="172"/>
        <v>0</v>
      </c>
      <c r="AE79" s="88">
        <f t="shared" si="172"/>
        <v>6748.3601694915187</v>
      </c>
      <c r="AF79" s="88">
        <f t="shared" si="172"/>
        <v>6748.3601694915187</v>
      </c>
      <c r="AG79" s="31"/>
      <c r="AH79" s="419"/>
      <c r="AI79" s="43" t="s">
        <v>6</v>
      </c>
      <c r="AJ79" s="43"/>
      <c r="AK79" s="43" t="s">
        <v>1182</v>
      </c>
      <c r="AL79" s="307">
        <v>18278.838983050828</v>
      </c>
      <c r="AM79" s="307">
        <f>SUM(AM75:AM78)</f>
        <v>6748.3601694915187</v>
      </c>
      <c r="AN79" s="307">
        <f>SUM(AN75:AN78)</f>
        <v>11530.478813559308</v>
      </c>
    </row>
    <row r="80" spans="1:42" ht="15.75" hidden="1" customHeight="1" outlineLevel="1" x14ac:dyDescent="0.2">
      <c r="A80" s="42" t="s">
        <v>57</v>
      </c>
      <c r="B80" s="42" t="s">
        <v>58</v>
      </c>
      <c r="C80" s="42" t="s">
        <v>0</v>
      </c>
      <c r="D80" s="293" t="s">
        <v>1183</v>
      </c>
      <c r="E80" s="47">
        <f>ROUND(SUMIF('Target Achieved- Input'!$B$2:$B$90,'Incentive Report- Output'!B80,'Target Achieved- Input'!$G$2:$G$90),0)</f>
        <v>55</v>
      </c>
      <c r="F80" s="47">
        <f>ROUND(SUMIF('Target Achieved- Input'!$B$2:$B$90,'Incentive Report- Output'!B80,'Target Achieved- Input'!$H$2:$H$90),0)</f>
        <v>72</v>
      </c>
      <c r="G80" s="47">
        <f>SUMIF('Target Achieved- Input'!$L$2:$L$90,'Incentive Report- Output'!B80,'Target Achieved- Input'!$O$2:$O$90)</f>
        <v>20</v>
      </c>
      <c r="H80" s="39">
        <f>SUMIF('Target Achieved- Input'!$S$2:$S$90,'Incentive Report- Output'!B80,'Target Achieved- Input'!$V$2:$V$90)</f>
        <v>20</v>
      </c>
      <c r="I80" s="48">
        <f>SUMIF('Target Achieved- Input'!$L$2:$L$90,'Incentive Report- Output'!B80,'Target Achieved- Input'!$AC$2:$AC$90)</f>
        <v>0</v>
      </c>
      <c r="J80" s="39">
        <f t="shared" ref="J80:J85" si="173">G80-H80</f>
        <v>0</v>
      </c>
      <c r="K80" s="40">
        <f t="shared" ref="K80:K85" si="174">IFERROR(J80/E80,0)</f>
        <v>0</v>
      </c>
      <c r="L80" s="41">
        <f t="shared" ref="L80:L85" si="175">E80*33000</f>
        <v>1815000</v>
      </c>
      <c r="M80" s="41">
        <f>SUMIF('Target Achieved- Input'!$L$2:$L$90,'Incentive Report- Output'!B80,'Target Achieved- Input'!$M$2:$M$90)</f>
        <v>1087630</v>
      </c>
      <c r="N80" s="41">
        <f>SUMIF('Target Achieved- Input'!$S$2:$S$90,'Incentive Report- Output'!B80,'Target Achieved- Input'!$U$2:$U$90)</f>
        <v>921720.33898305008</v>
      </c>
      <c r="O80" s="41">
        <f>SUMIF('Target Achieved- Input'!$L$2:$L$90,'Incentive Report- Output'!B80,'Target Achieved- Input'!$N$2:$N$90)-N80</f>
        <v>0</v>
      </c>
      <c r="P80" s="40">
        <f t="shared" ref="P80:P85" si="176">IFERROR(O80/L80,0)</f>
        <v>0</v>
      </c>
      <c r="Q80" s="40">
        <f t="shared" ref="Q80:Q85" si="177">MAX(P80,K80)</f>
        <v>0</v>
      </c>
      <c r="R80" s="40">
        <v>0</v>
      </c>
      <c r="S80" s="49">
        <f>(LOOKUP(Q80,Policy!$L$12:$M$16)+R80)*O80</f>
        <v>0</v>
      </c>
      <c r="T80" s="191"/>
      <c r="U80" s="192"/>
      <c r="V80" s="144"/>
      <c r="W80" s="192"/>
      <c r="X80" s="385"/>
      <c r="Y80" s="385"/>
      <c r="Z80" s="385"/>
      <c r="AA80" s="52">
        <v>0</v>
      </c>
      <c r="AB80" s="52">
        <v>0</v>
      </c>
      <c r="AC80" s="52">
        <v>0</v>
      </c>
      <c r="AD80" s="41">
        <f t="shared" ref="AD80:AD85" si="178">IF(AF80&gt;200000,AF80-200000,0)</f>
        <v>0</v>
      </c>
      <c r="AE80" s="41">
        <f t="shared" ref="AE80:AE85" si="179">AF80-AD80</f>
        <v>0</v>
      </c>
      <c r="AF80" s="41">
        <f t="shared" ref="AF80:AF85" si="180">S80+W80+AB80+AC80</f>
        <v>0</v>
      </c>
      <c r="AG80" s="32"/>
      <c r="AH80" s="419"/>
      <c r="AI80" s="289" t="s">
        <v>57</v>
      </c>
      <c r="AJ80" s="289" t="s">
        <v>58</v>
      </c>
      <c r="AK80" s="289" t="s">
        <v>1183</v>
      </c>
      <c r="AL80" s="309">
        <v>4608.6016949152499</v>
      </c>
      <c r="AM80" s="299">
        <f t="shared" si="159"/>
        <v>0</v>
      </c>
      <c r="AN80" s="300">
        <f t="shared" si="160"/>
        <v>4608.6016949152499</v>
      </c>
    </row>
    <row r="81" spans="1:40" ht="15.75" hidden="1" customHeight="1" outlineLevel="1" x14ac:dyDescent="0.2">
      <c r="A81" s="42" t="s">
        <v>207</v>
      </c>
      <c r="B81" s="42" t="s">
        <v>201</v>
      </c>
      <c r="C81" s="79" t="s">
        <v>1</v>
      </c>
      <c r="D81" s="293" t="s">
        <v>1183</v>
      </c>
      <c r="E81" s="47">
        <f>ROUND(SUMIF('Target Achieved- Input'!$B$2:$B$90,'Incentive Report- Output'!B81,'Target Achieved- Input'!$G$2:$G$90),0)</f>
        <v>60</v>
      </c>
      <c r="F81" s="47">
        <f>ROUND(SUMIF('Target Achieved- Input'!$B$2:$B$90,'Incentive Report- Output'!B81,'Target Achieved- Input'!$H$2:$H$90),0)</f>
        <v>78</v>
      </c>
      <c r="G81" s="47">
        <f>SUMIF('Target Achieved- Input'!$L$2:$L$90,'Incentive Report- Output'!B81,'Target Achieved- Input'!$O$2:$O$90)</f>
        <v>25</v>
      </c>
      <c r="H81" s="39">
        <f>SUMIF('Target Achieved- Input'!$S$2:$S$90,'Incentive Report- Output'!B81,'Target Achieved- Input'!$V$2:$V$90)</f>
        <v>8</v>
      </c>
      <c r="I81" s="48">
        <f>SUMIF('Target Achieved- Input'!$L$2:$L$90,'Incentive Report- Output'!B81,'Target Achieved- Input'!$AC$2:$AC$90)</f>
        <v>4</v>
      </c>
      <c r="J81" s="39">
        <f t="shared" si="173"/>
        <v>17</v>
      </c>
      <c r="K81" s="40">
        <f t="shared" si="174"/>
        <v>0.28333333333333333</v>
      </c>
      <c r="L81" s="41">
        <f t="shared" si="175"/>
        <v>1980000</v>
      </c>
      <c r="M81" s="41">
        <f>SUMIF('Target Achieved- Input'!$L$2:$L$90,'Incentive Report- Output'!B81,'Target Achieved- Input'!$M$2:$M$90)</f>
        <v>1147575</v>
      </c>
      <c r="N81" s="41">
        <f>SUMIF('Target Achieved- Input'!$S$2:$S$90,'Incentive Report- Output'!B81,'Target Achieved- Input'!$U$2:$U$90)</f>
        <v>228213.55932203351</v>
      </c>
      <c r="O81" s="41">
        <f>SUMIF('Target Achieved- Input'!$L$2:$L$90,'Incentive Report- Output'!B81,'Target Achieved- Input'!$N$2:$N$90)-N81</f>
        <v>744307.62711864349</v>
      </c>
      <c r="P81" s="40">
        <f t="shared" si="176"/>
        <v>0.37591294298921391</v>
      </c>
      <c r="Q81" s="40">
        <f t="shared" si="177"/>
        <v>0.37591294298921391</v>
      </c>
      <c r="R81" s="40">
        <v>0</v>
      </c>
      <c r="S81" s="49">
        <f>(LOOKUP(Q81,Policy!$L$12:$M$16)+R81)*O81</f>
        <v>0</v>
      </c>
      <c r="T81" s="191"/>
      <c r="U81" s="192"/>
      <c r="V81" s="144"/>
      <c r="W81" s="192"/>
      <c r="X81" s="386"/>
      <c r="Y81" s="386"/>
      <c r="Z81" s="386"/>
      <c r="AA81" s="52">
        <v>0</v>
      </c>
      <c r="AB81" s="52">
        <v>0</v>
      </c>
      <c r="AC81" s="52">
        <v>0</v>
      </c>
      <c r="AD81" s="41">
        <f t="shared" si="178"/>
        <v>0</v>
      </c>
      <c r="AE81" s="41">
        <f t="shared" si="179"/>
        <v>0</v>
      </c>
      <c r="AF81" s="41">
        <f t="shared" si="180"/>
        <v>0</v>
      </c>
      <c r="AG81" s="32"/>
      <c r="AH81" s="419"/>
      <c r="AI81" s="289" t="s">
        <v>207</v>
      </c>
      <c r="AJ81" s="289" t="s">
        <v>201</v>
      </c>
      <c r="AK81" s="289" t="s">
        <v>1183</v>
      </c>
      <c r="AL81" s="309">
        <v>0</v>
      </c>
      <c r="AM81" s="299">
        <f t="shared" si="159"/>
        <v>0</v>
      </c>
      <c r="AN81" s="300">
        <f t="shared" si="160"/>
        <v>0</v>
      </c>
    </row>
    <row r="82" spans="1:40" ht="15.75" hidden="1" customHeight="1" outlineLevel="1" x14ac:dyDescent="0.2">
      <c r="A82" s="42" t="s">
        <v>299</v>
      </c>
      <c r="B82" s="42" t="s">
        <v>290</v>
      </c>
      <c r="C82" s="79" t="s">
        <v>1</v>
      </c>
      <c r="D82" s="293" t="s">
        <v>1183</v>
      </c>
      <c r="E82" s="47">
        <f>ROUND(SUMIF('Target Achieved- Input'!$B$2:$B$90,'Incentive Report- Output'!B82,'Target Achieved- Input'!$G$2:$G$90),0)</f>
        <v>60</v>
      </c>
      <c r="F82" s="47">
        <f>ROUND(SUMIF('Target Achieved- Input'!$B$2:$B$90,'Incentive Report- Output'!B82,'Target Achieved- Input'!$H$2:$H$90),0)</f>
        <v>78</v>
      </c>
      <c r="G82" s="47">
        <f>SUMIF('Target Achieved- Input'!$L$2:$L$90,'Incentive Report- Output'!B82,'Target Achieved- Input'!$O$2:$O$90)</f>
        <v>13</v>
      </c>
      <c r="H82" s="39">
        <f>SUMIF('Target Achieved- Input'!$S$2:$S$90,'Incentive Report- Output'!B82,'Target Achieved- Input'!$V$2:$V$90)</f>
        <v>13</v>
      </c>
      <c r="I82" s="48">
        <f>SUMIF('Target Achieved- Input'!$L$2:$L$90,'Incentive Report- Output'!B82,'Target Achieved- Input'!$AC$2:$AC$90)</f>
        <v>1</v>
      </c>
      <c r="J82" s="39">
        <f t="shared" si="173"/>
        <v>0</v>
      </c>
      <c r="K82" s="40">
        <f t="shared" si="174"/>
        <v>0</v>
      </c>
      <c r="L82" s="41">
        <f t="shared" si="175"/>
        <v>1980000</v>
      </c>
      <c r="M82" s="41">
        <f>SUMIF('Target Achieved- Input'!$L$2:$L$90,'Incentive Report- Output'!B82,'Target Achieved- Input'!$M$2:$M$90)</f>
        <v>678987</v>
      </c>
      <c r="N82" s="41">
        <f>SUMIF('Target Achieved- Input'!$S$2:$S$90,'Incentive Report- Output'!B82,'Target Achieved- Input'!$U$2:$U$90)</f>
        <v>575412.71186440601</v>
      </c>
      <c r="O82" s="41">
        <f>SUMIF('Target Achieved- Input'!$L$2:$L$90,'Incentive Report- Output'!B82,'Target Achieved- Input'!$N$2:$N$90)-N82</f>
        <v>0</v>
      </c>
      <c r="P82" s="40">
        <f t="shared" si="176"/>
        <v>0</v>
      </c>
      <c r="Q82" s="40">
        <f t="shared" si="177"/>
        <v>0</v>
      </c>
      <c r="R82" s="40">
        <v>0</v>
      </c>
      <c r="S82" s="49">
        <f>(LOOKUP(Q82,Policy!$L$12:$M$16)+R82)*O82</f>
        <v>0</v>
      </c>
      <c r="T82" s="191"/>
      <c r="U82" s="192"/>
      <c r="V82" s="144"/>
      <c r="W82" s="192"/>
      <c r="X82" s="386"/>
      <c r="Y82" s="386"/>
      <c r="Z82" s="386"/>
      <c r="AA82" s="52">
        <v>0</v>
      </c>
      <c r="AB82" s="52">
        <v>0</v>
      </c>
      <c r="AC82" s="52">
        <v>0</v>
      </c>
      <c r="AD82" s="41">
        <f t="shared" si="178"/>
        <v>0</v>
      </c>
      <c r="AE82" s="41">
        <f t="shared" si="179"/>
        <v>0</v>
      </c>
      <c r="AF82" s="41">
        <f t="shared" si="180"/>
        <v>0</v>
      </c>
      <c r="AG82" s="32"/>
      <c r="AH82" s="419"/>
      <c r="AI82" s="289" t="s">
        <v>299</v>
      </c>
      <c r="AJ82" s="289" t="s">
        <v>290</v>
      </c>
      <c r="AK82" s="289" t="s">
        <v>1183</v>
      </c>
      <c r="AL82" s="309">
        <v>0</v>
      </c>
      <c r="AM82" s="299">
        <f t="shared" si="159"/>
        <v>0</v>
      </c>
      <c r="AN82" s="300">
        <f t="shared" si="160"/>
        <v>0</v>
      </c>
    </row>
    <row r="83" spans="1:40" ht="15.75" hidden="1" customHeight="1" outlineLevel="1" x14ac:dyDescent="0.2">
      <c r="A83" s="42" t="s">
        <v>837</v>
      </c>
      <c r="B83" s="42" t="s">
        <v>838</v>
      </c>
      <c r="C83" s="79" t="s">
        <v>1</v>
      </c>
      <c r="D83" s="293" t="s">
        <v>1183</v>
      </c>
      <c r="E83" s="47">
        <f>ROUND(SUMIF('Target Achieved- Input'!$B$2:$B$90,'Incentive Report- Output'!B83,'Target Achieved- Input'!$G$2:$G$90),0)</f>
        <v>55</v>
      </c>
      <c r="F83" s="47">
        <f>ROUND(SUMIF('Target Achieved- Input'!$B$2:$B$90,'Incentive Report- Output'!B83,'Target Achieved- Input'!$H$2:$H$90),0)</f>
        <v>72</v>
      </c>
      <c r="G83" s="47">
        <f>SUMIF('Target Achieved- Input'!$L$2:$L$90,'Incentive Report- Output'!B83,'Target Achieved- Input'!$O$2:$O$90)</f>
        <v>13</v>
      </c>
      <c r="H83" s="39">
        <f>SUMIF('Target Achieved- Input'!$S$2:$S$90,'Incentive Report- Output'!B83,'Target Achieved- Input'!$V$2:$V$90)</f>
        <v>13</v>
      </c>
      <c r="I83" s="48">
        <f>SUMIF('Target Achieved- Input'!$L$2:$L$90,'Incentive Report- Output'!B83,'Target Achieved- Input'!$AC$2:$AC$90)</f>
        <v>0</v>
      </c>
      <c r="J83" s="39">
        <f t="shared" si="173"/>
        <v>0</v>
      </c>
      <c r="K83" s="40">
        <f t="shared" si="174"/>
        <v>0</v>
      </c>
      <c r="L83" s="41">
        <f t="shared" si="175"/>
        <v>1815000</v>
      </c>
      <c r="M83" s="41">
        <f>SUMIF('Target Achieved- Input'!$L$2:$L$90,'Incentive Report- Output'!B83,'Target Achieved- Input'!$M$2:$M$90)</f>
        <v>645737</v>
      </c>
      <c r="N83" s="41">
        <f>SUMIF('Target Achieved- Input'!$S$2:$S$90,'Incentive Report- Output'!B83,'Target Achieved- Input'!$U$2:$U$90)</f>
        <v>547234.74576271104</v>
      </c>
      <c r="O83" s="41">
        <f>SUMIF('Target Achieved- Input'!$L$2:$L$90,'Incentive Report- Output'!B83,'Target Achieved- Input'!$N$2:$N$90)-N83</f>
        <v>0</v>
      </c>
      <c r="P83" s="40">
        <f t="shared" si="176"/>
        <v>0</v>
      </c>
      <c r="Q83" s="40">
        <f t="shared" si="177"/>
        <v>0</v>
      </c>
      <c r="R83" s="40">
        <v>0</v>
      </c>
      <c r="S83" s="49">
        <f>(LOOKUP(Q83,Policy!$L$12:$M$16)+R83)*O83</f>
        <v>0</v>
      </c>
      <c r="T83" s="185"/>
      <c r="U83" s="156"/>
      <c r="V83" s="51"/>
      <c r="W83" s="156"/>
      <c r="X83" s="386"/>
      <c r="Y83" s="386"/>
      <c r="Z83" s="386"/>
      <c r="AA83" s="52">
        <v>0</v>
      </c>
      <c r="AB83" s="52">
        <v>0</v>
      </c>
      <c r="AC83" s="52">
        <v>0</v>
      </c>
      <c r="AD83" s="41">
        <f t="shared" si="178"/>
        <v>0</v>
      </c>
      <c r="AE83" s="41">
        <f t="shared" si="179"/>
        <v>0</v>
      </c>
      <c r="AF83" s="41">
        <f t="shared" si="180"/>
        <v>0</v>
      </c>
      <c r="AG83" s="32"/>
      <c r="AH83" s="419"/>
      <c r="AI83" s="289" t="s">
        <v>837</v>
      </c>
      <c r="AJ83" s="289" t="s">
        <v>838</v>
      </c>
      <c r="AK83" s="289" t="s">
        <v>1183</v>
      </c>
      <c r="AL83" s="309">
        <v>0</v>
      </c>
      <c r="AM83" s="299">
        <f t="shared" si="159"/>
        <v>0</v>
      </c>
      <c r="AN83" s="300">
        <f t="shared" si="160"/>
        <v>0</v>
      </c>
    </row>
    <row r="84" spans="1:40" ht="15.75" hidden="1" customHeight="1" outlineLevel="1" x14ac:dyDescent="0.2">
      <c r="A84" s="42" t="s">
        <v>221</v>
      </c>
      <c r="B84" s="42" t="s">
        <v>45</v>
      </c>
      <c r="C84" s="79" t="s">
        <v>1</v>
      </c>
      <c r="D84" s="293" t="s">
        <v>1183</v>
      </c>
      <c r="E84" s="47">
        <f>ROUND(SUMIF('Target Achieved- Input'!$B$2:$B$90,'Incentive Report- Output'!B84,'Target Achieved- Input'!$G$2:$G$90),0)</f>
        <v>60</v>
      </c>
      <c r="F84" s="47">
        <f>ROUND(SUMIF('Target Achieved- Input'!$B$2:$B$90,'Incentive Report- Output'!B84,'Target Achieved- Input'!$H$2:$H$90),0)</f>
        <v>78</v>
      </c>
      <c r="G84" s="47">
        <f>SUMIF('Target Achieved- Input'!$L$2:$L$90,'Incentive Report- Output'!B84,'Target Achieved- Input'!$O$2:$O$90)</f>
        <v>25</v>
      </c>
      <c r="H84" s="39">
        <f>SUMIF('Target Achieved- Input'!$S$2:$S$90,'Incentive Report- Output'!B84,'Target Achieved- Input'!$V$2:$V$90)</f>
        <v>2</v>
      </c>
      <c r="I84" s="48">
        <f>SUMIF('Target Achieved- Input'!$L$2:$L$90,'Incentive Report- Output'!B84,'Target Achieved- Input'!$AC$2:$AC$90)</f>
        <v>0</v>
      </c>
      <c r="J84" s="39">
        <f t="shared" si="173"/>
        <v>23</v>
      </c>
      <c r="K84" s="40">
        <f t="shared" si="174"/>
        <v>0.38333333333333336</v>
      </c>
      <c r="L84" s="41">
        <f t="shared" si="175"/>
        <v>1980000</v>
      </c>
      <c r="M84" s="41">
        <f>SUMIF('Target Achieved- Input'!$L$2:$L$90,'Incentive Report- Output'!B84,'Target Achieved- Input'!$M$2:$M$90)</f>
        <v>1179175</v>
      </c>
      <c r="N84" s="41">
        <f>SUMIF('Target Achieved- Input'!$S$2:$S$90,'Incentive Report- Output'!B84,'Target Achieved- Input'!$U$2:$U$90)</f>
        <v>99150.847457627009</v>
      </c>
      <c r="O84" s="41">
        <f>SUMIF('Target Achieved- Input'!$L$2:$L$90,'Incentive Report- Output'!B84,'Target Achieved- Input'!$N$2:$N$90)-N84</f>
        <v>900149.9999999986</v>
      </c>
      <c r="P84" s="40">
        <f t="shared" si="176"/>
        <v>0.45462121212121143</v>
      </c>
      <c r="Q84" s="40">
        <f t="shared" si="177"/>
        <v>0.45462121212121143</v>
      </c>
      <c r="R84" s="40">
        <v>0</v>
      </c>
      <c r="S84" s="49">
        <f>(LOOKUP(Q84,Policy!$L$12:$M$16)+R84)*O84</f>
        <v>0</v>
      </c>
      <c r="T84" s="191"/>
      <c r="U84" s="192"/>
      <c r="V84" s="144"/>
      <c r="W84" s="192"/>
      <c r="X84" s="386"/>
      <c r="Y84" s="386"/>
      <c r="Z84" s="386"/>
      <c r="AA84" s="52">
        <v>0</v>
      </c>
      <c r="AB84" s="52">
        <v>0</v>
      </c>
      <c r="AC84" s="52">
        <v>0</v>
      </c>
      <c r="AD84" s="41">
        <f t="shared" si="178"/>
        <v>0</v>
      </c>
      <c r="AE84" s="41">
        <f t="shared" si="179"/>
        <v>0</v>
      </c>
      <c r="AF84" s="41">
        <f t="shared" si="180"/>
        <v>0</v>
      </c>
      <c r="AG84" s="32"/>
      <c r="AH84" s="419"/>
      <c r="AI84" s="289" t="s">
        <v>221</v>
      </c>
      <c r="AJ84" s="289" t="s">
        <v>45</v>
      </c>
      <c r="AK84" s="289" t="s">
        <v>1183</v>
      </c>
      <c r="AL84" s="309">
        <v>4996.504237288128</v>
      </c>
      <c r="AM84" s="299">
        <f t="shared" si="159"/>
        <v>0</v>
      </c>
      <c r="AN84" s="300">
        <f t="shared" si="160"/>
        <v>4996.504237288128</v>
      </c>
    </row>
    <row r="85" spans="1:40" ht="15.75" hidden="1" customHeight="1" outlineLevel="1" x14ac:dyDescent="0.2">
      <c r="A85" s="42" t="s">
        <v>1165</v>
      </c>
      <c r="B85" s="42" t="s">
        <v>1166</v>
      </c>
      <c r="C85" s="79" t="s">
        <v>1</v>
      </c>
      <c r="D85" s="293" t="s">
        <v>1183</v>
      </c>
      <c r="E85" s="47">
        <f>ROUND(SUMIF('Target Achieved- Input'!$B$2:$B$90,'Incentive Report- Output'!B85,'Target Achieved- Input'!$G$2:$G$90),0)</f>
        <v>55</v>
      </c>
      <c r="F85" s="47">
        <f>ROUND(SUMIF('Target Achieved- Input'!$B$2:$B$90,'Incentive Report- Output'!B85,'Target Achieved- Input'!$H$2:$H$90),0)</f>
        <v>72</v>
      </c>
      <c r="G85" s="47">
        <f>SUMIF('Target Achieved- Input'!$L$2:$L$90,'Incentive Report- Output'!B85,'Target Achieved- Input'!$O$2:$O$90)</f>
        <v>31</v>
      </c>
      <c r="H85" s="39">
        <f>SUMIF('Target Achieved- Input'!$S$2:$S$90,'Incentive Report- Output'!B85,'Target Achieved- Input'!$V$2:$V$90)</f>
        <v>6</v>
      </c>
      <c r="I85" s="48">
        <f>SUMIF('Target Achieved- Input'!$L$2:$L$90,'Incentive Report- Output'!B85,'Target Achieved- Input'!$AC$2:$AC$90)</f>
        <v>1</v>
      </c>
      <c r="J85" s="39">
        <f t="shared" si="173"/>
        <v>25</v>
      </c>
      <c r="K85" s="40">
        <f t="shared" si="174"/>
        <v>0.45454545454545453</v>
      </c>
      <c r="L85" s="41">
        <f t="shared" si="175"/>
        <v>1815000</v>
      </c>
      <c r="M85" s="41">
        <f>SUMIF('Target Achieved- Input'!$L$2:$L$90,'Incentive Report- Output'!B85,'Target Achieved- Input'!$M$2:$M$90)</f>
        <v>1358469</v>
      </c>
      <c r="N85" s="41">
        <f>SUMIF('Target Achieved- Input'!$S$2:$S$90,'Incentive Report- Output'!B85,'Target Achieved- Input'!$U$2:$U$90)</f>
        <v>239528.81355932169</v>
      </c>
      <c r="O85" s="41">
        <f>SUMIF('Target Achieved- Input'!$L$2:$L$90,'Incentive Report- Output'!B85,'Target Achieved- Input'!$N$2:$N$90)-N85</f>
        <v>911716.10169491428</v>
      </c>
      <c r="P85" s="40">
        <f t="shared" si="176"/>
        <v>0.50232292104402987</v>
      </c>
      <c r="Q85" s="40">
        <f t="shared" si="177"/>
        <v>0.50232292104402987</v>
      </c>
      <c r="R85" s="40">
        <v>0</v>
      </c>
      <c r="S85" s="49">
        <f>(LOOKUP(Q85,Policy!$L$12:$M$16)+R85)*O85</f>
        <v>4558.5805084745716</v>
      </c>
      <c r="T85" s="185"/>
      <c r="U85" s="156"/>
      <c r="V85" s="51"/>
      <c r="W85" s="156"/>
      <c r="X85" s="387"/>
      <c r="Y85" s="387"/>
      <c r="Z85" s="387"/>
      <c r="AA85" s="52">
        <v>0</v>
      </c>
      <c r="AB85" s="52">
        <v>0</v>
      </c>
      <c r="AC85" s="52">
        <v>0</v>
      </c>
      <c r="AD85" s="41">
        <f t="shared" si="178"/>
        <v>0</v>
      </c>
      <c r="AE85" s="41">
        <f t="shared" si="179"/>
        <v>4558.5805084745716</v>
      </c>
      <c r="AF85" s="41">
        <f t="shared" si="180"/>
        <v>4558.5805084745716</v>
      </c>
      <c r="AG85" s="32"/>
      <c r="AH85" s="419"/>
      <c r="AI85" s="289" t="s">
        <v>1165</v>
      </c>
      <c r="AJ85" s="289" t="s">
        <v>1166</v>
      </c>
      <c r="AK85" s="289" t="s">
        <v>1183</v>
      </c>
      <c r="AL85" s="309">
        <v>5756.22457627118</v>
      </c>
      <c r="AM85" s="299">
        <f t="shared" si="159"/>
        <v>4558.5805084745716</v>
      </c>
      <c r="AN85" s="300">
        <f t="shared" si="160"/>
        <v>1197.6440677966084</v>
      </c>
    </row>
    <row r="86" spans="1:40" ht="15.75" hidden="1" customHeight="1" outlineLevel="1" x14ac:dyDescent="0.2">
      <c r="A86" s="109" t="s">
        <v>6</v>
      </c>
      <c r="B86" s="109"/>
      <c r="C86" s="109"/>
      <c r="D86" s="292" t="s">
        <v>1183</v>
      </c>
      <c r="E86" s="88">
        <f>SUM(E80:E85)</f>
        <v>345</v>
      </c>
      <c r="F86" s="88">
        <f t="shared" ref="F86:W86" si="181">SUM(F80:F85)</f>
        <v>450</v>
      </c>
      <c r="G86" s="88">
        <f t="shared" si="181"/>
        <v>127</v>
      </c>
      <c r="H86" s="88">
        <f t="shared" si="181"/>
        <v>62</v>
      </c>
      <c r="I86" s="88">
        <f t="shared" si="181"/>
        <v>6</v>
      </c>
      <c r="J86" s="88">
        <f t="shared" si="181"/>
        <v>65</v>
      </c>
      <c r="K86" s="88"/>
      <c r="L86" s="88">
        <f t="shared" si="181"/>
        <v>11385000</v>
      </c>
      <c r="M86" s="88">
        <f t="shared" si="181"/>
        <v>6097573</v>
      </c>
      <c r="N86" s="88">
        <f t="shared" si="181"/>
        <v>2611261.0169491493</v>
      </c>
      <c r="O86" s="88">
        <f t="shared" si="181"/>
        <v>2556173.728813556</v>
      </c>
      <c r="P86" s="88"/>
      <c r="Q86" s="88"/>
      <c r="R86" s="88"/>
      <c r="S86" s="88">
        <f t="shared" si="181"/>
        <v>4558.5805084745716</v>
      </c>
      <c r="T86" s="88">
        <f t="shared" si="181"/>
        <v>0</v>
      </c>
      <c r="U86" s="88">
        <f t="shared" si="181"/>
        <v>0</v>
      </c>
      <c r="V86" s="88">
        <f t="shared" si="181"/>
        <v>0</v>
      </c>
      <c r="W86" s="88">
        <f t="shared" si="181"/>
        <v>0</v>
      </c>
      <c r="X86" s="88">
        <f>SUM(X81:X85)</f>
        <v>0</v>
      </c>
      <c r="Y86" s="88">
        <f>SUM(Y81:Y85)</f>
        <v>0</v>
      </c>
      <c r="Z86" s="88">
        <f>SUM(Z81:Z85)</f>
        <v>0</v>
      </c>
      <c r="AA86" s="88">
        <f t="shared" ref="AA86" si="182">SUM(AA80:AA85)</f>
        <v>0</v>
      </c>
      <c r="AB86" s="88">
        <f t="shared" ref="AB86" si="183">SUM(AB80:AB85)</f>
        <v>0</v>
      </c>
      <c r="AC86" s="88">
        <f t="shared" ref="AC86" si="184">SUM(AC80:AC85)</f>
        <v>0</v>
      </c>
      <c r="AD86" s="88">
        <f t="shared" ref="AD86" si="185">SUM(AD80:AD85)</f>
        <v>0</v>
      </c>
      <c r="AE86" s="88">
        <f t="shared" ref="AE86" si="186">SUM(AE80:AE85)</f>
        <v>4558.5805084745716</v>
      </c>
      <c r="AF86" s="88">
        <f t="shared" ref="AF86" si="187">SUM(AF80:AF85)</f>
        <v>4558.5805084745716</v>
      </c>
      <c r="AG86" s="31"/>
      <c r="AH86" s="419"/>
      <c r="AI86" s="43" t="s">
        <v>6</v>
      </c>
      <c r="AJ86" s="43"/>
      <c r="AK86" s="43" t="s">
        <v>1183</v>
      </c>
      <c r="AL86" s="307">
        <v>15361.330508474559</v>
      </c>
      <c r="AM86" s="307">
        <f>SUM(AM80:AM85)</f>
        <v>4558.5805084745716</v>
      </c>
      <c r="AN86" s="307">
        <f>SUM(AN81:AN85)</f>
        <v>6194.1483050847364</v>
      </c>
    </row>
    <row r="87" spans="1:40" ht="15.75" hidden="1" customHeight="1" outlineLevel="1" x14ac:dyDescent="0.2">
      <c r="A87" s="42" t="s">
        <v>216</v>
      </c>
      <c r="B87" s="42" t="s">
        <v>18</v>
      </c>
      <c r="C87" s="42" t="s">
        <v>0</v>
      </c>
      <c r="D87" s="293" t="s">
        <v>1184</v>
      </c>
      <c r="E87" s="47">
        <f>ROUND(SUMIF('Target Achieved- Input'!$B$2:$B$90,'Incentive Report- Output'!B87,'Target Achieved- Input'!$G$2:$G$90),0)</f>
        <v>55</v>
      </c>
      <c r="F87" s="47">
        <f>ROUND(SUMIF('Target Achieved- Input'!$B$2:$B$90,'Incentive Report- Output'!B87,'Target Achieved- Input'!$H$2:$H$90),0)</f>
        <v>72</v>
      </c>
      <c r="G87" s="47">
        <f>SUMIF('Target Achieved- Input'!$L$2:$L$90,'Incentive Report- Output'!B87,'Target Achieved- Input'!$O$2:$O$90)</f>
        <v>26</v>
      </c>
      <c r="H87" s="39">
        <f>SUMIF('Target Achieved- Input'!$S$2:$S$90,'Incentive Report- Output'!B87,'Target Achieved- Input'!$V$2:$V$90)</f>
        <v>1</v>
      </c>
      <c r="I87" s="48">
        <f>SUMIF('Target Achieved- Input'!$L$2:$L$90,'Incentive Report- Output'!B87,'Target Achieved- Input'!$AC$2:$AC$90)</f>
        <v>1</v>
      </c>
      <c r="J87" s="39">
        <f t="shared" ref="J87:J91" si="188">G87-H87</f>
        <v>25</v>
      </c>
      <c r="K87" s="40">
        <f t="shared" ref="K87:K91" si="189">IFERROR(J87/E87,0)</f>
        <v>0.45454545454545453</v>
      </c>
      <c r="L87" s="41">
        <f t="shared" ref="L87:L91" si="190">E87*33000</f>
        <v>1815000</v>
      </c>
      <c r="M87" s="41">
        <f>SUMIF('Target Achieved- Input'!$L$2:$L$90,'Incentive Report- Output'!B87,'Target Achieved- Input'!$M$2:$M$90)</f>
        <v>1272624</v>
      </c>
      <c r="N87" s="41">
        <f>SUMIF('Target Achieved- Input'!$S$2:$S$90,'Incentive Report- Output'!B87,'Target Achieved- Input'!$U$2:$U$90)</f>
        <v>22583.898305084698</v>
      </c>
      <c r="O87" s="41">
        <f>SUMIF('Target Achieved- Input'!$L$2:$L$90,'Incentive Report- Output'!B87,'Target Achieved- Input'!$N$2:$N$90)-N87</f>
        <v>1055911.0169491512</v>
      </c>
      <c r="P87" s="40">
        <f t="shared" ref="P87:P91" si="191">IFERROR(O87/L87,0)</f>
        <v>0.58176915534388496</v>
      </c>
      <c r="Q87" s="40">
        <f t="shared" ref="Q87:Q91" si="192">MAX(P87,K87)</f>
        <v>0.58176915534388496</v>
      </c>
      <c r="R87" s="40">
        <v>0</v>
      </c>
      <c r="S87" s="49">
        <f>(LOOKUP(Q87,Policy!$L$12:$M$16)+R87)*O87</f>
        <v>5279.5550847457562</v>
      </c>
      <c r="T87" s="191"/>
      <c r="U87" s="192"/>
      <c r="V87" s="144"/>
      <c r="W87" s="192"/>
      <c r="X87" s="385"/>
      <c r="Y87" s="385"/>
      <c r="Z87" s="388"/>
      <c r="AA87" s="52">
        <v>0</v>
      </c>
      <c r="AB87" s="52">
        <v>0</v>
      </c>
      <c r="AC87" s="52">
        <v>0</v>
      </c>
      <c r="AD87" s="41">
        <f t="shared" ref="AD87:AD91" si="193">IF(AF87&gt;200000,AF87-200000,0)</f>
        <v>0</v>
      </c>
      <c r="AE87" s="41">
        <f t="shared" ref="AE87:AE91" si="194">AF87-AD87</f>
        <v>5279.5550847457562</v>
      </c>
      <c r="AF87" s="41">
        <f>S87+W87+AB87+AC87</f>
        <v>5279.5550847457562</v>
      </c>
      <c r="AG87" s="32"/>
      <c r="AH87" s="419"/>
      <c r="AI87" s="289" t="s">
        <v>216</v>
      </c>
      <c r="AJ87" s="289" t="s">
        <v>18</v>
      </c>
      <c r="AK87" s="289" t="s">
        <v>1184</v>
      </c>
      <c r="AL87" s="309">
        <v>5392.47457627118</v>
      </c>
      <c r="AM87" s="299">
        <f t="shared" si="159"/>
        <v>5279.5550847457562</v>
      </c>
      <c r="AN87" s="300">
        <f t="shared" si="160"/>
        <v>112.91949152542384</v>
      </c>
    </row>
    <row r="88" spans="1:40" ht="15.75" hidden="1" customHeight="1" outlineLevel="1" x14ac:dyDescent="0.2">
      <c r="A88" s="42" t="s">
        <v>701</v>
      </c>
      <c r="B88" s="42" t="s">
        <v>702</v>
      </c>
      <c r="C88" s="79" t="s">
        <v>1</v>
      </c>
      <c r="D88" s="293" t="s">
        <v>1184</v>
      </c>
      <c r="E88" s="47">
        <f>ROUND(SUMIF('Target Achieved- Input'!$B$2:$B$90,'Incentive Report- Output'!B88,'Target Achieved- Input'!$G$2:$G$90),0)</f>
        <v>50</v>
      </c>
      <c r="F88" s="47">
        <f>ROUND(SUMIF('Target Achieved- Input'!$B$2:$B$90,'Incentive Report- Output'!B88,'Target Achieved- Input'!$H$2:$H$90),0)</f>
        <v>65</v>
      </c>
      <c r="G88" s="47">
        <f>SUMIF('Target Achieved- Input'!$L$2:$L$90,'Incentive Report- Output'!B88,'Target Achieved- Input'!$O$2:$O$90)</f>
        <v>31</v>
      </c>
      <c r="H88" s="39">
        <f>SUMIF('Target Achieved- Input'!$S$2:$S$90,'Incentive Report- Output'!B88,'Target Achieved- Input'!$V$2:$V$90)</f>
        <v>0</v>
      </c>
      <c r="I88" s="48">
        <f>SUMIF('Target Achieved- Input'!$L$2:$L$90,'Incentive Report- Output'!B88,'Target Achieved- Input'!$AC$2:$AC$90)</f>
        <v>0</v>
      </c>
      <c r="J88" s="39">
        <f t="shared" si="188"/>
        <v>31</v>
      </c>
      <c r="K88" s="40">
        <f t="shared" si="189"/>
        <v>0.62</v>
      </c>
      <c r="L88" s="41">
        <f t="shared" si="190"/>
        <v>1650000</v>
      </c>
      <c r="M88" s="41">
        <f>SUMIF('Target Achieved- Input'!$L$2:$L$90,'Incentive Report- Output'!B88,'Target Achieved- Input'!$M$2:$M$90)</f>
        <v>1722069</v>
      </c>
      <c r="N88" s="41">
        <f>SUMIF('Target Achieved- Input'!$S$2:$S$90,'Incentive Report- Output'!B88,'Target Achieved- Input'!$U$2:$U$90)</f>
        <v>0</v>
      </c>
      <c r="O88" s="41">
        <f>SUMIF('Target Achieved- Input'!$L$2:$L$90,'Incentive Report- Output'!B88,'Target Achieved- Input'!$N$2:$N$90)-N88</f>
        <v>1459380.5084745751</v>
      </c>
      <c r="P88" s="40">
        <f t="shared" si="191"/>
        <v>0.88447303543913647</v>
      </c>
      <c r="Q88" s="40">
        <f t="shared" si="192"/>
        <v>0.88447303543913647</v>
      </c>
      <c r="R88" s="40">
        <v>0</v>
      </c>
      <c r="S88" s="49">
        <f>(LOOKUP(Q88,Policy!$L$12:$M$16)+R88)*O88</f>
        <v>14593.805084745751</v>
      </c>
      <c r="T88" s="191"/>
      <c r="U88" s="192"/>
      <c r="V88" s="144"/>
      <c r="W88" s="192"/>
      <c r="X88" s="386"/>
      <c r="Y88" s="386"/>
      <c r="Z88" s="389"/>
      <c r="AA88" s="52">
        <v>0</v>
      </c>
      <c r="AB88" s="52">
        <v>0</v>
      </c>
      <c r="AC88" s="52">
        <v>0</v>
      </c>
      <c r="AD88" s="41">
        <f t="shared" si="193"/>
        <v>0</v>
      </c>
      <c r="AE88" s="41">
        <f t="shared" si="194"/>
        <v>14593.805084745751</v>
      </c>
      <c r="AF88" s="41">
        <f>S88+W88+AB88+AC88</f>
        <v>14593.805084745751</v>
      </c>
      <c r="AG88" s="32"/>
      <c r="AH88" s="419"/>
      <c r="AI88" s="289" t="s">
        <v>701</v>
      </c>
      <c r="AJ88" s="289" t="s">
        <v>702</v>
      </c>
      <c r="AK88" s="289" t="s">
        <v>1184</v>
      </c>
      <c r="AL88" s="309">
        <v>14593.805084745751</v>
      </c>
      <c r="AM88" s="299">
        <f t="shared" si="159"/>
        <v>14593.805084745751</v>
      </c>
      <c r="AN88" s="300">
        <f t="shared" si="160"/>
        <v>0</v>
      </c>
    </row>
    <row r="89" spans="1:40" ht="15.75" hidden="1" customHeight="1" outlineLevel="1" x14ac:dyDescent="0.2">
      <c r="A89" s="42" t="s">
        <v>671</v>
      </c>
      <c r="B89" s="42" t="s">
        <v>200</v>
      </c>
      <c r="C89" s="79" t="s">
        <v>1</v>
      </c>
      <c r="D89" s="293" t="s">
        <v>1184</v>
      </c>
      <c r="E89" s="47">
        <f>ROUND(SUMIF('Target Achieved- Input'!$B$2:$B$90,'Incentive Report- Output'!B89,'Target Achieved- Input'!$G$2:$G$90),0)</f>
        <v>60</v>
      </c>
      <c r="F89" s="47">
        <f>ROUND(SUMIF('Target Achieved- Input'!$B$2:$B$90,'Incentive Report- Output'!B89,'Target Achieved- Input'!$H$2:$H$90),0)</f>
        <v>78</v>
      </c>
      <c r="G89" s="47">
        <f>SUMIF('Target Achieved- Input'!$L$2:$L$90,'Incentive Report- Output'!B89,'Target Achieved- Input'!$O$2:$O$90)</f>
        <v>67</v>
      </c>
      <c r="H89" s="39">
        <f>SUMIF('Target Achieved- Input'!$S$2:$S$90,'Incentive Report- Output'!B89,'Target Achieved- Input'!$V$2:$V$90)</f>
        <v>0</v>
      </c>
      <c r="I89" s="48">
        <f>SUMIF('Target Achieved- Input'!$L$2:$L$90,'Incentive Report- Output'!B89,'Target Achieved- Input'!$AC$2:$AC$90)</f>
        <v>2</v>
      </c>
      <c r="J89" s="39">
        <f t="shared" si="188"/>
        <v>67</v>
      </c>
      <c r="K89" s="40">
        <f t="shared" si="189"/>
        <v>1.1166666666666667</v>
      </c>
      <c r="L89" s="41">
        <f t="shared" si="190"/>
        <v>1980000</v>
      </c>
      <c r="M89" s="41">
        <f>SUMIF('Target Achieved- Input'!$L$2:$L$90,'Incentive Report- Output'!B89,'Target Achieved- Input'!$M$2:$M$90)</f>
        <v>3088833</v>
      </c>
      <c r="N89" s="41">
        <f>SUMIF('Target Achieved- Input'!$S$2:$S$90,'Incentive Report- Output'!B89,'Target Achieved- Input'!$U$2:$U$90)</f>
        <v>0</v>
      </c>
      <c r="O89" s="41">
        <f>SUMIF('Target Achieved- Input'!$L$2:$L$90,'Incentive Report- Output'!B89,'Target Achieved- Input'!$N$2:$N$90)-N89</f>
        <v>2617655.0847457591</v>
      </c>
      <c r="P89" s="40">
        <f t="shared" si="191"/>
        <v>1.3220480225988682</v>
      </c>
      <c r="Q89" s="40">
        <f t="shared" si="192"/>
        <v>1.3220480225988682</v>
      </c>
      <c r="R89" s="40">
        <v>0</v>
      </c>
      <c r="S89" s="49">
        <f>(LOOKUP(Q89,Policy!$L$12:$M$16)+R89)*O89</f>
        <v>78529.652542372773</v>
      </c>
      <c r="T89" s="185"/>
      <c r="U89" s="156"/>
      <c r="V89" s="51"/>
      <c r="W89" s="156"/>
      <c r="X89" s="386"/>
      <c r="Y89" s="386"/>
      <c r="Z89" s="389"/>
      <c r="AA89" s="52">
        <v>0</v>
      </c>
      <c r="AB89" s="52">
        <v>0</v>
      </c>
      <c r="AC89" s="52">
        <v>0</v>
      </c>
      <c r="AD89" s="41">
        <f t="shared" si="193"/>
        <v>0</v>
      </c>
      <c r="AE89" s="41">
        <f t="shared" si="194"/>
        <v>78529.652542372773</v>
      </c>
      <c r="AF89" s="41">
        <f>S89+W89+AB89+AC89</f>
        <v>78529.652542372773</v>
      </c>
      <c r="AG89" s="32"/>
      <c r="AH89" s="419"/>
      <c r="AI89" s="289" t="s">
        <v>671</v>
      </c>
      <c r="AJ89" s="289" t="s">
        <v>200</v>
      </c>
      <c r="AK89" s="289" t="s">
        <v>1184</v>
      </c>
      <c r="AL89" s="309">
        <v>78529.652542372773</v>
      </c>
      <c r="AM89" s="299">
        <f t="shared" si="159"/>
        <v>78529.652542372773</v>
      </c>
      <c r="AN89" s="300">
        <f t="shared" si="160"/>
        <v>0</v>
      </c>
    </row>
    <row r="90" spans="1:40" ht="15.75" hidden="1" customHeight="1" outlineLevel="1" x14ac:dyDescent="0.2">
      <c r="A90" s="42" t="s">
        <v>19</v>
      </c>
      <c r="B90" s="42" t="s">
        <v>205</v>
      </c>
      <c r="C90" s="79" t="s">
        <v>1185</v>
      </c>
      <c r="D90" s="293" t="s">
        <v>1184</v>
      </c>
      <c r="E90" s="47">
        <f>ROUND(SUMIF('Target Achieved- Input'!$B$2:$B$90,'Incentive Report- Output'!B90,'Target Achieved- Input'!$G$2:$G$90),0)</f>
        <v>60</v>
      </c>
      <c r="F90" s="47">
        <f>ROUND(SUMIF('Target Achieved- Input'!$B$2:$B$90,'Incentive Report- Output'!B90,'Target Achieved- Input'!$H$2:$H$90),0)</f>
        <v>78</v>
      </c>
      <c r="G90" s="47">
        <f>SUMIF('Target Achieved- Input'!$L$2:$L$90,'Incentive Report- Output'!B90,'Target Achieved- Input'!$O$2:$O$90)</f>
        <v>38</v>
      </c>
      <c r="H90" s="39">
        <f>SUMIF('Target Achieved- Input'!$S$2:$S$90,'Incentive Report- Output'!B90,'Target Achieved- Input'!$V$2:$V$90)</f>
        <v>0</v>
      </c>
      <c r="I90" s="48">
        <f>SUMIF('Target Achieved- Input'!$L$2:$L$90,'Incentive Report- Output'!B90,'Target Achieved- Input'!$AC$2:$AC$90)</f>
        <v>0</v>
      </c>
      <c r="J90" s="39">
        <f t="shared" si="188"/>
        <v>38</v>
      </c>
      <c r="K90" s="40">
        <f t="shared" si="189"/>
        <v>0.6333333333333333</v>
      </c>
      <c r="L90" s="41">
        <f t="shared" si="190"/>
        <v>1980000</v>
      </c>
      <c r="M90" s="41">
        <f>SUMIF('Target Achieved- Input'!$L$2:$L$90,'Incentive Report- Output'!B90,'Target Achieved- Input'!$M$2:$M$90)</f>
        <v>2087712</v>
      </c>
      <c r="N90" s="41">
        <f>SUMIF('Target Achieved- Input'!$S$2:$S$90,'Incentive Report- Output'!B90,'Target Achieved- Input'!$U$2:$U$90)</f>
        <v>0</v>
      </c>
      <c r="O90" s="41">
        <f>SUMIF('Target Achieved- Input'!$L$2:$L$90,'Incentive Report- Output'!B90,'Target Achieved- Input'!$N$2:$N$90)-N90</f>
        <v>1769247.4576271169</v>
      </c>
      <c r="P90" s="40">
        <f t="shared" si="191"/>
        <v>0.89355932203389743</v>
      </c>
      <c r="Q90" s="40">
        <f t="shared" si="192"/>
        <v>0.89355932203389743</v>
      </c>
      <c r="R90" s="40">
        <v>0</v>
      </c>
      <c r="S90" s="49">
        <f>(LOOKUP(Q90,Policy!$L$12:$M$16)+R90)*O90</f>
        <v>17692.474576271168</v>
      </c>
      <c r="T90" s="191">
        <f>L89</f>
        <v>1980000</v>
      </c>
      <c r="U90" s="192">
        <f>O89</f>
        <v>2617655.0847457591</v>
      </c>
      <c r="V90" s="51">
        <f>IFERROR(U90/T90,0)</f>
        <v>1.3220480225988682</v>
      </c>
      <c r="W90" s="156">
        <f>LOOKUP(V90,Policy!$L$18:$M$21)*U90</f>
        <v>6544.1377118643977</v>
      </c>
      <c r="X90" s="386"/>
      <c r="Y90" s="386"/>
      <c r="Z90" s="389"/>
      <c r="AA90" s="52">
        <v>0</v>
      </c>
      <c r="AB90" s="52">
        <v>0</v>
      </c>
      <c r="AC90" s="52">
        <v>0</v>
      </c>
      <c r="AD90" s="41">
        <f t="shared" si="193"/>
        <v>0</v>
      </c>
      <c r="AE90" s="41">
        <f t="shared" si="194"/>
        <v>24236.612288135566</v>
      </c>
      <c r="AF90" s="41">
        <f>S90+W90+AB90+AC90</f>
        <v>24236.612288135566</v>
      </c>
      <c r="AG90" s="32"/>
      <c r="AH90" s="419"/>
      <c r="AI90" s="289" t="s">
        <v>19</v>
      </c>
      <c r="AJ90" s="289" t="s">
        <v>205</v>
      </c>
      <c r="AK90" s="289" t="s">
        <v>1184</v>
      </c>
      <c r="AL90" s="309">
        <v>24236.612288135566</v>
      </c>
      <c r="AM90" s="299">
        <f t="shared" si="159"/>
        <v>24236.612288135566</v>
      </c>
      <c r="AN90" s="300">
        <f t="shared" si="160"/>
        <v>0</v>
      </c>
    </row>
    <row r="91" spans="1:40" ht="15.75" hidden="1" customHeight="1" outlineLevel="1" x14ac:dyDescent="0.2">
      <c r="A91" s="42" t="s">
        <v>333</v>
      </c>
      <c r="B91" s="42" t="s">
        <v>340</v>
      </c>
      <c r="C91" s="79" t="s">
        <v>1</v>
      </c>
      <c r="D91" s="293" t="s">
        <v>1184</v>
      </c>
      <c r="E91" s="47">
        <f>ROUND(SUMIF('Target Achieved- Input'!$B$2:$B$90,'Incentive Report- Output'!B91,'Target Achieved- Input'!$G$2:$G$90),0)</f>
        <v>50</v>
      </c>
      <c r="F91" s="47">
        <f>ROUND(SUMIF('Target Achieved- Input'!$B$2:$B$90,'Incentive Report- Output'!B91,'Target Achieved- Input'!$H$2:$H$90),0)</f>
        <v>65</v>
      </c>
      <c r="G91" s="47">
        <f>SUMIF('Target Achieved- Input'!$L$2:$L$90,'Incentive Report- Output'!B91,'Target Achieved- Input'!$O$2:$O$90)</f>
        <v>27</v>
      </c>
      <c r="H91" s="39">
        <f>SUMIF('Target Achieved- Input'!$S$2:$S$90,'Incentive Report- Output'!B91,'Target Achieved- Input'!$V$2:$V$90)</f>
        <v>0</v>
      </c>
      <c r="I91" s="48">
        <f>SUMIF('Target Achieved- Input'!$L$2:$L$90,'Incentive Report- Output'!B91,'Target Achieved- Input'!$AC$2:$AC$90)</f>
        <v>4</v>
      </c>
      <c r="J91" s="39">
        <f t="shared" si="188"/>
        <v>27</v>
      </c>
      <c r="K91" s="40">
        <f t="shared" si="189"/>
        <v>0.54</v>
      </c>
      <c r="L91" s="41">
        <f t="shared" si="190"/>
        <v>1650000</v>
      </c>
      <c r="M91" s="41">
        <f>SUMIF('Target Achieved- Input'!$L$2:$L$90,'Incentive Report- Output'!B91,'Target Achieved- Input'!$M$2:$M$90)</f>
        <v>1191873</v>
      </c>
      <c r="N91" s="41">
        <f>SUMIF('Target Achieved- Input'!$S$2:$S$90,'Incentive Report- Output'!B91,'Target Achieved- Input'!$U$2:$U$90)</f>
        <v>0</v>
      </c>
      <c r="O91" s="41">
        <f>SUMIF('Target Achieved- Input'!$L$2:$L$90,'Incentive Report- Output'!B91,'Target Achieved- Input'!$N$2:$N$90)-N91</f>
        <v>1010061.8644067787</v>
      </c>
      <c r="P91" s="40">
        <f t="shared" si="191"/>
        <v>0.612158705701078</v>
      </c>
      <c r="Q91" s="40">
        <f t="shared" si="192"/>
        <v>0.612158705701078</v>
      </c>
      <c r="R91" s="40">
        <v>0</v>
      </c>
      <c r="S91" s="49">
        <f>(LOOKUP(Q91,Policy!$L$12:$M$16)+R91)*O91</f>
        <v>5050.3093220338933</v>
      </c>
      <c r="T91" s="185"/>
      <c r="U91" s="156"/>
      <c r="V91" s="51"/>
      <c r="W91" s="156"/>
      <c r="X91" s="387"/>
      <c r="Y91" s="387"/>
      <c r="Z91" s="390"/>
      <c r="AA91" s="52">
        <v>0</v>
      </c>
      <c r="AB91" s="52">
        <v>0</v>
      </c>
      <c r="AC91" s="52">
        <v>0</v>
      </c>
      <c r="AD91" s="41">
        <f t="shared" si="193"/>
        <v>0</v>
      </c>
      <c r="AE91" s="41">
        <f t="shared" si="194"/>
        <v>5050.3093220338933</v>
      </c>
      <c r="AF91" s="41">
        <f>S91+W91+AB91+AC91</f>
        <v>5050.3093220338933</v>
      </c>
      <c r="AG91" s="32"/>
      <c r="AH91" s="419"/>
      <c r="AI91" s="289" t="s">
        <v>333</v>
      </c>
      <c r="AJ91" s="289" t="s">
        <v>340</v>
      </c>
      <c r="AK91" s="289" t="s">
        <v>1184</v>
      </c>
      <c r="AL91" s="309">
        <v>5050.3093220338933</v>
      </c>
      <c r="AM91" s="299">
        <f t="shared" si="159"/>
        <v>5050.3093220338933</v>
      </c>
      <c r="AN91" s="300">
        <f t="shared" si="160"/>
        <v>0</v>
      </c>
    </row>
    <row r="92" spans="1:40" ht="15.75" hidden="1" customHeight="1" outlineLevel="1" x14ac:dyDescent="0.2">
      <c r="A92" s="109" t="s">
        <v>6</v>
      </c>
      <c r="B92" s="109"/>
      <c r="C92" s="109"/>
      <c r="D92" s="292" t="s">
        <v>1184</v>
      </c>
      <c r="E92" s="88">
        <f>SUM(E87:E91)</f>
        <v>275</v>
      </c>
      <c r="F92" s="88">
        <f t="shared" ref="F92:AF92" si="195">SUM(F87:F91)</f>
        <v>358</v>
      </c>
      <c r="G92" s="88">
        <f t="shared" si="195"/>
        <v>189</v>
      </c>
      <c r="H92" s="88">
        <f t="shared" si="195"/>
        <v>1</v>
      </c>
      <c r="I92" s="88">
        <f t="shared" si="195"/>
        <v>7</v>
      </c>
      <c r="J92" s="88">
        <f t="shared" si="195"/>
        <v>188</v>
      </c>
      <c r="K92" s="88"/>
      <c r="L92" s="88">
        <f t="shared" si="195"/>
        <v>9075000</v>
      </c>
      <c r="M92" s="88">
        <f t="shared" si="195"/>
        <v>9363111</v>
      </c>
      <c r="N92" s="88">
        <f t="shared" si="195"/>
        <v>22583.898305084698</v>
      </c>
      <c r="O92" s="88">
        <f t="shared" si="195"/>
        <v>7912255.9322033804</v>
      </c>
      <c r="P92" s="88"/>
      <c r="Q92" s="88"/>
      <c r="R92" s="88"/>
      <c r="S92" s="88">
        <f t="shared" si="195"/>
        <v>121145.79661016935</v>
      </c>
      <c r="T92" s="88">
        <f t="shared" si="195"/>
        <v>1980000</v>
      </c>
      <c r="U92" s="88">
        <f t="shared" si="195"/>
        <v>2617655.0847457591</v>
      </c>
      <c r="V92" s="88">
        <f t="shared" si="195"/>
        <v>1.3220480225988682</v>
      </c>
      <c r="W92" s="88">
        <f t="shared" si="195"/>
        <v>6544.1377118643977</v>
      </c>
      <c r="X92" s="88">
        <f t="shared" si="195"/>
        <v>0</v>
      </c>
      <c r="Y92" s="88">
        <f t="shared" si="195"/>
        <v>0</v>
      </c>
      <c r="Z92" s="88">
        <f t="shared" si="195"/>
        <v>0</v>
      </c>
      <c r="AA92" s="88">
        <f t="shared" si="195"/>
        <v>0</v>
      </c>
      <c r="AB92" s="88">
        <f t="shared" si="195"/>
        <v>0</v>
      </c>
      <c r="AC92" s="88">
        <f t="shared" si="195"/>
        <v>0</v>
      </c>
      <c r="AD92" s="88">
        <f t="shared" si="195"/>
        <v>0</v>
      </c>
      <c r="AE92" s="88">
        <f t="shared" si="195"/>
        <v>127689.93432203375</v>
      </c>
      <c r="AF92" s="88">
        <f t="shared" si="195"/>
        <v>127689.93432203375</v>
      </c>
      <c r="AG92" s="31"/>
      <c r="AH92" s="419"/>
      <c r="AI92" s="286" t="s">
        <v>6</v>
      </c>
      <c r="AJ92" s="287"/>
      <c r="AK92" s="288" t="s">
        <v>1184</v>
      </c>
      <c r="AL92" s="303">
        <v>127802.85381355917</v>
      </c>
      <c r="AM92" s="303">
        <f>SUM(AM87:AM91)</f>
        <v>127689.93432203375</v>
      </c>
      <c r="AN92" s="307">
        <f>SUM(AN87:AN91)</f>
        <v>112.91949152542384</v>
      </c>
    </row>
    <row r="93" spans="1:40" ht="15.75" hidden="1" customHeight="1" outlineLevel="1" x14ac:dyDescent="0.2">
      <c r="A93" s="391" t="s">
        <v>101</v>
      </c>
      <c r="B93" s="391"/>
      <c r="C93" s="391"/>
      <c r="D93" s="392"/>
      <c r="E93" s="106">
        <f t="shared" ref="E93:J93" si="196">E10+E15+E24+E28+E37+E45+E50+E55+E59+E67+E74+E79+E86+E92</f>
        <v>4167</v>
      </c>
      <c r="F93" s="106">
        <f t="shared" si="196"/>
        <v>5424</v>
      </c>
      <c r="G93" s="106">
        <f t="shared" si="196"/>
        <v>2796</v>
      </c>
      <c r="H93" s="106">
        <f t="shared" si="196"/>
        <v>320</v>
      </c>
      <c r="I93" s="106">
        <f t="shared" si="196"/>
        <v>231</v>
      </c>
      <c r="J93" s="106">
        <f t="shared" si="196"/>
        <v>2476</v>
      </c>
      <c r="K93" s="107"/>
      <c r="L93" s="106">
        <f>L10+L15+L24+L28+L37+L45+L50+L55+L59+L67+L74+L79+L86+L92</f>
        <v>137511000</v>
      </c>
      <c r="M93" s="106">
        <f>M10+M15+M24+M28+M37+M45+M50+M55+M59+M67+M74+M79+M86+M92</f>
        <v>120861154</v>
      </c>
      <c r="N93" s="106">
        <f>N10+N15+N24+N28+N37+N45+N50+N55+N59+N67+N74+N79+N86+N92</f>
        <v>12638288.135593204</v>
      </c>
      <c r="O93" s="106">
        <f>O10+O15+O24+O28+O37+O45+O50+O55+O59+O67+O74+O79+O86+O92</f>
        <v>89786418.64406766</v>
      </c>
      <c r="P93" s="107"/>
      <c r="Q93" s="108"/>
      <c r="R93" s="238"/>
      <c r="S93" s="106">
        <f>S10+S15+S24+S28+S37+S45+S50+S55+S59+S67+S74+S79+S86+S92</f>
        <v>1147426.1038135574</v>
      </c>
      <c r="T93" s="106">
        <f>T10+T15+T24+T28+T37+T45+T50+T55+T59+T67+T74+T79+T86+T92</f>
        <v>11550000</v>
      </c>
      <c r="U93" s="106">
        <f>U10+U15+U24+U28+U37+U45+U50+U55+U59+U67+U74+U79+U86+U92</f>
        <v>9031399.152542362</v>
      </c>
      <c r="V93" s="106"/>
      <c r="W93" s="106">
        <f>W10+W15+W24+W28+W37+W45+W50+W55+W59+W67+W74+W79+W86+W92</f>
        <v>6544.1377118643977</v>
      </c>
      <c r="X93" s="106">
        <f>X10+X15+X24+X28+X37+X45+X50+X55+X59+X67+X74+X79+X86+X92</f>
        <v>2376</v>
      </c>
      <c r="Y93" s="106">
        <f>Y10+Y15+Y24+Y28+Y37+Y45+Y50+Y55+Y59+Y67+Y74+Y79+Y86+Y92</f>
        <v>1571</v>
      </c>
      <c r="Z93" s="173"/>
      <c r="AA93" s="106">
        <f t="shared" ref="AA93:AF93" si="197">AA10+AA15+AA24+AA28+AA37+AA45+AA50+AA55+AA59+AA67+AA74+AA79+AA86+AA92</f>
        <v>0</v>
      </c>
      <c r="AB93" s="106">
        <f t="shared" si="197"/>
        <v>0</v>
      </c>
      <c r="AC93" s="106">
        <f t="shared" si="197"/>
        <v>0</v>
      </c>
      <c r="AD93" s="106">
        <f t="shared" si="197"/>
        <v>0</v>
      </c>
      <c r="AE93" s="106">
        <f t="shared" si="197"/>
        <v>1153970.2415254219</v>
      </c>
      <c r="AF93" s="106">
        <f t="shared" si="197"/>
        <v>1153970.2415254219</v>
      </c>
      <c r="AG93" s="31"/>
      <c r="AH93" s="419"/>
      <c r="AI93" s="393" t="s">
        <v>9</v>
      </c>
      <c r="AJ93" s="394"/>
      <c r="AK93" s="395"/>
      <c r="AL93" s="173">
        <f>AL10+AL15+AL24+AL28+AL37+AL45+AL50+AL55+AL59+AL67+AL74+AL79+AL86+AL92</f>
        <v>1288792.817796608</v>
      </c>
      <c r="AM93" s="173">
        <f>AM10+AM15+AM24+AM28+AM37+AM45+AM50+AM55+AM59+AM67+AM74+AM79+AM86+AM92</f>
        <v>1153970.2415254219</v>
      </c>
      <c r="AN93" s="173">
        <f>AN10+AN15+AN24+AN28+AN37+AN45+AN50+AN55+AN59+AN67+AN74+AN79+AN86+AN92</f>
        <v>130213.97457627102</v>
      </c>
    </row>
    <row r="96" spans="1:40" ht="19" collapsed="1" x14ac:dyDescent="0.2">
      <c r="A96" s="155">
        <v>46143</v>
      </c>
      <c r="B96" s="119"/>
      <c r="C96" s="119"/>
      <c r="D96" s="291"/>
      <c r="E96" s="31"/>
      <c r="F96" s="31"/>
      <c r="G96" s="31"/>
      <c r="H96" s="32"/>
      <c r="I96" s="32"/>
      <c r="J96" s="31"/>
      <c r="K96" s="32"/>
      <c r="L96" s="31"/>
      <c r="M96" s="31"/>
      <c r="N96" s="32"/>
      <c r="O96" s="33"/>
      <c r="P96" s="34"/>
      <c r="Q96" s="35"/>
      <c r="R96" s="35"/>
      <c r="S96" s="35"/>
      <c r="T96" s="194"/>
      <c r="U96" s="194"/>
      <c r="V96" s="31"/>
      <c r="W96" s="194"/>
      <c r="X96" s="35"/>
      <c r="Y96" s="35"/>
      <c r="Z96" s="31"/>
      <c r="AA96" s="36"/>
      <c r="AB96" s="31"/>
      <c r="AC96" s="31"/>
      <c r="AD96" s="31"/>
      <c r="AE96" s="35"/>
      <c r="AF96" s="35"/>
      <c r="AG96" s="31"/>
      <c r="AH96" s="31"/>
      <c r="AI96" s="35"/>
      <c r="AJ96" s="35"/>
      <c r="AK96" s="35"/>
      <c r="AL96" s="295"/>
      <c r="AM96" s="295"/>
      <c r="AN96" s="295"/>
    </row>
    <row r="97" spans="1:41" ht="15.75" hidden="1" customHeight="1" outlineLevel="1" x14ac:dyDescent="0.2">
      <c r="A97" s="409" t="s">
        <v>74</v>
      </c>
      <c r="B97" s="410"/>
      <c r="C97" s="411"/>
      <c r="D97" s="412"/>
      <c r="E97" s="413" t="s">
        <v>1</v>
      </c>
      <c r="F97" s="414"/>
      <c r="G97" s="414"/>
      <c r="H97" s="414"/>
      <c r="I97" s="414"/>
      <c r="J97" s="414"/>
      <c r="K97" s="414"/>
      <c r="L97" s="414"/>
      <c r="M97" s="414"/>
      <c r="N97" s="414"/>
      <c r="O97" s="414"/>
      <c r="P97" s="414"/>
      <c r="Q97" s="414"/>
      <c r="R97" s="414"/>
      <c r="S97" s="414"/>
      <c r="T97" s="415" t="s">
        <v>75</v>
      </c>
      <c r="U97" s="414"/>
      <c r="V97" s="414"/>
      <c r="W97" s="414"/>
      <c r="X97" s="416" t="s">
        <v>76</v>
      </c>
      <c r="Y97" s="414"/>
      <c r="Z97" s="414"/>
      <c r="AA97" s="414"/>
      <c r="AB97" s="56" t="s">
        <v>204</v>
      </c>
      <c r="AC97" s="417" t="s">
        <v>1433</v>
      </c>
      <c r="AD97" s="414"/>
      <c r="AE97" s="414"/>
      <c r="AF97" s="418"/>
      <c r="AG97" s="31"/>
      <c r="AH97" s="419" t="s">
        <v>77</v>
      </c>
      <c r="AI97" s="409" t="s">
        <v>74</v>
      </c>
      <c r="AJ97" s="410"/>
      <c r="AK97" s="418"/>
      <c r="AL97" s="420" t="s">
        <v>78</v>
      </c>
      <c r="AM97" s="421"/>
      <c r="AN97" s="422"/>
    </row>
    <row r="98" spans="1:41" s="294" customFormat="1" ht="45" hidden="1" customHeight="1" outlineLevel="1" x14ac:dyDescent="0.2">
      <c r="A98" s="145" t="s">
        <v>79</v>
      </c>
      <c r="B98" s="146" t="s">
        <v>16</v>
      </c>
      <c r="C98" s="146" t="s">
        <v>2</v>
      </c>
      <c r="D98" s="147" t="s">
        <v>3</v>
      </c>
      <c r="E98" s="148" t="s">
        <v>80</v>
      </c>
      <c r="F98" s="149" t="s">
        <v>81</v>
      </c>
      <c r="G98" s="149" t="s">
        <v>215</v>
      </c>
      <c r="H98" s="149" t="s">
        <v>210</v>
      </c>
      <c r="I98" s="243" t="s">
        <v>949</v>
      </c>
      <c r="J98" s="149" t="s">
        <v>83</v>
      </c>
      <c r="K98" s="149" t="s">
        <v>84</v>
      </c>
      <c r="L98" s="149" t="s">
        <v>4</v>
      </c>
      <c r="M98" s="150" t="s">
        <v>213</v>
      </c>
      <c r="N98" s="150" t="s">
        <v>212</v>
      </c>
      <c r="O98" s="150" t="s">
        <v>211</v>
      </c>
      <c r="P98" s="150" t="s">
        <v>5</v>
      </c>
      <c r="Q98" s="149" t="s">
        <v>88</v>
      </c>
      <c r="R98" s="243" t="s">
        <v>950</v>
      </c>
      <c r="S98" s="150" t="s">
        <v>157</v>
      </c>
      <c r="T98" s="183" t="s">
        <v>255</v>
      </c>
      <c r="U98" s="183" t="s">
        <v>256</v>
      </c>
      <c r="V98" s="151" t="s">
        <v>104</v>
      </c>
      <c r="W98" s="183" t="s">
        <v>105</v>
      </c>
      <c r="X98" s="151" t="s">
        <v>90</v>
      </c>
      <c r="Y98" s="151" t="s">
        <v>91</v>
      </c>
      <c r="Z98" s="151" t="s">
        <v>92</v>
      </c>
      <c r="AA98" s="152" t="s">
        <v>93</v>
      </c>
      <c r="AB98" s="152" t="s">
        <v>202</v>
      </c>
      <c r="AC98" s="152" t="s">
        <v>185</v>
      </c>
      <c r="AD98" s="152" t="s">
        <v>95</v>
      </c>
      <c r="AE98" s="152" t="s">
        <v>96</v>
      </c>
      <c r="AF98" s="152" t="s">
        <v>97</v>
      </c>
      <c r="AG98" s="31"/>
      <c r="AH98" s="419"/>
      <c r="AI98" s="38" t="s">
        <v>79</v>
      </c>
      <c r="AJ98" s="38" t="str">
        <f>B98</f>
        <v>Employee ID</v>
      </c>
      <c r="AK98" s="38" t="s">
        <v>3</v>
      </c>
      <c r="AL98" s="297" t="s">
        <v>98</v>
      </c>
      <c r="AM98" s="297" t="s">
        <v>99</v>
      </c>
      <c r="AN98" s="297" t="s">
        <v>100</v>
      </c>
      <c r="AO98" s="298"/>
    </row>
    <row r="99" spans="1:41" ht="15.75" hidden="1" customHeight="1" outlineLevel="1" x14ac:dyDescent="0.2">
      <c r="A99" s="79" t="s">
        <v>191</v>
      </c>
      <c r="B99" s="161" t="s">
        <v>195</v>
      </c>
      <c r="C99" s="79" t="s">
        <v>0</v>
      </c>
      <c r="D99" s="1" t="s">
        <v>663</v>
      </c>
      <c r="E99" s="47">
        <f>ROUND(SUMIF('Target Achieved- Input'!$B$93:$B$182,'Incentive Report- Output'!B99,'Target Achieved- Input'!$G$93:$G$182),0)</f>
        <v>80</v>
      </c>
      <c r="F99" s="47">
        <f>ROUND(SUMIF('Target Achieved- Input'!$B$93:$B$182,'Incentive Report- Output'!B99,'Target Achieved- Input'!$H$93:$H$182),0)</f>
        <v>104</v>
      </c>
      <c r="G99" s="47">
        <f>SUMIF('Target Achieved- Input'!$L$93:$L$182,'Incentive Report- Output'!B99,'Target Achieved- Input'!$O$93:$O$182)</f>
        <v>72</v>
      </c>
      <c r="H99" s="39">
        <f>SUMIF('Target Achieved- Input'!$S$93:$S$182,'Incentive Report- Output'!B99,'Target Achieved- Input'!$V$93:$V$182)</f>
        <v>12</v>
      </c>
      <c r="I99" s="48">
        <f>SUMIF('Target Achieved- Input'!$L$93:$L$182,'Incentive Report- Output'!B99,'Target Achieved- Input'!$AC$93:$AC$182)</f>
        <v>3</v>
      </c>
      <c r="J99" s="39">
        <f>G99-H99</f>
        <v>60</v>
      </c>
      <c r="K99" s="40">
        <f t="shared" ref="K99" si="198">IFERROR(J99/E99,0)</f>
        <v>0.75</v>
      </c>
      <c r="L99" s="41">
        <f t="shared" ref="L99" si="199">E99*33000</f>
        <v>2640000</v>
      </c>
      <c r="M99" s="41">
        <f>SUMIF('Target Achieved- Input'!$L$93:$L$182,'Incentive Report- Output'!B99,'Target Achieved- Input'!$M$93:$M$182)</f>
        <v>2887078</v>
      </c>
      <c r="N99" s="41">
        <f>SUMIF('Target Achieved- Input'!$S$93:$S$182,'Incentive Report- Output'!B99,'Target Achieved- Input'!$U$93:$U$182)</f>
        <v>413379.66101694916</v>
      </c>
      <c r="O99" s="41">
        <f>SUMIF('Target Achieved- Input'!$L$93:$L$182,'Incentive Report- Output'!B99,'Target Achieved- Input'!$N$93:$N$182)-N99</f>
        <v>2033296.6101694915</v>
      </c>
      <c r="P99" s="40">
        <f t="shared" ref="P99" si="200">IFERROR(O99/L99,0)</f>
        <v>0.77018810991268616</v>
      </c>
      <c r="Q99" s="40">
        <f t="shared" ref="Q99" si="201">MAX(P99,K99)</f>
        <v>0.77018810991268616</v>
      </c>
      <c r="R99" s="40">
        <v>0</v>
      </c>
      <c r="S99" s="49">
        <f>(LOOKUP(Q99,Policy!$L$12:$M$16)+R99)*O99</f>
        <v>10166.483050847457</v>
      </c>
      <c r="T99" s="184"/>
      <c r="U99" s="184"/>
      <c r="V99" s="115"/>
      <c r="W99" s="184"/>
      <c r="X99" s="423">
        <f>E104</f>
        <v>380</v>
      </c>
      <c r="Y99" s="423">
        <f>J104</f>
        <v>301</v>
      </c>
      <c r="Z99" s="425">
        <f>Y99/X99</f>
        <v>0.79210526315789476</v>
      </c>
      <c r="AA99" s="52">
        <v>0</v>
      </c>
      <c r="AB99" s="41">
        <v>0</v>
      </c>
      <c r="AC99" s="41">
        <v>0</v>
      </c>
      <c r="AD99" s="41">
        <f t="shared" ref="AD99:AD103" si="202">IF(AF99&gt;200000,AF99-200000,0)</f>
        <v>0</v>
      </c>
      <c r="AE99" s="41">
        <f t="shared" ref="AE99:AE103" si="203">AF99-AD99</f>
        <v>10166.483050847457</v>
      </c>
      <c r="AF99" s="41">
        <f>S99+W99+AB99+AC99</f>
        <v>10166.483050847457</v>
      </c>
      <c r="AG99" s="31"/>
      <c r="AH99" s="419"/>
      <c r="AI99" s="22" t="s">
        <v>191</v>
      </c>
      <c r="AJ99" s="19" t="s">
        <v>195</v>
      </c>
      <c r="AK99" s="195" t="s">
        <v>663</v>
      </c>
      <c r="AL99" s="299">
        <v>24466.762711864409</v>
      </c>
      <c r="AM99" s="299">
        <f t="shared" ref="AM99:AM103" si="204">AF99</f>
        <v>10166.483050847457</v>
      </c>
      <c r="AN99" s="300">
        <f>AL99-AM99</f>
        <v>14300.279661016952</v>
      </c>
    </row>
    <row r="100" spans="1:41" ht="15.75" hidden="1" customHeight="1" outlineLevel="1" x14ac:dyDescent="0.2">
      <c r="A100" s="79" t="s">
        <v>31</v>
      </c>
      <c r="B100" s="79" t="s">
        <v>32</v>
      </c>
      <c r="C100" s="79" t="s">
        <v>1</v>
      </c>
      <c r="D100" s="1" t="s">
        <v>663</v>
      </c>
      <c r="E100" s="47">
        <f>ROUND(SUMIF('Target Achieved- Input'!$B$93:$B$182,'Incentive Report- Output'!B100,'Target Achieved- Input'!$G$93:$G$182),0)</f>
        <v>80</v>
      </c>
      <c r="F100" s="47">
        <f>ROUND(SUMIF('Target Achieved- Input'!$B$93:$B$182,'Incentive Report- Output'!B100,'Target Achieved- Input'!$H$93:$H$182),0)</f>
        <v>104</v>
      </c>
      <c r="G100" s="47">
        <f>SUMIF('Target Achieved- Input'!$L$93:$L$182,'Incentive Report- Output'!B100,'Target Achieved- Input'!$O$93:$O$182)</f>
        <v>56</v>
      </c>
      <c r="H100" s="39">
        <f>SUMIF('Target Achieved- Input'!$S$93:$S$182,'Incentive Report- Output'!B100,'Target Achieved- Input'!$V$93:$V$182)</f>
        <v>0</v>
      </c>
      <c r="I100" s="48">
        <f>SUMIF('Target Achieved- Input'!$L$93:$L$182,'Incentive Report- Output'!B100,'Target Achieved- Input'!$AC$93:$AC$182)</f>
        <v>0</v>
      </c>
      <c r="J100" s="39">
        <f t="shared" ref="J100:J103" si="205">G100-H100</f>
        <v>56</v>
      </c>
      <c r="K100" s="40">
        <f t="shared" ref="K100:K103" si="206">IFERROR(J100/E100,0)</f>
        <v>0.7</v>
      </c>
      <c r="L100" s="41">
        <f t="shared" ref="L100:L103" si="207">E100*33000</f>
        <v>2640000</v>
      </c>
      <c r="M100" s="41">
        <f>SUMIF('Target Achieved- Input'!$L$93:$L$182,'Incentive Report- Output'!B100,'Target Achieved- Input'!$M$93:$M$182)</f>
        <v>2333544</v>
      </c>
      <c r="N100" s="41">
        <f>SUMIF('Target Achieved- Input'!$S$93:$S$182,'Incentive Report- Output'!B100,'Target Achieved- Input'!$U$93:$U$182)</f>
        <v>0</v>
      </c>
      <c r="O100" s="41">
        <f>SUMIF('Target Achieved- Input'!$L$93:$L$182,'Incentive Report- Output'!B100,'Target Achieved- Input'!$N$93:$N$182)-N100</f>
        <v>1977579.6610169495</v>
      </c>
      <c r="P100" s="40">
        <f t="shared" ref="P100:P103" si="208">IFERROR(O100/L100,0)</f>
        <v>0.74908320493066272</v>
      </c>
      <c r="Q100" s="40">
        <f t="shared" ref="Q100:Q101" si="209">MAX(P100,K100)</f>
        <v>0.74908320493066272</v>
      </c>
      <c r="R100" s="40">
        <v>0</v>
      </c>
      <c r="S100" s="49">
        <f>(LOOKUP(Q100,Policy!$L$12:$M$16)+R100)*O100</f>
        <v>9887.8983050847473</v>
      </c>
      <c r="T100" s="184"/>
      <c r="U100" s="184"/>
      <c r="V100" s="40"/>
      <c r="W100" s="53"/>
      <c r="X100" s="424"/>
      <c r="Y100" s="424"/>
      <c r="Z100" s="426"/>
      <c r="AA100" s="55">
        <v>0</v>
      </c>
      <c r="AB100" s="41">
        <v>0</v>
      </c>
      <c r="AC100" s="41">
        <v>0</v>
      </c>
      <c r="AD100" s="41">
        <f t="shared" si="202"/>
        <v>0</v>
      </c>
      <c r="AE100" s="41">
        <f t="shared" si="203"/>
        <v>9887.8983050847473</v>
      </c>
      <c r="AF100" s="41">
        <f>S100+W100+AB100+AC100</f>
        <v>9887.8983050847473</v>
      </c>
      <c r="AG100" s="31"/>
      <c r="AH100" s="419"/>
      <c r="AI100" s="22" t="s">
        <v>31</v>
      </c>
      <c r="AJ100" s="22" t="s">
        <v>32</v>
      </c>
      <c r="AK100" s="195" t="s">
        <v>663</v>
      </c>
      <c r="AL100" s="299">
        <v>9887.8983050847473</v>
      </c>
      <c r="AM100" s="299">
        <f t="shared" si="204"/>
        <v>9887.8983050847473</v>
      </c>
      <c r="AN100" s="300">
        <f t="shared" ref="AN100:AN103" si="210">AL100-AM100</f>
        <v>0</v>
      </c>
    </row>
    <row r="101" spans="1:41" ht="15.75" hidden="1" customHeight="1" outlineLevel="1" x14ac:dyDescent="0.2">
      <c r="A101" s="79" t="s">
        <v>756</v>
      </c>
      <c r="B101" s="79" t="s">
        <v>757</v>
      </c>
      <c r="C101" s="79" t="s">
        <v>1</v>
      </c>
      <c r="D101" s="1" t="s">
        <v>663</v>
      </c>
      <c r="E101" s="47">
        <f>ROUND(SUMIF('Target Achieved- Input'!$B$93:$B$182,'Incentive Report- Output'!B101,'Target Achieved- Input'!$G$93:$G$182),0)</f>
        <v>70</v>
      </c>
      <c r="F101" s="47">
        <f>ROUND(SUMIF('Target Achieved- Input'!$B$93:$B$182,'Incentive Report- Output'!B101,'Target Achieved- Input'!$H$93:$H$182),0)</f>
        <v>91</v>
      </c>
      <c r="G101" s="47">
        <f>SUMIF('Target Achieved- Input'!$L$93:$L$182,'Incentive Report- Output'!B101,'Target Achieved- Input'!$O$93:$O$182)</f>
        <v>82</v>
      </c>
      <c r="H101" s="39">
        <f>SUMIF('Target Achieved- Input'!$S$93:$S$182,'Incentive Report- Output'!B101,'Target Achieved- Input'!$V$93:$V$182)</f>
        <v>1</v>
      </c>
      <c r="I101" s="48">
        <f>SUMIF('Target Achieved- Input'!$L$93:$L$182,'Incentive Report- Output'!B101,'Target Achieved- Input'!$AC$93:$AC$182)</f>
        <v>2</v>
      </c>
      <c r="J101" s="39">
        <f t="shared" si="205"/>
        <v>81</v>
      </c>
      <c r="K101" s="40">
        <f t="shared" si="206"/>
        <v>1.1571428571428573</v>
      </c>
      <c r="L101" s="41">
        <f t="shared" si="207"/>
        <v>2310000</v>
      </c>
      <c r="M101" s="41">
        <f>SUMIF('Target Achieved- Input'!$L$93:$L$182,'Incentive Report- Output'!B101,'Target Achieved- Input'!$M$93:$M$182)</f>
        <v>3456868</v>
      </c>
      <c r="N101" s="41">
        <f>SUMIF('Target Achieved- Input'!$S$93:$S$182,'Incentive Report- Output'!B101,'Target Achieved- Input'!$U$93:$U$182)</f>
        <v>36439.830508474573</v>
      </c>
      <c r="O101" s="41">
        <f>SUMIF('Target Achieved- Input'!$L$93:$L$182,'Incentive Report- Output'!B101,'Target Achieved- Input'!$N$93:$N$182)-N101</f>
        <v>2893109.322033897</v>
      </c>
      <c r="P101" s="40">
        <f t="shared" si="208"/>
        <v>1.2524282779367519</v>
      </c>
      <c r="Q101" s="40">
        <f t="shared" si="209"/>
        <v>1.2524282779367519</v>
      </c>
      <c r="R101" s="40">
        <v>0</v>
      </c>
      <c r="S101" s="49">
        <f>(LOOKUP(Q101,Policy!$L$12:$M$16)+R101)*O101</f>
        <v>65094.959745762681</v>
      </c>
      <c r="T101" s="184"/>
      <c r="U101" s="184"/>
      <c r="V101" s="40"/>
      <c r="W101" s="53"/>
      <c r="X101" s="424"/>
      <c r="Y101" s="424"/>
      <c r="Z101" s="426"/>
      <c r="AA101" s="55">
        <v>0</v>
      </c>
      <c r="AB101" s="41">
        <v>0</v>
      </c>
      <c r="AC101" s="41">
        <v>0</v>
      </c>
      <c r="AD101" s="41">
        <f t="shared" si="202"/>
        <v>0</v>
      </c>
      <c r="AE101" s="41">
        <f t="shared" si="203"/>
        <v>65094.959745762681</v>
      </c>
      <c r="AF101" s="41">
        <f>S101+W101+AB101+AC101</f>
        <v>65094.959745762681</v>
      </c>
      <c r="AG101" s="31"/>
      <c r="AH101" s="419"/>
      <c r="AI101" s="22" t="s">
        <v>756</v>
      </c>
      <c r="AJ101" s="22" t="s">
        <v>757</v>
      </c>
      <c r="AK101" s="195" t="s">
        <v>663</v>
      </c>
      <c r="AL101" s="299">
        <v>65914.855932203369</v>
      </c>
      <c r="AM101" s="299">
        <f t="shared" si="204"/>
        <v>65094.959745762681</v>
      </c>
      <c r="AN101" s="300">
        <f t="shared" si="210"/>
        <v>819.89618644068833</v>
      </c>
    </row>
    <row r="102" spans="1:41" ht="15.75" hidden="1" customHeight="1" outlineLevel="1" x14ac:dyDescent="0.2">
      <c r="A102" s="79" t="s">
        <v>705</v>
      </c>
      <c r="B102" s="79" t="s">
        <v>686</v>
      </c>
      <c r="C102" s="79" t="s">
        <v>1</v>
      </c>
      <c r="D102" s="1" t="s">
        <v>663</v>
      </c>
      <c r="E102" s="47">
        <f>ROUND(SUMIF('Target Achieved- Input'!$B$93:$B$182,'Incentive Report- Output'!B102,'Target Achieved- Input'!$G$93:$G$182),0)</f>
        <v>70</v>
      </c>
      <c r="F102" s="47">
        <f>ROUND(SUMIF('Target Achieved- Input'!$B$93:$B$182,'Incentive Report- Output'!B102,'Target Achieved- Input'!$H$93:$H$182),0)</f>
        <v>91</v>
      </c>
      <c r="G102" s="47">
        <f>SUMIF('Target Achieved- Input'!$L$93:$L$182,'Incentive Report- Output'!B102,'Target Achieved- Input'!$O$93:$O$182)</f>
        <v>52</v>
      </c>
      <c r="H102" s="39">
        <f>SUMIF('Target Achieved- Input'!$S$93:$S$182,'Incentive Report- Output'!B102,'Target Achieved- Input'!$V$93:$V$182)</f>
        <v>3</v>
      </c>
      <c r="I102" s="48">
        <f>SUMIF('Target Achieved- Input'!$L$93:$L$182,'Incentive Report- Output'!B102,'Target Achieved- Input'!$AC$93:$AC$182)</f>
        <v>2</v>
      </c>
      <c r="J102" s="39">
        <f t="shared" si="205"/>
        <v>49</v>
      </c>
      <c r="K102" s="40">
        <f t="shared" si="206"/>
        <v>0.7</v>
      </c>
      <c r="L102" s="41">
        <f t="shared" si="207"/>
        <v>2310000</v>
      </c>
      <c r="M102" s="41">
        <f>SUMIF('Target Achieved- Input'!$L$93:$L$182,'Incentive Report- Output'!B102,'Target Achieved- Input'!$M$93:$M$182)</f>
        <v>1894498</v>
      </c>
      <c r="N102" s="41">
        <f>SUMIF('Target Achieved- Input'!$S$93:$S$182,'Incentive Report- Output'!B102,'Target Achieved- Input'!$U$93:$U$182)</f>
        <v>106183.89830508475</v>
      </c>
      <c r="O102" s="41">
        <f>SUMIF('Target Achieved- Input'!$L$93:$L$182,'Incentive Report- Output'!B102,'Target Achieved- Input'!$N$93:$N$182)-N102</f>
        <v>1499322.8813559322</v>
      </c>
      <c r="P102" s="40">
        <f t="shared" si="208"/>
        <v>0.64905752439650743</v>
      </c>
      <c r="Q102" s="40">
        <f>P102</f>
        <v>0.64905752439650743</v>
      </c>
      <c r="R102" s="40">
        <v>0</v>
      </c>
      <c r="S102" s="49">
        <f>(LOOKUP(Q102,Policy!$L$12:$M$16)+R102)*O102</f>
        <v>7496.6144067796613</v>
      </c>
      <c r="T102" s="184"/>
      <c r="U102" s="184"/>
      <c r="V102" s="40"/>
      <c r="W102" s="53"/>
      <c r="X102" s="424"/>
      <c r="Y102" s="424"/>
      <c r="Z102" s="426"/>
      <c r="AA102" s="55">
        <v>0</v>
      </c>
      <c r="AB102" s="41">
        <v>0</v>
      </c>
      <c r="AC102" s="41">
        <v>0</v>
      </c>
      <c r="AD102" s="41">
        <f t="shared" si="202"/>
        <v>0</v>
      </c>
      <c r="AE102" s="41">
        <f t="shared" si="203"/>
        <v>7496.6144067796613</v>
      </c>
      <c r="AF102" s="41">
        <f>S102+W102+AB102+AC102</f>
        <v>7496.6144067796613</v>
      </c>
      <c r="AG102" s="31"/>
      <c r="AH102" s="419"/>
      <c r="AI102" s="22" t="s">
        <v>705</v>
      </c>
      <c r="AJ102" s="22" t="s">
        <v>686</v>
      </c>
      <c r="AK102" s="195" t="s">
        <v>663</v>
      </c>
      <c r="AL102" s="299">
        <v>8027.5338983050851</v>
      </c>
      <c r="AM102" s="299">
        <f t="shared" si="204"/>
        <v>7496.6144067796613</v>
      </c>
      <c r="AN102" s="300">
        <f t="shared" si="210"/>
        <v>530.91949152542384</v>
      </c>
    </row>
    <row r="103" spans="1:41" ht="15.75" hidden="1" customHeight="1" outlineLevel="1" x14ac:dyDescent="0.2">
      <c r="A103" s="79" t="s">
        <v>248</v>
      </c>
      <c r="B103" s="79" t="s">
        <v>251</v>
      </c>
      <c r="C103" s="79" t="s">
        <v>1</v>
      </c>
      <c r="D103" s="1" t="s">
        <v>663</v>
      </c>
      <c r="E103" s="47">
        <f>ROUND(SUMIF('Target Achieved- Input'!$B$93:$B$182,'Incentive Report- Output'!B103,'Target Achieved- Input'!$G$93:$G$182),0)</f>
        <v>80</v>
      </c>
      <c r="F103" s="47">
        <f>ROUND(SUMIF('Target Achieved- Input'!$B$93:$B$182,'Incentive Report- Output'!B103,'Target Achieved- Input'!$H$93:$H$182),0)</f>
        <v>104</v>
      </c>
      <c r="G103" s="47">
        <f>SUMIF('Target Achieved- Input'!$L$93:$L$182,'Incentive Report- Output'!B103,'Target Achieved- Input'!$O$93:$O$182)</f>
        <v>56</v>
      </c>
      <c r="H103" s="39">
        <f>SUMIF('Target Achieved- Input'!$S$93:$S$182,'Incentive Report- Output'!B103,'Target Achieved- Input'!$V$93:$V$182)</f>
        <v>1</v>
      </c>
      <c r="I103" s="48">
        <f>SUMIF('Target Achieved- Input'!$L$93:$L$182,'Incentive Report- Output'!B103,'Target Achieved- Input'!$AC$93:$AC$182)</f>
        <v>4</v>
      </c>
      <c r="J103" s="39">
        <f t="shared" si="205"/>
        <v>55</v>
      </c>
      <c r="K103" s="40">
        <f t="shared" si="206"/>
        <v>0.6875</v>
      </c>
      <c r="L103" s="41">
        <f t="shared" si="207"/>
        <v>2640000</v>
      </c>
      <c r="M103" s="41">
        <f>SUMIF('Target Achieved- Input'!$L$93:$L$182,'Incentive Report- Output'!B103,'Target Achieved- Input'!$M$93:$M$182)</f>
        <v>2013644</v>
      </c>
      <c r="N103" s="41">
        <f>SUMIF('Target Achieved- Input'!$S$93:$S$182,'Incentive Report- Output'!B103,'Target Achieved- Input'!$U$93:$U$182)</f>
        <v>28219.491525423728</v>
      </c>
      <c r="O103" s="41">
        <f>SUMIF('Target Achieved- Input'!$L$93:$L$182,'Incentive Report- Output'!B103,'Target Achieved- Input'!$N$93:$N$182)-N103</f>
        <v>1678258.4745762711</v>
      </c>
      <c r="P103" s="40">
        <f t="shared" si="208"/>
        <v>0.6357039676425269</v>
      </c>
      <c r="Q103" s="40">
        <f>P103</f>
        <v>0.6357039676425269</v>
      </c>
      <c r="R103" s="40">
        <v>0</v>
      </c>
      <c r="S103" s="49">
        <f>(LOOKUP(Q103,Policy!$L$12:$M$16)+R103)*O103</f>
        <v>8391.2923728813566</v>
      </c>
      <c r="T103" s="185"/>
      <c r="U103" s="156"/>
      <c r="V103" s="51"/>
      <c r="W103" s="156"/>
      <c r="X103" s="424"/>
      <c r="Y103" s="424"/>
      <c r="Z103" s="426"/>
      <c r="AA103" s="55">
        <v>0</v>
      </c>
      <c r="AB103" s="41">
        <v>0</v>
      </c>
      <c r="AC103" s="41">
        <v>0</v>
      </c>
      <c r="AD103" s="41">
        <f t="shared" si="202"/>
        <v>0</v>
      </c>
      <c r="AE103" s="41">
        <f t="shared" si="203"/>
        <v>8391.2923728813566</v>
      </c>
      <c r="AF103" s="41">
        <f>S103+W103+AB103+AC103</f>
        <v>8391.2923728813566</v>
      </c>
      <c r="AG103" s="32"/>
      <c r="AH103" s="419"/>
      <c r="AI103" s="22" t="s">
        <v>248</v>
      </c>
      <c r="AJ103" s="22" t="s">
        <v>251</v>
      </c>
      <c r="AK103" s="195" t="s">
        <v>663</v>
      </c>
      <c r="AL103" s="301">
        <v>8532.3898305084749</v>
      </c>
      <c r="AM103" s="301">
        <f t="shared" si="204"/>
        <v>8391.2923728813566</v>
      </c>
      <c r="AN103" s="302">
        <f t="shared" si="210"/>
        <v>141.09745762711827</v>
      </c>
      <c r="AO103" s="334"/>
    </row>
    <row r="104" spans="1:41" ht="15.75" hidden="1" customHeight="1" outlineLevel="1" x14ac:dyDescent="0.2">
      <c r="A104" s="109" t="s">
        <v>6</v>
      </c>
      <c r="B104" s="109"/>
      <c r="C104" s="109"/>
      <c r="D104" s="292" t="s">
        <v>663</v>
      </c>
      <c r="E104" s="44">
        <f t="shared" ref="E104:J104" si="211">SUM(E99:E103)</f>
        <v>380</v>
      </c>
      <c r="F104" s="44">
        <f t="shared" si="211"/>
        <v>494</v>
      </c>
      <c r="G104" s="44">
        <f t="shared" si="211"/>
        <v>318</v>
      </c>
      <c r="H104" s="44">
        <f t="shared" si="211"/>
        <v>17</v>
      </c>
      <c r="I104" s="44">
        <f t="shared" si="211"/>
        <v>11</v>
      </c>
      <c r="J104" s="44">
        <f t="shared" si="211"/>
        <v>301</v>
      </c>
      <c r="K104" s="44"/>
      <c r="L104" s="44">
        <f>SUM(L99:L103)</f>
        <v>12540000</v>
      </c>
      <c r="M104" s="44">
        <f>SUM(M99:M103)</f>
        <v>12585632</v>
      </c>
      <c r="N104" s="44">
        <f>SUM(N99:N103)</f>
        <v>584222.88135593222</v>
      </c>
      <c r="O104" s="44">
        <f>SUM(O99:O103)</f>
        <v>10081566.94915254</v>
      </c>
      <c r="P104" s="45"/>
      <c r="Q104" s="46"/>
      <c r="R104" s="46"/>
      <c r="S104" s="44">
        <f t="shared" ref="S104:AF104" si="212">SUM(S99:S103)</f>
        <v>101037.2478813559</v>
      </c>
      <c r="T104" s="187">
        <f t="shared" si="212"/>
        <v>0</v>
      </c>
      <c r="U104" s="187">
        <f t="shared" si="212"/>
        <v>0</v>
      </c>
      <c r="V104" s="104">
        <f t="shared" si="212"/>
        <v>0</v>
      </c>
      <c r="W104" s="187">
        <f t="shared" si="212"/>
        <v>0</v>
      </c>
      <c r="X104" s="44">
        <f t="shared" si="212"/>
        <v>380</v>
      </c>
      <c r="Y104" s="44">
        <f t="shared" si="212"/>
        <v>301</v>
      </c>
      <c r="Z104" s="54">
        <f t="shared" si="212"/>
        <v>0.79210526315789476</v>
      </c>
      <c r="AA104" s="44">
        <f t="shared" si="212"/>
        <v>0</v>
      </c>
      <c r="AB104" s="44">
        <f t="shared" si="212"/>
        <v>0</v>
      </c>
      <c r="AC104" s="44">
        <f t="shared" si="212"/>
        <v>0</v>
      </c>
      <c r="AD104" s="44">
        <f t="shared" si="212"/>
        <v>0</v>
      </c>
      <c r="AE104" s="44">
        <f t="shared" si="212"/>
        <v>101037.2478813559</v>
      </c>
      <c r="AF104" s="44">
        <f t="shared" si="212"/>
        <v>101037.2478813559</v>
      </c>
      <c r="AG104" s="31"/>
      <c r="AH104" s="419"/>
      <c r="AI104" s="43" t="s">
        <v>6</v>
      </c>
      <c r="AJ104" s="43"/>
      <c r="AK104" s="43" t="s">
        <v>663</v>
      </c>
      <c r="AL104" s="303">
        <v>116829.44067796608</v>
      </c>
      <c r="AM104" s="303">
        <f>SUM(AM99:AM103)</f>
        <v>101037.2478813559</v>
      </c>
      <c r="AN104" s="303">
        <f>SUM(AN99:AN103)</f>
        <v>15792.192796610183</v>
      </c>
    </row>
    <row r="105" spans="1:41" ht="15.75" hidden="1" customHeight="1" outlineLevel="1" x14ac:dyDescent="0.2">
      <c r="A105" s="79" t="s">
        <v>224</v>
      </c>
      <c r="B105" s="161" t="s">
        <v>33</v>
      </c>
      <c r="C105" s="79" t="s">
        <v>0</v>
      </c>
      <c r="D105" s="1" t="s">
        <v>666</v>
      </c>
      <c r="E105" s="47">
        <f>ROUND(SUMIF('Target Achieved- Input'!$B$93:$B$182,'Incentive Report- Output'!B105,'Target Achieved- Input'!$G$93:$G$182),0)</f>
        <v>60</v>
      </c>
      <c r="F105" s="47">
        <f>ROUND(SUMIF('Target Achieved- Input'!$B$93:$B$182,'Incentive Report- Output'!B105,'Target Achieved- Input'!$H$93:$H$182),0)</f>
        <v>78</v>
      </c>
      <c r="G105" s="47">
        <f>SUMIF('Target Achieved- Input'!$L$93:$L$182,'Incentive Report- Output'!B105,'Target Achieved- Input'!$O$93:$O$182)</f>
        <v>88</v>
      </c>
      <c r="H105" s="39">
        <f>SUMIF('Target Achieved- Input'!$S$93:$S$182,'Incentive Report- Output'!B105,'Target Achieved- Input'!$V$93:$V$182)</f>
        <v>1</v>
      </c>
      <c r="I105" s="48">
        <f>SUMIF('Target Achieved- Input'!$L$93:$L$182,'Incentive Report- Output'!B105,'Target Achieved- Input'!$AC$93:$AC$182)</f>
        <v>7</v>
      </c>
      <c r="J105" s="39">
        <f t="shared" ref="J105:J108" si="213">G105-H105</f>
        <v>87</v>
      </c>
      <c r="K105" s="40">
        <f t="shared" ref="K105:K108" si="214">IFERROR(J105/E105,0)</f>
        <v>1.45</v>
      </c>
      <c r="L105" s="41">
        <f t="shared" ref="L105:L108" si="215">E105*33000</f>
        <v>1980000</v>
      </c>
      <c r="M105" s="41">
        <f>SUMIF('Target Achieved- Input'!$L$93:$L$182,'Incentive Report- Output'!B105,'Target Achieved- Input'!$M$93:$M$182)</f>
        <v>3606312</v>
      </c>
      <c r="N105" s="41">
        <f>SUMIF('Target Achieved- Input'!$S$93:$S$182,'Incentive Report- Output'!B105,'Target Achieved- Input'!$U$93:$U$182)</f>
        <v>21736.4406779661</v>
      </c>
      <c r="O105" s="41">
        <f>SUMIF('Target Achieved- Input'!$L$93:$L$182,'Incentive Report- Output'!B105,'Target Achieved- Input'!$N$93:$N$182)-N105</f>
        <v>3034460.1694915243</v>
      </c>
      <c r="P105" s="40">
        <f t="shared" ref="P105:P108" si="216">IFERROR(O105/L105,0)</f>
        <v>1.5325556411573356</v>
      </c>
      <c r="Q105" s="40">
        <f t="shared" ref="Q105" si="217">MAX(P105,K105)</f>
        <v>1.5325556411573356</v>
      </c>
      <c r="R105" s="40">
        <v>0</v>
      </c>
      <c r="S105" s="49">
        <f>(LOOKUP(Q105,Policy!$L$12:$M$16)+R105)*O105</f>
        <v>91033.80508474572</v>
      </c>
      <c r="T105" s="188"/>
      <c r="U105" s="53"/>
      <c r="V105" s="40"/>
      <c r="W105" s="53"/>
      <c r="X105" s="427">
        <f>E109</f>
        <v>270</v>
      </c>
      <c r="Y105" s="397">
        <f>J109</f>
        <v>238</v>
      </c>
      <c r="Z105" s="406">
        <f>Y105/X105</f>
        <v>0.88148148148148153</v>
      </c>
      <c r="AA105" s="55">
        <v>0</v>
      </c>
      <c r="AB105" s="41">
        <v>0</v>
      </c>
      <c r="AC105" s="41">
        <v>0</v>
      </c>
      <c r="AD105" s="41">
        <f t="shared" ref="AD105:AD108" si="218">IF(AF105&gt;200000,AF105-200000,0)</f>
        <v>0</v>
      </c>
      <c r="AE105" s="41">
        <f t="shared" ref="AE105:AE108" si="219">AF105-AD105</f>
        <v>91033.80508474572</v>
      </c>
      <c r="AF105" s="41">
        <f>S105+W105+AB105+AC105</f>
        <v>91033.80508474572</v>
      </c>
      <c r="AG105" s="31"/>
      <c r="AH105" s="419"/>
      <c r="AI105" s="22" t="s">
        <v>224</v>
      </c>
      <c r="AJ105" s="19" t="s">
        <v>33</v>
      </c>
      <c r="AK105" s="195" t="s">
        <v>666</v>
      </c>
      <c r="AL105" s="299">
        <v>91685.898305084702</v>
      </c>
      <c r="AM105" s="299">
        <f t="shared" ref="AM105:AM108" si="220">AF105</f>
        <v>91033.80508474572</v>
      </c>
      <c r="AN105" s="300">
        <f t="shared" ref="AN105:AN108" si="221">AL105-AM105</f>
        <v>652.09322033898206</v>
      </c>
    </row>
    <row r="106" spans="1:41" ht="15.75" hidden="1" customHeight="1" outlineLevel="1" x14ac:dyDescent="0.2">
      <c r="A106" s="79" t="s">
        <v>787</v>
      </c>
      <c r="B106" s="161" t="s">
        <v>788</v>
      </c>
      <c r="C106" s="79" t="s">
        <v>1</v>
      </c>
      <c r="D106" s="1" t="s">
        <v>666</v>
      </c>
      <c r="E106" s="47">
        <f>ROUND(SUMIF('Target Achieved- Input'!$B$93:$B$182,'Incentive Report- Output'!B106,'Target Achieved- Input'!$G$93:$G$182),0)</f>
        <v>70</v>
      </c>
      <c r="F106" s="47">
        <f>ROUND(SUMIF('Target Achieved- Input'!$B$93:$B$182,'Incentive Report- Output'!B106,'Target Achieved- Input'!$H$93:$H$182),0)</f>
        <v>91</v>
      </c>
      <c r="G106" s="47">
        <f>SUMIF('Target Achieved- Input'!$L$93:$L$182,'Incentive Report- Output'!B106,'Target Achieved- Input'!$O$93:$O$182)</f>
        <v>56</v>
      </c>
      <c r="H106" s="39">
        <f>SUMIF('Target Achieved- Input'!$S$93:$S$182,'Incentive Report- Output'!B106,'Target Achieved- Input'!$V$93:$V$182)</f>
        <v>3</v>
      </c>
      <c r="I106" s="48">
        <f>SUMIF('Target Achieved- Input'!$L$93:$L$182,'Incentive Report- Output'!B106,'Target Achieved- Input'!$AC$93:$AC$182)</f>
        <v>2</v>
      </c>
      <c r="J106" s="39">
        <f t="shared" si="213"/>
        <v>53</v>
      </c>
      <c r="K106" s="40">
        <f t="shared" si="214"/>
        <v>0.75714285714285712</v>
      </c>
      <c r="L106" s="41">
        <f t="shared" si="215"/>
        <v>2310000</v>
      </c>
      <c r="M106" s="41">
        <f>SUMIF('Target Achieved- Input'!$L$93:$L$182,'Incentive Report- Output'!B106,'Target Achieved- Input'!$M$93:$M$182)</f>
        <v>2050994</v>
      </c>
      <c r="N106" s="41">
        <f>SUMIF('Target Achieved- Input'!$S$93:$S$182,'Incentive Report- Output'!B106,'Target Achieved- Input'!$U$93:$U$182)</f>
        <v>89997.457627118652</v>
      </c>
      <c r="O106" s="41">
        <f>SUMIF('Target Achieved- Input'!$L$93:$L$182,'Incentive Report- Output'!B106,'Target Achieved- Input'!$N$93:$N$182)-N106</f>
        <v>1648133.050847457</v>
      </c>
      <c r="P106" s="40">
        <f t="shared" si="216"/>
        <v>0.7134775111893753</v>
      </c>
      <c r="Q106" s="40">
        <f t="shared" ref="Q106:Q108" si="222">P106</f>
        <v>0.7134775111893753</v>
      </c>
      <c r="R106" s="40">
        <v>0</v>
      </c>
      <c r="S106" s="49">
        <f>(LOOKUP(Q106,Policy!$L$12:$M$16)+R106)*O106</f>
        <v>8240.6652542372849</v>
      </c>
      <c r="T106" s="185"/>
      <c r="U106" s="156"/>
      <c r="V106" s="51"/>
      <c r="W106" s="156"/>
      <c r="X106" s="427"/>
      <c r="Y106" s="397"/>
      <c r="Z106" s="406"/>
      <c r="AA106" s="55">
        <v>0</v>
      </c>
      <c r="AB106" s="41">
        <v>0</v>
      </c>
      <c r="AC106" s="41">
        <v>0</v>
      </c>
      <c r="AD106" s="41">
        <f t="shared" si="218"/>
        <v>0</v>
      </c>
      <c r="AE106" s="41">
        <f t="shared" si="219"/>
        <v>8240.6652542372849</v>
      </c>
      <c r="AF106" s="41">
        <f>S106+W106+AB106+AC106</f>
        <v>8240.6652542372849</v>
      </c>
      <c r="AG106" s="31"/>
      <c r="AH106" s="419"/>
      <c r="AI106" s="22" t="s">
        <v>787</v>
      </c>
      <c r="AJ106" s="19" t="s">
        <v>788</v>
      </c>
      <c r="AK106" s="195" t="s">
        <v>666</v>
      </c>
      <c r="AL106" s="299">
        <v>8690.6525423728781</v>
      </c>
      <c r="AM106" s="299">
        <f t="shared" si="220"/>
        <v>8240.6652542372849</v>
      </c>
      <c r="AN106" s="300">
        <f t="shared" si="221"/>
        <v>449.98728813559319</v>
      </c>
    </row>
    <row r="107" spans="1:41" ht="15.75" hidden="1" customHeight="1" outlineLevel="1" x14ac:dyDescent="0.2">
      <c r="A107" s="79" t="s">
        <v>218</v>
      </c>
      <c r="B107" s="161" t="s">
        <v>219</v>
      </c>
      <c r="C107" s="79" t="s">
        <v>1</v>
      </c>
      <c r="D107" s="1" t="s">
        <v>666</v>
      </c>
      <c r="E107" s="47">
        <f>ROUND(SUMIF('Target Achieved- Input'!$B$93:$B$182,'Incentive Report- Output'!B107,'Target Achieved- Input'!$G$93:$G$182),0)</f>
        <v>70</v>
      </c>
      <c r="F107" s="47">
        <f>ROUND(SUMIF('Target Achieved- Input'!$B$93:$B$182,'Incentive Report- Output'!B107,'Target Achieved- Input'!$H$93:$H$182),0)</f>
        <v>91</v>
      </c>
      <c r="G107" s="47">
        <f>SUMIF('Target Achieved- Input'!$L$93:$L$182,'Incentive Report- Output'!B107,'Target Achieved- Input'!$O$93:$O$182)</f>
        <v>59</v>
      </c>
      <c r="H107" s="39">
        <f>SUMIF('Target Achieved- Input'!$S$93:$S$182,'Incentive Report- Output'!B107,'Target Achieved- Input'!$V$93:$V$182)</f>
        <v>4</v>
      </c>
      <c r="I107" s="48">
        <f>SUMIF('Target Achieved- Input'!$L$93:$L$182,'Incentive Report- Output'!B107,'Target Achieved- Input'!$AC$93:$AC$182)</f>
        <v>1</v>
      </c>
      <c r="J107" s="39">
        <f t="shared" si="213"/>
        <v>55</v>
      </c>
      <c r="K107" s="40">
        <f t="shared" si="214"/>
        <v>0.7857142857142857</v>
      </c>
      <c r="L107" s="41">
        <f t="shared" si="215"/>
        <v>2310000</v>
      </c>
      <c r="M107" s="41">
        <f>SUMIF('Target Achieved- Input'!$L$93:$L$182,'Incentive Report- Output'!B107,'Target Achieved- Input'!$M$93:$M$182)</f>
        <v>2199741</v>
      </c>
      <c r="N107" s="41">
        <f>SUMIF('Target Achieved- Input'!$S$93:$S$182,'Incentive Report- Output'!B107,'Target Achieved- Input'!$U$93:$U$182)</f>
        <v>131013.55932203389</v>
      </c>
      <c r="O107" s="41">
        <f>SUMIF('Target Achieved- Input'!$L$93:$L$182,'Incentive Report- Output'!B107,'Target Achieved- Input'!$N$93:$N$182)-N107</f>
        <v>1733173.7288135588</v>
      </c>
      <c r="P107" s="40">
        <f t="shared" si="216"/>
        <v>0.75029165749504712</v>
      </c>
      <c r="Q107" s="40">
        <f t="shared" si="222"/>
        <v>0.75029165749504712</v>
      </c>
      <c r="R107" s="40">
        <v>0</v>
      </c>
      <c r="S107" s="49">
        <f>(LOOKUP(Q107,Policy!$L$12:$M$16)+R107)*O107</f>
        <v>8665.8686440677939</v>
      </c>
      <c r="T107" s="188"/>
      <c r="U107" s="53"/>
      <c r="V107" s="40"/>
      <c r="W107" s="53"/>
      <c r="X107" s="427"/>
      <c r="Y107" s="397"/>
      <c r="Z107" s="406"/>
      <c r="AA107" s="55">
        <v>0</v>
      </c>
      <c r="AB107" s="41">
        <v>0</v>
      </c>
      <c r="AC107" s="41">
        <v>0</v>
      </c>
      <c r="AD107" s="41">
        <f t="shared" si="218"/>
        <v>0</v>
      </c>
      <c r="AE107" s="41">
        <f t="shared" si="219"/>
        <v>8665.8686440677939</v>
      </c>
      <c r="AF107" s="41">
        <f>S107+W107+AB107+AC107</f>
        <v>8665.8686440677939</v>
      </c>
      <c r="AG107" s="31"/>
      <c r="AH107" s="419"/>
      <c r="AI107" s="22" t="s">
        <v>218</v>
      </c>
      <c r="AJ107" s="19" t="s">
        <v>219</v>
      </c>
      <c r="AK107" s="195" t="s">
        <v>666</v>
      </c>
      <c r="AL107" s="299">
        <v>18641.872881355928</v>
      </c>
      <c r="AM107" s="299">
        <f t="shared" si="220"/>
        <v>8665.8686440677939</v>
      </c>
      <c r="AN107" s="300">
        <f t="shared" si="221"/>
        <v>9976.0042372881344</v>
      </c>
    </row>
    <row r="108" spans="1:41" ht="15.75" hidden="1" customHeight="1" outlineLevel="1" x14ac:dyDescent="0.2">
      <c r="A108" s="79" t="s">
        <v>780</v>
      </c>
      <c r="B108" s="161" t="s">
        <v>781</v>
      </c>
      <c r="C108" s="79" t="s">
        <v>1</v>
      </c>
      <c r="D108" s="1" t="s">
        <v>666</v>
      </c>
      <c r="E108" s="47">
        <f>ROUND(SUMIF('Target Achieved- Input'!$B$93:$B$182,'Incentive Report- Output'!B108,'Target Achieved- Input'!$G$93:$G$182),0)</f>
        <v>70</v>
      </c>
      <c r="F108" s="47">
        <f>ROUND(SUMIF('Target Achieved- Input'!$B$93:$B$182,'Incentive Report- Output'!B108,'Target Achieved- Input'!$H$93:$H$182),0)</f>
        <v>91</v>
      </c>
      <c r="G108" s="47">
        <f>SUMIF('Target Achieved- Input'!$L$93:$L$182,'Incentive Report- Output'!B108,'Target Achieved- Input'!$O$93:$O$182)</f>
        <v>50</v>
      </c>
      <c r="H108" s="39">
        <f>SUMIF('Target Achieved- Input'!$S$93:$S$182,'Incentive Report- Output'!B108,'Target Achieved- Input'!$V$93:$V$182)</f>
        <v>7</v>
      </c>
      <c r="I108" s="48">
        <f>SUMIF('Target Achieved- Input'!$L$93:$L$182,'Incentive Report- Output'!B108,'Target Achieved- Input'!$AC$93:$AC$182)</f>
        <v>7</v>
      </c>
      <c r="J108" s="39">
        <f t="shared" si="213"/>
        <v>43</v>
      </c>
      <c r="K108" s="40">
        <f t="shared" si="214"/>
        <v>0.61428571428571432</v>
      </c>
      <c r="L108" s="41">
        <f t="shared" si="215"/>
        <v>2310000</v>
      </c>
      <c r="M108" s="41">
        <f>SUMIF('Target Achieved- Input'!$L$93:$L$182,'Incentive Report- Output'!B108,'Target Achieved- Input'!$M$93:$M$182)</f>
        <v>1766450</v>
      </c>
      <c r="N108" s="41">
        <f>SUMIF('Target Achieved- Input'!$S$93:$S$182,'Incentive Report- Output'!B108,'Target Achieved- Input'!$U$93:$U$182)</f>
        <v>202494.06779661018</v>
      </c>
      <c r="O108" s="41">
        <f>SUMIF('Target Achieved- Input'!$L$93:$L$182,'Incentive Report- Output'!B108,'Target Achieved- Input'!$N$93:$N$182)-N108</f>
        <v>1294497.4576271186</v>
      </c>
      <c r="P108" s="40">
        <f t="shared" si="216"/>
        <v>0.56038850979528942</v>
      </c>
      <c r="Q108" s="40">
        <f t="shared" si="222"/>
        <v>0.56038850979528942</v>
      </c>
      <c r="R108" s="40">
        <v>0</v>
      </c>
      <c r="S108" s="49">
        <f>(LOOKUP(Q108,Policy!$L$12:$M$16)+R108)*O108</f>
        <v>6472.4872881355932</v>
      </c>
      <c r="T108" s="185"/>
      <c r="U108" s="156"/>
      <c r="V108" s="51"/>
      <c r="W108" s="156"/>
      <c r="X108" s="427"/>
      <c r="Y108" s="397"/>
      <c r="Z108" s="406"/>
      <c r="AA108" s="55">
        <v>0</v>
      </c>
      <c r="AB108" s="41">
        <v>0</v>
      </c>
      <c r="AC108" s="41">
        <v>0</v>
      </c>
      <c r="AD108" s="41">
        <f t="shared" si="218"/>
        <v>0</v>
      </c>
      <c r="AE108" s="41">
        <f t="shared" si="219"/>
        <v>6472.4872881355932</v>
      </c>
      <c r="AF108" s="41">
        <f>S108+W108+AB108+AC108</f>
        <v>6472.4872881355932</v>
      </c>
      <c r="AG108" s="31"/>
      <c r="AH108" s="419"/>
      <c r="AI108" s="22" t="s">
        <v>780</v>
      </c>
      <c r="AJ108" s="19" t="s">
        <v>781</v>
      </c>
      <c r="AK108" s="195" t="s">
        <v>666</v>
      </c>
      <c r="AL108" s="299">
        <v>7484.9576271186434</v>
      </c>
      <c r="AM108" s="299">
        <f t="shared" si="220"/>
        <v>6472.4872881355932</v>
      </c>
      <c r="AN108" s="300">
        <f t="shared" si="221"/>
        <v>1012.4703389830502</v>
      </c>
    </row>
    <row r="109" spans="1:41" ht="15.75" hidden="1" customHeight="1" outlineLevel="1" x14ac:dyDescent="0.2">
      <c r="A109" s="109" t="s">
        <v>6</v>
      </c>
      <c r="B109" s="109"/>
      <c r="C109" s="109"/>
      <c r="D109" s="292" t="s">
        <v>666</v>
      </c>
      <c r="E109" s="44">
        <f t="shared" ref="E109:J109" si="223">SUM(E105:E108)</f>
        <v>270</v>
      </c>
      <c r="F109" s="44">
        <f t="shared" si="223"/>
        <v>351</v>
      </c>
      <c r="G109" s="44">
        <f t="shared" si="223"/>
        <v>253</v>
      </c>
      <c r="H109" s="44">
        <f t="shared" si="223"/>
        <v>15</v>
      </c>
      <c r="I109" s="44">
        <f t="shared" si="223"/>
        <v>17</v>
      </c>
      <c r="J109" s="44">
        <f t="shared" si="223"/>
        <v>238</v>
      </c>
      <c r="K109" s="45"/>
      <c r="L109" s="44">
        <f>SUM(L105:L108)</f>
        <v>8910000</v>
      </c>
      <c r="M109" s="44">
        <f>SUM(M105:M108)</f>
        <v>9623497</v>
      </c>
      <c r="N109" s="44">
        <f>SUM(N105:N108)</f>
        <v>445241.52542372886</v>
      </c>
      <c r="O109" s="44">
        <f>SUM(O105:O108)</f>
        <v>7710264.406779659</v>
      </c>
      <c r="P109" s="45"/>
      <c r="Q109" s="46"/>
      <c r="R109" s="46"/>
      <c r="S109" s="44">
        <f t="shared" ref="S109:AF109" si="224">SUM(S105:S108)</f>
        <v>114412.82627118641</v>
      </c>
      <c r="T109" s="189">
        <f t="shared" si="224"/>
        <v>0</v>
      </c>
      <c r="U109" s="189">
        <f t="shared" si="224"/>
        <v>0</v>
      </c>
      <c r="V109" s="103">
        <f t="shared" si="224"/>
        <v>0</v>
      </c>
      <c r="W109" s="189">
        <f t="shared" si="224"/>
        <v>0</v>
      </c>
      <c r="X109" s="44">
        <f t="shared" si="224"/>
        <v>270</v>
      </c>
      <c r="Y109" s="44">
        <f t="shared" si="224"/>
        <v>238</v>
      </c>
      <c r="Z109" s="54">
        <f t="shared" si="224"/>
        <v>0.88148148148148153</v>
      </c>
      <c r="AA109" s="87">
        <f t="shared" si="224"/>
        <v>0</v>
      </c>
      <c r="AB109" s="87">
        <f t="shared" si="224"/>
        <v>0</v>
      </c>
      <c r="AC109" s="87">
        <f t="shared" si="224"/>
        <v>0</v>
      </c>
      <c r="AD109" s="87">
        <f t="shared" si="224"/>
        <v>0</v>
      </c>
      <c r="AE109" s="87">
        <f t="shared" si="224"/>
        <v>114412.82627118641</v>
      </c>
      <c r="AF109" s="87">
        <f t="shared" si="224"/>
        <v>114412.82627118641</v>
      </c>
      <c r="AG109" s="31"/>
      <c r="AH109" s="419"/>
      <c r="AI109" s="43" t="s">
        <v>6</v>
      </c>
      <c r="AJ109" s="43"/>
      <c r="AK109" s="43" t="s">
        <v>666</v>
      </c>
      <c r="AL109" s="304">
        <v>126503.38135593214</v>
      </c>
      <c r="AM109" s="304">
        <f>SUM(AM105:AM108)</f>
        <v>114412.82627118641</v>
      </c>
      <c r="AN109" s="304">
        <f>SUM(AN105:AN108)</f>
        <v>12090.55508474576</v>
      </c>
    </row>
    <row r="110" spans="1:41" ht="15.75" hidden="1" customHeight="1" outlineLevel="1" x14ac:dyDescent="0.2">
      <c r="A110" s="79" t="s">
        <v>298</v>
      </c>
      <c r="B110" s="79" t="s">
        <v>49</v>
      </c>
      <c r="C110" s="79" t="s">
        <v>0</v>
      </c>
      <c r="D110" s="1" t="s">
        <v>667</v>
      </c>
      <c r="E110" s="47">
        <f>ROUND(SUMIF('Target Achieved- Input'!$B$93:$B$182,'Incentive Report- Output'!B110,'Target Achieved- Input'!$G$93:$G$182),0)</f>
        <v>60</v>
      </c>
      <c r="F110" s="47">
        <f>ROUND(SUMIF('Target Achieved- Input'!$B$93:$B$182,'Incentive Report- Output'!B110,'Target Achieved- Input'!$H$93:$H$182),0)</f>
        <v>78</v>
      </c>
      <c r="G110" s="47">
        <f>SUMIF('Target Achieved- Input'!$L$93:$L$182,'Incentive Report- Output'!B110,'Target Achieved- Input'!$O$93:$O$182)</f>
        <v>37</v>
      </c>
      <c r="H110" s="39">
        <f>SUMIF('Target Achieved- Input'!$S$93:$S$182,'Incentive Report- Output'!B110,'Target Achieved- Input'!$V$93:$V$182)</f>
        <v>14</v>
      </c>
      <c r="I110" s="48">
        <f>SUMIF('Target Achieved- Input'!$L$93:$L$182,'Incentive Report- Output'!B110,'Target Achieved- Input'!$AC$93:$AC$182)</f>
        <v>0</v>
      </c>
      <c r="J110" s="39">
        <f t="shared" ref="J110:J117" si="225">G110-H110</f>
        <v>23</v>
      </c>
      <c r="K110" s="40">
        <f t="shared" ref="K110:K117" si="226">IFERROR(J110/E110,0)</f>
        <v>0.38333333333333336</v>
      </c>
      <c r="L110" s="41">
        <f t="shared" ref="L110:L117" si="227">E110*33000</f>
        <v>1980000</v>
      </c>
      <c r="M110" s="41">
        <f>SUMIF('Target Achieved- Input'!$L$93:$L$182,'Incentive Report- Output'!B110,'Target Achieved- Input'!$M$93:$M$182)</f>
        <v>1458463</v>
      </c>
      <c r="N110" s="41">
        <f>SUMIF('Target Achieved- Input'!$S$93:$S$182,'Incentive Report- Output'!B110,'Target Achieved- Input'!$U$93:$U$182)</f>
        <v>434267.79661016946</v>
      </c>
      <c r="O110" s="41">
        <f>SUMIF('Target Achieved- Input'!$L$93:$L$182,'Incentive Report- Output'!B110,'Target Achieved- Input'!$N$93:$N$182)-N110</f>
        <v>801717.79661016946</v>
      </c>
      <c r="P110" s="40">
        <f t="shared" ref="P110:P117" si="228">IFERROR(O110/L110,0)</f>
        <v>0.4049079780859442</v>
      </c>
      <c r="Q110" s="40">
        <f t="shared" ref="Q110:Q117" si="229">MAX(P110,K110)</f>
        <v>0.4049079780859442</v>
      </c>
      <c r="R110" s="40">
        <v>0</v>
      </c>
      <c r="S110" s="49">
        <f>(LOOKUP(Q110,Policy!$L$12:$M$16)+R110)*O110</f>
        <v>0</v>
      </c>
      <c r="T110" s="188" t="s">
        <v>1426</v>
      </c>
      <c r="U110" s="53"/>
      <c r="V110" s="40"/>
      <c r="W110" s="53"/>
      <c r="X110" s="428">
        <f>E118</f>
        <v>600</v>
      </c>
      <c r="Y110" s="396">
        <f>J118</f>
        <v>558</v>
      </c>
      <c r="Z110" s="430">
        <f>Y110/X110</f>
        <v>0.93</v>
      </c>
      <c r="AA110" s="55">
        <v>0</v>
      </c>
      <c r="AB110" s="41">
        <v>0</v>
      </c>
      <c r="AC110" s="41">
        <v>0</v>
      </c>
      <c r="AD110" s="41">
        <f t="shared" ref="AD110:AD117" si="230">IF(AF110&gt;200000,AF110-200000,0)</f>
        <v>0</v>
      </c>
      <c r="AE110" s="41">
        <f t="shared" ref="AE110:AE117" si="231">AF110-AD110</f>
        <v>0</v>
      </c>
      <c r="AF110" s="41">
        <f t="shared" ref="AF110:AF117" si="232">S110+W110+AB110+AC110</f>
        <v>0</v>
      </c>
      <c r="AG110" s="31"/>
      <c r="AH110" s="419"/>
      <c r="AI110" s="22" t="s">
        <v>298</v>
      </c>
      <c r="AJ110" s="22" t="s">
        <v>49</v>
      </c>
      <c r="AK110" s="195" t="s">
        <v>667</v>
      </c>
      <c r="AL110" s="299">
        <v>6179.9279661016944</v>
      </c>
      <c r="AM110" s="299">
        <f t="shared" ref="AM110:AM117" si="233">AF110</f>
        <v>0</v>
      </c>
      <c r="AN110" s="300">
        <f t="shared" ref="AN110:AN117" si="234">AL110-AM110</f>
        <v>6179.9279661016944</v>
      </c>
    </row>
    <row r="111" spans="1:41" ht="15.75" hidden="1" customHeight="1" outlineLevel="1" x14ac:dyDescent="0.2">
      <c r="A111" s="79" t="s">
        <v>1109</v>
      </c>
      <c r="B111" s="79" t="s">
        <v>1110</v>
      </c>
      <c r="C111" s="79" t="s">
        <v>1</v>
      </c>
      <c r="D111" s="1" t="s">
        <v>667</v>
      </c>
      <c r="E111" s="47">
        <f>ROUND(SUMIF('Target Achieved- Input'!$B$93:$B$182,'Incentive Report- Output'!B111,'Target Achieved- Input'!$G$93:$G$182),0)</f>
        <v>60</v>
      </c>
      <c r="F111" s="47">
        <f>ROUND(SUMIF('Target Achieved- Input'!$B$93:$B$182,'Incentive Report- Output'!B111,'Target Achieved- Input'!$H$93:$H$182),0)</f>
        <v>78</v>
      </c>
      <c r="G111" s="47">
        <f>SUMIF('Target Achieved- Input'!$L$93:$L$182,'Incentive Report- Output'!B111,'Target Achieved- Input'!$O$93:$O$182)</f>
        <v>72</v>
      </c>
      <c r="H111" s="39">
        <f>SUMIF('Target Achieved- Input'!$S$93:$S$182,'Incentive Report- Output'!B111,'Target Achieved- Input'!$V$93:$V$182)</f>
        <v>2</v>
      </c>
      <c r="I111" s="48">
        <f>SUMIF('Target Achieved- Input'!$L$93:$L$182,'Incentive Report- Output'!B111,'Target Achieved- Input'!$AC$93:$AC$182)</f>
        <v>0</v>
      </c>
      <c r="J111" s="39">
        <f t="shared" si="225"/>
        <v>70</v>
      </c>
      <c r="K111" s="40">
        <f t="shared" si="226"/>
        <v>1.1666666666666667</v>
      </c>
      <c r="L111" s="41">
        <f t="shared" si="227"/>
        <v>1980000</v>
      </c>
      <c r="M111" s="41">
        <f>SUMIF('Target Achieved- Input'!$L$93:$L$182,'Incentive Report- Output'!B111,'Target Achieved- Input'!$M$93:$M$182)</f>
        <v>3147178</v>
      </c>
      <c r="N111" s="41">
        <f>SUMIF('Target Achieved- Input'!$S$93:$S$182,'Incentive Report- Output'!B111,'Target Achieved- Input'!$U$93:$U$182)</f>
        <v>64066.101694915254</v>
      </c>
      <c r="O111" s="41">
        <f>SUMIF('Target Achieved- Input'!$L$93:$L$182,'Incentive Report- Output'!B111,'Target Achieved- Input'!$N$93:$N$182)-N111</f>
        <v>2603033.8983050841</v>
      </c>
      <c r="P111" s="40">
        <f t="shared" si="228"/>
        <v>1.3146635850025676</v>
      </c>
      <c r="Q111" s="40">
        <f t="shared" si="229"/>
        <v>1.3146635850025676</v>
      </c>
      <c r="R111" s="40">
        <v>0</v>
      </c>
      <c r="S111" s="49">
        <f>(LOOKUP(Q111,Policy!$L$12:$M$16)+R111)*O111</f>
        <v>78091.016949152516</v>
      </c>
      <c r="T111" s="188"/>
      <c r="U111" s="53"/>
      <c r="V111" s="40"/>
      <c r="W111" s="53"/>
      <c r="X111" s="427"/>
      <c r="Y111" s="397"/>
      <c r="Z111" s="431"/>
      <c r="AA111" s="55">
        <v>0</v>
      </c>
      <c r="AB111" s="41">
        <v>0</v>
      </c>
      <c r="AC111" s="41">
        <v>0</v>
      </c>
      <c r="AD111" s="41">
        <f t="shared" si="230"/>
        <v>0</v>
      </c>
      <c r="AE111" s="41">
        <f t="shared" si="231"/>
        <v>78091.016949152516</v>
      </c>
      <c r="AF111" s="41">
        <f t="shared" si="232"/>
        <v>78091.016949152516</v>
      </c>
      <c r="AG111" s="31"/>
      <c r="AH111" s="419"/>
      <c r="AI111" s="22" t="s">
        <v>1109</v>
      </c>
      <c r="AJ111" s="22" t="s">
        <v>1110</v>
      </c>
      <c r="AK111" s="195" t="s">
        <v>667</v>
      </c>
      <c r="AL111" s="299">
        <v>80012.999999999985</v>
      </c>
      <c r="AM111" s="299">
        <f t="shared" si="233"/>
        <v>78091.016949152516</v>
      </c>
      <c r="AN111" s="300">
        <f t="shared" si="234"/>
        <v>1921.9830508474697</v>
      </c>
    </row>
    <row r="112" spans="1:41" ht="15.75" hidden="1" customHeight="1" outlineLevel="1" x14ac:dyDescent="0.2">
      <c r="A112" s="79" t="s">
        <v>25</v>
      </c>
      <c r="B112" s="79" t="s">
        <v>26</v>
      </c>
      <c r="C112" s="79" t="s">
        <v>1</v>
      </c>
      <c r="D112" s="1" t="s">
        <v>667</v>
      </c>
      <c r="E112" s="47">
        <f>ROUND(SUMIF('Target Achieved- Input'!$B$93:$B$182,'Incentive Report- Output'!B112,'Target Achieved- Input'!$G$93:$G$182),0)</f>
        <v>80</v>
      </c>
      <c r="F112" s="47">
        <f>ROUND(SUMIF('Target Achieved- Input'!$B$93:$B$182,'Incentive Report- Output'!B112,'Target Achieved- Input'!$H$93:$H$182),0)</f>
        <v>104</v>
      </c>
      <c r="G112" s="47">
        <f>SUMIF('Target Achieved- Input'!$L$93:$L$182,'Incentive Report- Output'!B112,'Target Achieved- Input'!$O$93:$O$182)</f>
        <v>77</v>
      </c>
      <c r="H112" s="39">
        <f>SUMIF('Target Achieved- Input'!$S$93:$S$182,'Incentive Report- Output'!B112,'Target Achieved- Input'!$V$93:$V$182)</f>
        <v>1</v>
      </c>
      <c r="I112" s="48">
        <f>SUMIF('Target Achieved- Input'!$L$93:$L$182,'Incentive Report- Output'!B112,'Target Achieved- Input'!$AC$93:$AC$182)</f>
        <v>0</v>
      </c>
      <c r="J112" s="39">
        <f t="shared" si="225"/>
        <v>76</v>
      </c>
      <c r="K112" s="40">
        <f t="shared" si="226"/>
        <v>0.95</v>
      </c>
      <c r="L112" s="41">
        <f t="shared" si="227"/>
        <v>2640000</v>
      </c>
      <c r="M112" s="41">
        <f>SUMIF('Target Achieved- Input'!$L$93:$L$182,'Incentive Report- Output'!B112,'Target Achieved- Input'!$M$93:$M$182)</f>
        <v>3206323</v>
      </c>
      <c r="N112" s="41">
        <f>SUMIF('Target Achieved- Input'!$S$93:$S$182,'Incentive Report- Output'!B112,'Target Achieved- Input'!$U$93:$U$182)</f>
        <v>30507.627118644068</v>
      </c>
      <c r="O112" s="41">
        <f>SUMIF('Target Achieved- Input'!$L$93:$L$182,'Incentive Report- Output'!B112,'Target Achieved- Input'!$N$93:$N$182)-N112</f>
        <v>2686715.2542372863</v>
      </c>
      <c r="P112" s="40">
        <f t="shared" si="228"/>
        <v>1.0176951720595782</v>
      </c>
      <c r="Q112" s="40">
        <f t="shared" si="229"/>
        <v>1.0176951720595782</v>
      </c>
      <c r="R112" s="40">
        <v>0</v>
      </c>
      <c r="S112" s="49">
        <f>(LOOKUP(Q112,Policy!$L$12:$M$16)+R112)*O112</f>
        <v>60451.093220338938</v>
      </c>
      <c r="T112" s="185"/>
      <c r="U112" s="156"/>
      <c r="V112" s="51"/>
      <c r="W112" s="156"/>
      <c r="X112" s="427"/>
      <c r="Y112" s="397"/>
      <c r="Z112" s="431"/>
      <c r="AA112" s="55">
        <v>0</v>
      </c>
      <c r="AB112" s="41">
        <v>0</v>
      </c>
      <c r="AC112" s="41">
        <v>0</v>
      </c>
      <c r="AD112" s="41">
        <f t="shared" si="230"/>
        <v>0</v>
      </c>
      <c r="AE112" s="41">
        <f t="shared" si="231"/>
        <v>60451.093220338938</v>
      </c>
      <c r="AF112" s="41">
        <f t="shared" si="232"/>
        <v>60451.093220338938</v>
      </c>
      <c r="AG112" s="31"/>
      <c r="AH112" s="419"/>
      <c r="AI112" s="22" t="s">
        <v>25</v>
      </c>
      <c r="AJ112" s="22" t="s">
        <v>26</v>
      </c>
      <c r="AK112" s="195" t="s">
        <v>667</v>
      </c>
      <c r="AL112" s="299">
        <v>61137.514830508422</v>
      </c>
      <c r="AM112" s="299">
        <f t="shared" si="233"/>
        <v>60451.093220338938</v>
      </c>
      <c r="AN112" s="300">
        <f t="shared" si="234"/>
        <v>686.42161016948376</v>
      </c>
    </row>
    <row r="113" spans="1:42" ht="15.75" hidden="1" customHeight="1" outlineLevel="1" x14ac:dyDescent="0.2">
      <c r="A113" s="79" t="s">
        <v>209</v>
      </c>
      <c r="B113" s="79" t="s">
        <v>52</v>
      </c>
      <c r="C113" s="79" t="s">
        <v>1185</v>
      </c>
      <c r="D113" s="1" t="s">
        <v>667</v>
      </c>
      <c r="E113" s="47">
        <f>ROUND(SUMIF('Target Achieved- Input'!$B$93:$B$182,'Incentive Report- Output'!B113,'Target Achieved- Input'!$G$93:$G$182),0)</f>
        <v>80</v>
      </c>
      <c r="F113" s="47">
        <f>ROUND(SUMIF('Target Achieved- Input'!$B$93:$B$182,'Incentive Report- Output'!B113,'Target Achieved- Input'!$H$93:$H$182),0)</f>
        <v>104</v>
      </c>
      <c r="G113" s="47">
        <f>SUMIF('Target Achieved- Input'!$L$93:$L$182,'Incentive Report- Output'!B113,'Target Achieved- Input'!$O$93:$O$182)</f>
        <v>109</v>
      </c>
      <c r="H113" s="39">
        <f>SUMIF('Target Achieved- Input'!$S$93:$S$182,'Incentive Report- Output'!B113,'Target Achieved- Input'!$V$93:$V$182)</f>
        <v>0</v>
      </c>
      <c r="I113" s="48">
        <f>SUMIF('Target Achieved- Input'!$L$93:$L$182,'Incentive Report- Output'!B113,'Target Achieved- Input'!$AC$93:$AC$182)</f>
        <v>1</v>
      </c>
      <c r="J113" s="39">
        <f t="shared" si="225"/>
        <v>109</v>
      </c>
      <c r="K113" s="40">
        <f t="shared" si="226"/>
        <v>1.3625</v>
      </c>
      <c r="L113" s="41">
        <f t="shared" si="227"/>
        <v>2640000</v>
      </c>
      <c r="M113" s="41">
        <f>SUMIF('Target Achieved- Input'!$L$93:$L$182,'Incentive Report- Output'!B113,'Target Achieved- Input'!$M$93:$M$182)</f>
        <v>4641291</v>
      </c>
      <c r="N113" s="41">
        <f>SUMIF('Target Achieved- Input'!$S$93:$S$182,'Incentive Report- Output'!B113,'Target Achieved- Input'!$U$93:$U$182)</f>
        <v>0</v>
      </c>
      <c r="O113" s="41">
        <f>SUMIF('Target Achieved- Input'!$L$93:$L$182,'Incentive Report- Output'!B113,'Target Achieved- Input'!$N$93:$N$182)-N113</f>
        <v>3933297.4576271148</v>
      </c>
      <c r="P113" s="40">
        <f t="shared" si="228"/>
        <v>1.4898854006163313</v>
      </c>
      <c r="Q113" s="40">
        <f t="shared" si="229"/>
        <v>1.4898854006163313</v>
      </c>
      <c r="R113" s="40">
        <v>0</v>
      </c>
      <c r="S113" s="49">
        <f>(LOOKUP(Q113,Policy!$L$12:$M$16)+R113)*O113</f>
        <v>117998.92372881345</v>
      </c>
      <c r="T113" s="185">
        <f>L114</f>
        <v>2640000</v>
      </c>
      <c r="U113" s="156">
        <f>O114</f>
        <v>1821817.7966101689</v>
      </c>
      <c r="V113" s="51">
        <f>IFERROR(U113/T113,0)</f>
        <v>0.69008249871597305</v>
      </c>
      <c r="W113" s="156">
        <f>LOOKUP(V113,Policy!$L$18:$M$21)*U113</f>
        <v>0</v>
      </c>
      <c r="X113" s="427"/>
      <c r="Y113" s="397"/>
      <c r="Z113" s="431"/>
      <c r="AA113" s="55">
        <v>0</v>
      </c>
      <c r="AB113" s="41">
        <v>0</v>
      </c>
      <c r="AC113" s="41">
        <v>0</v>
      </c>
      <c r="AD113" s="41">
        <f t="shared" si="230"/>
        <v>0</v>
      </c>
      <c r="AE113" s="41">
        <f t="shared" si="231"/>
        <v>117998.92372881345</v>
      </c>
      <c r="AF113" s="41">
        <f t="shared" si="232"/>
        <v>117998.92372881345</v>
      </c>
      <c r="AG113" s="31"/>
      <c r="AH113" s="419"/>
      <c r="AI113" s="22" t="s">
        <v>209</v>
      </c>
      <c r="AJ113" s="22" t="s">
        <v>52</v>
      </c>
      <c r="AK113" s="195" t="s">
        <v>667</v>
      </c>
      <c r="AL113" s="299">
        <v>117998.92372881345</v>
      </c>
      <c r="AM113" s="299">
        <f t="shared" si="233"/>
        <v>117998.92372881345</v>
      </c>
      <c r="AN113" s="300">
        <f t="shared" si="234"/>
        <v>0</v>
      </c>
    </row>
    <row r="114" spans="1:42" ht="15.75" hidden="1" customHeight="1" outlineLevel="1" x14ac:dyDescent="0.2">
      <c r="A114" s="79" t="s">
        <v>303</v>
      </c>
      <c r="B114" s="79" t="s">
        <v>305</v>
      </c>
      <c r="C114" s="79" t="s">
        <v>1</v>
      </c>
      <c r="D114" s="1" t="s">
        <v>667</v>
      </c>
      <c r="E114" s="47">
        <f>ROUND(SUMIF('Target Achieved- Input'!$B$93:$B$182,'Incentive Report- Output'!B114,'Target Achieved- Input'!$G$93:$G$182),0)</f>
        <v>80</v>
      </c>
      <c r="F114" s="47">
        <f>ROUND(SUMIF('Target Achieved- Input'!$B$93:$B$182,'Incentive Report- Output'!B114,'Target Achieved- Input'!$H$93:$H$182),0)</f>
        <v>104</v>
      </c>
      <c r="G114" s="47">
        <f>SUMIF('Target Achieved- Input'!$L$93:$L$182,'Incentive Report- Output'!B114,'Target Achieved- Input'!$O$93:$O$182)</f>
        <v>61</v>
      </c>
      <c r="H114" s="39">
        <f>SUMIF('Target Achieved- Input'!$S$93:$S$182,'Incentive Report- Output'!B114,'Target Achieved- Input'!$V$93:$V$182)</f>
        <v>6</v>
      </c>
      <c r="I114" s="48">
        <f>SUMIF('Target Achieved- Input'!$L$93:$L$182,'Incentive Report- Output'!B114,'Target Achieved- Input'!$AC$93:$AC$182)</f>
        <v>2</v>
      </c>
      <c r="J114" s="39">
        <f t="shared" si="225"/>
        <v>55</v>
      </c>
      <c r="K114" s="40">
        <f t="shared" si="226"/>
        <v>0.6875</v>
      </c>
      <c r="L114" s="41">
        <f t="shared" si="227"/>
        <v>2640000</v>
      </c>
      <c r="M114" s="41">
        <f>SUMIF('Target Achieved- Input'!$L$93:$L$182,'Incentive Report- Output'!B114,'Target Achieved- Input'!$M$93:$M$182)</f>
        <v>2384639</v>
      </c>
      <c r="N114" s="41">
        <f>SUMIF('Target Achieved- Input'!$S$93:$S$182,'Incentive Report- Output'!B114,'Target Achieved- Input'!$U$93:$U$182)</f>
        <v>199062.7118644068</v>
      </c>
      <c r="O114" s="41">
        <f>SUMIF('Target Achieved- Input'!$L$93:$L$182,'Incentive Report- Output'!B114,'Target Achieved- Input'!$N$93:$N$182)-N114</f>
        <v>1821817.7966101689</v>
      </c>
      <c r="P114" s="40">
        <f t="shared" si="228"/>
        <v>0.69008249871597305</v>
      </c>
      <c r="Q114" s="40">
        <f t="shared" si="229"/>
        <v>0.69008249871597305</v>
      </c>
      <c r="R114" s="40">
        <v>0</v>
      </c>
      <c r="S114" s="49">
        <f>(LOOKUP(Q114,Policy!$L$12:$M$16)+R114)*O114</f>
        <v>9109.088983050844</v>
      </c>
      <c r="T114" s="185"/>
      <c r="U114" s="156"/>
      <c r="V114" s="51"/>
      <c r="W114" s="156"/>
      <c r="X114" s="427"/>
      <c r="Y114" s="397"/>
      <c r="Z114" s="431"/>
      <c r="AA114" s="55">
        <v>0</v>
      </c>
      <c r="AB114" s="41">
        <v>0</v>
      </c>
      <c r="AC114" s="41">
        <v>0</v>
      </c>
      <c r="AD114" s="41">
        <f t="shared" si="230"/>
        <v>0</v>
      </c>
      <c r="AE114" s="41">
        <f t="shared" si="231"/>
        <v>9109.088983050844</v>
      </c>
      <c r="AF114" s="41">
        <f t="shared" si="232"/>
        <v>9109.088983050844</v>
      </c>
      <c r="AG114" s="31"/>
      <c r="AH114" s="419"/>
      <c r="AI114" s="22" t="s">
        <v>303</v>
      </c>
      <c r="AJ114" s="22" t="s">
        <v>305</v>
      </c>
      <c r="AK114" s="195" t="s">
        <v>667</v>
      </c>
      <c r="AL114" s="299">
        <v>10104.402542372878</v>
      </c>
      <c r="AM114" s="299">
        <f t="shared" si="233"/>
        <v>9109.088983050844</v>
      </c>
      <c r="AN114" s="300">
        <f t="shared" si="234"/>
        <v>995.31355932203405</v>
      </c>
    </row>
    <row r="115" spans="1:42" ht="15.75" hidden="1" customHeight="1" outlineLevel="1" x14ac:dyDescent="0.2">
      <c r="A115" s="79" t="s">
        <v>285</v>
      </c>
      <c r="B115" s="79" t="s">
        <v>54</v>
      </c>
      <c r="C115" s="79" t="s">
        <v>1</v>
      </c>
      <c r="D115" s="1" t="s">
        <v>667</v>
      </c>
      <c r="E115" s="47">
        <f>ROUND(SUMIF('Target Achieved- Input'!$B$93:$B$182,'Incentive Report- Output'!B115,'Target Achieved- Input'!$G$93:$G$182),0)</f>
        <v>80</v>
      </c>
      <c r="F115" s="47">
        <f>ROUND(SUMIF('Target Achieved- Input'!$B$93:$B$182,'Incentive Report- Output'!B115,'Target Achieved- Input'!$H$93:$H$182),0)</f>
        <v>104</v>
      </c>
      <c r="G115" s="47">
        <f>SUMIF('Target Achieved- Input'!$L$93:$L$182,'Incentive Report- Output'!B115,'Target Achieved- Input'!$O$93:$O$182)</f>
        <v>97</v>
      </c>
      <c r="H115" s="39">
        <f>SUMIF('Target Achieved- Input'!$S$93:$S$182,'Incentive Report- Output'!B115,'Target Achieved- Input'!$V$93:$V$182)</f>
        <v>10</v>
      </c>
      <c r="I115" s="48">
        <f>SUMIF('Target Achieved- Input'!$L$93:$L$182,'Incentive Report- Output'!B115,'Target Achieved- Input'!$AC$93:$AC$182)</f>
        <v>2</v>
      </c>
      <c r="J115" s="39">
        <f t="shared" si="225"/>
        <v>87</v>
      </c>
      <c r="K115" s="40">
        <f t="shared" si="226"/>
        <v>1.0874999999999999</v>
      </c>
      <c r="L115" s="41">
        <f t="shared" si="227"/>
        <v>2640000</v>
      </c>
      <c r="M115" s="41">
        <f>SUMIF('Target Achieved- Input'!$L$93:$L$182,'Incentive Report- Output'!B115,'Target Achieved- Input'!$M$93:$M$182)</f>
        <v>3753253</v>
      </c>
      <c r="N115" s="41">
        <f>SUMIF('Target Achieved- Input'!$S$93:$S$182,'Incentive Report- Output'!B115,'Target Achieved- Input'!$U$93:$U$182)</f>
        <v>311432.20338983048</v>
      </c>
      <c r="O115" s="41">
        <f>SUMIF('Target Achieved- Input'!$L$93:$L$182,'Incentive Report- Output'!B115,'Target Achieved- Input'!$N$93:$N$182)-N115</f>
        <v>2869290.6779660969</v>
      </c>
      <c r="P115" s="40">
        <f t="shared" si="228"/>
        <v>1.0868525295326124</v>
      </c>
      <c r="Q115" s="40">
        <f>P115</f>
        <v>1.0868525295326124</v>
      </c>
      <c r="R115" s="40">
        <v>0</v>
      </c>
      <c r="S115" s="49">
        <f>(LOOKUP(Q115,Policy!$L$12:$M$16)+R115)*O115</f>
        <v>64559.040254237181</v>
      </c>
      <c r="T115" s="185"/>
      <c r="U115" s="156"/>
      <c r="V115" s="51"/>
      <c r="W115" s="156"/>
      <c r="X115" s="427"/>
      <c r="Y115" s="397"/>
      <c r="Z115" s="431"/>
      <c r="AA115" s="55">
        <v>0</v>
      </c>
      <c r="AB115" s="41">
        <v>0</v>
      </c>
      <c r="AC115" s="41">
        <v>0</v>
      </c>
      <c r="AD115" s="41">
        <f t="shared" si="230"/>
        <v>0</v>
      </c>
      <c r="AE115" s="41">
        <f t="shared" si="231"/>
        <v>64559.040254237181</v>
      </c>
      <c r="AF115" s="41">
        <f t="shared" si="232"/>
        <v>64559.040254237181</v>
      </c>
      <c r="AG115" s="31"/>
      <c r="AH115" s="419"/>
      <c r="AI115" s="22" t="s">
        <v>285</v>
      </c>
      <c r="AJ115" s="22" t="s">
        <v>54</v>
      </c>
      <c r="AK115" s="195" t="s">
        <v>667</v>
      </c>
      <c r="AL115" s="299">
        <v>71566.264830508357</v>
      </c>
      <c r="AM115" s="299">
        <f t="shared" si="233"/>
        <v>64559.040254237181</v>
      </c>
      <c r="AN115" s="300">
        <f t="shared" si="234"/>
        <v>7007.2245762711755</v>
      </c>
    </row>
    <row r="116" spans="1:42" ht="15.75" hidden="1" customHeight="1" outlineLevel="1" x14ac:dyDescent="0.2">
      <c r="A116" s="79" t="s">
        <v>246</v>
      </c>
      <c r="B116" s="79" t="s">
        <v>247</v>
      </c>
      <c r="C116" s="79" t="s">
        <v>1</v>
      </c>
      <c r="D116" s="1" t="s">
        <v>667</v>
      </c>
      <c r="E116" s="47">
        <f>ROUND(SUMIF('Target Achieved- Input'!$B$93:$B$182,'Incentive Report- Output'!B116,'Target Achieved- Input'!$G$93:$G$182),0)</f>
        <v>80</v>
      </c>
      <c r="F116" s="47">
        <f>ROUND(SUMIF('Target Achieved- Input'!$B$93:$B$182,'Incentive Report- Output'!B116,'Target Achieved- Input'!$H$93:$H$182),0)</f>
        <v>104</v>
      </c>
      <c r="G116" s="47">
        <f>SUMIF('Target Achieved- Input'!$L$93:$L$182,'Incentive Report- Output'!B116,'Target Achieved- Input'!$O$93:$O$182)</f>
        <v>68</v>
      </c>
      <c r="H116" s="39">
        <f>SUMIF('Target Achieved- Input'!$S$93:$S$182,'Incentive Report- Output'!B116,'Target Achieved- Input'!$V$93:$V$182)</f>
        <v>9</v>
      </c>
      <c r="I116" s="48">
        <f>SUMIF('Target Achieved- Input'!$L$93:$L$182,'Incentive Report- Output'!B116,'Target Achieved- Input'!$AC$93:$AC$182)</f>
        <v>1</v>
      </c>
      <c r="J116" s="39">
        <f t="shared" si="225"/>
        <v>59</v>
      </c>
      <c r="K116" s="40">
        <f t="shared" si="226"/>
        <v>0.73750000000000004</v>
      </c>
      <c r="L116" s="41">
        <f t="shared" si="227"/>
        <v>2640000</v>
      </c>
      <c r="M116" s="41">
        <f>SUMIF('Target Achieved- Input'!$L$93:$L$182,'Incentive Report- Output'!B116,'Target Achieved- Input'!$M$93:$M$182)</f>
        <v>2876282</v>
      </c>
      <c r="N116" s="41">
        <f>SUMIF('Target Achieved- Input'!$S$93:$S$182,'Incentive Report- Output'!B116,'Target Achieved- Input'!$U$93:$U$182)</f>
        <v>281772.03389830509</v>
      </c>
      <c r="O116" s="41">
        <f>SUMIF('Target Achieved- Input'!$L$93:$L$182,'Incentive Report- Output'!B116,'Target Achieved- Input'!$N$93:$N$182)-N116</f>
        <v>2155755.084745761</v>
      </c>
      <c r="P116" s="40">
        <f t="shared" si="228"/>
        <v>0.81657389573703065</v>
      </c>
      <c r="Q116" s="40">
        <f t="shared" si="229"/>
        <v>0.81657389573703065</v>
      </c>
      <c r="R116" s="40">
        <v>0</v>
      </c>
      <c r="S116" s="49">
        <f>(LOOKUP(Q116,Policy!$L$12:$M$16)+R116)*O116</f>
        <v>21557.550847457609</v>
      </c>
      <c r="T116" s="185"/>
      <c r="U116" s="156"/>
      <c r="V116" s="51"/>
      <c r="W116" s="156"/>
      <c r="X116" s="427"/>
      <c r="Y116" s="397"/>
      <c r="Z116" s="431"/>
      <c r="AA116" s="55">
        <v>0</v>
      </c>
      <c r="AB116" s="41">
        <v>0</v>
      </c>
      <c r="AC116" s="41">
        <v>0</v>
      </c>
      <c r="AD116" s="41">
        <f t="shared" si="230"/>
        <v>0</v>
      </c>
      <c r="AE116" s="41">
        <f t="shared" si="231"/>
        <v>21557.550847457609</v>
      </c>
      <c r="AF116" s="41">
        <f t="shared" si="232"/>
        <v>21557.550847457609</v>
      </c>
      <c r="AG116" s="31"/>
      <c r="AH116" s="419"/>
      <c r="AI116" s="22" t="s">
        <v>246</v>
      </c>
      <c r="AJ116" s="22" t="s">
        <v>247</v>
      </c>
      <c r="AK116" s="195" t="s">
        <v>667</v>
      </c>
      <c r="AL116" s="299">
        <v>24375.271186440663</v>
      </c>
      <c r="AM116" s="299">
        <f t="shared" si="233"/>
        <v>21557.550847457609</v>
      </c>
      <c r="AN116" s="300">
        <f t="shared" si="234"/>
        <v>2817.7203389830538</v>
      </c>
    </row>
    <row r="117" spans="1:42" ht="15.75" hidden="1" customHeight="1" outlineLevel="1" x14ac:dyDescent="0.2">
      <c r="A117" s="79" t="s">
        <v>334</v>
      </c>
      <c r="B117" s="79" t="s">
        <v>341</v>
      </c>
      <c r="C117" s="79" t="s">
        <v>1</v>
      </c>
      <c r="D117" s="1" t="s">
        <v>667</v>
      </c>
      <c r="E117" s="47">
        <f>ROUND(SUMIF('Target Achieved- Input'!$B$93:$B$182,'Incentive Report- Output'!B117,'Target Achieved- Input'!$G$93:$G$182),0)</f>
        <v>80</v>
      </c>
      <c r="F117" s="47">
        <f>ROUND(SUMIF('Target Achieved- Input'!$B$93:$B$182,'Incentive Report- Output'!B117,'Target Achieved- Input'!$H$93:$H$182),0)</f>
        <v>104</v>
      </c>
      <c r="G117" s="47">
        <f>SUMIF('Target Achieved- Input'!$L$93:$L$182,'Incentive Report- Output'!B117,'Target Achieved- Input'!$O$93:$O$182)</f>
        <v>86</v>
      </c>
      <c r="H117" s="39">
        <f>SUMIF('Target Achieved- Input'!$S$93:$S$182,'Incentive Report- Output'!B117,'Target Achieved- Input'!$V$93:$V$182)</f>
        <v>7</v>
      </c>
      <c r="I117" s="48">
        <f>SUMIF('Target Achieved- Input'!$L$93:$L$182,'Incentive Report- Output'!B117,'Target Achieved- Input'!$AC$93:$AC$182)</f>
        <v>0</v>
      </c>
      <c r="J117" s="39">
        <f t="shared" si="225"/>
        <v>79</v>
      </c>
      <c r="K117" s="40">
        <f t="shared" si="226"/>
        <v>0.98750000000000004</v>
      </c>
      <c r="L117" s="41">
        <f t="shared" si="227"/>
        <v>2640000</v>
      </c>
      <c r="M117" s="41">
        <f>SUMIF('Target Achieved- Input'!$L$93:$L$182,'Incentive Report- Output'!B117,'Target Achieved- Input'!$M$93:$M$182)</f>
        <v>3503564</v>
      </c>
      <c r="N117" s="41">
        <f>SUMIF('Target Achieved- Input'!$S$93:$S$182,'Incentive Report- Output'!B117,'Target Achieved- Input'!$U$93:$U$182)</f>
        <v>214655.08474576272</v>
      </c>
      <c r="O117" s="41">
        <f>SUMIF('Target Achieved- Input'!$L$93:$L$182,'Incentive Report- Output'!B117,'Target Achieved- Input'!$N$93:$N$182)-N117</f>
        <v>2754466.9491525386</v>
      </c>
      <c r="P117" s="40">
        <f t="shared" si="228"/>
        <v>1.0433586928608101</v>
      </c>
      <c r="Q117" s="40">
        <f t="shared" si="229"/>
        <v>1.0433586928608101</v>
      </c>
      <c r="R117" s="40">
        <v>0</v>
      </c>
      <c r="S117" s="49">
        <f>(LOOKUP(Q117,Policy!$L$12:$M$16)+R117)*O117</f>
        <v>61975.506355932113</v>
      </c>
      <c r="T117" s="185"/>
      <c r="U117" s="156"/>
      <c r="V117" s="51"/>
      <c r="W117" s="156"/>
      <c r="X117" s="429"/>
      <c r="Y117" s="398"/>
      <c r="Z117" s="432"/>
      <c r="AA117" s="55">
        <v>0</v>
      </c>
      <c r="AB117" s="41">
        <v>0</v>
      </c>
      <c r="AC117" s="41">
        <v>0</v>
      </c>
      <c r="AD117" s="41">
        <f t="shared" si="230"/>
        <v>0</v>
      </c>
      <c r="AE117" s="41">
        <f t="shared" si="231"/>
        <v>61975.506355932113</v>
      </c>
      <c r="AF117" s="41">
        <f t="shared" si="232"/>
        <v>61975.506355932113</v>
      </c>
      <c r="AG117" s="31"/>
      <c r="AH117" s="419"/>
      <c r="AI117" s="22" t="s">
        <v>334</v>
      </c>
      <c r="AJ117" s="22" t="s">
        <v>341</v>
      </c>
      <c r="AK117" s="195" t="s">
        <v>667</v>
      </c>
      <c r="AL117" s="299">
        <v>66805.245762711784</v>
      </c>
      <c r="AM117" s="299">
        <f t="shared" si="233"/>
        <v>61975.506355932113</v>
      </c>
      <c r="AN117" s="300">
        <f t="shared" si="234"/>
        <v>4829.7394067796704</v>
      </c>
    </row>
    <row r="118" spans="1:42" ht="15.75" hidden="1" customHeight="1" outlineLevel="1" x14ac:dyDescent="0.2">
      <c r="A118" s="109" t="s">
        <v>6</v>
      </c>
      <c r="B118" s="109"/>
      <c r="C118" s="109"/>
      <c r="D118" s="292" t="s">
        <v>667</v>
      </c>
      <c r="E118" s="44">
        <f>SUM(E110:E117)</f>
        <v>600</v>
      </c>
      <c r="F118" s="44">
        <f t="shared" ref="F118:J118" si="235">SUM(F110:F117)</f>
        <v>780</v>
      </c>
      <c r="G118" s="44">
        <f t="shared" si="235"/>
        <v>607</v>
      </c>
      <c r="H118" s="44">
        <f t="shared" si="235"/>
        <v>49</v>
      </c>
      <c r="I118" s="44">
        <f t="shared" si="235"/>
        <v>6</v>
      </c>
      <c r="J118" s="44">
        <f t="shared" si="235"/>
        <v>558</v>
      </c>
      <c r="K118" s="45"/>
      <c r="L118" s="44">
        <f t="shared" ref="L118:O118" si="236">SUM(L110:L117)</f>
        <v>19800000</v>
      </c>
      <c r="M118" s="44">
        <f t="shared" si="236"/>
        <v>24970993</v>
      </c>
      <c r="N118" s="44">
        <f t="shared" si="236"/>
        <v>1535763.5593220338</v>
      </c>
      <c r="O118" s="44">
        <f t="shared" si="236"/>
        <v>19626094.91525422</v>
      </c>
      <c r="P118" s="45"/>
      <c r="Q118" s="46"/>
      <c r="R118" s="46"/>
      <c r="S118" s="44">
        <f t="shared" ref="S118:AF118" si="237">SUM(S110:S117)</f>
        <v>413742.22033898265</v>
      </c>
      <c r="T118" s="44">
        <f t="shared" si="237"/>
        <v>2640000</v>
      </c>
      <c r="U118" s="44">
        <f t="shared" si="237"/>
        <v>1821817.7966101689</v>
      </c>
      <c r="V118" s="44">
        <f t="shared" si="237"/>
        <v>0.69008249871597305</v>
      </c>
      <c r="W118" s="44">
        <f t="shared" si="237"/>
        <v>0</v>
      </c>
      <c r="X118" s="44">
        <f t="shared" si="237"/>
        <v>600</v>
      </c>
      <c r="Y118" s="44">
        <f t="shared" si="237"/>
        <v>558</v>
      </c>
      <c r="Z118" s="44">
        <f t="shared" si="237"/>
        <v>0.93</v>
      </c>
      <c r="AA118" s="44">
        <f t="shared" si="237"/>
        <v>0</v>
      </c>
      <c r="AB118" s="44">
        <f t="shared" si="237"/>
        <v>0</v>
      </c>
      <c r="AC118" s="44">
        <f t="shared" si="237"/>
        <v>0</v>
      </c>
      <c r="AD118" s="44">
        <f t="shared" si="237"/>
        <v>0</v>
      </c>
      <c r="AE118" s="44">
        <f t="shared" si="237"/>
        <v>413742.22033898265</v>
      </c>
      <c r="AF118" s="44">
        <f t="shared" si="237"/>
        <v>413742.22033898265</v>
      </c>
      <c r="AG118" s="31"/>
      <c r="AH118" s="419"/>
      <c r="AI118" s="43" t="s">
        <v>6</v>
      </c>
      <c r="AJ118" s="43"/>
      <c r="AK118" s="43" t="s">
        <v>667</v>
      </c>
      <c r="AL118" s="304">
        <v>438180.55084745726</v>
      </c>
      <c r="AM118" s="304">
        <f>SUM(AM110:AM117)</f>
        <v>413742.22033898265</v>
      </c>
      <c r="AN118" s="304">
        <f>SUM(AN110:AN117)</f>
        <v>24438.330508474581</v>
      </c>
    </row>
    <row r="119" spans="1:42" ht="15.75" hidden="1" customHeight="1" outlineLevel="1" x14ac:dyDescent="0.2">
      <c r="A119" s="79" t="s">
        <v>61</v>
      </c>
      <c r="B119" s="79" t="s">
        <v>62</v>
      </c>
      <c r="C119" s="79" t="s">
        <v>0</v>
      </c>
      <c r="D119" s="1" t="s">
        <v>668</v>
      </c>
      <c r="E119" s="47">
        <f>ROUND(SUMIF('Target Achieved- Input'!$B$93:$B$182,'Incentive Report- Output'!B119,'Target Achieved- Input'!$G$93:$G$182),0)</f>
        <v>70</v>
      </c>
      <c r="F119" s="47">
        <f>ROUND(SUMIF('Target Achieved- Input'!$B$93:$B$182,'Incentive Report- Output'!B119,'Target Achieved- Input'!$H$93:$H$182),0)</f>
        <v>91</v>
      </c>
      <c r="G119" s="47">
        <f>SUMIF('Target Achieved- Input'!$L$93:$L$182,'Incentive Report- Output'!B119,'Target Achieved- Input'!$O$93:$O$182)</f>
        <v>64</v>
      </c>
      <c r="H119" s="39">
        <f>SUMIF('Target Achieved- Input'!$S$93:$S$182,'Incentive Report- Output'!B119,'Target Achieved- Input'!$V$93:$V$182)</f>
        <v>8</v>
      </c>
      <c r="I119" s="48">
        <f>SUMIF('Target Achieved- Input'!$L$93:$L$182,'Incentive Report- Output'!B119,'Target Achieved- Input'!$AC$93:$AC$182)</f>
        <v>0</v>
      </c>
      <c r="J119" s="39">
        <f t="shared" ref="J119:J121" si="238">G119-H119</f>
        <v>56</v>
      </c>
      <c r="K119" s="40">
        <f t="shared" ref="K119:K121" si="239">IFERROR(J119/E119,0)</f>
        <v>0.8</v>
      </c>
      <c r="L119" s="41">
        <f t="shared" ref="L119:L121" si="240">E119*33000</f>
        <v>2310000</v>
      </c>
      <c r="M119" s="41">
        <f>SUMIF('Target Achieved- Input'!$L$93:$L$182,'Incentive Report- Output'!B119,'Target Achieved- Input'!$M$93:$M$182)</f>
        <v>2633388</v>
      </c>
      <c r="N119" s="41">
        <f>SUMIF('Target Achieved- Input'!$S$93:$S$182,'Incentive Report- Output'!B119,'Target Achieved- Input'!$U$93:$U$182)</f>
        <v>270927.11864406778</v>
      </c>
      <c r="O119" s="41">
        <f>SUMIF('Target Achieved- Input'!$L$93:$L$182,'Incentive Report- Output'!B119,'Target Achieved- Input'!$N$93:$N$182)-N119</f>
        <v>1960757.6271186431</v>
      </c>
      <c r="P119" s="40">
        <f t="shared" ref="P119:P121" si="241">IFERROR(O119/L119,0)</f>
        <v>0.84881282559248616</v>
      </c>
      <c r="Q119" s="40">
        <f t="shared" ref="Q119:Q121" si="242">MAX(P119,K119)</f>
        <v>0.84881282559248616</v>
      </c>
      <c r="R119" s="40">
        <v>0</v>
      </c>
      <c r="S119" s="49">
        <f>(LOOKUP(Q119,Policy!$L$12:$M$16)+R119)*O119</f>
        <v>19607.576271186434</v>
      </c>
      <c r="T119" s="188"/>
      <c r="U119" s="53"/>
      <c r="V119" s="40"/>
      <c r="W119" s="53"/>
      <c r="X119" s="433">
        <f>E122</f>
        <v>210</v>
      </c>
      <c r="Y119" s="433">
        <f>J122</f>
        <v>164</v>
      </c>
      <c r="Z119" s="435">
        <f>Y119/X119</f>
        <v>0.78095238095238095</v>
      </c>
      <c r="AA119" s="55">
        <v>0</v>
      </c>
      <c r="AB119" s="41">
        <v>0</v>
      </c>
      <c r="AC119" s="41">
        <v>0</v>
      </c>
      <c r="AD119" s="41">
        <f t="shared" ref="AD119:AD121" si="243">IF(AF119&gt;200000,AF119-200000,0)</f>
        <v>0</v>
      </c>
      <c r="AE119" s="41">
        <f t="shared" ref="AE119:AE121" si="244">AF119-AD119+AC119</f>
        <v>19607.576271186434</v>
      </c>
      <c r="AF119" s="41">
        <f>S119+W119+AB119+AC119</f>
        <v>19607.576271186434</v>
      </c>
      <c r="AG119" s="31"/>
      <c r="AH119" s="419"/>
      <c r="AI119" s="22" t="s">
        <v>61</v>
      </c>
      <c r="AJ119" s="22" t="s">
        <v>62</v>
      </c>
      <c r="AK119" s="195" t="s">
        <v>668</v>
      </c>
      <c r="AL119" s="299">
        <v>22316.847457627111</v>
      </c>
      <c r="AM119" s="299">
        <f t="shared" ref="AM119:AM121" si="245">AF119</f>
        <v>19607.576271186434</v>
      </c>
      <c r="AN119" s="300">
        <f t="shared" ref="AN119:AN121" si="246">AL119-AM119</f>
        <v>2709.2711864406774</v>
      </c>
      <c r="AP119" s="172"/>
    </row>
    <row r="120" spans="1:42" ht="15.75" hidden="1" customHeight="1" outlineLevel="1" x14ac:dyDescent="0.2">
      <c r="A120" s="79" t="s">
        <v>689</v>
      </c>
      <c r="B120" s="79" t="s">
        <v>690</v>
      </c>
      <c r="C120" s="79" t="s">
        <v>1</v>
      </c>
      <c r="D120" s="1" t="s">
        <v>668</v>
      </c>
      <c r="E120" s="47">
        <f>ROUND(SUMIF('Target Achieved- Input'!$B$93:$B$182,'Incentive Report- Output'!B120,'Target Achieved- Input'!$G$93:$G$182),0)</f>
        <v>70</v>
      </c>
      <c r="F120" s="47">
        <f>ROUND(SUMIF('Target Achieved- Input'!$B$93:$B$182,'Incentive Report- Output'!B120,'Target Achieved- Input'!$H$93:$H$182),0)</f>
        <v>91</v>
      </c>
      <c r="G120" s="47">
        <f>SUMIF('Target Achieved- Input'!$L$93:$L$182,'Incentive Report- Output'!B120,'Target Achieved- Input'!$O$93:$O$182)</f>
        <v>83</v>
      </c>
      <c r="H120" s="39">
        <f>SUMIF('Target Achieved- Input'!$S$93:$S$182,'Incentive Report- Output'!B120,'Target Achieved- Input'!$V$93:$V$182)</f>
        <v>4</v>
      </c>
      <c r="I120" s="48">
        <f>SUMIF('Target Achieved- Input'!$L$93:$L$182,'Incentive Report- Output'!B120,'Target Achieved- Input'!$AC$93:$AC$182)</f>
        <v>2</v>
      </c>
      <c r="J120" s="39">
        <f t="shared" si="238"/>
        <v>79</v>
      </c>
      <c r="K120" s="40">
        <f t="shared" si="239"/>
        <v>1.1285714285714286</v>
      </c>
      <c r="L120" s="41">
        <f t="shared" si="240"/>
        <v>2310000</v>
      </c>
      <c r="M120" s="41">
        <f>SUMIF('Target Achieved- Input'!$L$93:$L$182,'Incentive Report- Output'!B120,'Target Achieved- Input'!$M$93:$M$182)</f>
        <v>3480317</v>
      </c>
      <c r="N120" s="41">
        <f>SUMIF('Target Achieved- Input'!$S$93:$S$182,'Incentive Report- Output'!B120,'Target Achieved- Input'!$U$93:$U$182)</f>
        <v>131013.55932203389</v>
      </c>
      <c r="O120" s="41">
        <f>SUMIF('Target Achieved- Input'!$L$93:$L$182,'Incentive Report- Output'!B120,'Target Achieved- Input'!$N$93:$N$182)-N120</f>
        <v>2818407.627118641</v>
      </c>
      <c r="P120" s="40">
        <f t="shared" si="241"/>
        <v>1.2200898818695416</v>
      </c>
      <c r="Q120" s="40">
        <f t="shared" si="242"/>
        <v>1.2200898818695416</v>
      </c>
      <c r="R120" s="40">
        <v>0</v>
      </c>
      <c r="S120" s="49">
        <f>(LOOKUP(Q120,Policy!$L$12:$M$16)+R120)*O120</f>
        <v>63414.171610169418</v>
      </c>
      <c r="T120" s="188"/>
      <c r="U120" s="53"/>
      <c r="V120" s="40"/>
      <c r="W120" s="53"/>
      <c r="X120" s="405"/>
      <c r="Y120" s="405"/>
      <c r="Z120" s="436"/>
      <c r="AA120" s="55">
        <v>0</v>
      </c>
      <c r="AB120" s="41">
        <v>0</v>
      </c>
      <c r="AC120" s="41">
        <v>0</v>
      </c>
      <c r="AD120" s="41">
        <f t="shared" si="243"/>
        <v>0</v>
      </c>
      <c r="AE120" s="41">
        <f t="shared" si="244"/>
        <v>63414.171610169418</v>
      </c>
      <c r="AF120" s="41">
        <f>S120+W120+AB120+AC120</f>
        <v>63414.171610169418</v>
      </c>
      <c r="AG120" s="32"/>
      <c r="AH120" s="419"/>
      <c r="AI120" s="22" t="s">
        <v>689</v>
      </c>
      <c r="AJ120" s="22" t="s">
        <v>690</v>
      </c>
      <c r="AK120" s="195" t="s">
        <v>668</v>
      </c>
      <c r="AL120" s="301">
        <v>66361.976694915182</v>
      </c>
      <c r="AM120" s="301">
        <f t="shared" si="245"/>
        <v>63414.171610169418</v>
      </c>
      <c r="AN120" s="302">
        <f t="shared" si="246"/>
        <v>2947.8050847457635</v>
      </c>
      <c r="AO120" s="334"/>
      <c r="AP120" s="172"/>
    </row>
    <row r="121" spans="1:42" ht="15.75" hidden="1" customHeight="1" outlineLevel="1" x14ac:dyDescent="0.2">
      <c r="A121" s="79" t="s">
        <v>706</v>
      </c>
      <c r="B121" s="79" t="s">
        <v>688</v>
      </c>
      <c r="C121" s="79" t="s">
        <v>1</v>
      </c>
      <c r="D121" s="1" t="s">
        <v>668</v>
      </c>
      <c r="E121" s="47">
        <f>ROUND(SUMIF('Target Achieved- Input'!$B$93:$B$182,'Incentive Report- Output'!B121,'Target Achieved- Input'!$G$93:$G$182),0)</f>
        <v>70</v>
      </c>
      <c r="F121" s="47">
        <f>ROUND(SUMIF('Target Achieved- Input'!$B$93:$B$182,'Incentive Report- Output'!B121,'Target Achieved- Input'!$H$93:$H$182),0)</f>
        <v>91</v>
      </c>
      <c r="G121" s="47">
        <f>SUMIF('Target Achieved- Input'!$L$93:$L$182,'Incentive Report- Output'!B121,'Target Achieved- Input'!$O$93:$O$182)</f>
        <v>30</v>
      </c>
      <c r="H121" s="39">
        <f>SUMIF('Target Achieved- Input'!$S$93:$S$182,'Incentive Report- Output'!B121,'Target Achieved- Input'!$V$93:$V$182)</f>
        <v>1</v>
      </c>
      <c r="I121" s="48">
        <f>SUMIF('Target Achieved- Input'!$L$93:$L$182,'Incentive Report- Output'!B121,'Target Achieved- Input'!$AC$93:$AC$182)</f>
        <v>1</v>
      </c>
      <c r="J121" s="39">
        <f t="shared" si="238"/>
        <v>29</v>
      </c>
      <c r="K121" s="40">
        <f t="shared" si="239"/>
        <v>0.41428571428571431</v>
      </c>
      <c r="L121" s="41">
        <f t="shared" si="240"/>
        <v>2310000</v>
      </c>
      <c r="M121" s="41">
        <f>SUMIF('Target Achieved- Input'!$L$93:$L$182,'Incentive Report- Output'!B121,'Target Achieved- Input'!$M$93:$M$182)</f>
        <v>1174070</v>
      </c>
      <c r="N121" s="41">
        <f>SUMIF('Target Achieved- Input'!$S$93:$S$182,'Incentive Report- Output'!B121,'Target Achieved- Input'!$U$93:$U$182)</f>
        <v>21736.4406779661</v>
      </c>
      <c r="O121" s="41">
        <f>SUMIF('Target Achieved- Input'!$L$93:$L$182,'Incentive Report- Output'!B121,'Target Achieved- Input'!$N$93:$N$182)-N121</f>
        <v>973238.13559322048</v>
      </c>
      <c r="P121" s="40">
        <f t="shared" si="241"/>
        <v>0.42131521021351537</v>
      </c>
      <c r="Q121" s="40">
        <f t="shared" si="242"/>
        <v>0.42131521021351537</v>
      </c>
      <c r="R121" s="40">
        <v>0</v>
      </c>
      <c r="S121" s="49">
        <f>(LOOKUP(Q121,Policy!$L$12:$M$16)+R121)*O121</f>
        <v>0</v>
      </c>
      <c r="T121" s="185"/>
      <c r="U121" s="156"/>
      <c r="V121" s="51"/>
      <c r="W121" s="156"/>
      <c r="X121" s="434"/>
      <c r="Y121" s="434"/>
      <c r="Z121" s="437"/>
      <c r="AA121" s="55">
        <v>0</v>
      </c>
      <c r="AB121" s="41">
        <v>0</v>
      </c>
      <c r="AC121" s="41">
        <v>0</v>
      </c>
      <c r="AD121" s="41">
        <f t="shared" si="243"/>
        <v>0</v>
      </c>
      <c r="AE121" s="41">
        <f t="shared" si="244"/>
        <v>0</v>
      </c>
      <c r="AF121" s="41">
        <f>S121+W121+AB121+AC121</f>
        <v>0</v>
      </c>
      <c r="AG121" s="31"/>
      <c r="AH121" s="419"/>
      <c r="AI121" s="22" t="s">
        <v>706</v>
      </c>
      <c r="AJ121" s="22" t="s">
        <v>688</v>
      </c>
      <c r="AK121" s="195" t="s">
        <v>668</v>
      </c>
      <c r="AL121" s="301">
        <v>0</v>
      </c>
      <c r="AM121" s="301">
        <f t="shared" si="245"/>
        <v>0</v>
      </c>
      <c r="AN121" s="302">
        <f t="shared" si="246"/>
        <v>0</v>
      </c>
      <c r="AP121" s="172"/>
    </row>
    <row r="122" spans="1:42" ht="15.75" hidden="1" customHeight="1" outlineLevel="1" x14ac:dyDescent="0.2">
      <c r="A122" s="109" t="s">
        <v>6</v>
      </c>
      <c r="B122" s="109"/>
      <c r="C122" s="109"/>
      <c r="D122" s="292" t="s">
        <v>668</v>
      </c>
      <c r="E122" s="44">
        <f>SUM(E119:E121)</f>
        <v>210</v>
      </c>
      <c r="F122" s="44">
        <f t="shared" ref="F122:J122" si="247">SUM(F119:F121)</f>
        <v>273</v>
      </c>
      <c r="G122" s="44">
        <f t="shared" si="247"/>
        <v>177</v>
      </c>
      <c r="H122" s="44">
        <f t="shared" si="247"/>
        <v>13</v>
      </c>
      <c r="I122" s="44">
        <f t="shared" si="247"/>
        <v>3</v>
      </c>
      <c r="J122" s="44">
        <f t="shared" si="247"/>
        <v>164</v>
      </c>
      <c r="K122" s="45"/>
      <c r="L122" s="44">
        <f t="shared" ref="L122:O122" si="248">SUM(L119:L121)</f>
        <v>6930000</v>
      </c>
      <c r="M122" s="44">
        <f t="shared" si="248"/>
        <v>7287775</v>
      </c>
      <c r="N122" s="44">
        <f t="shared" si="248"/>
        <v>423677.11864406778</v>
      </c>
      <c r="O122" s="44">
        <f t="shared" si="248"/>
        <v>5752403.3898305045</v>
      </c>
      <c r="P122" s="45"/>
      <c r="Q122" s="46"/>
      <c r="R122" s="46"/>
      <c r="S122" s="44">
        <f t="shared" ref="S122:AF122" si="249">SUM(S119:S121)</f>
        <v>83021.747881355855</v>
      </c>
      <c r="T122" s="44">
        <f t="shared" si="249"/>
        <v>0</v>
      </c>
      <c r="U122" s="44">
        <f t="shared" si="249"/>
        <v>0</v>
      </c>
      <c r="V122" s="44">
        <f t="shared" si="249"/>
        <v>0</v>
      </c>
      <c r="W122" s="44">
        <f t="shared" si="249"/>
        <v>0</v>
      </c>
      <c r="X122" s="44">
        <f t="shared" si="249"/>
        <v>210</v>
      </c>
      <c r="Y122" s="44">
        <f t="shared" si="249"/>
        <v>164</v>
      </c>
      <c r="Z122" s="44">
        <f t="shared" si="249"/>
        <v>0.78095238095238095</v>
      </c>
      <c r="AA122" s="44">
        <f t="shared" si="249"/>
        <v>0</v>
      </c>
      <c r="AB122" s="44">
        <f t="shared" si="249"/>
        <v>0</v>
      </c>
      <c r="AC122" s="44">
        <f t="shared" si="249"/>
        <v>0</v>
      </c>
      <c r="AD122" s="44">
        <f t="shared" si="249"/>
        <v>0</v>
      </c>
      <c r="AE122" s="44">
        <f t="shared" si="249"/>
        <v>83021.747881355855</v>
      </c>
      <c r="AF122" s="44">
        <f t="shared" si="249"/>
        <v>83021.747881355855</v>
      </c>
      <c r="AG122" s="31"/>
      <c r="AH122" s="419"/>
      <c r="AI122" s="43" t="s">
        <v>6</v>
      </c>
      <c r="AJ122" s="43"/>
      <c r="AK122" s="43" t="s">
        <v>668</v>
      </c>
      <c r="AL122" s="305">
        <v>88678.824152542293</v>
      </c>
      <c r="AM122" s="305">
        <f>SUM(AM119:AM121)</f>
        <v>83021.747881355855</v>
      </c>
      <c r="AN122" s="305">
        <f>SUM(AN119:AN121)</f>
        <v>5657.0762711864409</v>
      </c>
    </row>
    <row r="123" spans="1:42" ht="15.75" hidden="1" customHeight="1" outlineLevel="1" x14ac:dyDescent="0.2">
      <c r="A123" s="79" t="s">
        <v>249</v>
      </c>
      <c r="B123" s="79" t="s">
        <v>250</v>
      </c>
      <c r="C123" s="79" t="s">
        <v>0</v>
      </c>
      <c r="D123" s="1" t="s">
        <v>669</v>
      </c>
      <c r="E123" s="47">
        <f>ROUND(SUMIF('Target Achieved- Input'!$B$93:$B$182,'Incentive Report- Output'!B123,'Target Achieved- Input'!$G$93:$G$182),0)</f>
        <v>85</v>
      </c>
      <c r="F123" s="47">
        <f>ROUND(SUMIF('Target Achieved- Input'!$B$93:$B$182,'Incentive Report- Output'!B123,'Target Achieved- Input'!$H$93:$H$182),0)</f>
        <v>111</v>
      </c>
      <c r="G123" s="47">
        <f>SUMIF('Target Achieved- Input'!$L$93:$L$182,'Incentive Report- Output'!B123,'Target Achieved- Input'!$O$93:$O$182)</f>
        <v>206</v>
      </c>
      <c r="H123" s="39">
        <f>SUMIF('Target Achieved- Input'!$S$93:$S$182,'Incentive Report- Output'!B123,'Target Achieved- Input'!$V$93:$V$182)</f>
        <v>0</v>
      </c>
      <c r="I123" s="48">
        <f>SUMIF('Target Achieved- Input'!$L$93:$L$182,'Incentive Report- Output'!B123,'Target Achieved- Input'!$AC$93:$AC$182)</f>
        <v>15</v>
      </c>
      <c r="J123" s="39">
        <f t="shared" ref="J123:J130" si="250">G123-H123</f>
        <v>206</v>
      </c>
      <c r="K123" s="40">
        <f t="shared" ref="K123:K130" si="251">IFERROR(J123/E123,0)</f>
        <v>2.4235294117647057</v>
      </c>
      <c r="L123" s="41">
        <f t="shared" ref="L123:L130" si="252">E123*33000</f>
        <v>2805000</v>
      </c>
      <c r="M123" s="41">
        <f>SUMIF('Target Achieved- Input'!$L$93:$L$182,'Incentive Report- Output'!B123,'Target Achieved- Input'!$M$93:$M$182)</f>
        <v>7657896</v>
      </c>
      <c r="N123" s="41">
        <f>SUMIF('Target Achieved- Input'!$S$93:$S$182,'Incentive Report- Output'!B123,'Target Achieved- Input'!$U$93:$U$182)</f>
        <v>0</v>
      </c>
      <c r="O123" s="41">
        <f>SUMIF('Target Achieved- Input'!$L$93:$L$182,'Incentive Report- Output'!B123,'Target Achieved- Input'!$N$93:$N$182)-N123</f>
        <v>6489742.3728813529</v>
      </c>
      <c r="P123" s="40">
        <f t="shared" ref="P123:P130" si="253">IFERROR(O123/L123,0)</f>
        <v>2.3136336445209813</v>
      </c>
      <c r="Q123" s="40">
        <f t="shared" ref="Q123:Q124" si="254">P123</f>
        <v>2.3136336445209813</v>
      </c>
      <c r="R123" s="40">
        <v>0</v>
      </c>
      <c r="S123" s="49">
        <f>(LOOKUP(Q123,Policy!$L$12:$M$16)+R123)*O123</f>
        <v>194692.27118644057</v>
      </c>
      <c r="T123" s="185"/>
      <c r="U123" s="156"/>
      <c r="V123" s="51"/>
      <c r="W123" s="156"/>
      <c r="X123" s="396">
        <f>E131</f>
        <v>545</v>
      </c>
      <c r="Y123" s="428">
        <f>J131</f>
        <v>642</v>
      </c>
      <c r="Z123" s="407">
        <f>Y123/X123</f>
        <v>1.1779816513761467</v>
      </c>
      <c r="AA123" s="55">
        <v>0</v>
      </c>
      <c r="AB123" s="41">
        <v>0</v>
      </c>
      <c r="AC123" s="41">
        <v>0</v>
      </c>
      <c r="AD123" s="41">
        <f t="shared" ref="AD123:AD130" si="255">IF(AF123&gt;200000,AF123-200000,0)</f>
        <v>0</v>
      </c>
      <c r="AE123" s="41">
        <f t="shared" ref="AE123:AE130" si="256">AF123-AD123</f>
        <v>194692.27118644057</v>
      </c>
      <c r="AF123" s="41">
        <f t="shared" ref="AF123:AF130" si="257">S123+W123+AB123+AC123</f>
        <v>194692.27118644057</v>
      </c>
      <c r="AG123" s="31"/>
      <c r="AH123" s="419"/>
      <c r="AI123" s="22" t="s">
        <v>249</v>
      </c>
      <c r="AJ123" s="22" t="s">
        <v>250</v>
      </c>
      <c r="AK123" s="195" t="s">
        <v>669</v>
      </c>
      <c r="AL123" s="301">
        <v>194692.27118644057</v>
      </c>
      <c r="AM123" s="301">
        <f t="shared" ref="AM123" si="258">AF123</f>
        <v>194692.27118644057</v>
      </c>
      <c r="AN123" s="302">
        <f t="shared" ref="AN123:AN130" si="259">AL123-AM123</f>
        <v>0</v>
      </c>
    </row>
    <row r="124" spans="1:42" ht="15.75" hidden="1" customHeight="1" outlineLevel="1" x14ac:dyDescent="0.2">
      <c r="A124" s="79" t="s">
        <v>194</v>
      </c>
      <c r="B124" s="79" t="s">
        <v>199</v>
      </c>
      <c r="C124" s="79" t="s">
        <v>1185</v>
      </c>
      <c r="D124" s="1" t="s">
        <v>669</v>
      </c>
      <c r="E124" s="47">
        <f>ROUND(SUMIF('Target Achieved- Input'!$B$93:$B$182,'Incentive Report- Output'!B124,'Target Achieved- Input'!$G$93:$G$182),0)</f>
        <v>80</v>
      </c>
      <c r="F124" s="47">
        <f>ROUND(SUMIF('Target Achieved- Input'!$B$93:$B$182,'Incentive Report- Output'!B124,'Target Achieved- Input'!$H$93:$H$182),0)</f>
        <v>104</v>
      </c>
      <c r="G124" s="47">
        <f>SUMIF('Target Achieved- Input'!$L$93:$L$182,'Incentive Report- Output'!B124,'Target Achieved- Input'!$O$93:$O$182)</f>
        <v>137</v>
      </c>
      <c r="H124" s="39">
        <f>SUMIF('Target Achieved- Input'!$S$93:$S$182,'Incentive Report- Output'!B124,'Target Achieved- Input'!$V$93:$V$182)</f>
        <v>0</v>
      </c>
      <c r="I124" s="48">
        <f>SUMIF('Target Achieved- Input'!$L$93:$L$182,'Incentive Report- Output'!B124,'Target Achieved- Input'!$AC$93:$AC$182)</f>
        <v>11</v>
      </c>
      <c r="J124" s="39">
        <f t="shared" si="250"/>
        <v>137</v>
      </c>
      <c r="K124" s="40">
        <f t="shared" si="251"/>
        <v>1.7124999999999999</v>
      </c>
      <c r="L124" s="41">
        <f t="shared" si="252"/>
        <v>2640000</v>
      </c>
      <c r="M124" s="41">
        <f>SUMIF('Target Achieved- Input'!$L$93:$L$182,'Incentive Report- Output'!B124,'Target Achieved- Input'!$M$93:$M$182)</f>
        <v>5150213</v>
      </c>
      <c r="N124" s="41">
        <f>SUMIF('Target Achieved- Input'!$S$93:$S$182,'Incentive Report- Output'!B124,'Target Achieved- Input'!$U$93:$U$182)</f>
        <v>0</v>
      </c>
      <c r="O124" s="41">
        <f>SUMIF('Target Achieved- Input'!$L$93:$L$182,'Incentive Report- Output'!B124,'Target Achieved- Input'!$N$93:$N$182)-N124</f>
        <v>4364587.2881355872</v>
      </c>
      <c r="P124" s="40">
        <f t="shared" si="253"/>
        <v>1.6532527606574194</v>
      </c>
      <c r="Q124" s="40">
        <f t="shared" si="254"/>
        <v>1.6532527606574194</v>
      </c>
      <c r="R124" s="40">
        <v>0</v>
      </c>
      <c r="S124" s="49">
        <f>(LOOKUP(Q124,Policy!$L$12:$M$16)+R124)*O124</f>
        <v>130937.61864406761</v>
      </c>
      <c r="T124" s="185">
        <f>L126+L130</f>
        <v>4125000</v>
      </c>
      <c r="U124" s="156">
        <f>O126+O130</f>
        <v>2672476.2711864403</v>
      </c>
      <c r="V124" s="51">
        <f>IFERROR(U124/T124,0)</f>
        <v>0.64787303543913699</v>
      </c>
      <c r="W124" s="156">
        <f>LOOKUP(V124,Policy!$L$18:$M$21)*U124</f>
        <v>0</v>
      </c>
      <c r="X124" s="397"/>
      <c r="Y124" s="427"/>
      <c r="Z124" s="406"/>
      <c r="AA124" s="55">
        <v>0</v>
      </c>
      <c r="AB124" s="41">
        <v>0</v>
      </c>
      <c r="AC124" s="41">
        <v>0</v>
      </c>
      <c r="AD124" s="41">
        <f t="shared" si="255"/>
        <v>0</v>
      </c>
      <c r="AE124" s="41">
        <f t="shared" si="256"/>
        <v>130937.61864406761</v>
      </c>
      <c r="AF124" s="41">
        <f t="shared" si="257"/>
        <v>130937.61864406761</v>
      </c>
      <c r="AG124" s="31"/>
      <c r="AH124" s="419"/>
      <c r="AI124" s="22" t="s">
        <v>194</v>
      </c>
      <c r="AJ124" s="22" t="s">
        <v>199</v>
      </c>
      <c r="AK124" s="195" t="s">
        <v>669</v>
      </c>
      <c r="AL124" s="299">
        <v>130937.61864406761</v>
      </c>
      <c r="AM124" s="299">
        <f>AF124</f>
        <v>130937.61864406761</v>
      </c>
      <c r="AN124" s="300">
        <f t="shared" si="259"/>
        <v>0</v>
      </c>
      <c r="AP124" s="172"/>
    </row>
    <row r="125" spans="1:42" ht="15.75" hidden="1" customHeight="1" outlineLevel="1" x14ac:dyDescent="0.2">
      <c r="A125" s="79" t="s">
        <v>1107</v>
      </c>
      <c r="B125" s="79" t="s">
        <v>1108</v>
      </c>
      <c r="C125" s="79" t="s">
        <v>1</v>
      </c>
      <c r="D125" s="1" t="s">
        <v>669</v>
      </c>
      <c r="E125" s="47">
        <f>ROUND(SUMIF('Target Achieved- Input'!$B$93:$B$182,'Incentive Report- Output'!B125,'Target Achieved- Input'!$G$93:$G$182),0)</f>
        <v>30</v>
      </c>
      <c r="F125" s="47">
        <f>ROUND(SUMIF('Target Achieved- Input'!$B$93:$B$182,'Incentive Report- Output'!B125,'Target Achieved- Input'!$H$93:$H$182),0)</f>
        <v>39</v>
      </c>
      <c r="G125" s="47">
        <f>SUMIF('Target Achieved- Input'!$L$93:$L$182,'Incentive Report- Output'!B125,'Target Achieved- Input'!$O$93:$O$182)</f>
        <v>0</v>
      </c>
      <c r="H125" s="39">
        <f>SUMIF('Target Achieved- Input'!$S$93:$S$182,'Incentive Report- Output'!B125,'Target Achieved- Input'!$V$93:$V$182)</f>
        <v>0</v>
      </c>
      <c r="I125" s="48">
        <f>SUMIF('Target Achieved- Input'!$L$93:$L$182,'Incentive Report- Output'!B125,'Target Achieved- Input'!$AC$93:$AC$182)</f>
        <v>0</v>
      </c>
      <c r="J125" s="39">
        <f t="shared" si="250"/>
        <v>0</v>
      </c>
      <c r="K125" s="40">
        <f t="shared" si="251"/>
        <v>0</v>
      </c>
      <c r="L125" s="41">
        <f t="shared" si="252"/>
        <v>990000</v>
      </c>
      <c r="M125" s="41">
        <f>SUMIF('Target Achieved- Input'!$L$93:$L$182,'Incentive Report- Output'!B125,'Target Achieved- Input'!$M$93:$M$182)</f>
        <v>0</v>
      </c>
      <c r="N125" s="41">
        <f>SUMIF('Target Achieved- Input'!$S$93:$S$182,'Incentive Report- Output'!B125,'Target Achieved- Input'!$U$93:$U$182)</f>
        <v>0</v>
      </c>
      <c r="O125" s="41">
        <f>SUMIF('Target Achieved- Input'!$L$93:$L$182,'Incentive Report- Output'!B125,'Target Achieved- Input'!$N$93:$N$182)-N125</f>
        <v>0</v>
      </c>
      <c r="P125" s="40">
        <f t="shared" si="253"/>
        <v>0</v>
      </c>
      <c r="Q125" s="40">
        <f t="shared" ref="Q125:Q130" si="260">MAX(P125,K125)</f>
        <v>0</v>
      </c>
      <c r="R125" s="40">
        <v>0</v>
      </c>
      <c r="S125" s="49">
        <f>(LOOKUP(Q125,Policy!$L$12:$M$16)+R125)*O125</f>
        <v>0</v>
      </c>
      <c r="T125" s="185"/>
      <c r="U125" s="156"/>
      <c r="V125" s="50"/>
      <c r="W125" s="156"/>
      <c r="X125" s="397"/>
      <c r="Y125" s="427"/>
      <c r="Z125" s="406"/>
      <c r="AA125" s="55">
        <v>0</v>
      </c>
      <c r="AB125" s="41">
        <v>0</v>
      </c>
      <c r="AC125" s="41">
        <v>0</v>
      </c>
      <c r="AD125" s="41">
        <f t="shared" si="255"/>
        <v>0</v>
      </c>
      <c r="AE125" s="41">
        <f t="shared" si="256"/>
        <v>0</v>
      </c>
      <c r="AF125" s="41">
        <f t="shared" si="257"/>
        <v>0</v>
      </c>
      <c r="AG125" s="32"/>
      <c r="AH125" s="419"/>
      <c r="AI125" s="22" t="s">
        <v>1107</v>
      </c>
      <c r="AJ125" s="22" t="s">
        <v>1108</v>
      </c>
      <c r="AK125" s="195" t="s">
        <v>669</v>
      </c>
      <c r="AL125" s="301">
        <v>0</v>
      </c>
      <c r="AM125" s="301">
        <f>AF125</f>
        <v>0</v>
      </c>
      <c r="AN125" s="302">
        <f t="shared" si="259"/>
        <v>0</v>
      </c>
      <c r="AO125" s="334"/>
    </row>
    <row r="126" spans="1:42" ht="15.75" hidden="1" customHeight="1" outlineLevel="1" x14ac:dyDescent="0.2">
      <c r="A126" s="79" t="s">
        <v>707</v>
      </c>
      <c r="B126" s="79" t="s">
        <v>696</v>
      </c>
      <c r="C126" s="79" t="s">
        <v>1</v>
      </c>
      <c r="D126" s="1" t="s">
        <v>669</v>
      </c>
      <c r="E126" s="47">
        <f>ROUND(SUMIF('Target Achieved- Input'!$B$93:$B$182,'Incentive Report- Output'!B126,'Target Achieved- Input'!$G$93:$G$182),0)</f>
        <v>65</v>
      </c>
      <c r="F126" s="47">
        <f>ROUND(SUMIF('Target Achieved- Input'!$B$93:$B$182,'Incentive Report- Output'!B126,'Target Achieved- Input'!$H$93:$H$182),0)</f>
        <v>85</v>
      </c>
      <c r="G126" s="47">
        <f>SUMIF('Target Achieved- Input'!$L$93:$L$182,'Incentive Report- Output'!B126,'Target Achieved- Input'!$O$93:$O$182)</f>
        <v>38</v>
      </c>
      <c r="H126" s="39">
        <f>SUMIF('Target Achieved- Input'!$S$93:$S$182,'Incentive Report- Output'!B126,'Target Achieved- Input'!$V$93:$V$182)</f>
        <v>0</v>
      </c>
      <c r="I126" s="48">
        <f>SUMIF('Target Achieved- Input'!$L$93:$L$182,'Incentive Report- Output'!B126,'Target Achieved- Input'!$AC$93:$AC$182)</f>
        <v>2</v>
      </c>
      <c r="J126" s="39">
        <f t="shared" si="250"/>
        <v>38</v>
      </c>
      <c r="K126" s="40">
        <f t="shared" si="251"/>
        <v>0.58461538461538465</v>
      </c>
      <c r="L126" s="41">
        <f t="shared" si="252"/>
        <v>2145000</v>
      </c>
      <c r="M126" s="41">
        <f>SUMIF('Target Achieved- Input'!$L$93:$L$182,'Incentive Report- Output'!B126,'Target Achieved- Input'!$M$93:$M$182)</f>
        <v>1576662</v>
      </c>
      <c r="N126" s="41">
        <f>SUMIF('Target Achieved- Input'!$S$93:$S$182,'Incentive Report- Output'!B126,'Target Achieved- Input'!$U$93:$U$182)</f>
        <v>0</v>
      </c>
      <c r="O126" s="41">
        <f>SUMIF('Target Achieved- Input'!$L$93:$L$182,'Incentive Report- Output'!B126,'Target Achieved- Input'!$N$93:$N$182)-N126</f>
        <v>1336154.2372881356</v>
      </c>
      <c r="P126" s="40">
        <f t="shared" si="253"/>
        <v>0.62291572833945719</v>
      </c>
      <c r="Q126" s="40">
        <f t="shared" si="260"/>
        <v>0.62291572833945719</v>
      </c>
      <c r="R126" s="40">
        <v>0</v>
      </c>
      <c r="S126" s="49">
        <f>(LOOKUP(Q126,Policy!$L$12:$M$16)+R126)*O126</f>
        <v>6680.7711864406783</v>
      </c>
      <c r="T126" s="185"/>
      <c r="U126" s="156"/>
      <c r="V126" s="50"/>
      <c r="W126" s="156"/>
      <c r="X126" s="397"/>
      <c r="Y126" s="427"/>
      <c r="Z126" s="406"/>
      <c r="AA126" s="55">
        <v>0</v>
      </c>
      <c r="AB126" s="41">
        <v>0</v>
      </c>
      <c r="AC126" s="41">
        <v>0</v>
      </c>
      <c r="AD126" s="41">
        <f t="shared" si="255"/>
        <v>0</v>
      </c>
      <c r="AE126" s="41">
        <f t="shared" si="256"/>
        <v>6680.7711864406783</v>
      </c>
      <c r="AF126" s="41">
        <f t="shared" si="257"/>
        <v>6680.7711864406783</v>
      </c>
      <c r="AG126" s="31"/>
      <c r="AH126" s="419"/>
      <c r="AI126" s="22" t="s">
        <v>707</v>
      </c>
      <c r="AJ126" s="22" t="s">
        <v>696</v>
      </c>
      <c r="AK126" s="195" t="s">
        <v>669</v>
      </c>
      <c r="AL126" s="301">
        <v>6680.7711864406783</v>
      </c>
      <c r="AM126" s="301">
        <f>AF126</f>
        <v>6680.7711864406783</v>
      </c>
      <c r="AN126" s="302">
        <f t="shared" si="259"/>
        <v>0</v>
      </c>
    </row>
    <row r="127" spans="1:42" ht="15.75" hidden="1" customHeight="1" outlineLevel="1" x14ac:dyDescent="0.2">
      <c r="A127" s="79" t="s">
        <v>804</v>
      </c>
      <c r="B127" s="79" t="s">
        <v>805</v>
      </c>
      <c r="C127" s="79" t="s">
        <v>1</v>
      </c>
      <c r="D127" s="1" t="s">
        <v>669</v>
      </c>
      <c r="E127" s="47">
        <f>ROUND(SUMIF('Target Achieved- Input'!$B$93:$B$182,'Incentive Report- Output'!B127,'Target Achieved- Input'!$G$93:$G$182),0)</f>
        <v>65</v>
      </c>
      <c r="F127" s="47">
        <f>ROUND(SUMIF('Target Achieved- Input'!$B$93:$B$182,'Incentive Report- Output'!B127,'Target Achieved- Input'!$H$93:$H$182),0)</f>
        <v>85</v>
      </c>
      <c r="G127" s="47">
        <f>SUMIF('Target Achieved- Input'!$L$93:$L$182,'Incentive Report- Output'!B127,'Target Achieved- Input'!$O$93:$O$182)</f>
        <v>33</v>
      </c>
      <c r="H127" s="39">
        <f>SUMIF('Target Achieved- Input'!$S$93:$S$182,'Incentive Report- Output'!B127,'Target Achieved- Input'!$V$93:$V$182)</f>
        <v>0</v>
      </c>
      <c r="I127" s="48">
        <f>SUMIF('Target Achieved- Input'!$L$93:$L$182,'Incentive Report- Output'!B127,'Target Achieved- Input'!$AC$93:$AC$182)</f>
        <v>5</v>
      </c>
      <c r="J127" s="39">
        <f t="shared" si="250"/>
        <v>33</v>
      </c>
      <c r="K127" s="40">
        <f t="shared" si="251"/>
        <v>0.50769230769230766</v>
      </c>
      <c r="L127" s="41">
        <f t="shared" si="252"/>
        <v>2145000</v>
      </c>
      <c r="M127" s="41">
        <f>SUMIF('Target Achieved- Input'!$L$93:$L$182,'Incentive Report- Output'!B127,'Target Achieved- Input'!$M$93:$M$182)</f>
        <v>1442617</v>
      </c>
      <c r="N127" s="41">
        <f>SUMIF('Target Achieved- Input'!$S$93:$S$182,'Incentive Report- Output'!B127,'Target Achieved- Input'!$U$93:$U$182)</f>
        <v>0</v>
      </c>
      <c r="O127" s="41">
        <f>SUMIF('Target Achieved- Input'!$L$93:$L$182,'Incentive Report- Output'!B127,'Target Achieved- Input'!$N$93:$N$182)-N127</f>
        <v>1222556.7796610168</v>
      </c>
      <c r="P127" s="40">
        <f t="shared" si="253"/>
        <v>0.56995654063450663</v>
      </c>
      <c r="Q127" s="40">
        <f t="shared" si="260"/>
        <v>0.56995654063450663</v>
      </c>
      <c r="R127" s="40">
        <v>0</v>
      </c>
      <c r="S127" s="49">
        <f>(LOOKUP(Q127,Policy!$L$12:$M$16)+R127)*O127</f>
        <v>6112.7838983050842</v>
      </c>
      <c r="T127" s="185"/>
      <c r="U127" s="156"/>
      <c r="V127" s="50"/>
      <c r="W127" s="156"/>
      <c r="X127" s="397"/>
      <c r="Y127" s="427"/>
      <c r="Z127" s="406"/>
      <c r="AA127" s="55">
        <v>0</v>
      </c>
      <c r="AB127" s="41">
        <v>0</v>
      </c>
      <c r="AC127" s="41">
        <v>0</v>
      </c>
      <c r="AD127" s="41">
        <f t="shared" si="255"/>
        <v>0</v>
      </c>
      <c r="AE127" s="41">
        <f t="shared" si="256"/>
        <v>6112.7838983050842</v>
      </c>
      <c r="AF127" s="41">
        <f t="shared" si="257"/>
        <v>6112.7838983050842</v>
      </c>
      <c r="AG127" s="31"/>
      <c r="AH127" s="419"/>
      <c r="AI127" s="22" t="s">
        <v>804</v>
      </c>
      <c r="AJ127" s="22" t="s">
        <v>805</v>
      </c>
      <c r="AK127" s="195" t="s">
        <v>669</v>
      </c>
      <c r="AL127" s="301">
        <v>6112.7838983050842</v>
      </c>
      <c r="AM127" s="301">
        <f t="shared" ref="AM127:AM129" si="261">AF127</f>
        <v>6112.7838983050842</v>
      </c>
      <c r="AN127" s="302">
        <f t="shared" si="259"/>
        <v>0</v>
      </c>
    </row>
    <row r="128" spans="1:42" ht="15.75" hidden="1" customHeight="1" outlineLevel="1" x14ac:dyDescent="0.2">
      <c r="A128" s="79" t="s">
        <v>313</v>
      </c>
      <c r="B128" s="79" t="s">
        <v>314</v>
      </c>
      <c r="C128" s="79" t="s">
        <v>1</v>
      </c>
      <c r="D128" s="1" t="s">
        <v>669</v>
      </c>
      <c r="E128" s="47">
        <f>ROUND(SUMIF('Target Achieved- Input'!$B$93:$B$182,'Incentive Report- Output'!B128,'Target Achieved- Input'!$G$93:$G$182),0)</f>
        <v>80</v>
      </c>
      <c r="F128" s="47">
        <f>ROUND(SUMIF('Target Achieved- Input'!$B$93:$B$182,'Incentive Report- Output'!B128,'Target Achieved- Input'!$H$93:$H$182),0)</f>
        <v>104</v>
      </c>
      <c r="G128" s="47">
        <f>SUMIF('Target Achieved- Input'!$L$93:$L$182,'Incentive Report- Output'!B128,'Target Achieved- Input'!$O$93:$O$182)</f>
        <v>99</v>
      </c>
      <c r="H128" s="39">
        <f>SUMIF('Target Achieved- Input'!$S$93:$S$182,'Incentive Report- Output'!B128,'Target Achieved- Input'!$V$93:$V$182)</f>
        <v>0</v>
      </c>
      <c r="I128" s="48">
        <f>SUMIF('Target Achieved- Input'!$L$93:$L$182,'Incentive Report- Output'!B128,'Target Achieved- Input'!$AC$93:$AC$182)</f>
        <v>7</v>
      </c>
      <c r="J128" s="39">
        <f t="shared" si="250"/>
        <v>99</v>
      </c>
      <c r="K128" s="40">
        <f t="shared" si="251"/>
        <v>1.2375</v>
      </c>
      <c r="L128" s="41">
        <f t="shared" si="252"/>
        <v>2640000</v>
      </c>
      <c r="M128" s="41">
        <f>SUMIF('Target Achieved- Input'!$L$93:$L$182,'Incentive Report- Output'!B128,'Target Achieved- Input'!$M$93:$M$182)</f>
        <v>3753201</v>
      </c>
      <c r="N128" s="41">
        <f>SUMIF('Target Achieved- Input'!$S$93:$S$182,'Incentive Report- Output'!B128,'Target Achieved- Input'!$U$93:$U$182)</f>
        <v>0</v>
      </c>
      <c r="O128" s="41">
        <f>SUMIF('Target Achieved- Input'!$L$93:$L$182,'Incentive Report- Output'!B128,'Target Achieved- Input'!$N$93:$N$182)-N128</f>
        <v>3180678.8135593194</v>
      </c>
      <c r="P128" s="40">
        <f t="shared" si="253"/>
        <v>1.2048025808936815</v>
      </c>
      <c r="Q128" s="40">
        <f>P128</f>
        <v>1.2048025808936815</v>
      </c>
      <c r="R128" s="40">
        <v>0</v>
      </c>
      <c r="S128" s="49">
        <f>(LOOKUP(Q128,Policy!$L$12:$M$16)+R128)*O128</f>
        <v>71565.273305084687</v>
      </c>
      <c r="T128" s="185"/>
      <c r="U128" s="156"/>
      <c r="V128" s="50"/>
      <c r="W128" s="156"/>
      <c r="X128" s="397"/>
      <c r="Y128" s="427"/>
      <c r="Z128" s="406"/>
      <c r="AA128" s="55">
        <v>0</v>
      </c>
      <c r="AB128" s="41">
        <v>0</v>
      </c>
      <c r="AC128" s="41">
        <v>0</v>
      </c>
      <c r="AD128" s="41">
        <f t="shared" si="255"/>
        <v>0</v>
      </c>
      <c r="AE128" s="41">
        <f t="shared" si="256"/>
        <v>71565.273305084687</v>
      </c>
      <c r="AF128" s="41">
        <f t="shared" si="257"/>
        <v>71565.273305084687</v>
      </c>
      <c r="AG128" s="31"/>
      <c r="AH128" s="419"/>
      <c r="AI128" s="22" t="s">
        <v>313</v>
      </c>
      <c r="AJ128" s="22" t="s">
        <v>314</v>
      </c>
      <c r="AK128" s="195" t="s">
        <v>669</v>
      </c>
      <c r="AL128" s="299">
        <v>71565.273305084687</v>
      </c>
      <c r="AM128" s="299">
        <f t="shared" si="261"/>
        <v>71565.273305084687</v>
      </c>
      <c r="AN128" s="300">
        <f t="shared" si="259"/>
        <v>0</v>
      </c>
    </row>
    <row r="129" spans="1:43" ht="15.75" hidden="1" customHeight="1" outlineLevel="1" x14ac:dyDescent="0.2">
      <c r="A129" s="79" t="s">
        <v>23</v>
      </c>
      <c r="B129" s="79" t="s">
        <v>24</v>
      </c>
      <c r="C129" s="79" t="s">
        <v>1185</v>
      </c>
      <c r="D129" s="1" t="s">
        <v>669</v>
      </c>
      <c r="E129" s="47">
        <f>ROUND(SUMIF('Target Achieved- Input'!$B$93:$B$182,'Incentive Report- Output'!B129,'Target Achieved- Input'!$G$93:$G$182),0)</f>
        <v>80</v>
      </c>
      <c r="F129" s="47">
        <f>ROUND(SUMIF('Target Achieved- Input'!$B$93:$B$182,'Incentive Report- Output'!B129,'Target Achieved- Input'!$H$93:$H$182),0)</f>
        <v>104</v>
      </c>
      <c r="G129" s="47">
        <f>SUMIF('Target Achieved- Input'!$L$93:$L$182,'Incentive Report- Output'!B129,'Target Achieved- Input'!$O$93:$O$182)</f>
        <v>91</v>
      </c>
      <c r="H129" s="39">
        <f>SUMIF('Target Achieved- Input'!$S$93:$S$182,'Incentive Report- Output'!B129,'Target Achieved- Input'!$V$93:$V$182)</f>
        <v>2</v>
      </c>
      <c r="I129" s="48">
        <f>SUMIF('Target Achieved- Input'!$L$93:$L$182,'Incentive Report- Output'!B129,'Target Achieved- Input'!$AC$93:$AC$182)</f>
        <v>4</v>
      </c>
      <c r="J129" s="39">
        <f t="shared" si="250"/>
        <v>89</v>
      </c>
      <c r="K129" s="40">
        <f t="shared" si="251"/>
        <v>1.1125</v>
      </c>
      <c r="L129" s="41">
        <f t="shared" si="252"/>
        <v>2640000</v>
      </c>
      <c r="M129" s="41">
        <f>SUMIF('Target Achieved- Input'!$L$93:$L$182,'Incentive Report- Output'!B129,'Target Achieved- Input'!$M$93:$M$182)</f>
        <v>3836611</v>
      </c>
      <c r="N129" s="41">
        <f>SUMIF('Target Achieved- Input'!$S$93:$S$182,'Incentive Report- Output'!B129,'Target Achieved- Input'!$U$93:$U$182)</f>
        <v>66947.457627118638</v>
      </c>
      <c r="O129" s="41">
        <f>SUMIF('Target Achieved- Input'!$L$93:$L$182,'Incentive Report- Output'!B129,'Target Achieved- Input'!$N$93:$N$182)-N129</f>
        <v>3184417.7966101673</v>
      </c>
      <c r="P129" s="40">
        <f t="shared" si="253"/>
        <v>1.206218862352336</v>
      </c>
      <c r="Q129" s="40">
        <f t="shared" si="260"/>
        <v>1.206218862352336</v>
      </c>
      <c r="R129" s="40">
        <v>0</v>
      </c>
      <c r="S129" s="49">
        <f>(LOOKUP(Q129,Policy!$L$12:$M$16)+R129)*O129</f>
        <v>71649.400423728759</v>
      </c>
      <c r="T129" s="185">
        <f>L127</f>
        <v>2145000</v>
      </c>
      <c r="U129" s="156">
        <f>O127</f>
        <v>1222556.7796610168</v>
      </c>
      <c r="V129" s="51">
        <f>IFERROR(U129/T129,0)</f>
        <v>0.56995654063450663</v>
      </c>
      <c r="W129" s="156">
        <f>LOOKUP(V129,Policy!$L$18:$M$21)*U129</f>
        <v>0</v>
      </c>
      <c r="X129" s="397"/>
      <c r="Y129" s="427"/>
      <c r="Z129" s="406"/>
      <c r="AA129" s="55">
        <v>0</v>
      </c>
      <c r="AB129" s="41">
        <v>0</v>
      </c>
      <c r="AC129" s="41">
        <v>0</v>
      </c>
      <c r="AD129" s="41">
        <f t="shared" si="255"/>
        <v>0</v>
      </c>
      <c r="AE129" s="41">
        <f t="shared" si="256"/>
        <v>71649.400423728759</v>
      </c>
      <c r="AF129" s="41">
        <f t="shared" si="257"/>
        <v>71649.400423728759</v>
      </c>
      <c r="AG129" s="31"/>
      <c r="AH129" s="419"/>
      <c r="AI129" s="22" t="s">
        <v>23</v>
      </c>
      <c r="AJ129" s="22" t="s">
        <v>24</v>
      </c>
      <c r="AK129" s="195" t="s">
        <v>669</v>
      </c>
      <c r="AL129" s="299">
        <v>73155.718220338924</v>
      </c>
      <c r="AM129" s="299">
        <f t="shared" si="261"/>
        <v>71649.400423728759</v>
      </c>
      <c r="AN129" s="300">
        <f t="shared" si="259"/>
        <v>1506.3177966101648</v>
      </c>
    </row>
    <row r="130" spans="1:43" ht="15.75" hidden="1" customHeight="1" outlineLevel="1" x14ac:dyDescent="0.2">
      <c r="A130" s="79" t="s">
        <v>1145</v>
      </c>
      <c r="B130" s="79" t="s">
        <v>1146</v>
      </c>
      <c r="C130" s="79" t="s">
        <v>1</v>
      </c>
      <c r="D130" s="1" t="s">
        <v>669</v>
      </c>
      <c r="E130" s="47">
        <f>ROUND(SUMIF('Target Achieved- Input'!$B$93:$B$182,'Incentive Report- Output'!B130,'Target Achieved- Input'!$G$93:$G$182),0)</f>
        <v>60</v>
      </c>
      <c r="F130" s="47">
        <f>ROUND(SUMIF('Target Achieved- Input'!$B$93:$B$182,'Incentive Report- Output'!B130,'Target Achieved- Input'!$H$93:$H$182),0)</f>
        <v>78</v>
      </c>
      <c r="G130" s="47">
        <f>SUMIF('Target Achieved- Input'!$L$93:$L$182,'Incentive Report- Output'!B130,'Target Achieved- Input'!$O$93:$O$182)</f>
        <v>40</v>
      </c>
      <c r="H130" s="39">
        <f>SUMIF('Target Achieved- Input'!$S$93:$S$182,'Incentive Report- Output'!B130,'Target Achieved- Input'!$V$93:$V$182)</f>
        <v>0</v>
      </c>
      <c r="I130" s="48">
        <f>SUMIF('Target Achieved- Input'!$L$93:$L$182,'Incentive Report- Output'!B130,'Target Achieved- Input'!$AC$93:$AC$182)</f>
        <v>2</v>
      </c>
      <c r="J130" s="39">
        <f t="shared" si="250"/>
        <v>40</v>
      </c>
      <c r="K130" s="40">
        <f t="shared" si="251"/>
        <v>0.66666666666666663</v>
      </c>
      <c r="L130" s="41">
        <f t="shared" si="252"/>
        <v>1980000</v>
      </c>
      <c r="M130" s="41">
        <f>SUMIF('Target Achieved- Input'!$L$93:$L$182,'Incentive Report- Output'!B130,'Target Achieved- Input'!$M$93:$M$182)</f>
        <v>1576860</v>
      </c>
      <c r="N130" s="41">
        <f>SUMIF('Target Achieved- Input'!$S$93:$S$182,'Incentive Report- Output'!B130,'Target Achieved- Input'!$U$93:$U$182)</f>
        <v>0</v>
      </c>
      <c r="O130" s="41">
        <f>SUMIF('Target Achieved- Input'!$L$93:$L$182,'Incentive Report- Output'!B130,'Target Achieved- Input'!$N$93:$N$182)-N130</f>
        <v>1336322.0338983049</v>
      </c>
      <c r="P130" s="40">
        <f t="shared" si="253"/>
        <v>0.67491011813045698</v>
      </c>
      <c r="Q130" s="40">
        <f t="shared" si="260"/>
        <v>0.67491011813045698</v>
      </c>
      <c r="R130" s="40">
        <v>0</v>
      </c>
      <c r="S130" s="49">
        <f>(LOOKUP(Q130,Policy!$L$12:$M$16)+R130)*O130</f>
        <v>6681.6101694915251</v>
      </c>
      <c r="T130" s="185"/>
      <c r="U130" s="156"/>
      <c r="V130" s="51"/>
      <c r="W130" s="156"/>
      <c r="X130" s="398"/>
      <c r="Y130" s="429"/>
      <c r="Z130" s="408"/>
      <c r="AA130" s="55">
        <v>0</v>
      </c>
      <c r="AB130" s="41">
        <v>0</v>
      </c>
      <c r="AC130" s="41">
        <v>0</v>
      </c>
      <c r="AD130" s="41">
        <f t="shared" si="255"/>
        <v>0</v>
      </c>
      <c r="AE130" s="41">
        <f t="shared" si="256"/>
        <v>6681.6101694915251</v>
      </c>
      <c r="AF130" s="41">
        <f t="shared" si="257"/>
        <v>6681.6101694915251</v>
      </c>
      <c r="AG130" s="31"/>
      <c r="AH130" s="419"/>
      <c r="AI130" s="22" t="s">
        <v>1145</v>
      </c>
      <c r="AJ130" s="22" t="s">
        <v>1146</v>
      </c>
      <c r="AK130" s="195" t="s">
        <v>669</v>
      </c>
      <c r="AL130" s="299">
        <v>6681.6101694915251</v>
      </c>
      <c r="AM130" s="299">
        <f>AF130</f>
        <v>6681.6101694915251</v>
      </c>
      <c r="AN130" s="300">
        <f t="shared" si="259"/>
        <v>0</v>
      </c>
    </row>
    <row r="131" spans="1:43" ht="15.75" hidden="1" customHeight="1" outlineLevel="1" x14ac:dyDescent="0.2">
      <c r="A131" s="109" t="s">
        <v>6</v>
      </c>
      <c r="B131" s="109"/>
      <c r="C131" s="109"/>
      <c r="D131" s="292" t="s">
        <v>669</v>
      </c>
      <c r="E131" s="44">
        <f>SUM(E123:E130)</f>
        <v>545</v>
      </c>
      <c r="F131" s="44">
        <f t="shared" ref="F131:J131" si="262">SUM(F123:F130)</f>
        <v>710</v>
      </c>
      <c r="G131" s="44">
        <f t="shared" si="262"/>
        <v>644</v>
      </c>
      <c r="H131" s="44">
        <f t="shared" si="262"/>
        <v>2</v>
      </c>
      <c r="I131" s="44">
        <f t="shared" si="262"/>
        <v>46</v>
      </c>
      <c r="J131" s="44">
        <f t="shared" si="262"/>
        <v>642</v>
      </c>
      <c r="K131" s="44"/>
      <c r="L131" s="44">
        <f t="shared" ref="L131:O131" si="263">SUM(L123:L130)</f>
        <v>17985000</v>
      </c>
      <c r="M131" s="44">
        <f t="shared" si="263"/>
        <v>24994060</v>
      </c>
      <c r="N131" s="44">
        <f t="shared" si="263"/>
        <v>66947.457627118638</v>
      </c>
      <c r="O131" s="44">
        <f t="shared" si="263"/>
        <v>21114459.322033886</v>
      </c>
      <c r="P131" s="44"/>
      <c r="Q131" s="44"/>
      <c r="R131" s="44"/>
      <c r="S131" s="44">
        <f t="shared" ref="S131:AF131" si="264">SUM(S123:S130)</f>
        <v>488319.72881355882</v>
      </c>
      <c r="T131" s="44">
        <f t="shared" si="264"/>
        <v>6270000</v>
      </c>
      <c r="U131" s="44">
        <f t="shared" si="264"/>
        <v>3895033.0508474568</v>
      </c>
      <c r="V131" s="44">
        <f t="shared" si="264"/>
        <v>1.2178295760736435</v>
      </c>
      <c r="W131" s="44">
        <f t="shared" si="264"/>
        <v>0</v>
      </c>
      <c r="X131" s="44">
        <f t="shared" si="264"/>
        <v>545</v>
      </c>
      <c r="Y131" s="44">
        <f t="shared" si="264"/>
        <v>642</v>
      </c>
      <c r="Z131" s="44">
        <f t="shared" si="264"/>
        <v>1.1779816513761467</v>
      </c>
      <c r="AA131" s="44">
        <f t="shared" si="264"/>
        <v>0</v>
      </c>
      <c r="AB131" s="44">
        <f t="shared" si="264"/>
        <v>0</v>
      </c>
      <c r="AC131" s="44">
        <f t="shared" si="264"/>
        <v>0</v>
      </c>
      <c r="AD131" s="44">
        <f t="shared" si="264"/>
        <v>0</v>
      </c>
      <c r="AE131" s="44">
        <f t="shared" si="264"/>
        <v>488319.72881355882</v>
      </c>
      <c r="AF131" s="44">
        <f t="shared" si="264"/>
        <v>488319.72881355882</v>
      </c>
      <c r="AG131" s="31"/>
      <c r="AH131" s="419"/>
      <c r="AI131" s="43" t="s">
        <v>6</v>
      </c>
      <c r="AJ131" s="43"/>
      <c r="AK131" s="43" t="s">
        <v>669</v>
      </c>
      <c r="AL131" s="306">
        <v>489826.046610169</v>
      </c>
      <c r="AM131" s="306">
        <f>SUM(AM123:AM130)</f>
        <v>488319.72881355882</v>
      </c>
      <c r="AN131" s="306">
        <f>SUM(AN123:AN130)</f>
        <v>1506.3177966101648</v>
      </c>
    </row>
    <row r="132" spans="1:43" ht="15.75" hidden="1" customHeight="1" outlineLevel="1" x14ac:dyDescent="0.2">
      <c r="A132" s="111" t="s">
        <v>225</v>
      </c>
      <c r="B132" s="79" t="s">
        <v>27</v>
      </c>
      <c r="C132" s="79" t="s">
        <v>1</v>
      </c>
      <c r="D132" s="1" t="s">
        <v>670</v>
      </c>
      <c r="E132" s="47">
        <f>ROUND(SUMIF('Target Achieved- Input'!$B$93:$B$182,'Incentive Report- Output'!B132,'Target Achieved- Input'!$G$93:$G$182),0)</f>
        <v>70</v>
      </c>
      <c r="F132" s="47">
        <f>ROUND(SUMIF('Target Achieved- Input'!$B$93:$B$182,'Incentive Report- Output'!B132,'Target Achieved- Input'!$H$93:$H$182),0)</f>
        <v>91</v>
      </c>
      <c r="G132" s="47">
        <f>SUMIF('Target Achieved- Input'!$L$93:$L$182,'Incentive Report- Output'!B132,'Target Achieved- Input'!$O$93:$O$182)</f>
        <v>51</v>
      </c>
      <c r="H132" s="39">
        <f>SUMIF('Target Achieved- Input'!$S$93:$S$182,'Incentive Report- Output'!B132,'Target Achieved- Input'!$V$93:$V$182)</f>
        <v>5</v>
      </c>
      <c r="I132" s="48">
        <f>SUMIF('Target Achieved- Input'!$L$93:$L$182,'Incentive Report- Output'!B132,'Target Achieved- Input'!$AC$93:$AC$182)</f>
        <v>1</v>
      </c>
      <c r="J132" s="39">
        <f t="shared" ref="J132:J138" si="265">G132-H132</f>
        <v>46</v>
      </c>
      <c r="K132" s="40">
        <f t="shared" ref="K132:K138" si="266">IFERROR(J132/E132,0)</f>
        <v>0.65714285714285714</v>
      </c>
      <c r="L132" s="41">
        <f t="shared" ref="L132:L138" si="267">E132*33000</f>
        <v>2310000</v>
      </c>
      <c r="M132" s="41">
        <f>SUMIF('Target Achieved- Input'!$L$93:$L$182,'Incentive Report- Output'!B132,'Target Achieved- Input'!$M$93:$M$182)</f>
        <v>1956349</v>
      </c>
      <c r="N132" s="41">
        <f>SUMIF('Target Achieved- Input'!$S$93:$S$182,'Incentive Report- Output'!B132,'Target Achieved- Input'!$U$93:$U$182)</f>
        <v>150546.6101694915</v>
      </c>
      <c r="O132" s="41">
        <f>SUMIF('Target Achieved- Input'!$L$93:$L$182,'Incentive Report- Output'!B132,'Target Achieved- Input'!$N$93:$N$182)-N132</f>
        <v>1507376.2711864405</v>
      </c>
      <c r="P132" s="40">
        <f t="shared" ref="P132:P138" si="268">IFERROR(O132/L132,0)</f>
        <v>0.65254384034045043</v>
      </c>
      <c r="Q132" s="40">
        <f>P132</f>
        <v>0.65254384034045043</v>
      </c>
      <c r="R132" s="40">
        <v>0</v>
      </c>
      <c r="S132" s="49">
        <f>(LOOKUP(Q132,Policy!$L$12:$M$16)+R132)*O132</f>
        <v>7536.8813559322025</v>
      </c>
      <c r="T132" s="185"/>
      <c r="U132" s="156"/>
      <c r="V132" s="51"/>
      <c r="W132" s="156"/>
      <c r="X132" s="405"/>
      <c r="Y132" s="405"/>
      <c r="Z132" s="406"/>
      <c r="AA132" s="55">
        <v>0</v>
      </c>
      <c r="AB132" s="41">
        <v>0</v>
      </c>
      <c r="AC132" s="41">
        <v>0</v>
      </c>
      <c r="AD132" s="41">
        <f t="shared" ref="AD132:AD138" si="269">IF(AF132&gt;200000,AF132-200000,0)</f>
        <v>0</v>
      </c>
      <c r="AE132" s="41">
        <f t="shared" ref="AE132:AE138" si="270">AF132-AD132</f>
        <v>7536.8813559322025</v>
      </c>
      <c r="AF132" s="41">
        <f t="shared" ref="AF132:AF138" si="271">S132+W132+AB132+AC132</f>
        <v>7536.8813559322025</v>
      </c>
      <c r="AG132" s="31"/>
      <c r="AH132" s="419"/>
      <c r="AI132" s="111" t="s">
        <v>225</v>
      </c>
      <c r="AJ132" s="22" t="s">
        <v>27</v>
      </c>
      <c r="AK132" s="195" t="s">
        <v>670</v>
      </c>
      <c r="AL132" s="299">
        <v>8289.6144067796595</v>
      </c>
      <c r="AM132" s="299">
        <f t="shared" ref="AM132:AM138" si="272">AF132</f>
        <v>7536.8813559322025</v>
      </c>
      <c r="AN132" s="300">
        <f t="shared" ref="AN132:AN138" si="273">AL132-AM132</f>
        <v>752.73305084745698</v>
      </c>
    </row>
    <row r="133" spans="1:43" ht="15.75" hidden="1" customHeight="1" outlineLevel="1" x14ac:dyDescent="0.2">
      <c r="A133" s="111" t="s">
        <v>29</v>
      </c>
      <c r="B133" s="79" t="s">
        <v>30</v>
      </c>
      <c r="C133" s="79" t="s">
        <v>1</v>
      </c>
      <c r="D133" s="1" t="s">
        <v>670</v>
      </c>
      <c r="E133" s="47">
        <f>ROUND(SUMIF('Target Achieved- Input'!$B$93:$B$182,'Incentive Report- Output'!B133,'Target Achieved- Input'!$G$93:$G$182),0)</f>
        <v>70</v>
      </c>
      <c r="F133" s="47">
        <f>ROUND(SUMIF('Target Achieved- Input'!$B$93:$B$182,'Incentive Report- Output'!B133,'Target Achieved- Input'!$H$93:$H$182),0)</f>
        <v>91</v>
      </c>
      <c r="G133" s="47">
        <f>SUMIF('Target Achieved- Input'!$L$93:$L$182,'Incentive Report- Output'!B133,'Target Achieved- Input'!$O$93:$O$182)</f>
        <v>69</v>
      </c>
      <c r="H133" s="39">
        <f>SUMIF('Target Achieved- Input'!$S$93:$S$182,'Incentive Report- Output'!B133,'Target Achieved- Input'!$V$93:$V$182)</f>
        <v>11</v>
      </c>
      <c r="I133" s="48">
        <f>SUMIF('Target Achieved- Input'!$L$93:$L$182,'Incentive Report- Output'!B133,'Target Achieved- Input'!$AC$93:$AC$182)</f>
        <v>6</v>
      </c>
      <c r="J133" s="39">
        <f t="shared" si="265"/>
        <v>58</v>
      </c>
      <c r="K133" s="40">
        <f t="shared" si="266"/>
        <v>0.82857142857142863</v>
      </c>
      <c r="L133" s="41">
        <f t="shared" si="267"/>
        <v>2310000</v>
      </c>
      <c r="M133" s="41">
        <f>SUMIF('Target Achieved- Input'!$L$93:$L$182,'Incentive Report- Output'!B133,'Target Achieved- Input'!$M$93:$M$182)</f>
        <v>2919681</v>
      </c>
      <c r="N133" s="41">
        <f>SUMIF('Target Achieved- Input'!$S$93:$S$182,'Incentive Report- Output'!B133,'Target Achieved- Input'!$U$93:$U$182)</f>
        <v>387405.93220338988</v>
      </c>
      <c r="O133" s="41">
        <f>SUMIF('Target Achieved- Input'!$L$93:$L$182,'Incentive Report- Output'!B133,'Target Achieved- Input'!$N$93:$N$182)-N133</f>
        <v>2086899.9999999974</v>
      </c>
      <c r="P133" s="40">
        <f t="shared" si="268"/>
        <v>0.90341991341991235</v>
      </c>
      <c r="Q133" s="40">
        <f t="shared" ref="Q133:Q138" si="274">MAX(P133,K133)</f>
        <v>0.90341991341991235</v>
      </c>
      <c r="R133" s="40">
        <v>0</v>
      </c>
      <c r="S133" s="49">
        <f>(LOOKUP(Q133,Policy!$L$12:$M$16)+R133)*O133</f>
        <v>20868.999999999975</v>
      </c>
      <c r="T133" s="185"/>
      <c r="U133" s="156"/>
      <c r="V133" s="51"/>
      <c r="W133" s="156"/>
      <c r="X133" s="405"/>
      <c r="Y133" s="405"/>
      <c r="Z133" s="406"/>
      <c r="AA133" s="55">
        <v>0</v>
      </c>
      <c r="AB133" s="41">
        <v>0</v>
      </c>
      <c r="AC133" s="41">
        <v>0</v>
      </c>
      <c r="AD133" s="41">
        <f t="shared" si="269"/>
        <v>0</v>
      </c>
      <c r="AE133" s="41">
        <f t="shared" si="270"/>
        <v>20868.999999999975</v>
      </c>
      <c r="AF133" s="41">
        <f t="shared" si="271"/>
        <v>20868.999999999975</v>
      </c>
      <c r="AG133" s="31"/>
      <c r="AH133" s="419"/>
      <c r="AI133" s="111" t="s">
        <v>29</v>
      </c>
      <c r="AJ133" s="22" t="s">
        <v>30</v>
      </c>
      <c r="AK133" s="195" t="s">
        <v>670</v>
      </c>
      <c r="AL133" s="299">
        <v>55671.883474576214</v>
      </c>
      <c r="AM133" s="299">
        <f t="shared" si="272"/>
        <v>20868.999999999975</v>
      </c>
      <c r="AN133" s="300">
        <f t="shared" si="273"/>
        <v>34802.883474576243</v>
      </c>
    </row>
    <row r="134" spans="1:43" ht="15.75" hidden="1" customHeight="1" outlineLevel="1" x14ac:dyDescent="0.2">
      <c r="A134" s="111" t="s">
        <v>244</v>
      </c>
      <c r="B134" s="79" t="s">
        <v>245</v>
      </c>
      <c r="C134" s="79" t="s">
        <v>1</v>
      </c>
      <c r="D134" s="1" t="s">
        <v>670</v>
      </c>
      <c r="E134" s="47">
        <f>ROUND(SUMIF('Target Achieved- Input'!$B$93:$B$182,'Incentive Report- Output'!B134,'Target Achieved- Input'!$G$93:$G$182),0)</f>
        <v>70</v>
      </c>
      <c r="F134" s="47">
        <f>ROUND(SUMIF('Target Achieved- Input'!$B$93:$B$182,'Incentive Report- Output'!B134,'Target Achieved- Input'!$H$93:$H$182),0)</f>
        <v>91</v>
      </c>
      <c r="G134" s="47">
        <f>SUMIF('Target Achieved- Input'!$L$93:$L$182,'Incentive Report- Output'!B134,'Target Achieved- Input'!$O$93:$O$182)</f>
        <v>71</v>
      </c>
      <c r="H134" s="39">
        <f>SUMIF('Target Achieved- Input'!$S$93:$S$182,'Incentive Report- Output'!B134,'Target Achieved- Input'!$V$93:$V$182)</f>
        <v>7</v>
      </c>
      <c r="I134" s="48">
        <f>SUMIF('Target Achieved- Input'!$L$93:$L$182,'Incentive Report- Output'!B134,'Target Achieved- Input'!$AC$93:$AC$182)</f>
        <v>1</v>
      </c>
      <c r="J134" s="39">
        <f t="shared" si="265"/>
        <v>64</v>
      </c>
      <c r="K134" s="40">
        <f t="shared" si="266"/>
        <v>0.91428571428571426</v>
      </c>
      <c r="L134" s="41">
        <f t="shared" si="267"/>
        <v>2310000</v>
      </c>
      <c r="M134" s="41">
        <f>SUMIF('Target Achieved- Input'!$L$93:$L$182,'Incentive Report- Output'!B134,'Target Achieved- Input'!$M$93:$M$182)</f>
        <v>2969429</v>
      </c>
      <c r="N134" s="41">
        <f>SUMIF('Target Achieved- Input'!$S$93:$S$182,'Incentive Report- Output'!B134,'Target Achieved- Input'!$U$93:$U$182)</f>
        <v>183553.38983050844</v>
      </c>
      <c r="O134" s="41">
        <f>SUMIF('Target Achieved- Input'!$L$93:$L$182,'Incentive Report- Output'!B134,'Target Achieved- Input'!$N$93:$N$182)-N134</f>
        <v>2332911.8644067771</v>
      </c>
      <c r="P134" s="40">
        <f t="shared" si="268"/>
        <v>1.0099185560202497</v>
      </c>
      <c r="Q134" s="40">
        <f t="shared" si="274"/>
        <v>1.0099185560202497</v>
      </c>
      <c r="R134" s="40">
        <v>0</v>
      </c>
      <c r="S134" s="49">
        <f>(LOOKUP(Q134,Policy!$L$12:$M$16)+R134)*O134</f>
        <v>52490.516949152479</v>
      </c>
      <c r="T134" s="185"/>
      <c r="U134" s="156"/>
      <c r="V134" s="51"/>
      <c r="W134" s="156"/>
      <c r="X134" s="405"/>
      <c r="Y134" s="405"/>
      <c r="Z134" s="406"/>
      <c r="AA134" s="55">
        <v>0</v>
      </c>
      <c r="AB134" s="41">
        <v>0</v>
      </c>
      <c r="AC134" s="41">
        <v>0</v>
      </c>
      <c r="AD134" s="41">
        <f t="shared" si="269"/>
        <v>0</v>
      </c>
      <c r="AE134" s="41">
        <f t="shared" si="270"/>
        <v>52490.516949152479</v>
      </c>
      <c r="AF134" s="41">
        <f t="shared" si="271"/>
        <v>52490.516949152479</v>
      </c>
      <c r="AG134" s="31"/>
      <c r="AH134" s="419"/>
      <c r="AI134" s="111" t="s">
        <v>244</v>
      </c>
      <c r="AJ134" s="22" t="s">
        <v>245</v>
      </c>
      <c r="AK134" s="195" t="s">
        <v>670</v>
      </c>
      <c r="AL134" s="299">
        <v>56620.468220338917</v>
      </c>
      <c r="AM134" s="299">
        <f t="shared" si="272"/>
        <v>52490.516949152479</v>
      </c>
      <c r="AN134" s="300">
        <f t="shared" si="273"/>
        <v>4129.9512711864372</v>
      </c>
    </row>
    <row r="135" spans="1:43" ht="15.75" hidden="1" customHeight="1" outlineLevel="1" x14ac:dyDescent="0.2">
      <c r="A135" s="111" t="s">
        <v>20</v>
      </c>
      <c r="B135" s="79" t="s">
        <v>21</v>
      </c>
      <c r="C135" s="79" t="s">
        <v>1</v>
      </c>
      <c r="D135" s="1" t="s">
        <v>670</v>
      </c>
      <c r="E135" s="47">
        <f>ROUND(SUMIF('Target Achieved- Input'!$B$93:$B$182,'Incentive Report- Output'!B135,'Target Achieved- Input'!$G$93:$G$182),0)</f>
        <v>70</v>
      </c>
      <c r="F135" s="47">
        <f>ROUND(SUMIF('Target Achieved- Input'!$B$93:$B$182,'Incentive Report- Output'!B135,'Target Achieved- Input'!$H$93:$H$182),0)</f>
        <v>91</v>
      </c>
      <c r="G135" s="47">
        <f>SUMIF('Target Achieved- Input'!$L$93:$L$182,'Incentive Report- Output'!B135,'Target Achieved- Input'!$O$93:$O$182)</f>
        <v>75</v>
      </c>
      <c r="H135" s="39">
        <f>SUMIF('Target Achieved- Input'!$S$93:$S$182,'Incentive Report- Output'!B135,'Target Achieved- Input'!$V$93:$V$182)</f>
        <v>2</v>
      </c>
      <c r="I135" s="48">
        <f>SUMIF('Target Achieved- Input'!$L$93:$L$182,'Incentive Report- Output'!B135,'Target Achieved- Input'!$AC$93:$AC$182)</f>
        <v>4</v>
      </c>
      <c r="J135" s="39">
        <f t="shared" si="265"/>
        <v>73</v>
      </c>
      <c r="K135" s="40">
        <f t="shared" si="266"/>
        <v>1.0428571428571429</v>
      </c>
      <c r="L135" s="41">
        <f t="shared" si="267"/>
        <v>2310000</v>
      </c>
      <c r="M135" s="41">
        <f>SUMIF('Target Achieved- Input'!$L$93:$L$182,'Incentive Report- Output'!B135,'Target Achieved- Input'!$M$93:$M$182)</f>
        <v>2939475</v>
      </c>
      <c r="N135" s="41">
        <f>SUMIF('Target Achieved- Input'!$S$93:$S$182,'Incentive Report- Output'!B135,'Target Achieved- Input'!$U$93:$U$182)</f>
        <v>74574.576271186437</v>
      </c>
      <c r="O135" s="41">
        <f>SUMIF('Target Achieved- Input'!$L$93:$L$182,'Incentive Report- Output'!B135,'Target Achieved- Input'!$N$93:$N$182)-N135</f>
        <v>2416505.9322033888</v>
      </c>
      <c r="P135" s="40">
        <f t="shared" si="268"/>
        <v>1.0461064641573112</v>
      </c>
      <c r="Q135" s="40">
        <f t="shared" si="274"/>
        <v>1.0461064641573112</v>
      </c>
      <c r="R135" s="40">
        <v>0</v>
      </c>
      <c r="S135" s="49">
        <f>(LOOKUP(Q135,Policy!$L$12:$M$16)+R135)*O135</f>
        <v>54371.383474576243</v>
      </c>
      <c r="T135" s="185"/>
      <c r="U135" s="156"/>
      <c r="V135" s="51"/>
      <c r="W135" s="156"/>
      <c r="X135" s="405"/>
      <c r="Y135" s="405"/>
      <c r="Z135" s="406"/>
      <c r="AA135" s="55">
        <v>0</v>
      </c>
      <c r="AB135" s="41">
        <v>0</v>
      </c>
      <c r="AC135" s="41">
        <v>0</v>
      </c>
      <c r="AD135" s="41">
        <f t="shared" si="269"/>
        <v>0</v>
      </c>
      <c r="AE135" s="41">
        <f t="shared" si="270"/>
        <v>54371.383474576243</v>
      </c>
      <c r="AF135" s="41">
        <f t="shared" si="271"/>
        <v>54371.383474576243</v>
      </c>
      <c r="AG135" s="31"/>
      <c r="AH135" s="419"/>
      <c r="AI135" s="111" t="s">
        <v>20</v>
      </c>
      <c r="AJ135" s="22" t="s">
        <v>21</v>
      </c>
      <c r="AK135" s="195" t="s">
        <v>670</v>
      </c>
      <c r="AL135" s="299">
        <v>56049.311440677942</v>
      </c>
      <c r="AM135" s="299">
        <f t="shared" si="272"/>
        <v>54371.383474576243</v>
      </c>
      <c r="AN135" s="300">
        <f t="shared" si="273"/>
        <v>1677.927966101699</v>
      </c>
    </row>
    <row r="136" spans="1:43" ht="15.75" hidden="1" customHeight="1" outlineLevel="1" x14ac:dyDescent="0.2">
      <c r="A136" s="111" t="s">
        <v>699</v>
      </c>
      <c r="B136" s="79" t="s">
        <v>700</v>
      </c>
      <c r="C136" s="79" t="s">
        <v>1</v>
      </c>
      <c r="D136" s="1" t="s">
        <v>670</v>
      </c>
      <c r="E136" s="47">
        <f>ROUND(SUMIF('Target Achieved- Input'!$B$93:$B$182,'Incentive Report- Output'!B136,'Target Achieved- Input'!$G$93:$G$182),0)</f>
        <v>70</v>
      </c>
      <c r="F136" s="47">
        <f>ROUND(SUMIF('Target Achieved- Input'!$B$93:$B$182,'Incentive Report- Output'!B136,'Target Achieved- Input'!$H$93:$H$182),0)</f>
        <v>91</v>
      </c>
      <c r="G136" s="47">
        <f>SUMIF('Target Achieved- Input'!$L$93:$L$182,'Incentive Report- Output'!B136,'Target Achieved- Input'!$O$93:$O$182)</f>
        <v>101</v>
      </c>
      <c r="H136" s="39">
        <f>SUMIF('Target Achieved- Input'!$S$93:$S$182,'Incentive Report- Output'!B136,'Target Achieved- Input'!$V$93:$V$182)</f>
        <v>1</v>
      </c>
      <c r="I136" s="48">
        <f>SUMIF('Target Achieved- Input'!$L$93:$L$182,'Incentive Report- Output'!B136,'Target Achieved- Input'!$AC$93:$AC$182)</f>
        <v>4</v>
      </c>
      <c r="J136" s="39">
        <f t="shared" si="265"/>
        <v>100</v>
      </c>
      <c r="K136" s="40">
        <f t="shared" si="266"/>
        <v>1.4285714285714286</v>
      </c>
      <c r="L136" s="41">
        <f t="shared" si="267"/>
        <v>2310000</v>
      </c>
      <c r="M136" s="41">
        <f>SUMIF('Target Achieved- Input'!$L$93:$L$182,'Incentive Report- Output'!B136,'Target Achieved- Input'!$M$93:$M$182)</f>
        <v>5082599</v>
      </c>
      <c r="N136" s="41">
        <f>SUMIF('Target Achieved- Input'!$S$93:$S$182,'Incentive Report- Output'!B136,'Target Achieved- Input'!$U$93:$U$182)</f>
        <v>24405.932203389832</v>
      </c>
      <c r="O136" s="41">
        <f>SUMIF('Target Achieved- Input'!$L$93:$L$182,'Incentive Report- Output'!B136,'Target Achieved- Input'!$N$93:$N$182)-N136</f>
        <v>4282881.355932205</v>
      </c>
      <c r="P136" s="40">
        <f t="shared" si="268"/>
        <v>1.8540611930442445</v>
      </c>
      <c r="Q136" s="40">
        <f t="shared" si="274"/>
        <v>1.8540611930442445</v>
      </c>
      <c r="R136" s="40">
        <v>0</v>
      </c>
      <c r="S136" s="49">
        <f>(LOOKUP(Q136,Policy!$L$12:$M$16)+R136)*O136</f>
        <v>128486.44067796615</v>
      </c>
      <c r="T136" s="185"/>
      <c r="U136" s="156"/>
      <c r="V136" s="51"/>
      <c r="W136" s="156"/>
      <c r="X136" s="405"/>
      <c r="Y136" s="405"/>
      <c r="Z136" s="406"/>
      <c r="AA136" s="55">
        <v>0</v>
      </c>
      <c r="AB136" s="41">
        <v>0</v>
      </c>
      <c r="AC136" s="41">
        <v>0</v>
      </c>
      <c r="AD136" s="41">
        <f t="shared" si="269"/>
        <v>0</v>
      </c>
      <c r="AE136" s="41">
        <f t="shared" si="270"/>
        <v>128486.44067796615</v>
      </c>
      <c r="AF136" s="41">
        <f t="shared" si="271"/>
        <v>128486.44067796615</v>
      </c>
      <c r="AG136" s="31"/>
      <c r="AH136" s="419"/>
      <c r="AI136" s="111" t="s">
        <v>699</v>
      </c>
      <c r="AJ136" s="22" t="s">
        <v>700</v>
      </c>
      <c r="AK136" s="195" t="s">
        <v>670</v>
      </c>
      <c r="AL136" s="299">
        <v>129218.61864406784</v>
      </c>
      <c r="AM136" s="299">
        <f t="shared" si="272"/>
        <v>128486.44067796615</v>
      </c>
      <c r="AN136" s="300">
        <f t="shared" si="273"/>
        <v>732.17796610169171</v>
      </c>
    </row>
    <row r="137" spans="1:43" ht="15.75" hidden="1" customHeight="1" outlineLevel="1" x14ac:dyDescent="0.2">
      <c r="A137" s="111" t="s">
        <v>222</v>
      </c>
      <c r="B137" s="79" t="s">
        <v>223</v>
      </c>
      <c r="C137" s="79" t="s">
        <v>1</v>
      </c>
      <c r="D137" s="1" t="s">
        <v>670</v>
      </c>
      <c r="E137" s="47">
        <f>ROUND(SUMIF('Target Achieved- Input'!$B$93:$B$182,'Incentive Report- Output'!B137,'Target Achieved- Input'!$G$93:$G$182),0)</f>
        <v>75</v>
      </c>
      <c r="F137" s="47">
        <f>ROUND(SUMIF('Target Achieved- Input'!$B$93:$B$182,'Incentive Report- Output'!B137,'Target Achieved- Input'!$H$93:$H$182),0)</f>
        <v>98</v>
      </c>
      <c r="G137" s="47">
        <f>SUMIF('Target Achieved- Input'!$L$93:$L$182,'Incentive Report- Output'!B137,'Target Achieved- Input'!$O$93:$O$182)</f>
        <v>68</v>
      </c>
      <c r="H137" s="39">
        <f>SUMIF('Target Achieved- Input'!$S$93:$S$182,'Incentive Report- Output'!B137,'Target Achieved- Input'!$V$93:$V$182)</f>
        <v>2</v>
      </c>
      <c r="I137" s="48">
        <f>SUMIF('Target Achieved- Input'!$L$93:$L$182,'Incentive Report- Output'!B137,'Target Achieved- Input'!$AC$93:$AC$182)</f>
        <v>2</v>
      </c>
      <c r="J137" s="39">
        <f t="shared" si="265"/>
        <v>66</v>
      </c>
      <c r="K137" s="40">
        <f t="shared" si="266"/>
        <v>0.88</v>
      </c>
      <c r="L137" s="41">
        <f t="shared" si="267"/>
        <v>2475000</v>
      </c>
      <c r="M137" s="41">
        <f>SUMIF('Target Achieved- Input'!$L$93:$L$182,'Incentive Report- Output'!B137,'Target Achieved- Input'!$M$93:$M$182)</f>
        <v>3032632</v>
      </c>
      <c r="N137" s="41">
        <f>SUMIF('Target Achieved- Input'!$S$93:$S$182,'Incentive Report- Output'!B137,'Target Achieved- Input'!$U$93:$U$182)</f>
        <v>77667.796610169491</v>
      </c>
      <c r="O137" s="41">
        <f>SUMIF('Target Achieved- Input'!$L$93:$L$182,'Incentive Report- Output'!B137,'Target Achieved- Input'!$N$93:$N$182)-N137</f>
        <v>2492359.3220338975</v>
      </c>
      <c r="P137" s="40">
        <f t="shared" si="268"/>
        <v>1.0070138674884435</v>
      </c>
      <c r="Q137" s="40">
        <f t="shared" si="274"/>
        <v>1.0070138674884435</v>
      </c>
      <c r="R137" s="40">
        <v>0</v>
      </c>
      <c r="S137" s="49">
        <f>(LOOKUP(Q137,Policy!$L$12:$M$16)+R137)*O137</f>
        <v>56078.084745762695</v>
      </c>
      <c r="T137" s="185"/>
      <c r="U137" s="156"/>
      <c r="V137" s="51"/>
      <c r="W137" s="156"/>
      <c r="X137" s="405"/>
      <c r="Y137" s="405"/>
      <c r="Z137" s="406"/>
      <c r="AA137" s="55">
        <v>0</v>
      </c>
      <c r="AB137" s="41">
        <v>0</v>
      </c>
      <c r="AC137" s="41">
        <v>0</v>
      </c>
      <c r="AD137" s="41">
        <f t="shared" si="269"/>
        <v>0</v>
      </c>
      <c r="AE137" s="41">
        <f t="shared" si="270"/>
        <v>56078.084745762695</v>
      </c>
      <c r="AF137" s="41">
        <f t="shared" si="271"/>
        <v>56078.084745762695</v>
      </c>
      <c r="AG137" s="31"/>
      <c r="AH137" s="419"/>
      <c r="AI137" s="111" t="s">
        <v>222</v>
      </c>
      <c r="AJ137" s="22" t="s">
        <v>223</v>
      </c>
      <c r="AK137" s="195" t="s">
        <v>670</v>
      </c>
      <c r="AL137" s="301">
        <v>57825.610169491505</v>
      </c>
      <c r="AM137" s="301">
        <f t="shared" si="272"/>
        <v>56078.084745762695</v>
      </c>
      <c r="AN137" s="302">
        <f t="shared" si="273"/>
        <v>1747.52542372881</v>
      </c>
    </row>
    <row r="138" spans="1:43" ht="15.75" hidden="1" customHeight="1" outlineLevel="1" x14ac:dyDescent="0.2">
      <c r="A138" s="111" t="s">
        <v>70</v>
      </c>
      <c r="B138" s="79" t="s">
        <v>34</v>
      </c>
      <c r="C138" s="79" t="s">
        <v>1</v>
      </c>
      <c r="D138" s="1" t="s">
        <v>670</v>
      </c>
      <c r="E138" s="47">
        <f>ROUND(SUMIF('Target Achieved- Input'!$B$93:$B$182,'Incentive Report- Output'!B138,'Target Achieved- Input'!$G$93:$G$182),0)</f>
        <v>55</v>
      </c>
      <c r="F138" s="47">
        <f>ROUND(SUMIF('Target Achieved- Input'!$B$93:$B$182,'Incentive Report- Output'!B138,'Target Achieved- Input'!$H$93:$H$182),0)</f>
        <v>72</v>
      </c>
      <c r="G138" s="47">
        <f>SUMIF('Target Achieved- Input'!$L$93:$L$182,'Incentive Report- Output'!B138,'Target Achieved- Input'!$O$93:$O$182)</f>
        <v>50</v>
      </c>
      <c r="H138" s="39">
        <f>SUMIF('Target Achieved- Input'!$S$93:$S$182,'Incentive Report- Output'!B138,'Target Achieved- Input'!$V$93:$V$182)</f>
        <v>7</v>
      </c>
      <c r="I138" s="48">
        <f>SUMIF('Target Achieved- Input'!$L$93:$L$182,'Incentive Report- Output'!B138,'Target Achieved- Input'!$AC$93:$AC$182)</f>
        <v>1</v>
      </c>
      <c r="J138" s="39">
        <f t="shared" si="265"/>
        <v>43</v>
      </c>
      <c r="K138" s="40">
        <f t="shared" si="266"/>
        <v>0.78181818181818186</v>
      </c>
      <c r="L138" s="41">
        <f t="shared" si="267"/>
        <v>1815000</v>
      </c>
      <c r="M138" s="41">
        <f>SUMIF('Target Achieved- Input'!$L$93:$L$182,'Incentive Report- Output'!B138,'Target Achieved- Input'!$M$93:$M$182)</f>
        <v>2054500</v>
      </c>
      <c r="N138" s="41">
        <f>SUMIF('Target Achieved- Input'!$S$93:$S$182,'Incentive Report- Output'!B138,'Target Achieved- Input'!$U$93:$U$182)</f>
        <v>276265.25423728814</v>
      </c>
      <c r="O138" s="41">
        <f>SUMIF('Target Achieved- Input'!$L$93:$L$182,'Incentive Report- Output'!B138,'Target Achieved- Input'!$N$93:$N$182)-N138</f>
        <v>1464836.4406779653</v>
      </c>
      <c r="P138" s="40">
        <f t="shared" si="268"/>
        <v>0.807072419106317</v>
      </c>
      <c r="Q138" s="40">
        <f t="shared" si="274"/>
        <v>0.807072419106317</v>
      </c>
      <c r="R138" s="40">
        <v>0</v>
      </c>
      <c r="S138" s="49">
        <f>(LOOKUP(Q138,Policy!$L$12:$M$16)+R138)*O138</f>
        <v>14648.364406779654</v>
      </c>
      <c r="T138" s="185"/>
      <c r="U138" s="156"/>
      <c r="V138" s="51"/>
      <c r="W138" s="156"/>
      <c r="X138" s="405"/>
      <c r="Y138" s="405"/>
      <c r="Z138" s="406"/>
      <c r="AA138" s="55">
        <v>0</v>
      </c>
      <c r="AB138" s="41">
        <v>0</v>
      </c>
      <c r="AC138" s="41">
        <v>0</v>
      </c>
      <c r="AD138" s="41">
        <f t="shared" si="269"/>
        <v>0</v>
      </c>
      <c r="AE138" s="41">
        <f t="shared" si="270"/>
        <v>14648.364406779654</v>
      </c>
      <c r="AF138" s="41">
        <f t="shared" si="271"/>
        <v>14648.364406779654</v>
      </c>
      <c r="AG138" s="31"/>
      <c r="AH138" s="419"/>
      <c r="AI138" s="111" t="s">
        <v>70</v>
      </c>
      <c r="AJ138" s="22" t="s">
        <v>34</v>
      </c>
      <c r="AK138" s="195" t="s">
        <v>670</v>
      </c>
      <c r="AL138" s="299">
        <v>17411.016949152534</v>
      </c>
      <c r="AM138" s="299">
        <f t="shared" si="272"/>
        <v>14648.364406779654</v>
      </c>
      <c r="AN138" s="300">
        <f t="shared" si="273"/>
        <v>2762.6525423728799</v>
      </c>
    </row>
    <row r="139" spans="1:43" ht="15.75" hidden="1" customHeight="1" outlineLevel="1" x14ac:dyDescent="0.2">
      <c r="A139" s="109" t="s">
        <v>6</v>
      </c>
      <c r="B139" s="109"/>
      <c r="C139" s="109"/>
      <c r="D139" s="292" t="s">
        <v>670</v>
      </c>
      <c r="E139" s="44">
        <f t="shared" ref="E139:J139" si="275">SUM(E132:E138)</f>
        <v>480</v>
      </c>
      <c r="F139" s="44">
        <f t="shared" si="275"/>
        <v>625</v>
      </c>
      <c r="G139" s="44">
        <f t="shared" si="275"/>
        <v>485</v>
      </c>
      <c r="H139" s="44">
        <f t="shared" si="275"/>
        <v>35</v>
      </c>
      <c r="I139" s="44">
        <f t="shared" si="275"/>
        <v>19</v>
      </c>
      <c r="J139" s="44">
        <f t="shared" si="275"/>
        <v>450</v>
      </c>
      <c r="K139" s="45"/>
      <c r="L139" s="44">
        <f>SUM(L132:L138)</f>
        <v>15840000</v>
      </c>
      <c r="M139" s="44">
        <f>SUM(M132:M138)</f>
        <v>20954665</v>
      </c>
      <c r="N139" s="44">
        <f>SUM(N132:N138)</f>
        <v>1174419.4915254237</v>
      </c>
      <c r="O139" s="44">
        <f>SUM(O132:O138)</f>
        <v>16583771.186440671</v>
      </c>
      <c r="P139" s="46"/>
      <c r="Q139" s="45"/>
      <c r="R139" s="45"/>
      <c r="S139" s="44">
        <f t="shared" ref="S139:AF139" si="276">SUM(S132:S138)</f>
        <v>334480.6716101694</v>
      </c>
      <c r="T139" s="190">
        <f t="shared" si="276"/>
        <v>0</v>
      </c>
      <c r="U139" s="190">
        <f t="shared" si="276"/>
        <v>0</v>
      </c>
      <c r="V139" s="88">
        <f t="shared" si="276"/>
        <v>0</v>
      </c>
      <c r="W139" s="190">
        <f t="shared" si="276"/>
        <v>0</v>
      </c>
      <c r="X139" s="88">
        <f t="shared" si="276"/>
        <v>0</v>
      </c>
      <c r="Y139" s="88">
        <f t="shared" si="276"/>
        <v>0</v>
      </c>
      <c r="Z139" s="54">
        <f t="shared" si="276"/>
        <v>0</v>
      </c>
      <c r="AA139" s="88">
        <f t="shared" si="276"/>
        <v>0</v>
      </c>
      <c r="AB139" s="88">
        <f t="shared" si="276"/>
        <v>0</v>
      </c>
      <c r="AC139" s="88">
        <f t="shared" si="276"/>
        <v>0</v>
      </c>
      <c r="AD139" s="88">
        <f t="shared" si="276"/>
        <v>0</v>
      </c>
      <c r="AE139" s="88">
        <f t="shared" si="276"/>
        <v>334480.6716101694</v>
      </c>
      <c r="AF139" s="88">
        <f t="shared" si="276"/>
        <v>334480.6716101694</v>
      </c>
      <c r="AG139" s="31"/>
      <c r="AH139" s="419"/>
      <c r="AI139" s="43" t="s">
        <v>6</v>
      </c>
      <c r="AJ139" s="43"/>
      <c r="AK139" s="43" t="s">
        <v>670</v>
      </c>
      <c r="AL139" s="307">
        <v>381086.52330508461</v>
      </c>
      <c r="AM139" s="307">
        <f>SUM(AM132:AM138)</f>
        <v>334480.6716101694</v>
      </c>
      <c r="AN139" s="307">
        <f>SUM(AN132:AN138)</f>
        <v>46605.851694915218</v>
      </c>
    </row>
    <row r="140" spans="1:43" ht="15.75" hidden="1" customHeight="1" outlineLevel="1" x14ac:dyDescent="0.2">
      <c r="A140" s="112" t="s">
        <v>63</v>
      </c>
      <c r="B140" s="112" t="s">
        <v>64</v>
      </c>
      <c r="C140" s="79" t="s">
        <v>0</v>
      </c>
      <c r="D140" s="1" t="s">
        <v>672</v>
      </c>
      <c r="E140" s="47">
        <f>ROUND(SUMIF('Target Achieved- Input'!$B$93:$B$182,'Incentive Report- Output'!B140,'Target Achieved- Input'!$G$93:$G$182),0)</f>
        <v>70</v>
      </c>
      <c r="F140" s="47">
        <f>ROUND(SUMIF('Target Achieved- Input'!$B$93:$B$182,'Incentive Report- Output'!B140,'Target Achieved- Input'!$H$93:$H$182),0)</f>
        <v>91</v>
      </c>
      <c r="G140" s="47">
        <f>SUMIF('Target Achieved- Input'!$L$93:$L$182,'Incentive Report- Output'!B140,'Target Achieved- Input'!$O$93:$O$182)</f>
        <v>45</v>
      </c>
      <c r="H140" s="39">
        <f>SUMIF('Target Achieved- Input'!$S$93:$S$182,'Incentive Report- Output'!B140,'Target Achieved- Input'!$V$93:$V$182)</f>
        <v>15</v>
      </c>
      <c r="I140" s="48">
        <f>SUMIF('Target Achieved- Input'!$L$93:$L$182,'Incentive Report- Output'!B140,'Target Achieved- Input'!$AC$93:$AC$182)</f>
        <v>2</v>
      </c>
      <c r="J140" s="39">
        <f t="shared" ref="J140:J143" si="277">G140-H140</f>
        <v>30</v>
      </c>
      <c r="K140" s="40">
        <f t="shared" ref="K140:K143" si="278">IFERROR(J140/E140,0)</f>
        <v>0.42857142857142855</v>
      </c>
      <c r="L140" s="41">
        <f t="shared" ref="L140:L143" si="279">E140*33000</f>
        <v>2310000</v>
      </c>
      <c r="M140" s="41">
        <f>SUMIF('Target Achieved- Input'!$L$93:$L$182,'Incentive Report- Output'!B140,'Target Achieved- Input'!$M$93:$M$182)</f>
        <v>1858355</v>
      </c>
      <c r="N140" s="41">
        <f>SUMIF('Target Achieved- Input'!$S$93:$S$182,'Incentive Report- Output'!B140,'Target Achieved- Input'!$U$93:$U$182)</f>
        <v>568588.98305084743</v>
      </c>
      <c r="O140" s="41">
        <f>SUMIF('Target Achieved- Input'!$L$93:$L$182,'Incentive Report- Output'!B140,'Target Achieved- Input'!$N$93:$N$182)-N140</f>
        <v>1006288.1355932199</v>
      </c>
      <c r="P140" s="40">
        <f t="shared" ref="P140:P143" si="280">IFERROR(O140/L140,0)</f>
        <v>0.43562256952087441</v>
      </c>
      <c r="Q140" s="40">
        <f t="shared" ref="Q140:Q142" si="281">MAX(P140,K140)</f>
        <v>0.43562256952087441</v>
      </c>
      <c r="R140" s="40">
        <v>0</v>
      </c>
      <c r="S140" s="49">
        <f>(LOOKUP(Q140,Policy!$L$12:$M$16)+R140)*O140</f>
        <v>0</v>
      </c>
      <c r="T140" s="188"/>
      <c r="U140" s="53"/>
      <c r="V140" s="40"/>
      <c r="W140" s="53"/>
      <c r="X140" s="396">
        <f>E144</f>
        <v>270</v>
      </c>
      <c r="Y140" s="396">
        <f>J144</f>
        <v>194</v>
      </c>
      <c r="Z140" s="407">
        <f>Y140/X140</f>
        <v>0.71851851851851856</v>
      </c>
      <c r="AA140" s="55">
        <v>0</v>
      </c>
      <c r="AB140" s="41">
        <v>0</v>
      </c>
      <c r="AC140" s="41">
        <v>0</v>
      </c>
      <c r="AD140" s="41">
        <f t="shared" ref="AD140:AD143" si="282">IF(AF140&gt;200000,AF140-200000,0)</f>
        <v>0</v>
      </c>
      <c r="AE140" s="41">
        <f t="shared" ref="AE140:AE143" si="283">AF140-AD140</f>
        <v>0</v>
      </c>
      <c r="AF140" s="41">
        <f>S140+W140+AB140+AC140</f>
        <v>0</v>
      </c>
      <c r="AG140" s="31"/>
      <c r="AH140" s="419"/>
      <c r="AI140" s="1" t="s">
        <v>63</v>
      </c>
      <c r="AJ140" s="1" t="s">
        <v>64</v>
      </c>
      <c r="AK140" s="195" t="s">
        <v>672</v>
      </c>
      <c r="AL140" s="299">
        <v>7874.3855932203369</v>
      </c>
      <c r="AM140" s="299">
        <f t="shared" ref="AM140:AM143" si="284">AF140</f>
        <v>0</v>
      </c>
      <c r="AN140" s="300">
        <f t="shared" ref="AN140:AN143" si="285">AL140-AM140</f>
        <v>7874.3855932203369</v>
      </c>
      <c r="AQ140" s="172"/>
    </row>
    <row r="141" spans="1:43" ht="15.75" hidden="1" customHeight="1" outlineLevel="1" x14ac:dyDescent="0.2">
      <c r="A141" s="79" t="s">
        <v>806</v>
      </c>
      <c r="B141" s="79" t="s">
        <v>807</v>
      </c>
      <c r="C141" s="79" t="s">
        <v>1</v>
      </c>
      <c r="D141" s="1" t="s">
        <v>672</v>
      </c>
      <c r="E141" s="47">
        <f>ROUND(SUMIF('Target Achieved- Input'!$B$93:$B$182,'Incentive Report- Output'!B141,'Target Achieved- Input'!$G$93:$G$182),0)</f>
        <v>70</v>
      </c>
      <c r="F141" s="47">
        <f>ROUND(SUMIF('Target Achieved- Input'!$B$93:$B$182,'Incentive Report- Output'!B141,'Target Achieved- Input'!$H$93:$H$182),0)</f>
        <v>91</v>
      </c>
      <c r="G141" s="47">
        <f>SUMIF('Target Achieved- Input'!$L$93:$L$182,'Incentive Report- Output'!B141,'Target Achieved- Input'!$O$93:$O$182)</f>
        <v>67</v>
      </c>
      <c r="H141" s="39">
        <f>SUMIF('Target Achieved- Input'!$S$93:$S$182,'Incentive Report- Output'!B141,'Target Achieved- Input'!$V$93:$V$182)</f>
        <v>2</v>
      </c>
      <c r="I141" s="48">
        <f>SUMIF('Target Achieved- Input'!$L$93:$L$182,'Incentive Report- Output'!B141,'Target Achieved- Input'!$AC$93:$AC$182)</f>
        <v>0</v>
      </c>
      <c r="J141" s="39">
        <f t="shared" si="277"/>
        <v>65</v>
      </c>
      <c r="K141" s="40">
        <f t="shared" si="278"/>
        <v>0.9285714285714286</v>
      </c>
      <c r="L141" s="41">
        <f t="shared" si="279"/>
        <v>2310000</v>
      </c>
      <c r="M141" s="41">
        <f>SUMIF('Target Achieved- Input'!$L$93:$L$182,'Incentive Report- Output'!B141,'Target Achieved- Input'!$M$93:$M$182)</f>
        <v>3129133</v>
      </c>
      <c r="N141" s="41">
        <f>SUMIF('Target Achieved- Input'!$S$93:$S$182,'Incentive Report- Output'!B141,'Target Achieved- Input'!$U$93:$U$182)</f>
        <v>67116.94915254238</v>
      </c>
      <c r="O141" s="41">
        <f>SUMIF('Target Achieved- Input'!$L$93:$L$182,'Incentive Report- Output'!B141,'Target Achieved- Input'!$N$93:$N$182)-N141</f>
        <v>2584690.6779661002</v>
      </c>
      <c r="P141" s="40">
        <f t="shared" si="280"/>
        <v>1.1189137134052383</v>
      </c>
      <c r="Q141" s="40">
        <f t="shared" si="281"/>
        <v>1.1189137134052383</v>
      </c>
      <c r="R141" s="40">
        <v>0</v>
      </c>
      <c r="S141" s="49">
        <f>(LOOKUP(Q141,Policy!$L$12:$M$16)+R141)*O141</f>
        <v>58155.540254237254</v>
      </c>
      <c r="T141" s="188"/>
      <c r="U141" s="53"/>
      <c r="V141" s="40"/>
      <c r="W141" s="53"/>
      <c r="X141" s="397"/>
      <c r="Y141" s="397"/>
      <c r="Z141" s="406"/>
      <c r="AA141" s="55">
        <v>0</v>
      </c>
      <c r="AB141" s="41">
        <v>0</v>
      </c>
      <c r="AC141" s="41">
        <v>0</v>
      </c>
      <c r="AD141" s="41">
        <f t="shared" si="282"/>
        <v>0</v>
      </c>
      <c r="AE141" s="41">
        <f t="shared" si="283"/>
        <v>58155.540254237254</v>
      </c>
      <c r="AF141" s="41">
        <f>S141+W141+AB141+AC141</f>
        <v>58155.540254237254</v>
      </c>
      <c r="AG141" s="31"/>
      <c r="AH141" s="419"/>
      <c r="AI141" s="22" t="s">
        <v>806</v>
      </c>
      <c r="AJ141" s="22" t="s">
        <v>807</v>
      </c>
      <c r="AK141" s="195" t="s">
        <v>672</v>
      </c>
      <c r="AL141" s="299">
        <v>59665.671610169455</v>
      </c>
      <c r="AM141" s="299">
        <f t="shared" si="284"/>
        <v>58155.540254237254</v>
      </c>
      <c r="AN141" s="300">
        <f t="shared" si="285"/>
        <v>1510.1313559322007</v>
      </c>
    </row>
    <row r="142" spans="1:43" ht="15.75" hidden="1" customHeight="1" outlineLevel="1" x14ac:dyDescent="0.2">
      <c r="A142" s="112" t="s">
        <v>301</v>
      </c>
      <c r="B142" s="112" t="s">
        <v>302</v>
      </c>
      <c r="C142" s="79" t="s">
        <v>1</v>
      </c>
      <c r="D142" s="1" t="s">
        <v>672</v>
      </c>
      <c r="E142" s="47">
        <f>ROUND(SUMIF('Target Achieved- Input'!$B$93:$B$182,'Incentive Report- Output'!B142,'Target Achieved- Input'!$G$93:$G$182),0)</f>
        <v>80</v>
      </c>
      <c r="F142" s="47">
        <f>ROUND(SUMIF('Target Achieved- Input'!$B$93:$B$182,'Incentive Report- Output'!B142,'Target Achieved- Input'!$H$93:$H$182),0)</f>
        <v>104</v>
      </c>
      <c r="G142" s="47">
        <f>SUMIF('Target Achieved- Input'!$L$93:$L$182,'Incentive Report- Output'!B142,'Target Achieved- Input'!$O$93:$O$182)</f>
        <v>88</v>
      </c>
      <c r="H142" s="39">
        <f>SUMIF('Target Achieved- Input'!$S$93:$S$182,'Incentive Report- Output'!B142,'Target Achieved- Input'!$V$93:$V$182)</f>
        <v>3</v>
      </c>
      <c r="I142" s="48">
        <f>SUMIF('Target Achieved- Input'!$L$93:$L$182,'Incentive Report- Output'!B142,'Target Achieved- Input'!$AC$93:$AC$182)</f>
        <v>9</v>
      </c>
      <c r="J142" s="39">
        <f t="shared" si="277"/>
        <v>85</v>
      </c>
      <c r="K142" s="40">
        <f t="shared" si="278"/>
        <v>1.0625</v>
      </c>
      <c r="L142" s="41">
        <f t="shared" si="279"/>
        <v>2640000</v>
      </c>
      <c r="M142" s="41">
        <f>SUMIF('Target Achieved- Input'!$L$93:$L$182,'Incentive Report- Output'!B142,'Target Achieved- Input'!$M$93:$M$182)</f>
        <v>3516812</v>
      </c>
      <c r="N142" s="41">
        <f>SUMIF('Target Achieved- Input'!$S$93:$S$182,'Incentive Report- Output'!B142,'Target Achieved- Input'!$U$93:$U$182)</f>
        <v>109616.10169491524</v>
      </c>
      <c r="O142" s="41">
        <f>SUMIF('Target Achieved- Input'!$L$93:$L$182,'Incentive Report- Output'!B142,'Target Achieved- Input'!$N$93:$N$182)-N142</f>
        <v>2870733.0508474573</v>
      </c>
      <c r="P142" s="40">
        <f t="shared" si="280"/>
        <v>1.087398882896764</v>
      </c>
      <c r="Q142" s="40">
        <f t="shared" si="281"/>
        <v>1.087398882896764</v>
      </c>
      <c r="R142" s="40">
        <v>0</v>
      </c>
      <c r="S142" s="49">
        <f>(LOOKUP(Q142,Policy!$L$12:$M$16)+R142)*O142</f>
        <v>64591.493644067785</v>
      </c>
      <c r="T142" s="188"/>
      <c r="U142" s="188"/>
      <c r="V142" s="40"/>
      <c r="W142" s="53"/>
      <c r="X142" s="397"/>
      <c r="Y142" s="397"/>
      <c r="Z142" s="406"/>
      <c r="AA142" s="55">
        <v>0</v>
      </c>
      <c r="AB142" s="41">
        <v>0</v>
      </c>
      <c r="AC142" s="41">
        <v>0</v>
      </c>
      <c r="AD142" s="41">
        <f t="shared" si="282"/>
        <v>0</v>
      </c>
      <c r="AE142" s="41">
        <f t="shared" si="283"/>
        <v>64591.493644067785</v>
      </c>
      <c r="AF142" s="41">
        <f>S142+W142+AB142+AC142</f>
        <v>64591.493644067785</v>
      </c>
      <c r="AG142" s="31"/>
      <c r="AH142" s="419"/>
      <c r="AI142" s="1" t="s">
        <v>301</v>
      </c>
      <c r="AJ142" s="1" t="s">
        <v>302</v>
      </c>
      <c r="AK142" s="195" t="s">
        <v>672</v>
      </c>
      <c r="AL142" s="299">
        <v>67057.855932203383</v>
      </c>
      <c r="AM142" s="299">
        <f t="shared" si="284"/>
        <v>64591.493644067785</v>
      </c>
      <c r="AN142" s="300">
        <f t="shared" si="285"/>
        <v>2466.3622881355986</v>
      </c>
    </row>
    <row r="143" spans="1:43" ht="15.75" hidden="1" customHeight="1" outlineLevel="1" x14ac:dyDescent="0.2">
      <c r="A143" s="112" t="s">
        <v>1150</v>
      </c>
      <c r="B143" s="112" t="s">
        <v>1151</v>
      </c>
      <c r="C143" s="79" t="s">
        <v>1</v>
      </c>
      <c r="D143" s="1" t="s">
        <v>672</v>
      </c>
      <c r="E143" s="47">
        <f>ROUND(SUMIF('Target Achieved- Input'!$B$93:$B$182,'Incentive Report- Output'!B143,'Target Achieved- Input'!$G$93:$G$182),0)</f>
        <v>50</v>
      </c>
      <c r="F143" s="47">
        <f>ROUND(SUMIF('Target Achieved- Input'!$B$93:$B$182,'Incentive Report- Output'!B143,'Target Achieved- Input'!$H$93:$H$182),0)</f>
        <v>65</v>
      </c>
      <c r="G143" s="47">
        <f>SUMIF('Target Achieved- Input'!$L$93:$L$182,'Incentive Report- Output'!B143,'Target Achieved- Input'!$O$93:$O$182)</f>
        <v>33</v>
      </c>
      <c r="H143" s="39">
        <f>SUMIF('Target Achieved- Input'!$S$93:$S$182,'Incentive Report- Output'!B143,'Target Achieved- Input'!$V$93:$V$182)</f>
        <v>19</v>
      </c>
      <c r="I143" s="48">
        <f>SUMIF('Target Achieved- Input'!$L$93:$L$182,'Incentive Report- Output'!B143,'Target Achieved- Input'!$AC$93:$AC$182)</f>
        <v>1</v>
      </c>
      <c r="J143" s="39">
        <f t="shared" si="277"/>
        <v>14</v>
      </c>
      <c r="K143" s="40">
        <f t="shared" si="278"/>
        <v>0.28000000000000003</v>
      </c>
      <c r="L143" s="41">
        <f t="shared" si="279"/>
        <v>1650000</v>
      </c>
      <c r="M143" s="41">
        <f>SUMIF('Target Achieved- Input'!$L$93:$L$182,'Incentive Report- Output'!B143,'Target Achieved- Input'!$M$93:$M$182)</f>
        <v>1327117</v>
      </c>
      <c r="N143" s="41">
        <f>SUMIF('Target Achieved- Input'!$S$93:$S$182,'Incentive Report- Output'!B143,'Target Achieved- Input'!$U$93:$U$182)</f>
        <v>686297.45762711857</v>
      </c>
      <c r="O143" s="41">
        <f>SUMIF('Target Achieved- Input'!$L$93:$L$182,'Incentive Report- Output'!B143,'Target Achieved- Input'!$N$93:$N$182)-N143</f>
        <v>438377.96610169508</v>
      </c>
      <c r="P143" s="40">
        <f t="shared" si="280"/>
        <v>0.26568361581920913</v>
      </c>
      <c r="Q143" s="40">
        <f>P143</f>
        <v>0.26568361581920913</v>
      </c>
      <c r="R143" s="40">
        <v>0</v>
      </c>
      <c r="S143" s="49">
        <f>(LOOKUP(Q143,Policy!$L$12:$M$16)+R143)*O143</f>
        <v>0</v>
      </c>
      <c r="T143" s="186"/>
      <c r="U143" s="186"/>
      <c r="V143" s="51"/>
      <c r="W143" s="156"/>
      <c r="X143" s="398"/>
      <c r="Y143" s="398"/>
      <c r="Z143" s="408"/>
      <c r="AA143" s="55">
        <v>0</v>
      </c>
      <c r="AB143" s="41">
        <v>0</v>
      </c>
      <c r="AC143" s="41">
        <v>0</v>
      </c>
      <c r="AD143" s="41">
        <f t="shared" si="282"/>
        <v>0</v>
      </c>
      <c r="AE143" s="41">
        <f t="shared" si="283"/>
        <v>0</v>
      </c>
      <c r="AF143" s="41">
        <f>S143+W143+AB143+AC143</f>
        <v>0</v>
      </c>
      <c r="AG143" s="31"/>
      <c r="AH143" s="419"/>
      <c r="AI143" s="1" t="s">
        <v>1150</v>
      </c>
      <c r="AJ143" s="1" t="s">
        <v>1151</v>
      </c>
      <c r="AK143" s="195" t="s">
        <v>672</v>
      </c>
      <c r="AL143" s="299">
        <v>5623.3771186440681</v>
      </c>
      <c r="AM143" s="299">
        <f t="shared" si="284"/>
        <v>0</v>
      </c>
      <c r="AN143" s="300">
        <f t="shared" si="285"/>
        <v>5623.3771186440681</v>
      </c>
    </row>
    <row r="144" spans="1:43" ht="15.75" hidden="1" customHeight="1" outlineLevel="1" x14ac:dyDescent="0.2">
      <c r="A144" s="109" t="s">
        <v>6</v>
      </c>
      <c r="B144" s="109"/>
      <c r="C144" s="109"/>
      <c r="D144" s="292" t="s">
        <v>672</v>
      </c>
      <c r="E144" s="44">
        <f>SUM(E140:E143)</f>
        <v>270</v>
      </c>
      <c r="F144" s="44">
        <f t="shared" ref="F144:J144" si="286">SUM(F140:F143)</f>
        <v>351</v>
      </c>
      <c r="G144" s="44">
        <f t="shared" si="286"/>
        <v>233</v>
      </c>
      <c r="H144" s="44">
        <f t="shared" si="286"/>
        <v>39</v>
      </c>
      <c r="I144" s="44">
        <f t="shared" si="286"/>
        <v>12</v>
      </c>
      <c r="J144" s="44">
        <f t="shared" si="286"/>
        <v>194</v>
      </c>
      <c r="K144" s="44"/>
      <c r="L144" s="44">
        <f t="shared" ref="L144:O144" si="287">SUM(L140:L143)</f>
        <v>8910000</v>
      </c>
      <c r="M144" s="44">
        <f t="shared" si="287"/>
        <v>9831417</v>
      </c>
      <c r="N144" s="44">
        <f t="shared" si="287"/>
        <v>1431619.4915254237</v>
      </c>
      <c r="O144" s="44">
        <f t="shared" si="287"/>
        <v>6900089.8305084724</v>
      </c>
      <c r="P144" s="45"/>
      <c r="Q144" s="46"/>
      <c r="R144" s="46"/>
      <c r="S144" s="44">
        <f t="shared" ref="S144:AF144" si="288">SUM(S140:S143)</f>
        <v>122747.03389830503</v>
      </c>
      <c r="T144" s="44">
        <f t="shared" si="288"/>
        <v>0</v>
      </c>
      <c r="U144" s="44">
        <f t="shared" si="288"/>
        <v>0</v>
      </c>
      <c r="V144" s="44">
        <f t="shared" si="288"/>
        <v>0</v>
      </c>
      <c r="W144" s="44">
        <f t="shared" si="288"/>
        <v>0</v>
      </c>
      <c r="X144" s="44">
        <f t="shared" si="288"/>
        <v>270</v>
      </c>
      <c r="Y144" s="44">
        <f t="shared" si="288"/>
        <v>194</v>
      </c>
      <c r="Z144" s="44">
        <f t="shared" si="288"/>
        <v>0.71851851851851856</v>
      </c>
      <c r="AA144" s="44">
        <f t="shared" si="288"/>
        <v>0</v>
      </c>
      <c r="AB144" s="44">
        <f t="shared" si="288"/>
        <v>0</v>
      </c>
      <c r="AC144" s="44">
        <f t="shared" si="288"/>
        <v>0</v>
      </c>
      <c r="AD144" s="44">
        <f t="shared" si="288"/>
        <v>0</v>
      </c>
      <c r="AE144" s="44">
        <f t="shared" si="288"/>
        <v>122747.03389830503</v>
      </c>
      <c r="AF144" s="44">
        <f t="shared" si="288"/>
        <v>122747.03389830503</v>
      </c>
      <c r="AG144" s="31"/>
      <c r="AH144" s="419"/>
      <c r="AI144" s="43" t="s">
        <v>6</v>
      </c>
      <c r="AJ144" s="43"/>
      <c r="AK144" s="43" t="s">
        <v>672</v>
      </c>
      <c r="AL144" s="304">
        <v>140221.29025423725</v>
      </c>
      <c r="AM144" s="304">
        <f>SUM(AM140:AM143)</f>
        <v>122747.03389830503</v>
      </c>
      <c r="AN144" s="304">
        <f>SUM(AN140:AN143)</f>
        <v>17474.256355932204</v>
      </c>
    </row>
    <row r="145" spans="1:42" ht="15.75" hidden="1" customHeight="1" outlineLevel="1" x14ac:dyDescent="0.2">
      <c r="A145" s="79" t="s">
        <v>307</v>
      </c>
      <c r="B145" s="112" t="s">
        <v>308</v>
      </c>
      <c r="C145" s="79" t="s">
        <v>0</v>
      </c>
      <c r="D145" s="1" t="s">
        <v>673</v>
      </c>
      <c r="E145" s="47">
        <f>ROUND(SUMIF('Target Achieved- Input'!$B$93:$B$182,'Incentive Report- Output'!B145,'Target Achieved- Input'!$G$93:$G$182),0)</f>
        <v>80</v>
      </c>
      <c r="F145" s="47">
        <f>ROUND(SUMIF('Target Achieved- Input'!$B$93:$B$182,'Incentive Report- Output'!B145,'Target Achieved- Input'!$H$93:$H$182),0)</f>
        <v>104</v>
      </c>
      <c r="G145" s="47">
        <f>SUMIF('Target Achieved- Input'!$L$93:$L$182,'Incentive Report- Output'!B145,'Target Achieved- Input'!$O$93:$O$182)</f>
        <v>51</v>
      </c>
      <c r="H145" s="39">
        <f>SUMIF('Target Achieved- Input'!$S$93:$S$182,'Incentive Report- Output'!B145,'Target Achieved- Input'!$V$93:$V$182)</f>
        <v>24</v>
      </c>
      <c r="I145" s="48">
        <f>SUMIF('Target Achieved- Input'!$L$93:$L$182,'Incentive Report- Output'!B145,'Target Achieved- Input'!$AC$93:$AC$182)</f>
        <v>1</v>
      </c>
      <c r="J145" s="39">
        <f t="shared" ref="J145:J148" si="289">G145-H145</f>
        <v>27</v>
      </c>
      <c r="K145" s="40">
        <f t="shared" ref="K145:K148" si="290">IFERROR(J145/E145,0)</f>
        <v>0.33750000000000002</v>
      </c>
      <c r="L145" s="41">
        <f t="shared" ref="L145:L148" si="291">E145*33000</f>
        <v>2640000</v>
      </c>
      <c r="M145" s="41">
        <f>SUMIF('Target Achieved- Input'!$L$93:$L$182,'Incentive Report- Output'!B145,'Target Achieved- Input'!$M$93:$M$182)</f>
        <v>2290699</v>
      </c>
      <c r="N145" s="41">
        <f>SUMIF('Target Achieved- Input'!$S$93:$S$182,'Incentive Report- Output'!B145,'Target Achieved- Input'!$U$93:$U$182)</f>
        <v>976886.44067796599</v>
      </c>
      <c r="O145" s="41">
        <f>SUMIF('Target Achieved- Input'!$L$93:$L$182,'Incentive Report- Output'!B145,'Target Achieved- Input'!$N$93:$N$182)-N145</f>
        <v>964383.89830508479</v>
      </c>
      <c r="P145" s="40">
        <f t="shared" ref="P145:P148" si="292">IFERROR(O145/L145,0)</f>
        <v>0.36529693117616846</v>
      </c>
      <c r="Q145" s="40">
        <f t="shared" ref="Q145:Q148" si="293">MAX(P145,K145)</f>
        <v>0.36529693117616846</v>
      </c>
      <c r="R145" s="40">
        <v>0</v>
      </c>
      <c r="S145" s="49">
        <f>(LOOKUP(Q145,Policy!$L$12:$M$16)+R145)*O145</f>
        <v>0</v>
      </c>
      <c r="T145" s="185"/>
      <c r="U145" s="185"/>
      <c r="V145" s="51"/>
      <c r="W145" s="156"/>
      <c r="X145" s="397"/>
      <c r="Y145" s="397"/>
      <c r="Z145" s="400"/>
      <c r="AA145" s="55">
        <v>0</v>
      </c>
      <c r="AB145" s="41">
        <v>0</v>
      </c>
      <c r="AC145" s="41">
        <v>0</v>
      </c>
      <c r="AD145" s="41">
        <f t="shared" ref="AD145:AD148" si="294">IF(AF145&gt;200000,AF145-200000,0)</f>
        <v>0</v>
      </c>
      <c r="AE145" s="41">
        <f t="shared" ref="AE145:AE148" si="295">AF145-AD145</f>
        <v>0</v>
      </c>
      <c r="AF145" s="41">
        <f>S145+W145+AB145+AC145</f>
        <v>0</v>
      </c>
      <c r="AG145" s="31"/>
      <c r="AH145" s="419"/>
      <c r="AI145" s="22" t="s">
        <v>307</v>
      </c>
      <c r="AJ145" s="1" t="s">
        <v>308</v>
      </c>
      <c r="AK145" s="195" t="s">
        <v>673</v>
      </c>
      <c r="AL145" s="299">
        <v>9706.3516949152545</v>
      </c>
      <c r="AM145" s="299">
        <f t="shared" ref="AM145:AM148" si="296">AF145</f>
        <v>0</v>
      </c>
      <c r="AN145" s="300">
        <f t="shared" ref="AN145:AN148" si="297">AL145-AM145</f>
        <v>9706.3516949152545</v>
      </c>
    </row>
    <row r="146" spans="1:42" ht="15.75" hidden="1" customHeight="1" outlineLevel="1" x14ac:dyDescent="0.2">
      <c r="A146" s="79" t="s">
        <v>217</v>
      </c>
      <c r="B146" s="112" t="s">
        <v>197</v>
      </c>
      <c r="C146" s="79" t="s">
        <v>1</v>
      </c>
      <c r="D146" s="1" t="s">
        <v>673</v>
      </c>
      <c r="E146" s="47">
        <f>ROUND(SUMIF('Target Achieved- Input'!$B$93:$B$182,'Incentive Report- Output'!B146,'Target Achieved- Input'!$G$93:$G$182),0)</f>
        <v>80</v>
      </c>
      <c r="F146" s="47">
        <f>ROUND(SUMIF('Target Achieved- Input'!$B$93:$B$182,'Incentive Report- Output'!B146,'Target Achieved- Input'!$H$93:$H$182),0)</f>
        <v>104</v>
      </c>
      <c r="G146" s="47">
        <f>SUMIF('Target Achieved- Input'!$L$93:$L$182,'Incentive Report- Output'!B146,'Target Achieved- Input'!$O$93:$O$182)</f>
        <v>43</v>
      </c>
      <c r="H146" s="39">
        <f>SUMIF('Target Achieved- Input'!$S$93:$S$182,'Incentive Report- Output'!B146,'Target Achieved- Input'!$V$93:$V$182)</f>
        <v>20</v>
      </c>
      <c r="I146" s="48">
        <f>SUMIF('Target Achieved- Input'!$L$93:$L$182,'Incentive Report- Output'!B146,'Target Achieved- Input'!$AC$93:$AC$182)</f>
        <v>2</v>
      </c>
      <c r="J146" s="39">
        <f t="shared" si="289"/>
        <v>23</v>
      </c>
      <c r="K146" s="40">
        <f t="shared" si="290"/>
        <v>0.28749999999999998</v>
      </c>
      <c r="L146" s="41">
        <f t="shared" si="291"/>
        <v>2640000</v>
      </c>
      <c r="M146" s="41">
        <f>SUMIF('Target Achieved- Input'!$L$93:$L$182,'Incentive Report- Output'!B146,'Target Achieved- Input'!$M$93:$M$182)</f>
        <v>2017907</v>
      </c>
      <c r="N146" s="41">
        <f>SUMIF('Target Achieved- Input'!$S$93:$S$182,'Incentive Report- Output'!B146,'Target Achieved- Input'!$U$93:$U$182)</f>
        <v>822822.03389830526</v>
      </c>
      <c r="O146" s="41">
        <f>SUMIF('Target Achieved- Input'!$L$93:$L$182,'Incentive Report- Output'!B146,'Target Achieved- Input'!$N$93:$N$182)-N146</f>
        <v>887268.64406779676</v>
      </c>
      <c r="P146" s="40">
        <f t="shared" si="292"/>
        <v>0.33608660760143816</v>
      </c>
      <c r="Q146" s="40">
        <f t="shared" si="293"/>
        <v>0.33608660760143816</v>
      </c>
      <c r="R146" s="40">
        <v>0</v>
      </c>
      <c r="S146" s="49">
        <f>(LOOKUP(Q146,Policy!$L$12:$M$16)+R146)*O146</f>
        <v>0</v>
      </c>
      <c r="T146" s="185"/>
      <c r="U146" s="156"/>
      <c r="V146" s="51"/>
      <c r="W146" s="156"/>
      <c r="X146" s="397"/>
      <c r="Y146" s="397"/>
      <c r="Z146" s="400"/>
      <c r="AA146" s="55">
        <v>0</v>
      </c>
      <c r="AB146" s="41">
        <v>0</v>
      </c>
      <c r="AC146" s="41">
        <v>0</v>
      </c>
      <c r="AD146" s="41">
        <f t="shared" si="294"/>
        <v>0</v>
      </c>
      <c r="AE146" s="41">
        <f t="shared" si="295"/>
        <v>0</v>
      </c>
      <c r="AF146" s="41">
        <f>S146+W146+AB146+AC146</f>
        <v>0</v>
      </c>
      <c r="AG146" s="31"/>
      <c r="AH146" s="419"/>
      <c r="AI146" s="22" t="s">
        <v>217</v>
      </c>
      <c r="AJ146" s="1" t="s">
        <v>197</v>
      </c>
      <c r="AK146" s="195" t="s">
        <v>673</v>
      </c>
      <c r="AL146" s="299">
        <v>8550.4533898305108</v>
      </c>
      <c r="AM146" s="299">
        <f t="shared" si="296"/>
        <v>0</v>
      </c>
      <c r="AN146" s="300">
        <f t="shared" si="297"/>
        <v>8550.4533898305108</v>
      </c>
    </row>
    <row r="147" spans="1:42" ht="15.75" hidden="1" customHeight="1" outlineLevel="1" x14ac:dyDescent="0.2">
      <c r="A147" s="79" t="s">
        <v>1152</v>
      </c>
      <c r="B147" s="112" t="s">
        <v>1153</v>
      </c>
      <c r="C147" s="79" t="s">
        <v>1</v>
      </c>
      <c r="D147" s="1" t="s">
        <v>673</v>
      </c>
      <c r="E147" s="47">
        <f>ROUND(SUMIF('Target Achieved- Input'!$B$93:$B$182,'Incentive Report- Output'!B147,'Target Achieved- Input'!$G$93:$G$182),0)</f>
        <v>60</v>
      </c>
      <c r="F147" s="47">
        <f>ROUND(SUMIF('Target Achieved- Input'!$B$93:$B$182,'Incentive Report- Output'!B147,'Target Achieved- Input'!$H$93:$H$182),0)</f>
        <v>78</v>
      </c>
      <c r="G147" s="47">
        <f>SUMIF('Target Achieved- Input'!$L$93:$L$182,'Incentive Report- Output'!B147,'Target Achieved- Input'!$O$93:$O$182)</f>
        <v>38</v>
      </c>
      <c r="H147" s="39">
        <f>SUMIF('Target Achieved- Input'!$S$93:$S$182,'Incentive Report- Output'!B147,'Target Achieved- Input'!$V$93:$V$182)</f>
        <v>12</v>
      </c>
      <c r="I147" s="48">
        <f>SUMIF('Target Achieved- Input'!$L$93:$L$182,'Incentive Report- Output'!B147,'Target Achieved- Input'!$AC$93:$AC$182)</f>
        <v>2</v>
      </c>
      <c r="J147" s="39">
        <f t="shared" si="289"/>
        <v>26</v>
      </c>
      <c r="K147" s="40">
        <f t="shared" si="290"/>
        <v>0.43333333333333335</v>
      </c>
      <c r="L147" s="41">
        <f t="shared" si="291"/>
        <v>1980000</v>
      </c>
      <c r="M147" s="41">
        <f>SUMIF('Target Achieved- Input'!$L$93:$L$182,'Incentive Report- Output'!B147,'Target Achieved- Input'!$M$93:$M$182)</f>
        <v>1725162</v>
      </c>
      <c r="N147" s="41">
        <f>SUMIF('Target Achieved- Input'!$S$93:$S$182,'Incentive Report- Output'!B147,'Target Achieved- Input'!$U$93:$U$182)</f>
        <v>464057.62711864413</v>
      </c>
      <c r="O147" s="41">
        <f>SUMIF('Target Achieved- Input'!$L$93:$L$182,'Incentive Report- Output'!B147,'Target Achieved- Input'!$N$93:$N$182)-N147</f>
        <v>997944.06779661053</v>
      </c>
      <c r="P147" s="40">
        <f t="shared" si="292"/>
        <v>0.50401215545283362</v>
      </c>
      <c r="Q147" s="40">
        <f t="shared" si="293"/>
        <v>0.50401215545283362</v>
      </c>
      <c r="R147" s="40">
        <v>0</v>
      </c>
      <c r="S147" s="49">
        <f>(LOOKUP(Q147,Policy!$L$12:$M$16)+R147)*O147</f>
        <v>4989.7203389830529</v>
      </c>
      <c r="T147" s="185"/>
      <c r="U147" s="156"/>
      <c r="V147" s="51"/>
      <c r="W147" s="156"/>
      <c r="X147" s="397"/>
      <c r="Y147" s="397"/>
      <c r="Z147" s="400"/>
      <c r="AA147" s="55">
        <v>0</v>
      </c>
      <c r="AB147" s="41">
        <v>0</v>
      </c>
      <c r="AC147" s="41">
        <v>0</v>
      </c>
      <c r="AD147" s="41">
        <f t="shared" si="294"/>
        <v>0</v>
      </c>
      <c r="AE147" s="41">
        <f t="shared" si="295"/>
        <v>4989.7203389830529</v>
      </c>
      <c r="AF147" s="41">
        <f>S147+W147+AB147+AC147</f>
        <v>4989.7203389830529</v>
      </c>
      <c r="AG147" s="31"/>
      <c r="AH147" s="419"/>
      <c r="AI147" s="22" t="s">
        <v>1152</v>
      </c>
      <c r="AJ147" s="1" t="s">
        <v>1153</v>
      </c>
      <c r="AK147" s="195" t="s">
        <v>673</v>
      </c>
      <c r="AL147" s="299">
        <v>7310.0084745762733</v>
      </c>
      <c r="AM147" s="299">
        <f t="shared" si="296"/>
        <v>4989.7203389830529</v>
      </c>
      <c r="AN147" s="300">
        <f t="shared" si="297"/>
        <v>2320.2881355932204</v>
      </c>
    </row>
    <row r="148" spans="1:42" ht="15.75" hidden="1" customHeight="1" outlineLevel="1" x14ac:dyDescent="0.2">
      <c r="A148" s="79" t="s">
        <v>335</v>
      </c>
      <c r="B148" s="112" t="s">
        <v>342</v>
      </c>
      <c r="C148" s="79" t="s">
        <v>1</v>
      </c>
      <c r="D148" s="1" t="s">
        <v>673</v>
      </c>
      <c r="E148" s="47">
        <f>ROUND(SUMIF('Target Achieved- Input'!$B$93:$B$182,'Incentive Report- Output'!B148,'Target Achieved- Input'!$G$93:$G$182),0)</f>
        <v>80</v>
      </c>
      <c r="F148" s="47">
        <f>ROUND(SUMIF('Target Achieved- Input'!$B$93:$B$182,'Incentive Report- Output'!B148,'Target Achieved- Input'!$H$93:$H$182),0)</f>
        <v>104</v>
      </c>
      <c r="G148" s="47">
        <f>SUMIF('Target Achieved- Input'!$L$93:$L$182,'Incentive Report- Output'!B148,'Target Achieved- Input'!$O$93:$O$182)</f>
        <v>58</v>
      </c>
      <c r="H148" s="39">
        <f>SUMIF('Target Achieved- Input'!$S$93:$S$182,'Incentive Report- Output'!B148,'Target Achieved- Input'!$V$93:$V$182)</f>
        <v>34</v>
      </c>
      <c r="I148" s="48">
        <f>SUMIF('Target Achieved- Input'!$L$93:$L$182,'Incentive Report- Output'!B148,'Target Achieved- Input'!$AC$93:$AC$182)</f>
        <v>0</v>
      </c>
      <c r="J148" s="39">
        <f t="shared" si="289"/>
        <v>24</v>
      </c>
      <c r="K148" s="40">
        <f t="shared" si="290"/>
        <v>0.3</v>
      </c>
      <c r="L148" s="41">
        <f t="shared" si="291"/>
        <v>2640000</v>
      </c>
      <c r="M148" s="41">
        <f>SUMIF('Target Achieved- Input'!$L$93:$L$182,'Incentive Report- Output'!B148,'Target Achieved- Input'!$M$93:$M$182)</f>
        <v>2396492</v>
      </c>
      <c r="N148" s="41">
        <f>SUMIF('Target Achieved- Input'!$S$93:$S$182,'Incentive Report- Output'!B148,'Target Achieved- Input'!$U$93:$U$182)</f>
        <v>1127089.8305084747</v>
      </c>
      <c r="O148" s="41">
        <f>SUMIF('Target Achieved- Input'!$L$93:$L$182,'Incentive Report- Output'!B148,'Target Achieved- Input'!$N$93:$N$182)-N148</f>
        <v>903835.59322033823</v>
      </c>
      <c r="P148" s="40">
        <f t="shared" si="292"/>
        <v>0.34236196712891598</v>
      </c>
      <c r="Q148" s="40">
        <f t="shared" si="293"/>
        <v>0.34236196712891598</v>
      </c>
      <c r="R148" s="40">
        <v>0</v>
      </c>
      <c r="S148" s="49">
        <f>(LOOKUP(Q148,Policy!$L$12:$M$16)+R148)*O148</f>
        <v>0</v>
      </c>
      <c r="T148" s="185"/>
      <c r="U148" s="156"/>
      <c r="V148" s="51"/>
      <c r="W148" s="156"/>
      <c r="X148" s="397"/>
      <c r="Y148" s="397"/>
      <c r="Z148" s="400"/>
      <c r="AA148" s="55">
        <v>0</v>
      </c>
      <c r="AB148" s="41">
        <v>0</v>
      </c>
      <c r="AC148" s="41">
        <v>0</v>
      </c>
      <c r="AD148" s="41">
        <f t="shared" si="294"/>
        <v>0</v>
      </c>
      <c r="AE148" s="41">
        <f t="shared" si="295"/>
        <v>0</v>
      </c>
      <c r="AF148" s="41">
        <f>S148+W148+AB148+AC148</f>
        <v>0</v>
      </c>
      <c r="AG148" s="31"/>
      <c r="AH148" s="419"/>
      <c r="AI148" s="22" t="s">
        <v>335</v>
      </c>
      <c r="AJ148" s="1" t="s">
        <v>342</v>
      </c>
      <c r="AK148" s="195" t="s">
        <v>673</v>
      </c>
      <c r="AL148" s="299">
        <v>10154.627118644064</v>
      </c>
      <c r="AM148" s="299">
        <f t="shared" si="296"/>
        <v>0</v>
      </c>
      <c r="AN148" s="300">
        <f t="shared" si="297"/>
        <v>10154.627118644064</v>
      </c>
    </row>
    <row r="149" spans="1:42" ht="15.75" hidden="1" customHeight="1" outlineLevel="1" x14ac:dyDescent="0.2">
      <c r="A149" s="109" t="s">
        <v>6</v>
      </c>
      <c r="B149" s="109"/>
      <c r="C149" s="109"/>
      <c r="D149" s="292" t="s">
        <v>673</v>
      </c>
      <c r="E149" s="44">
        <f t="shared" ref="E149:J149" si="298">SUM(E145:E148)</f>
        <v>300</v>
      </c>
      <c r="F149" s="44">
        <f t="shared" si="298"/>
        <v>390</v>
      </c>
      <c r="G149" s="44">
        <f t="shared" si="298"/>
        <v>190</v>
      </c>
      <c r="H149" s="44">
        <f t="shared" si="298"/>
        <v>90</v>
      </c>
      <c r="I149" s="44">
        <f t="shared" si="298"/>
        <v>5</v>
      </c>
      <c r="J149" s="44">
        <f t="shared" si="298"/>
        <v>100</v>
      </c>
      <c r="K149" s="45"/>
      <c r="L149" s="44">
        <f>SUM(L145:L148)</f>
        <v>9900000</v>
      </c>
      <c r="M149" s="44">
        <f>SUM(M145:M148)</f>
        <v>8430260</v>
      </c>
      <c r="N149" s="44">
        <f>SUM(N145:N148)</f>
        <v>3390855.9322033902</v>
      </c>
      <c r="O149" s="44">
        <f>SUM(O145:O148)</f>
        <v>3753432.20338983</v>
      </c>
      <c r="P149" s="45"/>
      <c r="Q149" s="46"/>
      <c r="R149" s="46"/>
      <c r="S149" s="44">
        <f t="shared" ref="S149:AF149" si="299">SUM(S145:S148)</f>
        <v>4989.7203389830529</v>
      </c>
      <c r="T149" s="189">
        <f t="shared" si="299"/>
        <v>0</v>
      </c>
      <c r="U149" s="189">
        <f t="shared" si="299"/>
        <v>0</v>
      </c>
      <c r="V149" s="86">
        <f t="shared" si="299"/>
        <v>0</v>
      </c>
      <c r="W149" s="189">
        <f t="shared" si="299"/>
        <v>0</v>
      </c>
      <c r="X149" s="86">
        <f t="shared" si="299"/>
        <v>0</v>
      </c>
      <c r="Y149" s="86">
        <f t="shared" si="299"/>
        <v>0</v>
      </c>
      <c r="Z149" s="54">
        <f t="shared" si="299"/>
        <v>0</v>
      </c>
      <c r="AA149" s="86">
        <f t="shared" si="299"/>
        <v>0</v>
      </c>
      <c r="AB149" s="86">
        <f t="shared" si="299"/>
        <v>0</v>
      </c>
      <c r="AC149" s="86">
        <f t="shared" si="299"/>
        <v>0</v>
      </c>
      <c r="AD149" s="86">
        <f t="shared" si="299"/>
        <v>0</v>
      </c>
      <c r="AE149" s="102">
        <f t="shared" si="299"/>
        <v>4989.7203389830529</v>
      </c>
      <c r="AF149" s="102">
        <f t="shared" si="299"/>
        <v>4989.7203389830529</v>
      </c>
      <c r="AG149" s="31"/>
      <c r="AH149" s="419"/>
      <c r="AI149" s="43" t="s">
        <v>6</v>
      </c>
      <c r="AJ149" s="43"/>
      <c r="AK149" s="43" t="s">
        <v>673</v>
      </c>
      <c r="AL149" s="304">
        <v>35721.4406779661</v>
      </c>
      <c r="AM149" s="304">
        <f>SUM(AM145:AM148)</f>
        <v>4989.7203389830529</v>
      </c>
      <c r="AN149" s="304">
        <f>SUM(AN145:AN148)</f>
        <v>30731.720338983047</v>
      </c>
    </row>
    <row r="150" spans="1:42" ht="15.75" hidden="1" customHeight="1" outlineLevel="1" x14ac:dyDescent="0.2">
      <c r="A150" s="79" t="s">
        <v>286</v>
      </c>
      <c r="B150" s="112" t="s">
        <v>37</v>
      </c>
      <c r="C150" s="79" t="s">
        <v>0</v>
      </c>
      <c r="D150" s="1" t="s">
        <v>674</v>
      </c>
      <c r="E150" s="47">
        <f>ROUND(SUMIF('Target Achieved- Input'!$B$93:$B$182,'Incentive Report- Output'!B150,'Target Achieved- Input'!$G$93:$G$182),0)</f>
        <v>70</v>
      </c>
      <c r="F150" s="47">
        <f>ROUND(SUMIF('Target Achieved- Input'!$B$93:$B$182,'Incentive Report- Output'!B150,'Target Achieved- Input'!$H$93:$H$182),0)</f>
        <v>91</v>
      </c>
      <c r="G150" s="47">
        <f>SUMIF('Target Achieved- Input'!$L$93:$L$182,'Incentive Report- Output'!B150,'Target Achieved- Input'!$O$93:$O$182)</f>
        <v>36</v>
      </c>
      <c r="H150" s="39">
        <f>SUMIF('Target Achieved- Input'!$S$93:$S$182,'Incentive Report- Output'!B150,'Target Achieved- Input'!$V$93:$V$182)</f>
        <v>2</v>
      </c>
      <c r="I150" s="48">
        <f>SUMIF('Target Achieved- Input'!$L$93:$L$182,'Incentive Report- Output'!B150,'Target Achieved- Input'!$AC$93:$AC$182)</f>
        <v>5</v>
      </c>
      <c r="J150" s="39">
        <f t="shared" ref="J150:J152" si="300">G150-H150</f>
        <v>34</v>
      </c>
      <c r="K150" s="40">
        <f t="shared" ref="K150:K152" si="301">IFERROR(J150/E150,0)</f>
        <v>0.48571428571428571</v>
      </c>
      <c r="L150" s="41">
        <f t="shared" ref="L150:L152" si="302">E150*33000</f>
        <v>2310000</v>
      </c>
      <c r="M150" s="41">
        <f>SUMIF('Target Achieved- Input'!$L$93:$L$182,'Incentive Report- Output'!B150,'Target Achieved- Input'!$M$93:$M$182)</f>
        <v>1588364</v>
      </c>
      <c r="N150" s="41">
        <f>SUMIF('Target Achieved- Input'!$S$93:$S$182,'Incentive Report- Output'!B150,'Target Achieved- Input'!$U$93:$U$182)</f>
        <v>70337.288135593219</v>
      </c>
      <c r="O150" s="41">
        <f>SUMIF('Target Achieved- Input'!$L$93:$L$182,'Incentive Report- Output'!B150,'Target Achieved- Input'!$N$93:$N$182)-N150</f>
        <v>1275733.8983050843</v>
      </c>
      <c r="P150" s="40">
        <f t="shared" ref="P150:P152" si="303">IFERROR(O150/L150,0)</f>
        <v>0.55226575684202783</v>
      </c>
      <c r="Q150" s="40">
        <f t="shared" ref="Q150:Q152" si="304">MAX(P150,K150)</f>
        <v>0.55226575684202783</v>
      </c>
      <c r="R150" s="40">
        <v>0</v>
      </c>
      <c r="S150" s="49">
        <f>(LOOKUP(Q150,Policy!$L$12:$M$16)+R150)*O150</f>
        <v>6378.669491525422</v>
      </c>
      <c r="T150" s="188"/>
      <c r="U150" s="188"/>
      <c r="V150" s="40"/>
      <c r="W150" s="53"/>
      <c r="X150" s="396">
        <f>E153</f>
        <v>220</v>
      </c>
      <c r="Y150" s="396">
        <f>J153</f>
        <v>101</v>
      </c>
      <c r="Z150" s="399">
        <f>Y150/X150</f>
        <v>0.45909090909090911</v>
      </c>
      <c r="AA150" s="55">
        <v>0</v>
      </c>
      <c r="AB150" s="41">
        <v>0</v>
      </c>
      <c r="AC150" s="41">
        <v>0</v>
      </c>
      <c r="AD150" s="41">
        <f t="shared" ref="AD150:AD152" si="305">IF(AF150&gt;200000,AF150-200000,0)</f>
        <v>0</v>
      </c>
      <c r="AE150" s="41">
        <f t="shared" ref="AE150:AE152" si="306">AF150-AD150</f>
        <v>6378.669491525422</v>
      </c>
      <c r="AF150" s="41">
        <f>S150+W150+AB150+AC150</f>
        <v>6378.669491525422</v>
      </c>
      <c r="AG150" s="31"/>
      <c r="AH150" s="419"/>
      <c r="AI150" s="22" t="s">
        <v>286</v>
      </c>
      <c r="AJ150" s="1" t="s">
        <v>37</v>
      </c>
      <c r="AK150" s="195" t="s">
        <v>674</v>
      </c>
      <c r="AL150" s="299">
        <v>6730.355932203388</v>
      </c>
      <c r="AM150" s="299">
        <f t="shared" ref="AM150:AM152" si="307">AF150</f>
        <v>6378.669491525422</v>
      </c>
      <c r="AN150" s="300">
        <f t="shared" ref="AN150:AN152" si="308">AL150-AM150</f>
        <v>351.68644067796595</v>
      </c>
    </row>
    <row r="151" spans="1:42" ht="15.75" hidden="1" customHeight="1" outlineLevel="1" x14ac:dyDescent="0.2">
      <c r="A151" s="42" t="s">
        <v>657</v>
      </c>
      <c r="B151" s="112" t="s">
        <v>39</v>
      </c>
      <c r="C151" s="79" t="s">
        <v>1</v>
      </c>
      <c r="D151" s="1" t="s">
        <v>674</v>
      </c>
      <c r="E151" s="47">
        <f>ROUND(SUMIF('Target Achieved- Input'!$B$93:$B$182,'Incentive Report- Output'!B151,'Target Achieved- Input'!$G$93:$G$182),0)</f>
        <v>80</v>
      </c>
      <c r="F151" s="47">
        <f>ROUND(SUMIF('Target Achieved- Input'!$B$93:$B$182,'Incentive Report- Output'!B151,'Target Achieved- Input'!$H$93:$H$182),0)</f>
        <v>104</v>
      </c>
      <c r="G151" s="47">
        <f>SUMIF('Target Achieved- Input'!$L$93:$L$182,'Incentive Report- Output'!B151,'Target Achieved- Input'!$O$93:$O$182)</f>
        <v>35</v>
      </c>
      <c r="H151" s="39">
        <f>SUMIF('Target Achieved- Input'!$S$93:$S$182,'Incentive Report- Output'!B151,'Target Achieved- Input'!$V$93:$V$182)</f>
        <v>11</v>
      </c>
      <c r="I151" s="48">
        <f>SUMIF('Target Achieved- Input'!$L$93:$L$182,'Incentive Report- Output'!B151,'Target Achieved- Input'!$AC$93:$AC$182)</f>
        <v>0</v>
      </c>
      <c r="J151" s="39">
        <f t="shared" si="300"/>
        <v>24</v>
      </c>
      <c r="K151" s="40">
        <f t="shared" si="301"/>
        <v>0.3</v>
      </c>
      <c r="L151" s="41">
        <f t="shared" si="302"/>
        <v>2640000</v>
      </c>
      <c r="M151" s="41">
        <f>SUMIF('Target Achieved- Input'!$L$93:$L$182,'Incentive Report- Output'!B151,'Target Achieved- Input'!$M$93:$M$182)</f>
        <v>1602165</v>
      </c>
      <c r="N151" s="41">
        <f>SUMIF('Target Achieved- Input'!$S$93:$S$182,'Incentive Report- Output'!B151,'Target Achieved- Input'!$U$93:$U$182)</f>
        <v>371600.84745762718</v>
      </c>
      <c r="O151" s="41">
        <f>SUMIF('Target Achieved- Input'!$L$93:$L$182,'Incentive Report- Output'!B151,'Target Achieved- Input'!$N$93:$N$182)-N151</f>
        <v>986166.10169491486</v>
      </c>
      <c r="P151" s="40">
        <f t="shared" si="303"/>
        <v>0.37354776579352833</v>
      </c>
      <c r="Q151" s="40">
        <f t="shared" si="304"/>
        <v>0.37354776579352833</v>
      </c>
      <c r="R151" s="40">
        <v>0</v>
      </c>
      <c r="S151" s="49">
        <f>(LOOKUP(Q151,Policy!$L$12:$M$16)+R151)*O151</f>
        <v>0</v>
      </c>
      <c r="T151" s="188"/>
      <c r="U151" s="53"/>
      <c r="V151" s="40"/>
      <c r="W151" s="53"/>
      <c r="X151" s="397"/>
      <c r="Y151" s="397"/>
      <c r="Z151" s="400"/>
      <c r="AA151" s="55">
        <v>0</v>
      </c>
      <c r="AB151" s="41">
        <v>0</v>
      </c>
      <c r="AC151" s="41">
        <v>0</v>
      </c>
      <c r="AD151" s="41">
        <f t="shared" si="305"/>
        <v>0</v>
      </c>
      <c r="AE151" s="41">
        <f t="shared" si="306"/>
        <v>0</v>
      </c>
      <c r="AF151" s="41">
        <f>S151+W151+AB151+AC151</f>
        <v>0</v>
      </c>
      <c r="AG151" s="31"/>
      <c r="AH151" s="419"/>
      <c r="AI151" s="42" t="s">
        <v>657</v>
      </c>
      <c r="AJ151" s="1" t="s">
        <v>39</v>
      </c>
      <c r="AK151" s="195" t="s">
        <v>674</v>
      </c>
      <c r="AL151" s="299">
        <v>6788.8347457627106</v>
      </c>
      <c r="AM151" s="299">
        <f t="shared" si="307"/>
        <v>0</v>
      </c>
      <c r="AN151" s="300">
        <f t="shared" si="308"/>
        <v>6788.8347457627106</v>
      </c>
    </row>
    <row r="152" spans="1:42" ht="15.75" hidden="1" customHeight="1" outlineLevel="1" x14ac:dyDescent="0.2">
      <c r="A152" s="79" t="s">
        <v>1156</v>
      </c>
      <c r="B152" s="112" t="s">
        <v>1157</v>
      </c>
      <c r="C152" s="79" t="s">
        <v>1</v>
      </c>
      <c r="D152" s="1" t="s">
        <v>674</v>
      </c>
      <c r="E152" s="47">
        <f>ROUND(SUMIF('Target Achieved- Input'!$B$93:$B$182,'Incentive Report- Output'!B152,'Target Achieved- Input'!$G$93:$G$182),0)</f>
        <v>70</v>
      </c>
      <c r="F152" s="47">
        <f>ROUND(SUMIF('Target Achieved- Input'!$B$93:$B$182,'Incentive Report- Output'!B152,'Target Achieved- Input'!$H$93:$H$182),0)</f>
        <v>91</v>
      </c>
      <c r="G152" s="47">
        <f>SUMIF('Target Achieved- Input'!$L$93:$L$182,'Incentive Report- Output'!B152,'Target Achieved- Input'!$O$93:$O$182)</f>
        <v>47</v>
      </c>
      <c r="H152" s="39">
        <f>SUMIF('Target Achieved- Input'!$S$93:$S$182,'Incentive Report- Output'!B152,'Target Achieved- Input'!$V$93:$V$182)</f>
        <v>4</v>
      </c>
      <c r="I152" s="48">
        <f>SUMIF('Target Achieved- Input'!$L$93:$L$182,'Incentive Report- Output'!B152,'Target Achieved- Input'!$AC$93:$AC$182)</f>
        <v>2</v>
      </c>
      <c r="J152" s="39">
        <f t="shared" si="300"/>
        <v>43</v>
      </c>
      <c r="K152" s="40">
        <f t="shared" si="301"/>
        <v>0.61428571428571432</v>
      </c>
      <c r="L152" s="41">
        <f t="shared" si="302"/>
        <v>2310000</v>
      </c>
      <c r="M152" s="41">
        <f>SUMIF('Target Achieved- Input'!$L$93:$L$182,'Incentive Report- Output'!B152,'Target Achieved- Input'!$M$93:$M$182)</f>
        <v>2031103</v>
      </c>
      <c r="N152" s="41">
        <f>SUMIF('Target Achieved- Input'!$S$93:$S$182,'Incentive Report- Output'!B152,'Target Achieved- Input'!$U$93:$U$182)</f>
        <v>155335.59322033898</v>
      </c>
      <c r="O152" s="41">
        <f>SUMIF('Target Achieved- Input'!$L$93:$L$182,'Incentive Report- Output'!B152,'Target Achieved- Input'!$N$93:$N$182)-N152</f>
        <v>1565938.1355932197</v>
      </c>
      <c r="P152" s="40">
        <f t="shared" si="303"/>
        <v>0.67789529679360161</v>
      </c>
      <c r="Q152" s="40">
        <f t="shared" si="304"/>
        <v>0.67789529679360161</v>
      </c>
      <c r="R152" s="40">
        <v>0</v>
      </c>
      <c r="S152" s="49">
        <f>(LOOKUP(Q152,Policy!$L$12:$M$16)+R152)*O152</f>
        <v>7829.6906779660985</v>
      </c>
      <c r="T152" s="188"/>
      <c r="U152" s="188"/>
      <c r="V152" s="40"/>
      <c r="W152" s="53"/>
      <c r="X152" s="398"/>
      <c r="Y152" s="398"/>
      <c r="Z152" s="401"/>
      <c r="AA152" s="55">
        <v>0</v>
      </c>
      <c r="AB152" s="41">
        <v>0</v>
      </c>
      <c r="AC152" s="41">
        <v>0</v>
      </c>
      <c r="AD152" s="41">
        <f t="shared" si="305"/>
        <v>0</v>
      </c>
      <c r="AE152" s="41">
        <f t="shared" si="306"/>
        <v>7829.6906779660985</v>
      </c>
      <c r="AF152" s="41">
        <f>S152+W152+AB152+AC152</f>
        <v>7829.6906779660985</v>
      </c>
      <c r="AG152" s="31"/>
      <c r="AH152" s="419"/>
      <c r="AI152" s="22" t="s">
        <v>1156</v>
      </c>
      <c r="AJ152" s="1" t="s">
        <v>1157</v>
      </c>
      <c r="AK152" s="195" t="s">
        <v>674</v>
      </c>
      <c r="AL152" s="299">
        <v>8606.3686440677939</v>
      </c>
      <c r="AM152" s="299">
        <f t="shared" si="307"/>
        <v>7829.6906779660985</v>
      </c>
      <c r="AN152" s="300">
        <f t="shared" si="308"/>
        <v>776.67796610169535</v>
      </c>
    </row>
    <row r="153" spans="1:42" ht="15.75" hidden="1" customHeight="1" outlineLevel="1" x14ac:dyDescent="0.2">
      <c r="A153" s="109" t="s">
        <v>6</v>
      </c>
      <c r="B153" s="109"/>
      <c r="C153" s="109"/>
      <c r="D153" s="292" t="s">
        <v>674</v>
      </c>
      <c r="E153" s="44">
        <f>SUM(E150:E152)</f>
        <v>220</v>
      </c>
      <c r="F153" s="44">
        <f t="shared" ref="F153:J153" si="309">SUM(F150:F152)</f>
        <v>286</v>
      </c>
      <c r="G153" s="44">
        <f t="shared" si="309"/>
        <v>118</v>
      </c>
      <c r="H153" s="44">
        <f t="shared" si="309"/>
        <v>17</v>
      </c>
      <c r="I153" s="44">
        <f t="shared" si="309"/>
        <v>7</v>
      </c>
      <c r="J153" s="44">
        <f t="shared" si="309"/>
        <v>101</v>
      </c>
      <c r="K153" s="44"/>
      <c r="L153" s="44">
        <f t="shared" ref="L153:O153" si="310">SUM(L150:L152)</f>
        <v>7260000</v>
      </c>
      <c r="M153" s="44">
        <f t="shared" si="310"/>
        <v>5221632</v>
      </c>
      <c r="N153" s="44">
        <f t="shared" si="310"/>
        <v>597273.7288135594</v>
      </c>
      <c r="O153" s="44">
        <f t="shared" si="310"/>
        <v>3827838.1355932187</v>
      </c>
      <c r="P153" s="45"/>
      <c r="Q153" s="46"/>
      <c r="R153" s="46"/>
      <c r="S153" s="44">
        <f t="shared" ref="S153:AF153" si="311">SUM(S150:S152)</f>
        <v>14208.36016949152</v>
      </c>
      <c r="T153" s="44">
        <f t="shared" si="311"/>
        <v>0</v>
      </c>
      <c r="U153" s="44">
        <f t="shared" si="311"/>
        <v>0</v>
      </c>
      <c r="V153" s="44">
        <f t="shared" si="311"/>
        <v>0</v>
      </c>
      <c r="W153" s="44">
        <f t="shared" si="311"/>
        <v>0</v>
      </c>
      <c r="X153" s="44">
        <f t="shared" si="311"/>
        <v>220</v>
      </c>
      <c r="Y153" s="44">
        <f t="shared" si="311"/>
        <v>101</v>
      </c>
      <c r="Z153" s="44">
        <f t="shared" si="311"/>
        <v>0.45909090909090911</v>
      </c>
      <c r="AA153" s="44">
        <f t="shared" si="311"/>
        <v>0</v>
      </c>
      <c r="AB153" s="44">
        <f t="shared" si="311"/>
        <v>0</v>
      </c>
      <c r="AC153" s="44">
        <f t="shared" si="311"/>
        <v>0</v>
      </c>
      <c r="AD153" s="44">
        <f t="shared" si="311"/>
        <v>0</v>
      </c>
      <c r="AE153" s="44">
        <f t="shared" si="311"/>
        <v>14208.36016949152</v>
      </c>
      <c r="AF153" s="44">
        <f t="shared" si="311"/>
        <v>14208.36016949152</v>
      </c>
      <c r="AG153" s="31"/>
      <c r="AH153" s="419"/>
      <c r="AI153" s="43" t="s">
        <v>6</v>
      </c>
      <c r="AJ153" s="43"/>
      <c r="AK153" s="43" t="s">
        <v>674</v>
      </c>
      <c r="AL153" s="308">
        <v>22125.559322033892</v>
      </c>
      <c r="AM153" s="308">
        <f>SUM(AM150:AM152)</f>
        <v>14208.36016949152</v>
      </c>
      <c r="AN153" s="308">
        <f>SUM(AN150:AN152)</f>
        <v>7917.1991525423718</v>
      </c>
    </row>
    <row r="154" spans="1:42" ht="15.75" hidden="1" customHeight="1" outlineLevel="1" x14ac:dyDescent="0.2">
      <c r="A154" s="79" t="s">
        <v>72</v>
      </c>
      <c r="B154" s="112" t="s">
        <v>43</v>
      </c>
      <c r="C154" s="79" t="s">
        <v>0</v>
      </c>
      <c r="D154" s="1" t="s">
        <v>675</v>
      </c>
      <c r="E154" s="47">
        <f>ROUND(SUMIF('Target Achieved- Input'!$B$93:$B$182,'Incentive Report- Output'!B154,'Target Achieved- Input'!$G$93:$G$182),0)</f>
        <v>70</v>
      </c>
      <c r="F154" s="47">
        <f>ROUND(SUMIF('Target Achieved- Input'!$B$93:$B$182,'Incentive Report- Output'!B154,'Target Achieved- Input'!$H$93:$H$182),0)</f>
        <v>91</v>
      </c>
      <c r="G154" s="47">
        <f>SUMIF('Target Achieved- Input'!$L$93:$L$182,'Incentive Report- Output'!B154,'Target Achieved- Input'!$O$93:$O$182)</f>
        <v>22</v>
      </c>
      <c r="H154" s="39">
        <f>SUMIF('Target Achieved- Input'!$S$93:$S$182,'Incentive Report- Output'!B154,'Target Achieved- Input'!$V$93:$V$182)</f>
        <v>16</v>
      </c>
      <c r="I154" s="48">
        <f>SUMIF('Target Achieved- Input'!$L$93:$L$182,'Incentive Report- Output'!B154,'Target Achieved- Input'!$AC$93:$AC$182)</f>
        <v>0</v>
      </c>
      <c r="J154" s="39">
        <f t="shared" ref="J154:J160" si="312">G154-H154</f>
        <v>6</v>
      </c>
      <c r="K154" s="40">
        <f t="shared" ref="K154:K160" si="313">IFERROR(J154/E154,0)</f>
        <v>8.5714285714285715E-2</v>
      </c>
      <c r="L154" s="41">
        <f t="shared" ref="L154:L160" si="314">E154*33000</f>
        <v>2310000</v>
      </c>
      <c r="M154" s="41">
        <f>SUMIF('Target Achieved- Input'!$L$93:$L$182,'Incentive Report- Output'!B154,'Target Achieved- Input'!$M$93:$M$182)</f>
        <v>1060728</v>
      </c>
      <c r="N154" s="41">
        <f>SUMIF('Target Achieved- Input'!$S$93:$S$182,'Incentive Report- Output'!B154,'Target Achieved- Input'!$U$93:$U$182)</f>
        <v>685240.67796610179</v>
      </c>
      <c r="O154" s="41">
        <f>SUMIF('Target Achieved- Input'!$L$93:$L$182,'Incentive Report- Output'!B154,'Target Achieved- Input'!$N$93:$N$182)-N154</f>
        <v>213681.35593220347</v>
      </c>
      <c r="P154" s="40">
        <f t="shared" ref="P154:P160" si="315">IFERROR(O154/L154,0)</f>
        <v>9.2502751485802365E-2</v>
      </c>
      <c r="Q154" s="40">
        <f t="shared" ref="Q154:Q159" si="316">MAX(P154,K154)</f>
        <v>9.2502751485802365E-2</v>
      </c>
      <c r="R154" s="40">
        <v>0</v>
      </c>
      <c r="S154" s="49">
        <f>(LOOKUP(Q154,Policy!$L$12:$M$16)+R154)*O154</f>
        <v>0</v>
      </c>
      <c r="T154" s="185"/>
      <c r="U154" s="156"/>
      <c r="V154" s="51"/>
      <c r="W154" s="156"/>
      <c r="X154" s="396">
        <f>E161</f>
        <v>470</v>
      </c>
      <c r="Y154" s="396">
        <f>J161</f>
        <v>124</v>
      </c>
      <c r="Z154" s="399">
        <f>Y154/X154</f>
        <v>0.26382978723404255</v>
      </c>
      <c r="AA154" s="55">
        <v>0</v>
      </c>
      <c r="AB154" s="41">
        <v>0</v>
      </c>
      <c r="AC154" s="41">
        <v>0</v>
      </c>
      <c r="AD154" s="41">
        <f t="shared" ref="AD154:AD160" si="317">IF(AF154&gt;200000,AF154-200000,0)</f>
        <v>0</v>
      </c>
      <c r="AE154" s="41">
        <f t="shared" ref="AE154:AE160" si="318">AF154-AD154</f>
        <v>0</v>
      </c>
      <c r="AF154" s="41">
        <f t="shared" ref="AF154:AF160" si="319">S154+W154+AB154+AC154</f>
        <v>0</v>
      </c>
      <c r="AG154" s="31"/>
      <c r="AH154" s="419"/>
      <c r="AI154" s="22" t="s">
        <v>72</v>
      </c>
      <c r="AJ154" s="1" t="s">
        <v>43</v>
      </c>
      <c r="AK154" s="195" t="s">
        <v>675</v>
      </c>
      <c r="AL154" s="299">
        <v>0</v>
      </c>
      <c r="AM154" s="299">
        <f t="shared" ref="AM154:AM160" si="320">AF154</f>
        <v>0</v>
      </c>
      <c r="AN154" s="300">
        <f t="shared" ref="AN154:AN160" si="321">AL154-AM154</f>
        <v>0</v>
      </c>
    </row>
    <row r="155" spans="1:42" ht="15.75" hidden="1" customHeight="1" outlineLevel="1" x14ac:dyDescent="0.2">
      <c r="A155" s="79" t="s">
        <v>726</v>
      </c>
      <c r="B155" s="112" t="s">
        <v>727</v>
      </c>
      <c r="C155" s="79" t="s">
        <v>1</v>
      </c>
      <c r="D155" s="1" t="s">
        <v>675</v>
      </c>
      <c r="E155" s="47">
        <f>ROUND(SUMIF('Target Achieved- Input'!$B$93:$B$182,'Incentive Report- Output'!B155,'Target Achieved- Input'!$G$93:$G$182),0)</f>
        <v>60</v>
      </c>
      <c r="F155" s="47">
        <f>ROUND(SUMIF('Target Achieved- Input'!$B$93:$B$182,'Incentive Report- Output'!B155,'Target Achieved- Input'!$H$93:$H$182),0)</f>
        <v>78</v>
      </c>
      <c r="G155" s="47">
        <f>SUMIF('Target Achieved- Input'!$L$93:$L$182,'Incentive Report- Output'!B155,'Target Achieved- Input'!$O$93:$O$182)</f>
        <v>29</v>
      </c>
      <c r="H155" s="39">
        <f>SUMIF('Target Achieved- Input'!$S$93:$S$182,'Incentive Report- Output'!B155,'Target Achieved- Input'!$V$93:$V$182)</f>
        <v>4</v>
      </c>
      <c r="I155" s="48">
        <f>SUMIF('Target Achieved- Input'!$L$93:$L$182,'Incentive Report- Output'!B155,'Target Achieved- Input'!$AC$93:$AC$182)</f>
        <v>2</v>
      </c>
      <c r="J155" s="39">
        <f t="shared" si="312"/>
        <v>25</v>
      </c>
      <c r="K155" s="40">
        <f t="shared" si="313"/>
        <v>0.41666666666666669</v>
      </c>
      <c r="L155" s="41">
        <f t="shared" si="314"/>
        <v>1980000</v>
      </c>
      <c r="M155" s="41">
        <f>SUMIF('Target Achieved- Input'!$L$93:$L$182,'Incentive Report- Output'!B155,'Target Achieved- Input'!$M$93:$M$182)</f>
        <v>1376721</v>
      </c>
      <c r="N155" s="41">
        <f>SUMIF('Target Achieved- Input'!$S$93:$S$182,'Incentive Report- Output'!B155,'Target Achieved- Input'!$U$93:$U$182)</f>
        <v>93767.796610169491</v>
      </c>
      <c r="O155" s="41">
        <f>SUMIF('Target Achieved- Input'!$L$93:$L$182,'Incentive Report- Output'!B155,'Target Achieved- Input'!$N$93:$N$182)-N155</f>
        <v>1072944.9152542376</v>
      </c>
      <c r="P155" s="40">
        <f t="shared" si="315"/>
        <v>0.54189137134052401</v>
      </c>
      <c r="Q155" s="40">
        <f t="shared" si="316"/>
        <v>0.54189137134052401</v>
      </c>
      <c r="R155" s="40">
        <v>0</v>
      </c>
      <c r="S155" s="49">
        <f>(LOOKUP(Q155,Policy!$L$12:$M$16)+R155)*O155</f>
        <v>5364.7245762711882</v>
      </c>
      <c r="T155" s="188"/>
      <c r="U155" s="53"/>
      <c r="V155" s="40"/>
      <c r="W155" s="53"/>
      <c r="X155" s="397"/>
      <c r="Y155" s="397"/>
      <c r="Z155" s="400"/>
      <c r="AA155" s="55">
        <v>0</v>
      </c>
      <c r="AB155" s="41">
        <v>0</v>
      </c>
      <c r="AC155" s="41">
        <v>0</v>
      </c>
      <c r="AD155" s="41">
        <f t="shared" si="317"/>
        <v>0</v>
      </c>
      <c r="AE155" s="41">
        <f t="shared" si="318"/>
        <v>5364.7245762711882</v>
      </c>
      <c r="AF155" s="41">
        <f t="shared" si="319"/>
        <v>5364.7245762711882</v>
      </c>
      <c r="AG155" s="31"/>
      <c r="AH155" s="419"/>
      <c r="AI155" s="22" t="s">
        <v>726</v>
      </c>
      <c r="AJ155" s="1" t="s">
        <v>727</v>
      </c>
      <c r="AK155" s="195" t="s">
        <v>675</v>
      </c>
      <c r="AL155" s="299">
        <v>5833.5635593220359</v>
      </c>
      <c r="AM155" s="299">
        <f t="shared" si="320"/>
        <v>5364.7245762711882</v>
      </c>
      <c r="AN155" s="300">
        <f t="shared" si="321"/>
        <v>468.83898305084767</v>
      </c>
    </row>
    <row r="156" spans="1:42" ht="15.75" hidden="1" customHeight="1" outlineLevel="1" x14ac:dyDescent="0.2">
      <c r="A156" s="79" t="s">
        <v>291</v>
      </c>
      <c r="B156" s="112" t="s">
        <v>40</v>
      </c>
      <c r="C156" s="79" t="s">
        <v>1</v>
      </c>
      <c r="D156" s="1" t="s">
        <v>675</v>
      </c>
      <c r="E156" s="47">
        <f>ROUND(SUMIF('Target Achieved- Input'!$B$93:$B$182,'Incentive Report- Output'!B156,'Target Achieved- Input'!$G$93:$G$182),0)</f>
        <v>70</v>
      </c>
      <c r="F156" s="47">
        <f>ROUND(SUMIF('Target Achieved- Input'!$B$93:$B$182,'Incentive Report- Output'!B156,'Target Achieved- Input'!$H$93:$H$182),0)</f>
        <v>91</v>
      </c>
      <c r="G156" s="47">
        <f>SUMIF('Target Achieved- Input'!$L$93:$L$182,'Incentive Report- Output'!B156,'Target Achieved- Input'!$O$93:$O$182)</f>
        <v>15</v>
      </c>
      <c r="H156" s="39">
        <f>SUMIF('Target Achieved- Input'!$S$93:$S$182,'Incentive Report- Output'!B156,'Target Achieved- Input'!$V$93:$V$182)</f>
        <v>5</v>
      </c>
      <c r="I156" s="48">
        <f>SUMIF('Target Achieved- Input'!$L$93:$L$182,'Incentive Report- Output'!B156,'Target Achieved- Input'!$AC$93:$AC$182)</f>
        <v>1</v>
      </c>
      <c r="J156" s="39">
        <f t="shared" si="312"/>
        <v>10</v>
      </c>
      <c r="K156" s="40">
        <f t="shared" si="313"/>
        <v>0.14285714285714285</v>
      </c>
      <c r="L156" s="41">
        <f t="shared" si="314"/>
        <v>2310000</v>
      </c>
      <c r="M156" s="41">
        <f>SUMIF('Target Achieved- Input'!$L$93:$L$182,'Incentive Report- Output'!B156,'Target Achieved- Input'!$M$93:$M$182)</f>
        <v>639535</v>
      </c>
      <c r="N156" s="41">
        <f>SUMIF('Target Achieved- Input'!$S$93:$S$182,'Incentive Report- Output'!B156,'Target Achieved- Input'!$U$93:$U$182)</f>
        <v>155970.33898305084</v>
      </c>
      <c r="O156" s="41">
        <f>SUMIF('Target Achieved- Input'!$L$93:$L$182,'Incentive Report- Output'!B156,'Target Achieved- Input'!$N$93:$N$182)-N156</f>
        <v>386008.47457627108</v>
      </c>
      <c r="P156" s="40">
        <f t="shared" si="315"/>
        <v>0.16710323574730349</v>
      </c>
      <c r="Q156" s="40">
        <f t="shared" si="316"/>
        <v>0.16710323574730349</v>
      </c>
      <c r="R156" s="40">
        <v>0</v>
      </c>
      <c r="S156" s="49">
        <f>(LOOKUP(Q156,Policy!$L$12:$M$16)+R156)*O156</f>
        <v>0</v>
      </c>
      <c r="T156" s="188"/>
      <c r="U156" s="188"/>
      <c r="V156" s="40"/>
      <c r="W156" s="53"/>
      <c r="X156" s="397"/>
      <c r="Y156" s="397"/>
      <c r="Z156" s="400"/>
      <c r="AA156" s="55">
        <v>0</v>
      </c>
      <c r="AB156" s="41">
        <v>0</v>
      </c>
      <c r="AC156" s="41">
        <v>0</v>
      </c>
      <c r="AD156" s="41">
        <f t="shared" si="317"/>
        <v>0</v>
      </c>
      <c r="AE156" s="41">
        <f t="shared" si="318"/>
        <v>0</v>
      </c>
      <c r="AF156" s="41">
        <f t="shared" si="319"/>
        <v>0</v>
      </c>
      <c r="AG156" s="31"/>
      <c r="AH156" s="419"/>
      <c r="AI156" s="22" t="s">
        <v>291</v>
      </c>
      <c r="AJ156" s="1" t="s">
        <v>40</v>
      </c>
      <c r="AK156" s="195" t="s">
        <v>675</v>
      </c>
      <c r="AL156" s="299">
        <v>0</v>
      </c>
      <c r="AM156" s="299">
        <f t="shared" si="320"/>
        <v>0</v>
      </c>
      <c r="AN156" s="300">
        <f t="shared" si="321"/>
        <v>0</v>
      </c>
    </row>
    <row r="157" spans="1:42" ht="15.75" hidden="1" customHeight="1" outlineLevel="1" x14ac:dyDescent="0.2">
      <c r="A157" s="79" t="s">
        <v>1073</v>
      </c>
      <c r="B157" s="161" t="s">
        <v>1074</v>
      </c>
      <c r="C157" s="79" t="s">
        <v>1</v>
      </c>
      <c r="D157" s="1" t="s">
        <v>675</v>
      </c>
      <c r="E157" s="47">
        <f>ROUND(SUMIF('Target Achieved- Input'!$B$93:$B$182,'Incentive Report- Output'!B157,'Target Achieved- Input'!$G$93:$G$182),0)</f>
        <v>70</v>
      </c>
      <c r="F157" s="47">
        <f>ROUND(SUMIF('Target Achieved- Input'!$B$93:$B$182,'Incentive Report- Output'!B157,'Target Achieved- Input'!$H$93:$H$182),0)</f>
        <v>91</v>
      </c>
      <c r="G157" s="47">
        <f>SUMIF('Target Achieved- Input'!$L$93:$L$182,'Incentive Report- Output'!B157,'Target Achieved- Input'!$O$93:$O$182)</f>
        <v>37</v>
      </c>
      <c r="H157" s="39">
        <f>SUMIF('Target Achieved- Input'!$S$93:$S$182,'Incentive Report- Output'!B157,'Target Achieved- Input'!$V$93:$V$182)</f>
        <v>13</v>
      </c>
      <c r="I157" s="48">
        <f>SUMIF('Target Achieved- Input'!$L$93:$L$182,'Incentive Report- Output'!B157,'Target Achieved- Input'!$AC$93:$AC$182)</f>
        <v>0</v>
      </c>
      <c r="J157" s="39">
        <f t="shared" si="312"/>
        <v>24</v>
      </c>
      <c r="K157" s="40">
        <f t="shared" si="313"/>
        <v>0.34285714285714286</v>
      </c>
      <c r="L157" s="41">
        <f t="shared" si="314"/>
        <v>2310000</v>
      </c>
      <c r="M157" s="41">
        <f>SUMIF('Target Achieved- Input'!$L$93:$L$182,'Incentive Report- Output'!B157,'Target Achieved- Input'!$M$93:$M$182)</f>
        <v>1584313</v>
      </c>
      <c r="N157" s="41">
        <f>SUMIF('Target Achieved- Input'!$S$93:$S$182,'Incentive Report- Output'!B157,'Target Achieved- Input'!$U$93:$U$182)</f>
        <v>529268.64406779665</v>
      </c>
      <c r="O157" s="41">
        <f>SUMIF('Target Achieved- Input'!$L$93:$L$182,'Incentive Report- Output'!B157,'Target Achieved- Input'!$N$93:$N$182)-N157</f>
        <v>813369.49152542348</v>
      </c>
      <c r="P157" s="40">
        <f t="shared" si="315"/>
        <v>0.35210800498936079</v>
      </c>
      <c r="Q157" s="40">
        <f t="shared" si="316"/>
        <v>0.35210800498936079</v>
      </c>
      <c r="R157" s="40">
        <v>0</v>
      </c>
      <c r="S157" s="49">
        <f>(LOOKUP(Q157,Policy!$L$12:$M$16)+R157)*O157</f>
        <v>0</v>
      </c>
      <c r="T157" s="185"/>
      <c r="U157" s="156"/>
      <c r="V157" s="51"/>
      <c r="W157" s="156"/>
      <c r="X157" s="397"/>
      <c r="Y157" s="397"/>
      <c r="Z157" s="400"/>
      <c r="AA157" s="55">
        <v>0</v>
      </c>
      <c r="AB157" s="41">
        <v>0</v>
      </c>
      <c r="AC157" s="41">
        <v>0</v>
      </c>
      <c r="AD157" s="41">
        <f t="shared" si="317"/>
        <v>0</v>
      </c>
      <c r="AE157" s="41">
        <f t="shared" si="318"/>
        <v>0</v>
      </c>
      <c r="AF157" s="41">
        <f t="shared" si="319"/>
        <v>0</v>
      </c>
      <c r="AG157" s="31"/>
      <c r="AH157" s="419"/>
      <c r="AI157" s="22" t="s">
        <v>1073</v>
      </c>
      <c r="AJ157" s="19" t="s">
        <v>1074</v>
      </c>
      <c r="AK157" s="195" t="s">
        <v>675</v>
      </c>
      <c r="AL157" s="299">
        <v>6713.1906779661003</v>
      </c>
      <c r="AM157" s="299">
        <f t="shared" si="320"/>
        <v>0</v>
      </c>
      <c r="AN157" s="300">
        <f t="shared" si="321"/>
        <v>6713.1906779661003</v>
      </c>
    </row>
    <row r="158" spans="1:42" ht="15.75" hidden="1" customHeight="1" outlineLevel="1" x14ac:dyDescent="0.2">
      <c r="A158" s="79" t="s">
        <v>925</v>
      </c>
      <c r="B158" s="112" t="s">
        <v>764</v>
      </c>
      <c r="C158" s="79" t="s">
        <v>1</v>
      </c>
      <c r="D158" s="1" t="s">
        <v>675</v>
      </c>
      <c r="E158" s="47">
        <f>ROUND(SUMIF('Target Achieved- Input'!$B$93:$B$182,'Incentive Report- Output'!B158,'Target Achieved- Input'!$G$93:$G$182),0)</f>
        <v>75</v>
      </c>
      <c r="F158" s="47">
        <f>ROUND(SUMIF('Target Achieved- Input'!$B$93:$B$182,'Incentive Report- Output'!B158,'Target Achieved- Input'!$H$93:$H$182),0)</f>
        <v>98</v>
      </c>
      <c r="G158" s="47">
        <f>SUMIF('Target Achieved- Input'!$L$93:$L$182,'Incentive Report- Output'!B158,'Target Achieved- Input'!$O$93:$O$182)</f>
        <v>53</v>
      </c>
      <c r="H158" s="39">
        <f>SUMIF('Target Achieved- Input'!$S$93:$S$182,'Incentive Report- Output'!B158,'Target Achieved- Input'!$V$93:$V$182)</f>
        <v>5</v>
      </c>
      <c r="I158" s="48">
        <f>SUMIF('Target Achieved- Input'!$L$93:$L$182,'Incentive Report- Output'!B158,'Target Achieved- Input'!$AC$93:$AC$182)</f>
        <v>2</v>
      </c>
      <c r="J158" s="39">
        <f t="shared" si="312"/>
        <v>48</v>
      </c>
      <c r="K158" s="40">
        <f t="shared" si="313"/>
        <v>0.64</v>
      </c>
      <c r="L158" s="41">
        <f t="shared" si="314"/>
        <v>2475000</v>
      </c>
      <c r="M158" s="41">
        <f>SUMIF('Target Achieved- Input'!$L$93:$L$182,'Incentive Report- Output'!B158,'Target Achieved- Input'!$M$93:$M$182)</f>
        <v>2303597</v>
      </c>
      <c r="N158" s="41">
        <f>SUMIF('Target Achieved- Input'!$S$93:$S$182,'Incentive Report- Output'!B158,'Target Achieved- Input'!$U$93:$U$182)</f>
        <v>185461.86440677967</v>
      </c>
      <c r="O158" s="41">
        <f>SUMIF('Target Achieved- Input'!$L$93:$L$182,'Incentive Report- Output'!B158,'Target Achieved- Input'!$N$93:$N$182)-N158</f>
        <v>1766738.9830508472</v>
      </c>
      <c r="P158" s="40">
        <f t="shared" si="315"/>
        <v>0.71383393254579686</v>
      </c>
      <c r="Q158" s="40">
        <f t="shared" si="316"/>
        <v>0.71383393254579686</v>
      </c>
      <c r="R158" s="40">
        <v>0</v>
      </c>
      <c r="S158" s="49">
        <f>(LOOKUP(Q158,Policy!$L$12:$M$16)+R158)*O158</f>
        <v>8833.6949152542365</v>
      </c>
      <c r="T158" s="185"/>
      <c r="U158" s="156"/>
      <c r="V158" s="51"/>
      <c r="W158" s="156"/>
      <c r="X158" s="397"/>
      <c r="Y158" s="397"/>
      <c r="Z158" s="400"/>
      <c r="AA158" s="55">
        <v>0</v>
      </c>
      <c r="AB158" s="41">
        <v>0</v>
      </c>
      <c r="AC158" s="41">
        <v>0</v>
      </c>
      <c r="AD158" s="41">
        <f t="shared" si="317"/>
        <v>0</v>
      </c>
      <c r="AE158" s="41">
        <f t="shared" si="318"/>
        <v>8833.6949152542365</v>
      </c>
      <c r="AF158" s="41">
        <f t="shared" si="319"/>
        <v>8833.6949152542365</v>
      </c>
      <c r="AG158" s="31"/>
      <c r="AH158" s="419"/>
      <c r="AI158" s="22" t="s">
        <v>925</v>
      </c>
      <c r="AJ158" s="1" t="s">
        <v>764</v>
      </c>
      <c r="AK158" s="195" t="s">
        <v>675</v>
      </c>
      <c r="AL158" s="299">
        <v>9761.0042372881344</v>
      </c>
      <c r="AM158" s="299">
        <f t="shared" si="320"/>
        <v>8833.6949152542365</v>
      </c>
      <c r="AN158" s="300">
        <f t="shared" si="321"/>
        <v>927.30932203389784</v>
      </c>
      <c r="AP158" s="172"/>
    </row>
    <row r="159" spans="1:42" ht="15.75" hidden="1" customHeight="1" outlineLevel="1" x14ac:dyDescent="0.2">
      <c r="A159" s="79" t="s">
        <v>928</v>
      </c>
      <c r="B159" s="112" t="s">
        <v>759</v>
      </c>
      <c r="C159" s="79" t="s">
        <v>1</v>
      </c>
      <c r="D159" s="1" t="s">
        <v>675</v>
      </c>
      <c r="E159" s="47">
        <f>ROUND(SUMIF('Target Achieved- Input'!$B$93:$B$182,'Incentive Report- Output'!B159,'Target Achieved- Input'!$G$93:$G$182),0)</f>
        <v>55</v>
      </c>
      <c r="F159" s="47">
        <f>ROUND(SUMIF('Target Achieved- Input'!$B$93:$B$182,'Incentive Report- Output'!B159,'Target Achieved- Input'!$H$93:$H$182),0)</f>
        <v>72</v>
      </c>
      <c r="G159" s="47">
        <f>SUMIF('Target Achieved- Input'!$L$93:$L$182,'Incentive Report- Output'!B159,'Target Achieved- Input'!$O$93:$O$182)</f>
        <v>14</v>
      </c>
      <c r="H159" s="39">
        <f>SUMIF('Target Achieved- Input'!$S$93:$S$182,'Incentive Report- Output'!B159,'Target Achieved- Input'!$V$93:$V$182)</f>
        <v>8</v>
      </c>
      <c r="I159" s="48">
        <f>SUMIF('Target Achieved- Input'!$L$93:$L$182,'Incentive Report- Output'!B159,'Target Achieved- Input'!$AC$93:$AC$182)</f>
        <v>1</v>
      </c>
      <c r="J159" s="39">
        <f t="shared" si="312"/>
        <v>6</v>
      </c>
      <c r="K159" s="40">
        <f t="shared" si="313"/>
        <v>0.10909090909090909</v>
      </c>
      <c r="L159" s="41">
        <f t="shared" si="314"/>
        <v>1815000</v>
      </c>
      <c r="M159" s="41">
        <f>SUMIF('Target Achieved- Input'!$L$93:$L$182,'Incentive Report- Output'!B159,'Target Achieved- Input'!$M$93:$M$182)</f>
        <v>642786</v>
      </c>
      <c r="N159" s="41">
        <f>SUMIF('Target Achieved- Input'!$S$93:$S$182,'Incentive Report- Output'!B159,'Target Achieved- Input'!$U$93:$U$182)</f>
        <v>285416.94915254239</v>
      </c>
      <c r="O159" s="41">
        <f>SUMIF('Target Achieved- Input'!$L$93:$L$182,'Incentive Report- Output'!B159,'Target Achieved- Input'!$N$93:$N$182)-N159</f>
        <v>259316.94915254228</v>
      </c>
      <c r="P159" s="40">
        <f t="shared" si="315"/>
        <v>0.14287435215016103</v>
      </c>
      <c r="Q159" s="40">
        <f t="shared" si="316"/>
        <v>0.14287435215016103</v>
      </c>
      <c r="R159" s="40">
        <v>0</v>
      </c>
      <c r="S159" s="49">
        <f>(LOOKUP(Q159,Policy!$L$12:$M$16)+R159)*O159</f>
        <v>0</v>
      </c>
      <c r="T159" s="185"/>
      <c r="U159" s="156"/>
      <c r="V159" s="51"/>
      <c r="W159" s="156"/>
      <c r="X159" s="397"/>
      <c r="Y159" s="397"/>
      <c r="Z159" s="400"/>
      <c r="AA159" s="55">
        <v>0</v>
      </c>
      <c r="AB159" s="41">
        <v>0</v>
      </c>
      <c r="AC159" s="41">
        <v>0</v>
      </c>
      <c r="AD159" s="41">
        <f t="shared" si="317"/>
        <v>0</v>
      </c>
      <c r="AE159" s="41">
        <f t="shared" si="318"/>
        <v>0</v>
      </c>
      <c r="AF159" s="41">
        <f t="shared" si="319"/>
        <v>0</v>
      </c>
      <c r="AG159" s="31"/>
      <c r="AH159" s="419"/>
      <c r="AI159" s="22" t="s">
        <v>928</v>
      </c>
      <c r="AJ159" s="1" t="s">
        <v>759</v>
      </c>
      <c r="AK159" s="195" t="s">
        <v>675</v>
      </c>
      <c r="AL159" s="299">
        <v>0</v>
      </c>
      <c r="AM159" s="299">
        <f t="shared" si="320"/>
        <v>0</v>
      </c>
      <c r="AN159" s="300">
        <f t="shared" si="321"/>
        <v>0</v>
      </c>
      <c r="AP159" s="172"/>
    </row>
    <row r="160" spans="1:42" ht="15.75" hidden="1" customHeight="1" outlineLevel="1" x14ac:dyDescent="0.2">
      <c r="A160" s="79" t="s">
        <v>1040</v>
      </c>
      <c r="B160" s="112" t="s">
        <v>1043</v>
      </c>
      <c r="C160" s="79" t="s">
        <v>1</v>
      </c>
      <c r="D160" s="1" t="s">
        <v>675</v>
      </c>
      <c r="E160" s="47">
        <f>ROUND(SUMIF('Target Achieved- Input'!$B$93:$B$182,'Incentive Report- Output'!B160,'Target Achieved- Input'!$G$93:$G$182),0)</f>
        <v>70</v>
      </c>
      <c r="F160" s="47">
        <f>ROUND(SUMIF('Target Achieved- Input'!$B$93:$B$182,'Incentive Report- Output'!B160,'Target Achieved- Input'!$H$93:$H$182),0)</f>
        <v>91</v>
      </c>
      <c r="G160" s="47">
        <f>SUMIF('Target Achieved- Input'!$L$93:$L$182,'Incentive Report- Output'!B160,'Target Achieved- Input'!$O$93:$O$182)</f>
        <v>18</v>
      </c>
      <c r="H160" s="39">
        <f>SUMIF('Target Achieved- Input'!$S$93:$S$182,'Incentive Report- Output'!B160,'Target Achieved- Input'!$V$93:$V$182)</f>
        <v>13</v>
      </c>
      <c r="I160" s="48">
        <f>SUMIF('Target Achieved- Input'!$L$93:$L$182,'Incentive Report- Output'!B160,'Target Achieved- Input'!$AC$93:$AC$182)</f>
        <v>1</v>
      </c>
      <c r="J160" s="39">
        <f t="shared" si="312"/>
        <v>5</v>
      </c>
      <c r="K160" s="40">
        <f t="shared" si="313"/>
        <v>7.1428571428571425E-2</v>
      </c>
      <c r="L160" s="41">
        <f t="shared" si="314"/>
        <v>2310000</v>
      </c>
      <c r="M160" s="41">
        <f>SUMIF('Target Achieved- Input'!$L$93:$L$182,'Incentive Report- Output'!B160,'Target Achieved- Input'!$M$93:$M$182)</f>
        <v>598782</v>
      </c>
      <c r="N160" s="41">
        <f>SUMIF('Target Achieved- Input'!$S$93:$S$182,'Incentive Report- Output'!B160,'Target Achieved- Input'!$U$93:$U$182)</f>
        <v>383082.20338983048</v>
      </c>
      <c r="O160" s="41">
        <f>SUMIF('Target Achieved- Input'!$L$93:$L$182,'Incentive Report- Output'!B160,'Target Achieved- Input'!$N$93:$N$182)-N160</f>
        <v>124360.16949152539</v>
      </c>
      <c r="P160" s="40">
        <f t="shared" si="315"/>
        <v>5.3835571208452553E-2</v>
      </c>
      <c r="Q160" s="40">
        <f>P160</f>
        <v>5.3835571208452553E-2</v>
      </c>
      <c r="R160" s="40">
        <v>0</v>
      </c>
      <c r="S160" s="49">
        <f>(LOOKUP(Q160,Policy!$L$12:$M$16)+R160)*O160</f>
        <v>0</v>
      </c>
      <c r="T160" s="185"/>
      <c r="U160" s="156"/>
      <c r="V160" s="51"/>
      <c r="W160" s="156"/>
      <c r="X160" s="398"/>
      <c r="Y160" s="398"/>
      <c r="Z160" s="401"/>
      <c r="AA160" s="55">
        <v>0</v>
      </c>
      <c r="AB160" s="41">
        <v>0</v>
      </c>
      <c r="AC160" s="41">
        <v>0</v>
      </c>
      <c r="AD160" s="41">
        <f t="shared" si="317"/>
        <v>0</v>
      </c>
      <c r="AE160" s="41">
        <f t="shared" si="318"/>
        <v>0</v>
      </c>
      <c r="AF160" s="41">
        <f t="shared" si="319"/>
        <v>0</v>
      </c>
      <c r="AG160" s="31"/>
      <c r="AH160" s="419"/>
      <c r="AI160" s="22" t="s">
        <v>1040</v>
      </c>
      <c r="AJ160" s="1" t="s">
        <v>1043</v>
      </c>
      <c r="AK160" s="195" t="s">
        <v>675</v>
      </c>
      <c r="AL160" s="299">
        <v>0</v>
      </c>
      <c r="AM160" s="299">
        <f t="shared" si="320"/>
        <v>0</v>
      </c>
      <c r="AN160" s="300">
        <f t="shared" si="321"/>
        <v>0</v>
      </c>
    </row>
    <row r="161" spans="1:40" ht="15.75" hidden="1" customHeight="1" outlineLevel="1" x14ac:dyDescent="0.2">
      <c r="A161" s="109" t="s">
        <v>6</v>
      </c>
      <c r="B161" s="109"/>
      <c r="C161" s="109"/>
      <c r="D161" s="292" t="s">
        <v>675</v>
      </c>
      <c r="E161" s="44">
        <f>SUM(E154:E160)</f>
        <v>470</v>
      </c>
      <c r="F161" s="44">
        <f t="shared" ref="F161:J161" si="322">SUM(F154:F160)</f>
        <v>612</v>
      </c>
      <c r="G161" s="44">
        <f t="shared" si="322"/>
        <v>188</v>
      </c>
      <c r="H161" s="44">
        <f t="shared" si="322"/>
        <v>64</v>
      </c>
      <c r="I161" s="44">
        <f t="shared" si="322"/>
        <v>7</v>
      </c>
      <c r="J161" s="44">
        <f t="shared" si="322"/>
        <v>124</v>
      </c>
      <c r="K161" s="44"/>
      <c r="L161" s="44">
        <f t="shared" ref="L161:O161" si="323">SUM(L154:L160)</f>
        <v>15510000</v>
      </c>
      <c r="M161" s="44">
        <f t="shared" si="323"/>
        <v>8206462</v>
      </c>
      <c r="N161" s="44">
        <f t="shared" si="323"/>
        <v>2318208.4745762711</v>
      </c>
      <c r="O161" s="44">
        <f t="shared" si="323"/>
        <v>4636420.3389830515</v>
      </c>
      <c r="P161" s="45"/>
      <c r="Q161" s="46"/>
      <c r="R161" s="46"/>
      <c r="S161" s="44">
        <f t="shared" ref="S161:AF161" si="324">SUM(S154:S160)</f>
        <v>14198.419491525425</v>
      </c>
      <c r="T161" s="44">
        <f t="shared" si="324"/>
        <v>0</v>
      </c>
      <c r="U161" s="44">
        <f t="shared" si="324"/>
        <v>0</v>
      </c>
      <c r="V161" s="44">
        <f t="shared" si="324"/>
        <v>0</v>
      </c>
      <c r="W161" s="44">
        <f t="shared" si="324"/>
        <v>0</v>
      </c>
      <c r="X161" s="44">
        <f t="shared" si="324"/>
        <v>470</v>
      </c>
      <c r="Y161" s="44">
        <f t="shared" si="324"/>
        <v>124</v>
      </c>
      <c r="Z161" s="44">
        <f t="shared" si="324"/>
        <v>0.26382978723404255</v>
      </c>
      <c r="AA161" s="44">
        <f t="shared" si="324"/>
        <v>0</v>
      </c>
      <c r="AB161" s="44">
        <f t="shared" si="324"/>
        <v>0</v>
      </c>
      <c r="AC161" s="44">
        <f t="shared" si="324"/>
        <v>0</v>
      </c>
      <c r="AD161" s="44">
        <f t="shared" si="324"/>
        <v>0</v>
      </c>
      <c r="AE161" s="44">
        <f t="shared" si="324"/>
        <v>14198.419491525425</v>
      </c>
      <c r="AF161" s="44">
        <f t="shared" si="324"/>
        <v>14198.419491525425</v>
      </c>
      <c r="AG161" s="31"/>
      <c r="AH161" s="419"/>
      <c r="AI161" s="43" t="s">
        <v>6</v>
      </c>
      <c r="AJ161" s="43"/>
      <c r="AK161" s="43" t="s">
        <v>675</v>
      </c>
      <c r="AL161" s="308">
        <v>22307.758474576272</v>
      </c>
      <c r="AM161" s="308">
        <f>SUM(AM154:AM160)</f>
        <v>14198.419491525425</v>
      </c>
      <c r="AN161" s="308">
        <f>SUM(AN154:AN160)</f>
        <v>8109.3389830508459</v>
      </c>
    </row>
    <row r="162" spans="1:40" ht="15.75" hidden="1" customHeight="1" outlineLevel="1" x14ac:dyDescent="0.2">
      <c r="A162" s="79" t="s">
        <v>41</v>
      </c>
      <c r="B162" s="112" t="s">
        <v>42</v>
      </c>
      <c r="C162" s="79" t="s">
        <v>0</v>
      </c>
      <c r="D162" s="1" t="s">
        <v>931</v>
      </c>
      <c r="E162" s="47">
        <f>ROUND(SUMIF('Target Achieved- Input'!$B$93:$B$182,'Incentive Report- Output'!B162,'Target Achieved- Input'!$G$93:$G$182),0)</f>
        <v>90</v>
      </c>
      <c r="F162" s="47">
        <f>ROUND(SUMIF('Target Achieved- Input'!$B$93:$B$182,'Incentive Report- Output'!B162,'Target Achieved- Input'!$H$93:$H$182),0)</f>
        <v>117</v>
      </c>
      <c r="G162" s="47">
        <f>SUMIF('Target Achieved- Input'!$L$93:$L$182,'Incentive Report- Output'!B162,'Target Achieved- Input'!$O$93:$O$182)</f>
        <v>72</v>
      </c>
      <c r="H162" s="39">
        <f>SUMIF('Target Achieved- Input'!$S$93:$S$182,'Incentive Report- Output'!B162,'Target Achieved- Input'!$V$93:$V$182)</f>
        <v>15</v>
      </c>
      <c r="I162" s="48">
        <f>SUMIF('Target Achieved- Input'!$L$93:$L$182,'Incentive Report- Output'!B162,'Target Achieved- Input'!$AC$93:$AC$182)</f>
        <v>0</v>
      </c>
      <c r="J162" s="39">
        <f t="shared" ref="J162:J168" si="325">G162-H162</f>
        <v>57</v>
      </c>
      <c r="K162" s="40">
        <f t="shared" ref="K162:K168" si="326">IFERROR(J162/E162,0)</f>
        <v>0.6333333333333333</v>
      </c>
      <c r="L162" s="41">
        <f t="shared" ref="L162:L168" si="327">E162*33000</f>
        <v>2970000</v>
      </c>
      <c r="M162" s="41">
        <f>SUMIF('Target Achieved- Input'!$L$93:$L$182,'Incentive Report- Output'!B162,'Target Achieved- Input'!$M$93:$M$182)</f>
        <v>3372128</v>
      </c>
      <c r="N162" s="41">
        <f>SUMIF('Target Achieved- Input'!$S$93:$S$182,'Incentive Report- Output'!B162,'Target Achieved- Input'!$U$93:$U$182)</f>
        <v>561555.08474576264</v>
      </c>
      <c r="O162" s="41">
        <f>SUMIF('Target Achieved- Input'!$L$93:$L$182,'Incentive Report- Output'!B162,'Target Achieved- Input'!$N$93:$N$182)-N162</f>
        <v>2296180.5084745744</v>
      </c>
      <c r="P162" s="40">
        <f t="shared" ref="P162:P168" si="328">IFERROR(O162/L162,0)</f>
        <v>0.77312475032813954</v>
      </c>
      <c r="Q162" s="40">
        <f t="shared" ref="Q162:Q166" si="329">MAX(P162,K162)</f>
        <v>0.77312475032813954</v>
      </c>
      <c r="R162" s="40">
        <v>0</v>
      </c>
      <c r="S162" s="49">
        <f>(LOOKUP(Q162,Policy!$L$12:$M$16)+R162)*O162</f>
        <v>11480.902542372873</v>
      </c>
      <c r="T162" s="191"/>
      <c r="U162" s="192"/>
      <c r="V162" s="144"/>
      <c r="W162" s="192"/>
      <c r="X162" s="402"/>
      <c r="Y162" s="402"/>
      <c r="Z162" s="402"/>
      <c r="AA162" s="52">
        <v>0</v>
      </c>
      <c r="AB162" s="52">
        <v>0</v>
      </c>
      <c r="AC162" s="52">
        <v>0</v>
      </c>
      <c r="AD162" s="41">
        <f t="shared" ref="AD162:AD168" si="330">IF(AF162&gt;200000,AF162-200000,0)</f>
        <v>0</v>
      </c>
      <c r="AE162" s="41">
        <f t="shared" ref="AE162:AE168" si="331">AF162-AD162</f>
        <v>11480.902542372873</v>
      </c>
      <c r="AF162" s="41">
        <f t="shared" ref="AF162:AF168" si="332">S162+W162+AB162+AC162</f>
        <v>11480.902542372873</v>
      </c>
      <c r="AG162" s="31"/>
      <c r="AH162" s="419"/>
      <c r="AI162" s="22" t="s">
        <v>41</v>
      </c>
      <c r="AJ162" s="1" t="s">
        <v>42</v>
      </c>
      <c r="AK162" s="195" t="s">
        <v>931</v>
      </c>
      <c r="AL162" s="299">
        <v>28577.355932203373</v>
      </c>
      <c r="AM162" s="299">
        <f t="shared" ref="AM162:AM168" si="333">AF162</f>
        <v>11480.902542372873</v>
      </c>
      <c r="AN162" s="300">
        <f t="shared" ref="AN162:AN168" si="334">AL162-AM162</f>
        <v>17096.453389830502</v>
      </c>
    </row>
    <row r="163" spans="1:40" ht="15.75" hidden="1" customHeight="1" outlineLevel="1" x14ac:dyDescent="0.2">
      <c r="A163" s="79" t="s">
        <v>1041</v>
      </c>
      <c r="B163" s="112" t="s">
        <v>1042</v>
      </c>
      <c r="C163" s="79" t="s">
        <v>1</v>
      </c>
      <c r="D163" s="1" t="s">
        <v>931</v>
      </c>
      <c r="E163" s="47">
        <f>ROUND(SUMIF('Target Achieved- Input'!$B$93:$B$182,'Incentive Report- Output'!B163,'Target Achieved- Input'!$G$93:$G$182),0)</f>
        <v>0</v>
      </c>
      <c r="F163" s="47">
        <f>ROUND(SUMIF('Target Achieved- Input'!$B$93:$B$182,'Incentive Report- Output'!B163,'Target Achieved- Input'!$H$93:$H$182),0)</f>
        <v>0</v>
      </c>
      <c r="G163" s="47">
        <f>SUMIF('Target Achieved- Input'!$L$93:$L$182,'Incentive Report- Output'!B163,'Target Achieved- Input'!$O$93:$O$182)</f>
        <v>0</v>
      </c>
      <c r="H163" s="39">
        <f>SUMIF('Target Achieved- Input'!$S$93:$S$182,'Incentive Report- Output'!B163,'Target Achieved- Input'!$V$93:$V$182)</f>
        <v>0</v>
      </c>
      <c r="I163" s="48">
        <f>SUMIF('Target Achieved- Input'!$L$93:$L$182,'Incentive Report- Output'!B163,'Target Achieved- Input'!$AC$93:$AC$182)</f>
        <v>0</v>
      </c>
      <c r="J163" s="39">
        <f t="shared" si="325"/>
        <v>0</v>
      </c>
      <c r="K163" s="40">
        <f t="shared" si="326"/>
        <v>0</v>
      </c>
      <c r="L163" s="41">
        <f t="shared" si="327"/>
        <v>0</v>
      </c>
      <c r="M163" s="41">
        <f>SUMIF('Target Achieved- Input'!$L$93:$L$182,'Incentive Report- Output'!B163,'Target Achieved- Input'!$M$93:$M$182)</f>
        <v>0</v>
      </c>
      <c r="N163" s="41">
        <f>SUMIF('Target Achieved- Input'!$S$93:$S$182,'Incentive Report- Output'!B163,'Target Achieved- Input'!$U$93:$U$182)</f>
        <v>0</v>
      </c>
      <c r="O163" s="41">
        <f>SUMIF('Target Achieved- Input'!$L$93:$L$182,'Incentive Report- Output'!B163,'Target Achieved- Input'!$N$93:$N$182)-N163</f>
        <v>0</v>
      </c>
      <c r="P163" s="40">
        <f t="shared" si="328"/>
        <v>0</v>
      </c>
      <c r="Q163" s="40">
        <f t="shared" si="329"/>
        <v>0</v>
      </c>
      <c r="R163" s="40">
        <v>0</v>
      </c>
      <c r="S163" s="49">
        <f>(LOOKUP(Q163,Policy!$L$12:$M$16)+R163)*O163</f>
        <v>0</v>
      </c>
      <c r="T163" s="191"/>
      <c r="U163" s="192"/>
      <c r="V163" s="144"/>
      <c r="W163" s="192"/>
      <c r="X163" s="403"/>
      <c r="Y163" s="403"/>
      <c r="Z163" s="403"/>
      <c r="AA163" s="52">
        <v>0</v>
      </c>
      <c r="AB163" s="52">
        <v>0</v>
      </c>
      <c r="AC163" s="52">
        <v>0</v>
      </c>
      <c r="AD163" s="41">
        <f t="shared" si="330"/>
        <v>0</v>
      </c>
      <c r="AE163" s="41">
        <f t="shared" si="331"/>
        <v>0</v>
      </c>
      <c r="AF163" s="41">
        <f t="shared" si="332"/>
        <v>0</v>
      </c>
      <c r="AG163" s="31"/>
      <c r="AH163" s="419"/>
      <c r="AI163" s="22" t="s">
        <v>1041</v>
      </c>
      <c r="AJ163" s="1" t="s">
        <v>1042</v>
      </c>
      <c r="AK163" s="195" t="s">
        <v>931</v>
      </c>
      <c r="AL163" s="299">
        <v>0</v>
      </c>
      <c r="AM163" s="299">
        <f t="shared" si="333"/>
        <v>0</v>
      </c>
      <c r="AN163" s="300">
        <f t="shared" si="334"/>
        <v>0</v>
      </c>
    </row>
    <row r="164" spans="1:40" ht="15.75" hidden="1" customHeight="1" outlineLevel="1" x14ac:dyDescent="0.2">
      <c r="A164" s="79" t="s">
        <v>304</v>
      </c>
      <c r="B164" s="112" t="s">
        <v>306</v>
      </c>
      <c r="C164" s="79" t="s">
        <v>1</v>
      </c>
      <c r="D164" s="1" t="s">
        <v>931</v>
      </c>
      <c r="E164" s="47">
        <f>ROUND(SUMIF('Target Achieved- Input'!$B$93:$B$182,'Incentive Report- Output'!B164,'Target Achieved- Input'!$G$93:$G$182),0)</f>
        <v>80</v>
      </c>
      <c r="F164" s="47">
        <f>ROUND(SUMIF('Target Achieved- Input'!$B$93:$B$182,'Incentive Report- Output'!B164,'Target Achieved- Input'!$H$93:$H$182),0)</f>
        <v>104</v>
      </c>
      <c r="G164" s="47">
        <f>SUMIF('Target Achieved- Input'!$L$93:$L$182,'Incentive Report- Output'!B164,'Target Achieved- Input'!$O$93:$O$182)</f>
        <v>30</v>
      </c>
      <c r="H164" s="39">
        <f>SUMIF('Target Achieved- Input'!$S$93:$S$182,'Incentive Report- Output'!B164,'Target Achieved- Input'!$V$93:$V$182)</f>
        <v>5</v>
      </c>
      <c r="I164" s="48">
        <f>SUMIF('Target Achieved- Input'!$L$93:$L$182,'Incentive Report- Output'!B164,'Target Achieved- Input'!$AC$93:$AC$182)</f>
        <v>0</v>
      </c>
      <c r="J164" s="39">
        <f t="shared" si="325"/>
        <v>25</v>
      </c>
      <c r="K164" s="40">
        <f t="shared" si="326"/>
        <v>0.3125</v>
      </c>
      <c r="L164" s="41">
        <f t="shared" si="327"/>
        <v>2640000</v>
      </c>
      <c r="M164" s="41">
        <f>SUMIF('Target Achieved- Input'!$L$93:$L$182,'Incentive Report- Output'!B164,'Target Achieved- Input'!$M$93:$M$182)</f>
        <v>1457770</v>
      </c>
      <c r="N164" s="41">
        <f>SUMIF('Target Achieved- Input'!$S$93:$S$182,'Incentive Report- Output'!B164,'Target Achieved- Input'!$U$93:$U$182)</f>
        <v>147156.77966101695</v>
      </c>
      <c r="O164" s="41">
        <f>SUMIF('Target Achieved- Input'!$L$93:$L$182,'Incentive Report- Output'!B164,'Target Achieved- Input'!$N$93:$N$182)-N164</f>
        <v>1088241.5254237289</v>
      </c>
      <c r="P164" s="40">
        <f t="shared" si="328"/>
        <v>0.41221269902413971</v>
      </c>
      <c r="Q164" s="40">
        <f t="shared" si="329"/>
        <v>0.41221269902413971</v>
      </c>
      <c r="R164" s="40">
        <v>0</v>
      </c>
      <c r="S164" s="49">
        <f>(LOOKUP(Q164,Policy!$L$12:$M$16)+R164)*O164</f>
        <v>0</v>
      </c>
      <c r="T164" s="191"/>
      <c r="U164" s="192"/>
      <c r="V164" s="144"/>
      <c r="W164" s="192"/>
      <c r="X164" s="403"/>
      <c r="Y164" s="403"/>
      <c r="Z164" s="403"/>
      <c r="AA164" s="52">
        <v>0</v>
      </c>
      <c r="AB164" s="52">
        <v>0</v>
      </c>
      <c r="AC164" s="52">
        <v>0</v>
      </c>
      <c r="AD164" s="41">
        <f t="shared" si="330"/>
        <v>0</v>
      </c>
      <c r="AE164" s="41">
        <f t="shared" si="331"/>
        <v>0</v>
      </c>
      <c r="AF164" s="41">
        <f t="shared" si="332"/>
        <v>0</v>
      </c>
      <c r="AG164" s="31"/>
      <c r="AH164" s="419"/>
      <c r="AI164" s="22" t="s">
        <v>304</v>
      </c>
      <c r="AJ164" s="1" t="s">
        <v>306</v>
      </c>
      <c r="AK164" s="195" t="s">
        <v>931</v>
      </c>
      <c r="AL164" s="299">
        <v>0</v>
      </c>
      <c r="AM164" s="299">
        <f t="shared" si="333"/>
        <v>0</v>
      </c>
      <c r="AN164" s="300">
        <f t="shared" si="334"/>
        <v>0</v>
      </c>
    </row>
    <row r="165" spans="1:40" ht="15.75" hidden="1" customHeight="1" outlineLevel="1" x14ac:dyDescent="0.2">
      <c r="A165" s="79" t="s">
        <v>659</v>
      </c>
      <c r="B165" s="112" t="s">
        <v>660</v>
      </c>
      <c r="C165" s="79" t="s">
        <v>1</v>
      </c>
      <c r="D165" s="1" t="s">
        <v>931</v>
      </c>
      <c r="E165" s="47">
        <f>ROUND(SUMIF('Target Achieved- Input'!$B$93:$B$182,'Incentive Report- Output'!B165,'Target Achieved- Input'!$G$93:$G$182),0)</f>
        <v>70</v>
      </c>
      <c r="F165" s="47">
        <f>ROUND(SUMIF('Target Achieved- Input'!$B$93:$B$182,'Incentive Report- Output'!B165,'Target Achieved- Input'!$H$93:$H$182),0)</f>
        <v>91</v>
      </c>
      <c r="G165" s="47">
        <f>SUMIF('Target Achieved- Input'!$L$93:$L$182,'Incentive Report- Output'!B165,'Target Achieved- Input'!$O$93:$O$182)</f>
        <v>33</v>
      </c>
      <c r="H165" s="39">
        <f>SUMIF('Target Achieved- Input'!$S$93:$S$182,'Incentive Report- Output'!B165,'Target Achieved- Input'!$V$93:$V$182)</f>
        <v>7</v>
      </c>
      <c r="I165" s="48">
        <f>SUMIF('Target Achieved- Input'!$L$93:$L$182,'Incentive Report- Output'!B165,'Target Achieved- Input'!$AC$93:$AC$182)</f>
        <v>0</v>
      </c>
      <c r="J165" s="39">
        <f t="shared" si="325"/>
        <v>26</v>
      </c>
      <c r="K165" s="40">
        <f t="shared" si="326"/>
        <v>0.37142857142857144</v>
      </c>
      <c r="L165" s="41">
        <f t="shared" si="327"/>
        <v>2310000</v>
      </c>
      <c r="M165" s="41">
        <f>SUMIF('Target Achieved- Input'!$L$93:$L$182,'Incentive Report- Output'!B165,'Target Achieved- Input'!$M$93:$M$182)</f>
        <v>1767317</v>
      </c>
      <c r="N165" s="41">
        <f>SUMIF('Target Achieved- Input'!$S$93:$S$182,'Incentive Report- Output'!B165,'Target Achieved- Input'!$U$93:$U$182)</f>
        <v>266943.22033898305</v>
      </c>
      <c r="O165" s="41">
        <f>SUMIF('Target Achieved- Input'!$L$93:$L$182,'Incentive Report- Output'!B165,'Target Achieved- Input'!$N$93:$N$182)-N165</f>
        <v>1230783.050847457</v>
      </c>
      <c r="P165" s="40">
        <f t="shared" si="328"/>
        <v>0.53280651551837965</v>
      </c>
      <c r="Q165" s="40">
        <f t="shared" si="329"/>
        <v>0.53280651551837965</v>
      </c>
      <c r="R165" s="40">
        <v>0</v>
      </c>
      <c r="S165" s="49">
        <f>(LOOKUP(Q165,Policy!$L$12:$M$16)+R165)*O165</f>
        <v>6153.9152542372849</v>
      </c>
      <c r="T165" s="185"/>
      <c r="U165" s="156"/>
      <c r="V165" s="51"/>
      <c r="W165" s="156"/>
      <c r="X165" s="403"/>
      <c r="Y165" s="403"/>
      <c r="Z165" s="403"/>
      <c r="AA165" s="52">
        <v>0</v>
      </c>
      <c r="AB165" s="52">
        <v>0</v>
      </c>
      <c r="AC165" s="52">
        <v>0</v>
      </c>
      <c r="AD165" s="41">
        <f t="shared" si="330"/>
        <v>0</v>
      </c>
      <c r="AE165" s="41">
        <f t="shared" si="331"/>
        <v>6153.9152542372849</v>
      </c>
      <c r="AF165" s="41">
        <f t="shared" si="332"/>
        <v>6153.9152542372849</v>
      </c>
      <c r="AG165" s="31"/>
      <c r="AH165" s="419"/>
      <c r="AI165" s="22" t="s">
        <v>659</v>
      </c>
      <c r="AJ165" s="1" t="s">
        <v>660</v>
      </c>
      <c r="AK165" s="195" t="s">
        <v>931</v>
      </c>
      <c r="AL165" s="299">
        <v>7488.6313559322007</v>
      </c>
      <c r="AM165" s="299">
        <f t="shared" si="333"/>
        <v>6153.9152542372849</v>
      </c>
      <c r="AN165" s="300">
        <f t="shared" si="334"/>
        <v>1334.7161016949158</v>
      </c>
    </row>
    <row r="166" spans="1:40" ht="15.75" hidden="1" customHeight="1" outlineLevel="1" x14ac:dyDescent="0.2">
      <c r="A166" s="79" t="s">
        <v>117</v>
      </c>
      <c r="B166" s="112" t="s">
        <v>196</v>
      </c>
      <c r="C166" s="79" t="s">
        <v>1185</v>
      </c>
      <c r="D166" s="1" t="s">
        <v>931</v>
      </c>
      <c r="E166" s="47">
        <f>ROUND(SUMIF('Target Achieved- Input'!$B$93:$B$182,'Incentive Report- Output'!B166,'Target Achieved- Input'!$G$93:$G$182),0)</f>
        <v>85</v>
      </c>
      <c r="F166" s="47">
        <f>ROUND(SUMIF('Target Achieved- Input'!$B$93:$B$182,'Incentive Report- Output'!B166,'Target Achieved- Input'!$H$93:$H$182),0)</f>
        <v>111</v>
      </c>
      <c r="G166" s="47">
        <f>SUMIF('Target Achieved- Input'!$L$93:$L$182,'Incentive Report- Output'!B166,'Target Achieved- Input'!$O$93:$O$182)</f>
        <v>36</v>
      </c>
      <c r="H166" s="39">
        <f>SUMIF('Target Achieved- Input'!$S$93:$S$182,'Incentive Report- Output'!B166,'Target Achieved- Input'!$V$93:$V$182)</f>
        <v>21</v>
      </c>
      <c r="I166" s="48">
        <f>SUMIF('Target Achieved- Input'!$L$93:$L$182,'Incentive Report- Output'!B166,'Target Achieved- Input'!$AC$93:$AC$182)</f>
        <v>0</v>
      </c>
      <c r="J166" s="39">
        <f t="shared" si="325"/>
        <v>15</v>
      </c>
      <c r="K166" s="40">
        <f t="shared" si="326"/>
        <v>0.17647058823529413</v>
      </c>
      <c r="L166" s="41">
        <f t="shared" si="327"/>
        <v>2805000</v>
      </c>
      <c r="M166" s="41">
        <f>SUMIF('Target Achieved- Input'!$L$93:$L$182,'Incentive Report- Output'!B166,'Target Achieved- Input'!$M$93:$M$182)</f>
        <v>1884166</v>
      </c>
      <c r="N166" s="41">
        <f>SUMIF('Target Achieved- Input'!$S$93:$S$182,'Incentive Report- Output'!B166,'Target Achieved- Input'!$U$93:$U$182)</f>
        <v>880321.18644067796</v>
      </c>
      <c r="O166" s="41">
        <f>SUMIF('Target Achieved- Input'!$L$93:$L$182,'Incentive Report- Output'!B166,'Target Achieved- Input'!$N$93:$N$182)-N166</f>
        <v>716429.66101694864</v>
      </c>
      <c r="P166" s="40">
        <f t="shared" si="328"/>
        <v>0.25541164385630966</v>
      </c>
      <c r="Q166" s="40">
        <f t="shared" si="329"/>
        <v>0.25541164385630966</v>
      </c>
      <c r="R166" s="40">
        <v>0</v>
      </c>
      <c r="S166" s="49">
        <f>(LOOKUP(Q166,Policy!$L$12:$M$16)+R166)*O166</f>
        <v>0</v>
      </c>
      <c r="T166" s="191">
        <f>L164</f>
        <v>2640000</v>
      </c>
      <c r="U166" s="192">
        <f>O164</f>
        <v>1088241.5254237289</v>
      </c>
      <c r="V166" s="51">
        <f>IFERROR(U166/T166,0)</f>
        <v>0.41221269902413971</v>
      </c>
      <c r="W166" s="156">
        <f>LOOKUP(V166,Policy!$L$18:$M$21)*U166</f>
        <v>0</v>
      </c>
      <c r="X166" s="403"/>
      <c r="Y166" s="403"/>
      <c r="Z166" s="403"/>
      <c r="AA166" s="52">
        <v>0</v>
      </c>
      <c r="AB166" s="52">
        <v>0</v>
      </c>
      <c r="AC166" s="52">
        <v>0</v>
      </c>
      <c r="AD166" s="41">
        <f t="shared" si="330"/>
        <v>0</v>
      </c>
      <c r="AE166" s="41">
        <f t="shared" si="331"/>
        <v>0</v>
      </c>
      <c r="AF166" s="41">
        <f t="shared" si="332"/>
        <v>0</v>
      </c>
      <c r="AG166" s="31"/>
      <c r="AH166" s="419"/>
      <c r="AI166" s="22" t="s">
        <v>117</v>
      </c>
      <c r="AJ166" s="1" t="s">
        <v>196</v>
      </c>
      <c r="AK166" s="195" t="s">
        <v>931</v>
      </c>
      <c r="AL166" s="299">
        <v>7983.7542372881335</v>
      </c>
      <c r="AM166" s="299">
        <f t="shared" si="333"/>
        <v>0</v>
      </c>
      <c r="AN166" s="300">
        <f t="shared" si="334"/>
        <v>7983.7542372881335</v>
      </c>
    </row>
    <row r="167" spans="1:40" ht="15.75" hidden="1" customHeight="1" outlineLevel="1" x14ac:dyDescent="0.2">
      <c r="A167" s="79" t="s">
        <v>1432</v>
      </c>
      <c r="B167" s="112" t="s">
        <v>1431</v>
      </c>
      <c r="C167" s="79" t="s">
        <v>1</v>
      </c>
      <c r="D167" s="1" t="s">
        <v>931</v>
      </c>
      <c r="E167" s="47">
        <f>ROUND(SUMIF('Target Achieved- Input'!$B$93:$B$182,'Incentive Report- Output'!B167,'Target Achieved- Input'!$G$93:$G$182),0)</f>
        <v>50</v>
      </c>
      <c r="F167" s="47">
        <f>ROUND(SUMIF('Target Achieved- Input'!$B$93:$B$182,'Incentive Report- Output'!B167,'Target Achieved- Input'!$H$93:$H$182),0)</f>
        <v>65</v>
      </c>
      <c r="G167" s="47">
        <f>SUMIF('Target Achieved- Input'!$L$93:$L$182,'Incentive Report- Output'!B167,'Target Achieved- Input'!$O$93:$O$182)</f>
        <v>35</v>
      </c>
      <c r="H167" s="39">
        <f>SUMIF('Target Achieved- Input'!$S$93:$S$182,'Incentive Report- Output'!B167,'Target Achieved- Input'!$V$93:$V$182)</f>
        <v>6</v>
      </c>
      <c r="I167" s="48">
        <f>SUMIF('Target Achieved- Input'!$L$93:$L$182,'Incentive Report- Output'!B167,'Target Achieved- Input'!$AC$93:$AC$182)</f>
        <v>0</v>
      </c>
      <c r="J167" s="39">
        <f t="shared" ref="J167" si="335">G167-H167</f>
        <v>29</v>
      </c>
      <c r="K167" s="40">
        <f t="shared" ref="K167" si="336">IFERROR(J167/E167,0)</f>
        <v>0.57999999999999996</v>
      </c>
      <c r="L167" s="41">
        <f t="shared" ref="L167" si="337">E167*33000</f>
        <v>1650000</v>
      </c>
      <c r="M167" s="41">
        <f>SUMIF('Target Achieved- Input'!$L$93:$L$182,'Incentive Report- Output'!B167,'Target Achieved- Input'!$M$93:$M$182)</f>
        <v>1786615</v>
      </c>
      <c r="N167" s="41">
        <f>SUMIF('Target Achieved- Input'!$S$93:$S$182,'Incentive Report- Output'!B167,'Target Achieved- Input'!$U$93:$U$182)</f>
        <v>316096.6101694915</v>
      </c>
      <c r="O167" s="41">
        <f>SUMIF('Target Achieved- Input'!$L$93:$L$182,'Incentive Report- Output'!B167,'Target Achieved- Input'!$N$93:$N$182)-N167</f>
        <v>1197983.8983050846</v>
      </c>
      <c r="P167" s="40">
        <f t="shared" ref="P167" si="338">IFERROR(O167/L167,0)</f>
        <v>0.72605084745762705</v>
      </c>
      <c r="Q167" s="40">
        <f t="shared" ref="Q167" si="339">MAX(P167,K167)</f>
        <v>0.72605084745762705</v>
      </c>
      <c r="R167" s="40">
        <v>0</v>
      </c>
      <c r="S167" s="49">
        <f>(LOOKUP(Q167,Policy!$L$12:$M$16)+R167)*O167</f>
        <v>5989.9194915254229</v>
      </c>
      <c r="T167" s="191"/>
      <c r="U167" s="192"/>
      <c r="V167" s="51"/>
      <c r="W167" s="156"/>
      <c r="X167" s="403"/>
      <c r="Y167" s="403"/>
      <c r="Z167" s="403"/>
      <c r="AA167" s="52">
        <v>0</v>
      </c>
      <c r="AB167" s="52">
        <v>0</v>
      </c>
      <c r="AC167" s="52">
        <v>0</v>
      </c>
      <c r="AD167" s="41">
        <f t="shared" ref="AD167" si="340">IF(AF167&gt;200000,AF167-200000,0)</f>
        <v>0</v>
      </c>
      <c r="AE167" s="41">
        <f t="shared" ref="AE167" si="341">AF167-AD167</f>
        <v>5989.9194915254229</v>
      </c>
      <c r="AF167" s="41">
        <f t="shared" si="332"/>
        <v>5989.9194915254229</v>
      </c>
      <c r="AG167" s="31"/>
      <c r="AH167" s="419"/>
      <c r="AI167" s="79" t="s">
        <v>1432</v>
      </c>
      <c r="AJ167" s="112" t="s">
        <v>1431</v>
      </c>
      <c r="AK167" s="195" t="s">
        <v>931</v>
      </c>
      <c r="AL167" s="299">
        <v>15140.805084745762</v>
      </c>
      <c r="AM167" s="299">
        <f t="shared" ref="AM167" si="342">AF167</f>
        <v>5989.9194915254229</v>
      </c>
      <c r="AN167" s="300">
        <f t="shared" ref="AN167" si="343">AL167-AM167</f>
        <v>9150.8855932203387</v>
      </c>
    </row>
    <row r="168" spans="1:40" ht="15.75" hidden="1" customHeight="1" outlineLevel="1" x14ac:dyDescent="0.2">
      <c r="A168" s="79" t="s">
        <v>765</v>
      </c>
      <c r="B168" s="112" t="s">
        <v>766</v>
      </c>
      <c r="C168" s="79" t="s">
        <v>1</v>
      </c>
      <c r="D168" s="1" t="s">
        <v>931</v>
      </c>
      <c r="E168" s="47">
        <f>ROUND(SUMIF('Target Achieved- Input'!$B$93:$B$182,'Incentive Report- Output'!B168,'Target Achieved- Input'!$G$93:$G$182),0)</f>
        <v>80</v>
      </c>
      <c r="F168" s="47">
        <f>ROUND(SUMIF('Target Achieved- Input'!$B$93:$B$182,'Incentive Report- Output'!B168,'Target Achieved- Input'!$H$93:$H$182),0)</f>
        <v>104</v>
      </c>
      <c r="G168" s="47">
        <f>SUMIF('Target Achieved- Input'!$L$93:$L$182,'Incentive Report- Output'!B168,'Target Achieved- Input'!$O$93:$O$182)</f>
        <v>52</v>
      </c>
      <c r="H168" s="39">
        <f>SUMIF('Target Achieved- Input'!$S$93:$S$182,'Incentive Report- Output'!B168,'Target Achieved- Input'!$V$93:$V$182)</f>
        <v>13</v>
      </c>
      <c r="I168" s="48">
        <f>SUMIF('Target Achieved- Input'!$L$93:$L$182,'Incentive Report- Output'!B168,'Target Achieved- Input'!$AC$93:$AC$182)</f>
        <v>6</v>
      </c>
      <c r="J168" s="39">
        <f t="shared" si="325"/>
        <v>39</v>
      </c>
      <c r="K168" s="40">
        <f t="shared" si="326"/>
        <v>0.48749999999999999</v>
      </c>
      <c r="L168" s="41">
        <f t="shared" si="327"/>
        <v>2640000</v>
      </c>
      <c r="M168" s="41">
        <f>SUMIF('Target Achieved- Input'!$L$93:$L$182,'Incentive Report- Output'!B168,'Target Achieved- Input'!$M$93:$M$182)</f>
        <v>2077498</v>
      </c>
      <c r="N168" s="41">
        <f>SUMIF('Target Achieved- Input'!$S$93:$S$182,'Incentive Report- Output'!B168,'Target Achieved- Input'!$U$93:$U$182)</f>
        <v>509650</v>
      </c>
      <c r="O168" s="41">
        <f>SUMIF('Target Achieved- Input'!$L$93:$L$182,'Incentive Report- Output'!B168,'Target Achieved- Input'!$N$93:$N$182)-N168</f>
        <v>1250941.5254237291</v>
      </c>
      <c r="P168" s="40">
        <f t="shared" si="328"/>
        <v>0.47384148690292771</v>
      </c>
      <c r="Q168" s="40">
        <f>P168</f>
        <v>0.47384148690292771</v>
      </c>
      <c r="R168" s="40">
        <v>0</v>
      </c>
      <c r="S168" s="49">
        <f>(LOOKUP(Q168,Policy!$L$12:$M$16)+R168)*O168</f>
        <v>0</v>
      </c>
      <c r="T168" s="185"/>
      <c r="U168" s="156"/>
      <c r="V168" s="51"/>
      <c r="W168" s="156"/>
      <c r="X168" s="404"/>
      <c r="Y168" s="404"/>
      <c r="Z168" s="404"/>
      <c r="AA168" s="52">
        <v>0</v>
      </c>
      <c r="AB168" s="52">
        <v>0</v>
      </c>
      <c r="AC168" s="52">
        <v>0</v>
      </c>
      <c r="AD168" s="41">
        <f t="shared" si="330"/>
        <v>0</v>
      </c>
      <c r="AE168" s="41">
        <f t="shared" si="331"/>
        <v>0</v>
      </c>
      <c r="AF168" s="41">
        <f t="shared" si="332"/>
        <v>0</v>
      </c>
      <c r="AG168" s="31"/>
      <c r="AH168" s="419"/>
      <c r="AI168" s="22" t="s">
        <v>765</v>
      </c>
      <c r="AJ168" s="1" t="s">
        <v>766</v>
      </c>
      <c r="AK168" s="195" t="s">
        <v>931</v>
      </c>
      <c r="AL168" s="299">
        <v>8802.9576271186452</v>
      </c>
      <c r="AM168" s="299">
        <f t="shared" si="333"/>
        <v>0</v>
      </c>
      <c r="AN168" s="300">
        <f t="shared" si="334"/>
        <v>8802.9576271186452</v>
      </c>
    </row>
    <row r="169" spans="1:40" ht="15.75" hidden="1" customHeight="1" outlineLevel="1" x14ac:dyDescent="0.2">
      <c r="A169" s="109" t="s">
        <v>6</v>
      </c>
      <c r="B169" s="109"/>
      <c r="C169" s="109"/>
      <c r="D169" s="292" t="s">
        <v>931</v>
      </c>
      <c r="E169" s="102">
        <f>SUM(E162:E168)</f>
        <v>455</v>
      </c>
      <c r="F169" s="102">
        <f t="shared" ref="F169:J169" si="344">SUM(F162:F168)</f>
        <v>592</v>
      </c>
      <c r="G169" s="102">
        <f t="shared" si="344"/>
        <v>258</v>
      </c>
      <c r="H169" s="102">
        <f t="shared" si="344"/>
        <v>67</v>
      </c>
      <c r="I169" s="102">
        <f t="shared" si="344"/>
        <v>6</v>
      </c>
      <c r="J169" s="102">
        <f t="shared" si="344"/>
        <v>191</v>
      </c>
      <c r="K169" s="102"/>
      <c r="L169" s="102">
        <f t="shared" ref="L169:O169" si="345">SUM(L162:L168)</f>
        <v>15015000</v>
      </c>
      <c r="M169" s="102">
        <f t="shared" si="345"/>
        <v>12345494</v>
      </c>
      <c r="N169" s="102">
        <f t="shared" si="345"/>
        <v>2681722.881355932</v>
      </c>
      <c r="O169" s="102">
        <f t="shared" si="345"/>
        <v>7780560.169491522</v>
      </c>
      <c r="P169" s="45"/>
      <c r="Q169" s="46"/>
      <c r="R169" s="46"/>
      <c r="S169" s="102">
        <f>SUM(S162:S168)</f>
        <v>23624.73728813558</v>
      </c>
      <c r="T169" s="102">
        <f t="shared" ref="T169:W169" si="346">SUM(T162:T168)</f>
        <v>2640000</v>
      </c>
      <c r="U169" s="102">
        <f t="shared" si="346"/>
        <v>1088241.5254237289</v>
      </c>
      <c r="V169" s="102">
        <f t="shared" si="346"/>
        <v>0.41221269902413971</v>
      </c>
      <c r="W169" s="102">
        <f t="shared" si="346"/>
        <v>0</v>
      </c>
      <c r="X169" s="102">
        <f>SUM(X163:X168)</f>
        <v>0</v>
      </c>
      <c r="Y169" s="102">
        <f>SUM(Y163:Y168)</f>
        <v>0</v>
      </c>
      <c r="Z169" s="103">
        <f>SUM(Z163:Z168)</f>
        <v>0</v>
      </c>
      <c r="AA169" s="102">
        <f t="shared" ref="AA169:AF169" si="347">SUM(AA162:AA168)</f>
        <v>0</v>
      </c>
      <c r="AB169" s="102">
        <f t="shared" si="347"/>
        <v>0</v>
      </c>
      <c r="AC169" s="102">
        <f t="shared" si="347"/>
        <v>0</v>
      </c>
      <c r="AD169" s="102">
        <f t="shared" si="347"/>
        <v>0</v>
      </c>
      <c r="AE169" s="102">
        <f t="shared" si="347"/>
        <v>23624.73728813558</v>
      </c>
      <c r="AF169" s="102">
        <f t="shared" si="347"/>
        <v>23624.73728813558</v>
      </c>
      <c r="AG169" s="31"/>
      <c r="AH169" s="419"/>
      <c r="AI169" s="43" t="s">
        <v>6</v>
      </c>
      <c r="AJ169" s="43"/>
      <c r="AK169" s="43" t="s">
        <v>931</v>
      </c>
      <c r="AL169" s="303">
        <v>67993.504237288114</v>
      </c>
      <c r="AM169" s="303">
        <f>SUM(AM162:AM168)</f>
        <v>23624.73728813558</v>
      </c>
      <c r="AN169" s="303">
        <f>SUM(AN162:AN168)</f>
        <v>44368.766949152538</v>
      </c>
    </row>
    <row r="170" spans="1:40" ht="15.75" hidden="1" customHeight="1" outlineLevel="1" x14ac:dyDescent="0.2">
      <c r="A170" s="42" t="s">
        <v>240</v>
      </c>
      <c r="B170" s="42" t="s">
        <v>241</v>
      </c>
      <c r="C170" s="79" t="s">
        <v>1</v>
      </c>
      <c r="D170" s="293" t="s">
        <v>1182</v>
      </c>
      <c r="E170" s="47">
        <f>ROUND(SUMIF('Target Achieved- Input'!$B$93:$B$182,'Incentive Report- Output'!B170,'Target Achieved- Input'!$G$93:$G$182),0)</f>
        <v>80</v>
      </c>
      <c r="F170" s="47">
        <f>ROUND(SUMIF('Target Achieved- Input'!$B$93:$B$182,'Incentive Report- Output'!B170,'Target Achieved- Input'!$H$93:$H$182),0)</f>
        <v>104</v>
      </c>
      <c r="G170" s="47">
        <f>SUMIF('Target Achieved- Input'!$L$93:$L$182,'Incentive Report- Output'!B170,'Target Achieved- Input'!$O$93:$O$182)</f>
        <v>34</v>
      </c>
      <c r="H170" s="39">
        <f>SUMIF('Target Achieved- Input'!$S$93:$S$182,'Incentive Report- Output'!B170,'Target Achieved- Input'!$V$93:$V$182)</f>
        <v>8</v>
      </c>
      <c r="I170" s="48">
        <f>SUMIF('Target Achieved- Input'!$L$93:$L$182,'Incentive Report- Output'!B170,'Target Achieved- Input'!$AC$93:$AC$182)</f>
        <v>4</v>
      </c>
      <c r="J170" s="39">
        <f t="shared" ref="J170:J173" si="348">G170-H170</f>
        <v>26</v>
      </c>
      <c r="K170" s="40">
        <f t="shared" ref="K170:K173" si="349">IFERROR(J170/E170,0)</f>
        <v>0.32500000000000001</v>
      </c>
      <c r="L170" s="41">
        <f t="shared" ref="L170:L173" si="350">E170*33000</f>
        <v>2640000</v>
      </c>
      <c r="M170" s="41">
        <f>SUMIF('Target Achieved- Input'!$L$93:$L$182,'Incentive Report- Output'!B170,'Target Achieved- Input'!$M$93:$M$182)</f>
        <v>1472716</v>
      </c>
      <c r="N170" s="41">
        <f>SUMIF('Target Achieved- Input'!$S$93:$S$182,'Incentive Report- Output'!B170,'Target Achieved- Input'!$U$93:$U$182)</f>
        <v>282027.11864406778</v>
      </c>
      <c r="O170" s="41">
        <f>SUMIF('Target Achieved- Input'!$L$93:$L$182,'Incentive Report- Output'!B170,'Target Achieved- Input'!$N$93:$N$182)-N170</f>
        <v>966037.28813559306</v>
      </c>
      <c r="P170" s="40">
        <f t="shared" ref="P170:P173" si="351">IFERROR(O170/L170,0)</f>
        <v>0.36592321520287618</v>
      </c>
      <c r="Q170" s="40">
        <f t="shared" ref="Q170:Q173" si="352">MAX(P170,K170)</f>
        <v>0.36592321520287618</v>
      </c>
      <c r="R170" s="40">
        <v>0</v>
      </c>
      <c r="S170" s="49">
        <f>(LOOKUP(Q170,Policy!$L$12:$M$16)+R170)*O170</f>
        <v>0</v>
      </c>
      <c r="T170" s="191"/>
      <c r="U170" s="192"/>
      <c r="V170" s="144"/>
      <c r="W170" s="192"/>
      <c r="X170" s="385"/>
      <c r="Y170" s="385"/>
      <c r="Z170" s="385"/>
      <c r="AA170" s="52">
        <v>0</v>
      </c>
      <c r="AB170" s="52">
        <v>0</v>
      </c>
      <c r="AC170" s="52">
        <v>0</v>
      </c>
      <c r="AD170" s="41">
        <f t="shared" ref="AD170:AD173" si="353">IF(AF170&gt;200000,AF170-200000,0)</f>
        <v>0</v>
      </c>
      <c r="AE170" s="41">
        <f t="shared" ref="AE170:AE173" si="354">AF170-AD170</f>
        <v>0</v>
      </c>
      <c r="AF170" s="41">
        <f>S170+W170+AB170+AC170</f>
        <v>0</v>
      </c>
      <c r="AG170" s="32"/>
      <c r="AH170" s="419"/>
      <c r="AI170" s="22" t="s">
        <v>240</v>
      </c>
      <c r="AJ170" s="1" t="s">
        <v>241</v>
      </c>
      <c r="AK170" s="195" t="s">
        <v>1182</v>
      </c>
      <c r="AL170" s="309">
        <v>0</v>
      </c>
      <c r="AM170" s="299">
        <f t="shared" ref="AM170:AM173" si="355">AF170</f>
        <v>0</v>
      </c>
      <c r="AN170" s="300">
        <f t="shared" ref="AN170:AN173" si="356">AL170-AM170</f>
        <v>0</v>
      </c>
    </row>
    <row r="171" spans="1:40" ht="15.75" hidden="1" customHeight="1" outlineLevel="1" x14ac:dyDescent="0.2">
      <c r="A171" s="42" t="s">
        <v>352</v>
      </c>
      <c r="B171" s="42" t="s">
        <v>289</v>
      </c>
      <c r="C171" s="79" t="s">
        <v>1185</v>
      </c>
      <c r="D171" s="293" t="s">
        <v>1182</v>
      </c>
      <c r="E171" s="47">
        <f>ROUND(SUMIF('Target Achieved- Input'!$B$93:$B$182,'Incentive Report- Output'!B171,'Target Achieved- Input'!$G$93:$G$182),0)</f>
        <v>85</v>
      </c>
      <c r="F171" s="47">
        <f>ROUND(SUMIF('Target Achieved- Input'!$B$93:$B$182,'Incentive Report- Output'!B171,'Target Achieved- Input'!$H$93:$H$182),0)</f>
        <v>111</v>
      </c>
      <c r="G171" s="47">
        <f>SUMIF('Target Achieved- Input'!$L$93:$L$182,'Incentive Report- Output'!B171,'Target Achieved- Input'!$O$93:$O$182)</f>
        <v>41</v>
      </c>
      <c r="H171" s="39">
        <f>SUMIF('Target Achieved- Input'!$S$93:$S$182,'Incentive Report- Output'!B171,'Target Achieved- Input'!$V$93:$V$182)</f>
        <v>11</v>
      </c>
      <c r="I171" s="48">
        <f>SUMIF('Target Achieved- Input'!$L$93:$L$182,'Incentive Report- Output'!B171,'Target Achieved- Input'!$AC$93:$AC$182)</f>
        <v>4</v>
      </c>
      <c r="J171" s="39">
        <f t="shared" si="348"/>
        <v>30</v>
      </c>
      <c r="K171" s="40">
        <f t="shared" si="349"/>
        <v>0.35294117647058826</v>
      </c>
      <c r="L171" s="41">
        <f t="shared" si="350"/>
        <v>2805000</v>
      </c>
      <c r="M171" s="41">
        <f>SUMIF('Target Achieved- Input'!$L$93:$L$182,'Incentive Report- Output'!B171,'Target Achieved- Input'!$M$93:$M$182)</f>
        <v>1865109</v>
      </c>
      <c r="N171" s="41">
        <f>SUMIF('Target Achieved- Input'!$S$93:$S$182,'Incentive Report- Output'!B171,'Target Achieved- Input'!$U$93:$U$182)</f>
        <v>458507.62711864407</v>
      </c>
      <c r="O171" s="41">
        <f>SUMIF('Target Achieved- Input'!$L$93:$L$182,'Incentive Report- Output'!B171,'Target Achieved- Input'!$N$93:$N$182)-N171</f>
        <v>1122093.2203389825</v>
      </c>
      <c r="P171" s="40">
        <f t="shared" si="351"/>
        <v>0.40003323363243581</v>
      </c>
      <c r="Q171" s="40">
        <f t="shared" si="352"/>
        <v>0.40003323363243581</v>
      </c>
      <c r="R171" s="40">
        <v>0</v>
      </c>
      <c r="S171" s="49">
        <f>(LOOKUP(Q171,Policy!$L$12:$M$16)+R171)*O171</f>
        <v>0</v>
      </c>
      <c r="T171" s="191"/>
      <c r="U171" s="192"/>
      <c r="V171" s="51"/>
      <c r="W171" s="156"/>
      <c r="X171" s="386"/>
      <c r="Y171" s="386"/>
      <c r="Z171" s="386"/>
      <c r="AA171" s="52">
        <v>0</v>
      </c>
      <c r="AB171" s="52">
        <v>0</v>
      </c>
      <c r="AC171" s="52">
        <v>0</v>
      </c>
      <c r="AD171" s="41">
        <f t="shared" si="353"/>
        <v>0</v>
      </c>
      <c r="AE171" s="41">
        <f t="shared" si="354"/>
        <v>0</v>
      </c>
      <c r="AF171" s="41">
        <f>S171+W171+AB171+AC171</f>
        <v>0</v>
      </c>
      <c r="AG171" s="32"/>
      <c r="AH171" s="419"/>
      <c r="AI171" s="22" t="s">
        <v>352</v>
      </c>
      <c r="AJ171" s="1" t="s">
        <v>289</v>
      </c>
      <c r="AK171" s="195" t="s">
        <v>1182</v>
      </c>
      <c r="AL171" s="309">
        <v>7903.0042372881335</v>
      </c>
      <c r="AM171" s="299">
        <f t="shared" si="355"/>
        <v>0</v>
      </c>
      <c r="AN171" s="300">
        <f t="shared" si="356"/>
        <v>7903.0042372881335</v>
      </c>
    </row>
    <row r="172" spans="1:40" ht="15.75" hidden="1" customHeight="1" outlineLevel="1" x14ac:dyDescent="0.2">
      <c r="A172" s="42" t="s">
        <v>1186</v>
      </c>
      <c r="B172" s="42" t="s">
        <v>1187</v>
      </c>
      <c r="C172" s="79" t="s">
        <v>1</v>
      </c>
      <c r="D172" s="293" t="s">
        <v>1182</v>
      </c>
      <c r="E172" s="47">
        <f>ROUND(SUMIF('Target Achieved- Input'!$B$93:$B$182,'Incentive Report- Output'!B172,'Target Achieved- Input'!$G$93:$G$182),0)</f>
        <v>0</v>
      </c>
      <c r="F172" s="47">
        <f>ROUND(SUMIF('Target Achieved- Input'!$B$93:$B$182,'Incentive Report- Output'!B172,'Target Achieved- Input'!$H$93:$H$182),0)</f>
        <v>0</v>
      </c>
      <c r="G172" s="47">
        <f>SUMIF('Target Achieved- Input'!$L$93:$L$182,'Incentive Report- Output'!B172,'Target Achieved- Input'!$O$93:$O$182)</f>
        <v>0</v>
      </c>
      <c r="H172" s="39">
        <f>SUMIF('Target Achieved- Input'!$S$93:$S$182,'Incentive Report- Output'!B172,'Target Achieved- Input'!$V$93:$V$182)</f>
        <v>0</v>
      </c>
      <c r="I172" s="48">
        <f>SUMIF('Target Achieved- Input'!$L$93:$L$182,'Incentive Report- Output'!B172,'Target Achieved- Input'!$AC$93:$AC$182)</f>
        <v>0</v>
      </c>
      <c r="J172" s="39">
        <f t="shared" si="348"/>
        <v>0</v>
      </c>
      <c r="K172" s="40">
        <f t="shared" si="349"/>
        <v>0</v>
      </c>
      <c r="L172" s="41">
        <f t="shared" si="350"/>
        <v>0</v>
      </c>
      <c r="M172" s="41">
        <f>SUMIF('Target Achieved- Input'!$L$93:$L$182,'Incentive Report- Output'!B172,'Target Achieved- Input'!$M$93:$M$182)</f>
        <v>0</v>
      </c>
      <c r="N172" s="41">
        <f>SUMIF('Target Achieved- Input'!$S$93:$S$182,'Incentive Report- Output'!B172,'Target Achieved- Input'!$U$93:$U$182)</f>
        <v>0</v>
      </c>
      <c r="O172" s="41">
        <f>SUMIF('Target Achieved- Input'!$L$93:$L$182,'Incentive Report- Output'!B172,'Target Achieved- Input'!$N$93:$N$182)-N172</f>
        <v>0</v>
      </c>
      <c r="P172" s="40">
        <f t="shared" si="351"/>
        <v>0</v>
      </c>
      <c r="Q172" s="40">
        <f t="shared" si="352"/>
        <v>0</v>
      </c>
      <c r="R172" s="40">
        <v>0</v>
      </c>
      <c r="S172" s="49">
        <f>(LOOKUP(Q172,Policy!$L$12:$M$16)+R172)*O172</f>
        <v>0</v>
      </c>
      <c r="T172" s="191"/>
      <c r="U172" s="192"/>
      <c r="V172" s="144"/>
      <c r="W172" s="192"/>
      <c r="X172" s="386"/>
      <c r="Y172" s="386"/>
      <c r="Z172" s="386"/>
      <c r="AA172" s="52">
        <v>0</v>
      </c>
      <c r="AB172" s="52">
        <v>0</v>
      </c>
      <c r="AC172" s="52">
        <v>0</v>
      </c>
      <c r="AD172" s="41">
        <f t="shared" si="353"/>
        <v>0</v>
      </c>
      <c r="AE172" s="41">
        <f t="shared" si="354"/>
        <v>0</v>
      </c>
      <c r="AF172" s="41">
        <f>S172+W172+AB172+AC172</f>
        <v>0</v>
      </c>
      <c r="AG172" s="32"/>
      <c r="AH172" s="419"/>
      <c r="AI172" s="22" t="s">
        <v>1186</v>
      </c>
      <c r="AJ172" s="1" t="s">
        <v>1187</v>
      </c>
      <c r="AK172" s="195" t="s">
        <v>1182</v>
      </c>
      <c r="AL172" s="309">
        <v>0</v>
      </c>
      <c r="AM172" s="299">
        <f t="shared" si="355"/>
        <v>0</v>
      </c>
      <c r="AN172" s="300">
        <f t="shared" si="356"/>
        <v>0</v>
      </c>
    </row>
    <row r="173" spans="1:40" ht="15.75" hidden="1" customHeight="1" outlineLevel="1" x14ac:dyDescent="0.2">
      <c r="A173" s="42" t="s">
        <v>230</v>
      </c>
      <c r="B173" s="42" t="s">
        <v>35</v>
      </c>
      <c r="C173" s="79" t="s">
        <v>1</v>
      </c>
      <c r="D173" s="293" t="s">
        <v>1182</v>
      </c>
      <c r="E173" s="47">
        <f>ROUND(SUMIF('Target Achieved- Input'!$B$93:$B$182,'Incentive Report- Output'!B173,'Target Achieved- Input'!$G$93:$G$182),0)</f>
        <v>80</v>
      </c>
      <c r="F173" s="47">
        <f>ROUND(SUMIF('Target Achieved- Input'!$B$93:$B$182,'Incentive Report- Output'!B173,'Target Achieved- Input'!$H$93:$H$182),0)</f>
        <v>104</v>
      </c>
      <c r="G173" s="47">
        <f>SUMIF('Target Achieved- Input'!$L$93:$L$182,'Incentive Report- Output'!B173,'Target Achieved- Input'!$O$93:$O$182)</f>
        <v>39</v>
      </c>
      <c r="H173" s="39">
        <f>SUMIF('Target Achieved- Input'!$S$93:$S$182,'Incentive Report- Output'!B173,'Target Achieved- Input'!$V$93:$V$182)</f>
        <v>14</v>
      </c>
      <c r="I173" s="48">
        <f>SUMIF('Target Achieved- Input'!$L$93:$L$182,'Incentive Report- Output'!B173,'Target Achieved- Input'!$AC$93:$AC$182)</f>
        <v>1</v>
      </c>
      <c r="J173" s="39">
        <f t="shared" si="348"/>
        <v>25</v>
      </c>
      <c r="K173" s="40">
        <f t="shared" si="349"/>
        <v>0.3125</v>
      </c>
      <c r="L173" s="41">
        <f t="shared" si="350"/>
        <v>2640000</v>
      </c>
      <c r="M173" s="41">
        <f>SUMIF('Target Achieved- Input'!$L$93:$L$182,'Incentive Report- Output'!B173,'Target Achieved- Input'!$M$93:$M$182)</f>
        <v>1833711</v>
      </c>
      <c r="N173" s="41">
        <f>SUMIF('Target Achieved- Input'!$S$93:$S$182,'Incentive Report- Output'!B173,'Target Achieved- Input'!$U$93:$U$182)</f>
        <v>544352.54237288143</v>
      </c>
      <c r="O173" s="41">
        <f>SUMIF('Target Achieved- Input'!$L$93:$L$182,'Incentive Report- Output'!B173,'Target Achieved- Input'!$N$93:$N$182)-N173</f>
        <v>1009639.8305084743</v>
      </c>
      <c r="P173" s="40">
        <f t="shared" si="351"/>
        <v>0.38243932973805844</v>
      </c>
      <c r="Q173" s="40">
        <f t="shared" si="352"/>
        <v>0.38243932973805844</v>
      </c>
      <c r="R173" s="40">
        <v>0</v>
      </c>
      <c r="S173" s="49">
        <f>(LOOKUP(Q173,Policy!$L$12:$M$16)+R173)*O173</f>
        <v>0</v>
      </c>
      <c r="T173" s="185"/>
      <c r="U173" s="156"/>
      <c r="V173" s="51"/>
      <c r="W173" s="156"/>
      <c r="X173" s="387"/>
      <c r="Y173" s="387"/>
      <c r="Z173" s="387"/>
      <c r="AA173" s="52">
        <v>0</v>
      </c>
      <c r="AB173" s="52">
        <v>0</v>
      </c>
      <c r="AC173" s="52">
        <v>0</v>
      </c>
      <c r="AD173" s="41">
        <f t="shared" si="353"/>
        <v>0</v>
      </c>
      <c r="AE173" s="41">
        <f t="shared" si="354"/>
        <v>0</v>
      </c>
      <c r="AF173" s="41">
        <f>S173+W173+AB173+AC173</f>
        <v>0</v>
      </c>
      <c r="AG173" s="32"/>
      <c r="AH173" s="419"/>
      <c r="AI173" s="22" t="s">
        <v>230</v>
      </c>
      <c r="AJ173" s="1" t="s">
        <v>35</v>
      </c>
      <c r="AK173" s="195" t="s">
        <v>1182</v>
      </c>
      <c r="AL173" s="309">
        <v>7769.9618644067787</v>
      </c>
      <c r="AM173" s="299">
        <f t="shared" si="355"/>
        <v>0</v>
      </c>
      <c r="AN173" s="300">
        <f t="shared" si="356"/>
        <v>7769.9618644067787</v>
      </c>
    </row>
    <row r="174" spans="1:40" ht="15.75" hidden="1" customHeight="1" outlineLevel="1" x14ac:dyDescent="0.2">
      <c r="A174" s="109" t="s">
        <v>6</v>
      </c>
      <c r="B174" s="109"/>
      <c r="C174" s="109"/>
      <c r="D174" s="292" t="s">
        <v>1182</v>
      </c>
      <c r="E174" s="88">
        <f t="shared" ref="E174:J174" si="357">SUM(E170:E173)</f>
        <v>245</v>
      </c>
      <c r="F174" s="88">
        <f t="shared" si="357"/>
        <v>319</v>
      </c>
      <c r="G174" s="88">
        <f t="shared" si="357"/>
        <v>114</v>
      </c>
      <c r="H174" s="88">
        <f t="shared" si="357"/>
        <v>33</v>
      </c>
      <c r="I174" s="88">
        <f t="shared" si="357"/>
        <v>9</v>
      </c>
      <c r="J174" s="88">
        <f t="shared" si="357"/>
        <v>81</v>
      </c>
      <c r="K174" s="45"/>
      <c r="L174" s="88">
        <f>SUM(L170:L173)</f>
        <v>8085000</v>
      </c>
      <c r="M174" s="88">
        <f>SUM(M170:M173)</f>
        <v>5171536</v>
      </c>
      <c r="N174" s="88">
        <f>SUM(N170:N173)</f>
        <v>1284887.2881355933</v>
      </c>
      <c r="O174" s="88">
        <f>SUM(O170:O173)</f>
        <v>3097770.3389830496</v>
      </c>
      <c r="P174" s="45"/>
      <c r="Q174" s="46"/>
      <c r="R174" s="237"/>
      <c r="S174" s="88">
        <f t="shared" ref="S174:AF174" si="358">SUM(S170:S173)</f>
        <v>0</v>
      </c>
      <c r="T174" s="88">
        <f t="shared" si="358"/>
        <v>0</v>
      </c>
      <c r="U174" s="88">
        <f t="shared" si="358"/>
        <v>0</v>
      </c>
      <c r="V174" s="88">
        <f t="shared" si="358"/>
        <v>0</v>
      </c>
      <c r="W174" s="88">
        <f t="shared" si="358"/>
        <v>0</v>
      </c>
      <c r="X174" s="88">
        <f t="shared" si="358"/>
        <v>0</v>
      </c>
      <c r="Y174" s="88">
        <f t="shared" si="358"/>
        <v>0</v>
      </c>
      <c r="Z174" s="88">
        <f t="shared" si="358"/>
        <v>0</v>
      </c>
      <c r="AA174" s="88">
        <f t="shared" si="358"/>
        <v>0</v>
      </c>
      <c r="AB174" s="88">
        <f t="shared" si="358"/>
        <v>0</v>
      </c>
      <c r="AC174" s="88">
        <f t="shared" si="358"/>
        <v>0</v>
      </c>
      <c r="AD174" s="88">
        <f t="shared" si="358"/>
        <v>0</v>
      </c>
      <c r="AE174" s="88">
        <f t="shared" si="358"/>
        <v>0</v>
      </c>
      <c r="AF174" s="88">
        <f t="shared" si="358"/>
        <v>0</v>
      </c>
      <c r="AG174" s="31"/>
      <c r="AH174" s="419"/>
      <c r="AI174" s="43" t="s">
        <v>6</v>
      </c>
      <c r="AJ174" s="43"/>
      <c r="AK174" s="43" t="s">
        <v>1182</v>
      </c>
      <c r="AL174" s="307">
        <v>15672.966101694912</v>
      </c>
      <c r="AM174" s="307">
        <f>SUM(AM170:AM173)</f>
        <v>0</v>
      </c>
      <c r="AN174" s="307">
        <f>SUM(AN170:AN173)</f>
        <v>15672.966101694912</v>
      </c>
    </row>
    <row r="175" spans="1:40" ht="15.75" hidden="1" customHeight="1" outlineLevel="1" x14ac:dyDescent="0.2">
      <c r="A175" s="42" t="s">
        <v>57</v>
      </c>
      <c r="B175" s="42" t="s">
        <v>58</v>
      </c>
      <c r="C175" s="42" t="s">
        <v>0</v>
      </c>
      <c r="D175" s="293" t="s">
        <v>1183</v>
      </c>
      <c r="E175" s="47">
        <f>ROUND(SUMIF('Target Achieved- Input'!$B$93:$B$182,'Incentive Report- Output'!B175,'Target Achieved- Input'!$G$93:$G$182),0)</f>
        <v>70</v>
      </c>
      <c r="F175" s="47">
        <f>ROUND(SUMIF('Target Achieved- Input'!$B$93:$B$182,'Incentive Report- Output'!B175,'Target Achieved- Input'!$H$93:$H$182),0)</f>
        <v>91</v>
      </c>
      <c r="G175" s="47">
        <f>SUMIF('Target Achieved- Input'!$L$93:$L$182,'Incentive Report- Output'!B175,'Target Achieved- Input'!$O$93:$O$182)</f>
        <v>48</v>
      </c>
      <c r="H175" s="39">
        <f>SUMIF('Target Achieved- Input'!$S$93:$S$182,'Incentive Report- Output'!B175,'Target Achieved- Input'!$V$93:$V$182)</f>
        <v>21</v>
      </c>
      <c r="I175" s="48">
        <f>SUMIF('Target Achieved- Input'!$L$93:$L$182,'Incentive Report- Output'!B175,'Target Achieved- Input'!$AC$93:$AC$182)</f>
        <v>0</v>
      </c>
      <c r="J175" s="39">
        <f t="shared" ref="J175:J180" si="359">G175-H175</f>
        <v>27</v>
      </c>
      <c r="K175" s="40">
        <f t="shared" ref="K175:K180" si="360">IFERROR(J175/E175,0)</f>
        <v>0.38571428571428573</v>
      </c>
      <c r="L175" s="41">
        <f t="shared" ref="L175:L180" si="361">E175*33000</f>
        <v>2310000</v>
      </c>
      <c r="M175" s="41">
        <f>SUMIF('Target Achieved- Input'!$L$93:$L$182,'Incentive Report- Output'!B175,'Target Achieved- Input'!$M$93:$M$182)</f>
        <v>1987452</v>
      </c>
      <c r="N175" s="41">
        <f>SUMIF('Target Achieved- Input'!$S$93:$S$182,'Incentive Report- Output'!B175,'Target Achieved- Input'!$U$93:$U$182)</f>
        <v>789007.62711864407</v>
      </c>
      <c r="O175" s="41">
        <f>SUMIF('Target Achieved- Input'!$L$93:$L$182,'Incentive Report- Output'!B175,'Target Achieved- Input'!$N$93:$N$182)-N175</f>
        <v>895273.72881355928</v>
      </c>
      <c r="P175" s="40">
        <f t="shared" ref="P175:P180" si="362">IFERROR(O175/L175,0)</f>
        <v>0.38756438476777461</v>
      </c>
      <c r="Q175" s="40">
        <f t="shared" ref="Q175:Q180" si="363">MAX(P175,K175)</f>
        <v>0.38756438476777461</v>
      </c>
      <c r="R175" s="40">
        <v>0</v>
      </c>
      <c r="S175" s="49">
        <f>(LOOKUP(Q175,Policy!$L$12:$M$16)+R175)*O175</f>
        <v>0</v>
      </c>
      <c r="T175" s="191"/>
      <c r="U175" s="192"/>
      <c r="V175" s="144"/>
      <c r="W175" s="192"/>
      <c r="X175" s="385"/>
      <c r="Y175" s="385"/>
      <c r="Z175" s="385"/>
      <c r="AA175" s="52">
        <v>0</v>
      </c>
      <c r="AB175" s="52">
        <v>0</v>
      </c>
      <c r="AC175" s="52">
        <v>0</v>
      </c>
      <c r="AD175" s="41">
        <f t="shared" ref="AD175:AD180" si="364">IF(AF175&gt;200000,AF175-200000,0)</f>
        <v>0</v>
      </c>
      <c r="AE175" s="41">
        <f t="shared" ref="AE175:AE180" si="365">AF175-AD175</f>
        <v>0</v>
      </c>
      <c r="AF175" s="41">
        <f t="shared" ref="AF175:AF180" si="366">S175+W175+AB175+AC175</f>
        <v>0</v>
      </c>
      <c r="AG175" s="32"/>
      <c r="AH175" s="419"/>
      <c r="AI175" s="289" t="s">
        <v>57</v>
      </c>
      <c r="AJ175" s="289" t="s">
        <v>58</v>
      </c>
      <c r="AK175" s="289" t="s">
        <v>1183</v>
      </c>
      <c r="AL175" s="309">
        <v>8421.4067796610161</v>
      </c>
      <c r="AM175" s="299">
        <f t="shared" ref="AM175:AM180" si="367">AF175</f>
        <v>0</v>
      </c>
      <c r="AN175" s="300">
        <f t="shared" ref="AN175:AN180" si="368">AL175-AM175</f>
        <v>8421.4067796610161</v>
      </c>
    </row>
    <row r="176" spans="1:40" ht="15.75" hidden="1" customHeight="1" outlineLevel="1" x14ac:dyDescent="0.2">
      <c r="A176" s="42" t="s">
        <v>207</v>
      </c>
      <c r="B176" s="42" t="s">
        <v>201</v>
      </c>
      <c r="C176" s="79" t="s">
        <v>1</v>
      </c>
      <c r="D176" s="293" t="s">
        <v>1183</v>
      </c>
      <c r="E176" s="47">
        <f>ROUND(SUMIF('Target Achieved- Input'!$B$93:$B$182,'Incentive Report- Output'!B176,'Target Achieved- Input'!$G$93:$G$182),0)</f>
        <v>80</v>
      </c>
      <c r="F176" s="47">
        <f>ROUND(SUMIF('Target Achieved- Input'!$B$93:$B$182,'Incentive Report- Output'!B176,'Target Achieved- Input'!$H$93:$H$182),0)</f>
        <v>104</v>
      </c>
      <c r="G176" s="47">
        <f>SUMIF('Target Achieved- Input'!$L$93:$L$182,'Incentive Report- Output'!B176,'Target Achieved- Input'!$O$93:$O$182)</f>
        <v>45</v>
      </c>
      <c r="H176" s="39">
        <f>SUMIF('Target Achieved- Input'!$S$93:$S$182,'Incentive Report- Output'!B176,'Target Achieved- Input'!$V$93:$V$182)</f>
        <v>7</v>
      </c>
      <c r="I176" s="48">
        <f>SUMIF('Target Achieved- Input'!$L$93:$L$182,'Incentive Report- Output'!B176,'Target Achieved- Input'!$AC$93:$AC$182)</f>
        <v>1</v>
      </c>
      <c r="J176" s="39">
        <f t="shared" si="359"/>
        <v>38</v>
      </c>
      <c r="K176" s="40">
        <f t="shared" si="360"/>
        <v>0.47499999999999998</v>
      </c>
      <c r="L176" s="41">
        <f t="shared" si="361"/>
        <v>2640000</v>
      </c>
      <c r="M176" s="41">
        <f>SUMIF('Target Achieved- Input'!$L$93:$L$182,'Incentive Report- Output'!B176,'Target Achieved- Input'!$M$93:$M$182)</f>
        <v>2038305</v>
      </c>
      <c r="N176" s="41">
        <f>SUMIF('Target Achieved- Input'!$S$93:$S$182,'Incentive Report- Output'!B176,'Target Achieved- Input'!$U$93:$U$182)</f>
        <v>280756.77966101695</v>
      </c>
      <c r="O176" s="41">
        <f>SUMIF('Target Achieved- Input'!$L$93:$L$182,'Incentive Report- Output'!B176,'Target Achieved- Input'!$N$93:$N$182)-N176</f>
        <v>1446620.338983051</v>
      </c>
      <c r="P176" s="40">
        <f t="shared" si="362"/>
        <v>0.54796224961479201</v>
      </c>
      <c r="Q176" s="40">
        <f t="shared" si="363"/>
        <v>0.54796224961479201</v>
      </c>
      <c r="R176" s="40">
        <v>0</v>
      </c>
      <c r="S176" s="49">
        <f>(LOOKUP(Q176,Policy!$L$12:$M$16)+R176)*O176</f>
        <v>7233.1016949152554</v>
      </c>
      <c r="T176" s="191"/>
      <c r="U176" s="192"/>
      <c r="V176" s="144"/>
      <c r="W176" s="192"/>
      <c r="X176" s="386"/>
      <c r="Y176" s="386"/>
      <c r="Z176" s="386"/>
      <c r="AA176" s="52">
        <v>0</v>
      </c>
      <c r="AB176" s="52">
        <v>0</v>
      </c>
      <c r="AC176" s="52">
        <v>0</v>
      </c>
      <c r="AD176" s="41">
        <f t="shared" si="364"/>
        <v>0</v>
      </c>
      <c r="AE176" s="41">
        <f t="shared" si="365"/>
        <v>7233.1016949152554</v>
      </c>
      <c r="AF176" s="41">
        <f t="shared" si="366"/>
        <v>7233.1016949152554</v>
      </c>
      <c r="AG176" s="32"/>
      <c r="AH176" s="419"/>
      <c r="AI176" s="289" t="s">
        <v>207</v>
      </c>
      <c r="AJ176" s="289" t="s">
        <v>201</v>
      </c>
      <c r="AK176" s="289" t="s">
        <v>1183</v>
      </c>
      <c r="AL176" s="309">
        <v>8636.8855932203405</v>
      </c>
      <c r="AM176" s="299">
        <f t="shared" si="367"/>
        <v>7233.1016949152554</v>
      </c>
      <c r="AN176" s="300">
        <f t="shared" si="368"/>
        <v>1403.7838983050851</v>
      </c>
    </row>
    <row r="177" spans="1:40" ht="15.75" hidden="1" customHeight="1" outlineLevel="1" x14ac:dyDescent="0.2">
      <c r="A177" s="42" t="s">
        <v>299</v>
      </c>
      <c r="B177" s="42" t="s">
        <v>290</v>
      </c>
      <c r="C177" s="79" t="s">
        <v>1</v>
      </c>
      <c r="D177" s="293" t="s">
        <v>1183</v>
      </c>
      <c r="E177" s="47">
        <f>ROUND(SUMIF('Target Achieved- Input'!$B$93:$B$182,'Incentive Report- Output'!B177,'Target Achieved- Input'!$G$93:$G$182),0)</f>
        <v>80</v>
      </c>
      <c r="F177" s="47">
        <f>ROUND(SUMIF('Target Achieved- Input'!$B$93:$B$182,'Incentive Report- Output'!B177,'Target Achieved- Input'!$H$93:$H$182),0)</f>
        <v>104</v>
      </c>
      <c r="G177" s="47">
        <f>SUMIF('Target Achieved- Input'!$L$93:$L$182,'Incentive Report- Output'!B177,'Target Achieved- Input'!$O$93:$O$182)</f>
        <v>54</v>
      </c>
      <c r="H177" s="39">
        <f>SUMIF('Target Achieved- Input'!$S$93:$S$182,'Incentive Report- Output'!B177,'Target Achieved- Input'!$V$93:$V$182)</f>
        <v>4</v>
      </c>
      <c r="I177" s="48">
        <f>SUMIF('Target Achieved- Input'!$L$93:$L$182,'Incentive Report- Output'!B177,'Target Achieved- Input'!$AC$93:$AC$182)</f>
        <v>3</v>
      </c>
      <c r="J177" s="39">
        <f t="shared" si="359"/>
        <v>50</v>
      </c>
      <c r="K177" s="40">
        <f t="shared" si="360"/>
        <v>0.625</v>
      </c>
      <c r="L177" s="41">
        <f t="shared" si="361"/>
        <v>2640000</v>
      </c>
      <c r="M177" s="41">
        <f>SUMIF('Target Achieved- Input'!$L$93:$L$182,'Incentive Report- Output'!B177,'Target Achieved- Input'!$M$93:$M$182)</f>
        <v>2305196</v>
      </c>
      <c r="N177" s="41">
        <f>SUMIF('Target Achieved- Input'!$S$93:$S$182,'Incentive Report- Output'!B177,'Target Achieved- Input'!$U$93:$U$182)</f>
        <v>181861.01694915254</v>
      </c>
      <c r="O177" s="41">
        <f>SUMIF('Target Achieved- Input'!$L$93:$L$182,'Incentive Report- Output'!B177,'Target Achieved- Input'!$N$93:$N$182)-N177</f>
        <v>1771694.9152542362</v>
      </c>
      <c r="P177" s="40">
        <f t="shared" si="362"/>
        <v>0.67109655880842278</v>
      </c>
      <c r="Q177" s="40">
        <f t="shared" si="363"/>
        <v>0.67109655880842278</v>
      </c>
      <c r="R177" s="40">
        <v>0</v>
      </c>
      <c r="S177" s="49">
        <f>(LOOKUP(Q177,Policy!$L$12:$M$16)+R177)*O177</f>
        <v>8858.4745762711809</v>
      </c>
      <c r="T177" s="191"/>
      <c r="U177" s="192"/>
      <c r="V177" s="144"/>
      <c r="W177" s="192"/>
      <c r="X177" s="386"/>
      <c r="Y177" s="386"/>
      <c r="Z177" s="386"/>
      <c r="AA177" s="52">
        <v>0</v>
      </c>
      <c r="AB177" s="52">
        <v>0</v>
      </c>
      <c r="AC177" s="52">
        <v>0</v>
      </c>
      <c r="AD177" s="41">
        <f t="shared" si="364"/>
        <v>0</v>
      </c>
      <c r="AE177" s="41">
        <f t="shared" si="365"/>
        <v>8858.4745762711809</v>
      </c>
      <c r="AF177" s="41">
        <f t="shared" si="366"/>
        <v>8858.4745762711809</v>
      </c>
      <c r="AG177" s="32"/>
      <c r="AH177" s="419"/>
      <c r="AI177" s="289" t="s">
        <v>299</v>
      </c>
      <c r="AJ177" s="289" t="s">
        <v>290</v>
      </c>
      <c r="AK177" s="289" t="s">
        <v>1183</v>
      </c>
      <c r="AL177" s="309">
        <v>9767.7796610169444</v>
      </c>
      <c r="AM177" s="299">
        <f t="shared" si="367"/>
        <v>8858.4745762711809</v>
      </c>
      <c r="AN177" s="300">
        <f t="shared" si="368"/>
        <v>909.30508474576345</v>
      </c>
    </row>
    <row r="178" spans="1:40" ht="15.75" hidden="1" customHeight="1" outlineLevel="1" x14ac:dyDescent="0.2">
      <c r="A178" s="42" t="s">
        <v>837</v>
      </c>
      <c r="B178" s="42" t="s">
        <v>838</v>
      </c>
      <c r="C178" s="79" t="s">
        <v>1</v>
      </c>
      <c r="D178" s="293" t="s">
        <v>1183</v>
      </c>
      <c r="E178" s="47">
        <f>ROUND(SUMIF('Target Achieved- Input'!$B$93:$B$182,'Incentive Report- Output'!B178,'Target Achieved- Input'!$G$93:$G$182),0)</f>
        <v>70</v>
      </c>
      <c r="F178" s="47">
        <f>ROUND(SUMIF('Target Achieved- Input'!$B$93:$B$182,'Incentive Report- Output'!B178,'Target Achieved- Input'!$H$93:$H$182),0)</f>
        <v>91</v>
      </c>
      <c r="G178" s="47">
        <f>SUMIF('Target Achieved- Input'!$L$93:$L$182,'Incentive Report- Output'!B178,'Target Achieved- Input'!$O$93:$O$182)</f>
        <v>35</v>
      </c>
      <c r="H178" s="39">
        <f>SUMIF('Target Achieved- Input'!$S$93:$S$182,'Incentive Report- Output'!B178,'Target Achieved- Input'!$V$93:$V$182)</f>
        <v>26</v>
      </c>
      <c r="I178" s="48">
        <f>SUMIF('Target Achieved- Input'!$L$93:$L$182,'Incentive Report- Output'!B178,'Target Achieved- Input'!$AC$93:$AC$182)</f>
        <v>0</v>
      </c>
      <c r="J178" s="39">
        <f t="shared" si="359"/>
        <v>9</v>
      </c>
      <c r="K178" s="40">
        <f t="shared" si="360"/>
        <v>0.12857142857142856</v>
      </c>
      <c r="L178" s="41">
        <f t="shared" si="361"/>
        <v>2310000</v>
      </c>
      <c r="M178" s="41">
        <f>SUMIF('Target Achieved- Input'!$L$93:$L$182,'Incentive Report- Output'!B178,'Target Achieved- Input'!$M$93:$M$182)</f>
        <v>1454965</v>
      </c>
      <c r="N178" s="41">
        <f>SUMIF('Target Achieved- Input'!$S$93:$S$182,'Incentive Report- Output'!B178,'Target Achieved- Input'!$U$93:$U$182)</f>
        <v>937816.94915254239</v>
      </c>
      <c r="O178" s="41">
        <f>SUMIF('Target Achieved- Input'!$L$93:$L$182,'Incentive Report- Output'!B178,'Target Achieved- Input'!$N$93:$N$182)-N178</f>
        <v>295204.23728813569</v>
      </c>
      <c r="P178" s="40">
        <f t="shared" si="362"/>
        <v>0.12779404211607606</v>
      </c>
      <c r="Q178" s="40">
        <f t="shared" ref="Q178:Q179" si="369">P178</f>
        <v>0.12779404211607606</v>
      </c>
      <c r="R178" s="40">
        <v>0</v>
      </c>
      <c r="S178" s="49">
        <f>(LOOKUP(Q178,Policy!$L$12:$M$16)+R178)*O178</f>
        <v>0</v>
      </c>
      <c r="T178" s="185"/>
      <c r="U178" s="156"/>
      <c r="V178" s="51"/>
      <c r="W178" s="156"/>
      <c r="X178" s="386"/>
      <c r="Y178" s="386"/>
      <c r="Z178" s="386"/>
      <c r="AA178" s="52">
        <v>0</v>
      </c>
      <c r="AB178" s="52">
        <v>0</v>
      </c>
      <c r="AC178" s="52">
        <v>0</v>
      </c>
      <c r="AD178" s="41">
        <f t="shared" si="364"/>
        <v>0</v>
      </c>
      <c r="AE178" s="41">
        <f t="shared" si="365"/>
        <v>0</v>
      </c>
      <c r="AF178" s="41">
        <f t="shared" si="366"/>
        <v>0</v>
      </c>
      <c r="AG178" s="32"/>
      <c r="AH178" s="419"/>
      <c r="AI178" s="289" t="s">
        <v>837</v>
      </c>
      <c r="AJ178" s="289" t="s">
        <v>838</v>
      </c>
      <c r="AK178" s="289" t="s">
        <v>1183</v>
      </c>
      <c r="AL178" s="309">
        <v>6165.1059322033907</v>
      </c>
      <c r="AM178" s="299">
        <f t="shared" si="367"/>
        <v>0</v>
      </c>
      <c r="AN178" s="300">
        <f t="shared" si="368"/>
        <v>6165.1059322033907</v>
      </c>
    </row>
    <row r="179" spans="1:40" ht="15.75" hidden="1" customHeight="1" outlineLevel="1" x14ac:dyDescent="0.2">
      <c r="A179" s="42" t="s">
        <v>221</v>
      </c>
      <c r="B179" s="42" t="s">
        <v>45</v>
      </c>
      <c r="C179" s="79" t="s">
        <v>1</v>
      </c>
      <c r="D179" s="293" t="s">
        <v>1183</v>
      </c>
      <c r="E179" s="47">
        <f>ROUND(SUMIF('Target Achieved- Input'!$B$93:$B$182,'Incentive Report- Output'!B179,'Target Achieved- Input'!$G$93:$G$182),0)</f>
        <v>80</v>
      </c>
      <c r="F179" s="47">
        <f>ROUND(SUMIF('Target Achieved- Input'!$B$93:$B$182,'Incentive Report- Output'!B179,'Target Achieved- Input'!$H$93:$H$182),0)</f>
        <v>104</v>
      </c>
      <c r="G179" s="47">
        <f>SUMIF('Target Achieved- Input'!$L$93:$L$182,'Incentive Report- Output'!B179,'Target Achieved- Input'!$O$93:$O$182)</f>
        <v>79</v>
      </c>
      <c r="H179" s="39">
        <f>SUMIF('Target Achieved- Input'!$S$93:$S$182,'Incentive Report- Output'!B179,'Target Achieved- Input'!$V$93:$V$182)</f>
        <v>2</v>
      </c>
      <c r="I179" s="48">
        <f>SUMIF('Target Achieved- Input'!$L$93:$L$182,'Incentive Report- Output'!B179,'Target Achieved- Input'!$AC$93:$AC$182)</f>
        <v>1</v>
      </c>
      <c r="J179" s="39">
        <f t="shared" si="359"/>
        <v>77</v>
      </c>
      <c r="K179" s="40">
        <f t="shared" si="360"/>
        <v>0.96250000000000002</v>
      </c>
      <c r="L179" s="41">
        <f t="shared" si="361"/>
        <v>2640000</v>
      </c>
      <c r="M179" s="41">
        <f>SUMIF('Target Achieved- Input'!$L$93:$L$182,'Incentive Report- Output'!B179,'Target Achieved- Input'!$M$93:$M$182)</f>
        <v>2920771</v>
      </c>
      <c r="N179" s="41">
        <f>SUMIF('Target Achieved- Input'!$S$93:$S$182,'Incentive Report- Output'!B179,'Target Achieved- Input'!$U$93:$U$182)</f>
        <v>64659.322033898301</v>
      </c>
      <c r="O179" s="41">
        <f>SUMIF('Target Achieved- Input'!$L$93:$L$182,'Incentive Report- Output'!B179,'Target Achieved- Input'!$N$93:$N$182)-N179</f>
        <v>2410570.3389830487</v>
      </c>
      <c r="P179" s="40">
        <f t="shared" si="362"/>
        <v>0.91309482537236697</v>
      </c>
      <c r="Q179" s="40">
        <f t="shared" si="369"/>
        <v>0.91309482537236697</v>
      </c>
      <c r="R179" s="40">
        <v>0</v>
      </c>
      <c r="S179" s="49">
        <f>(LOOKUP(Q179,Policy!$L$12:$M$16)+R179)*O179</f>
        <v>24105.703389830487</v>
      </c>
      <c r="T179" s="191"/>
      <c r="U179" s="192"/>
      <c r="V179" s="144"/>
      <c r="W179" s="192"/>
      <c r="X179" s="386"/>
      <c r="Y179" s="386"/>
      <c r="Z179" s="386"/>
      <c r="AA179" s="52">
        <v>0</v>
      </c>
      <c r="AB179" s="52">
        <v>0</v>
      </c>
      <c r="AC179" s="52">
        <v>0</v>
      </c>
      <c r="AD179" s="41">
        <f t="shared" si="364"/>
        <v>0</v>
      </c>
      <c r="AE179" s="41">
        <f t="shared" si="365"/>
        <v>24105.703389830487</v>
      </c>
      <c r="AF179" s="41">
        <f t="shared" si="366"/>
        <v>24105.703389830487</v>
      </c>
      <c r="AG179" s="32"/>
      <c r="AH179" s="419"/>
      <c r="AI179" s="289" t="s">
        <v>221</v>
      </c>
      <c r="AJ179" s="289" t="s">
        <v>45</v>
      </c>
      <c r="AK179" s="289" t="s">
        <v>1183</v>
      </c>
      <c r="AL179" s="309">
        <v>24752.296610169473</v>
      </c>
      <c r="AM179" s="299">
        <f t="shared" si="367"/>
        <v>24105.703389830487</v>
      </c>
      <c r="AN179" s="300">
        <f t="shared" si="368"/>
        <v>646.5932203389857</v>
      </c>
    </row>
    <row r="180" spans="1:40" ht="15.75" hidden="1" customHeight="1" outlineLevel="1" x14ac:dyDescent="0.2">
      <c r="A180" s="42" t="s">
        <v>1165</v>
      </c>
      <c r="B180" s="42" t="s">
        <v>1166</v>
      </c>
      <c r="C180" s="79" t="s">
        <v>1</v>
      </c>
      <c r="D180" s="293" t="s">
        <v>1183</v>
      </c>
      <c r="E180" s="47">
        <f>ROUND(SUMIF('Target Achieved- Input'!$B$93:$B$182,'Incentive Report- Output'!B180,'Target Achieved- Input'!$G$93:$G$182),0)</f>
        <v>70</v>
      </c>
      <c r="F180" s="47">
        <f>ROUND(SUMIF('Target Achieved- Input'!$B$93:$B$182,'Incentive Report- Output'!B180,'Target Achieved- Input'!$H$93:$H$182),0)</f>
        <v>91</v>
      </c>
      <c r="G180" s="47">
        <f>SUMIF('Target Achieved- Input'!$L$93:$L$182,'Incentive Report- Output'!B180,'Target Achieved- Input'!$O$93:$O$182)</f>
        <v>56</v>
      </c>
      <c r="H180" s="39">
        <f>SUMIF('Target Achieved- Input'!$S$93:$S$182,'Incentive Report- Output'!B180,'Target Achieved- Input'!$V$93:$V$182)</f>
        <v>4</v>
      </c>
      <c r="I180" s="48">
        <f>SUMIF('Target Achieved- Input'!$L$93:$L$182,'Incentive Report- Output'!B180,'Target Achieved- Input'!$AC$93:$AC$182)</f>
        <v>0</v>
      </c>
      <c r="J180" s="39">
        <f t="shared" si="359"/>
        <v>52</v>
      </c>
      <c r="K180" s="40">
        <f t="shared" si="360"/>
        <v>0.74285714285714288</v>
      </c>
      <c r="L180" s="41">
        <f t="shared" si="361"/>
        <v>2310000</v>
      </c>
      <c r="M180" s="41">
        <f>SUMIF('Target Achieved- Input'!$L$93:$L$182,'Incentive Report- Output'!B180,'Target Achieved- Input'!$M$93:$M$182)</f>
        <v>2355494</v>
      </c>
      <c r="N180" s="41">
        <f>SUMIF('Target Achieved- Input'!$S$93:$S$182,'Incentive Report- Output'!B180,'Target Achieved- Input'!$U$93:$U$182)</f>
        <v>163810.16949152542</v>
      </c>
      <c r="O180" s="41">
        <f>SUMIF('Target Achieved- Input'!$L$93:$L$182,'Incentive Report- Output'!B180,'Target Achieved- Input'!$N$93:$N$182)-N180</f>
        <v>1832371.1864406781</v>
      </c>
      <c r="P180" s="40">
        <f t="shared" si="362"/>
        <v>0.79323427984444939</v>
      </c>
      <c r="Q180" s="40">
        <f t="shared" si="363"/>
        <v>0.79323427984444939</v>
      </c>
      <c r="R180" s="40">
        <v>0</v>
      </c>
      <c r="S180" s="49">
        <f>(LOOKUP(Q180,Policy!$L$12:$M$16)+R180)*O180</f>
        <v>9161.8559322033907</v>
      </c>
      <c r="T180" s="185"/>
      <c r="U180" s="156"/>
      <c r="V180" s="51"/>
      <c r="W180" s="156"/>
      <c r="X180" s="387"/>
      <c r="Y180" s="387"/>
      <c r="Z180" s="387"/>
      <c r="AA180" s="52">
        <v>0</v>
      </c>
      <c r="AB180" s="52">
        <v>0</v>
      </c>
      <c r="AC180" s="52">
        <v>0</v>
      </c>
      <c r="AD180" s="41">
        <f t="shared" si="364"/>
        <v>0</v>
      </c>
      <c r="AE180" s="41">
        <f t="shared" si="365"/>
        <v>9161.8559322033907</v>
      </c>
      <c r="AF180" s="41">
        <f t="shared" si="366"/>
        <v>9161.8559322033907</v>
      </c>
      <c r="AG180" s="32"/>
      <c r="AH180" s="419"/>
      <c r="AI180" s="289" t="s">
        <v>1165</v>
      </c>
      <c r="AJ180" s="289" t="s">
        <v>1166</v>
      </c>
      <c r="AK180" s="289" t="s">
        <v>1183</v>
      </c>
      <c r="AL180" s="309">
        <v>19961.813559322036</v>
      </c>
      <c r="AM180" s="299">
        <f t="shared" si="367"/>
        <v>9161.8559322033907</v>
      </c>
      <c r="AN180" s="300">
        <f t="shared" si="368"/>
        <v>10799.957627118645</v>
      </c>
    </row>
    <row r="181" spans="1:40" ht="15.75" hidden="1" customHeight="1" outlineLevel="1" x14ac:dyDescent="0.2">
      <c r="A181" s="109" t="s">
        <v>6</v>
      </c>
      <c r="B181" s="109"/>
      <c r="C181" s="109"/>
      <c r="D181" s="292" t="s">
        <v>1183</v>
      </c>
      <c r="E181" s="88">
        <f>SUM(E175:E180)</f>
        <v>450</v>
      </c>
      <c r="F181" s="88">
        <f t="shared" ref="F181:J181" si="370">SUM(F175:F180)</f>
        <v>585</v>
      </c>
      <c r="G181" s="88">
        <f t="shared" si="370"/>
        <v>317</v>
      </c>
      <c r="H181" s="88">
        <f t="shared" si="370"/>
        <v>64</v>
      </c>
      <c r="I181" s="88">
        <f t="shared" si="370"/>
        <v>5</v>
      </c>
      <c r="J181" s="88">
        <f t="shared" si="370"/>
        <v>253</v>
      </c>
      <c r="K181" s="88"/>
      <c r="L181" s="88">
        <f t="shared" ref="L181:O181" si="371">SUM(L175:L180)</f>
        <v>14850000</v>
      </c>
      <c r="M181" s="88">
        <f t="shared" si="371"/>
        <v>13062183</v>
      </c>
      <c r="N181" s="88">
        <f t="shared" si="371"/>
        <v>2417911.8644067799</v>
      </c>
      <c r="O181" s="88">
        <f t="shared" si="371"/>
        <v>8651734.7457627095</v>
      </c>
      <c r="P181" s="88"/>
      <c r="Q181" s="88"/>
      <c r="R181" s="88"/>
      <c r="S181" s="88">
        <f t="shared" ref="S181:W181" si="372">SUM(S175:S180)</f>
        <v>49359.135593220315</v>
      </c>
      <c r="T181" s="88">
        <f t="shared" si="372"/>
        <v>0</v>
      </c>
      <c r="U181" s="88">
        <f t="shared" si="372"/>
        <v>0</v>
      </c>
      <c r="V181" s="88">
        <f t="shared" si="372"/>
        <v>0</v>
      </c>
      <c r="W181" s="88">
        <f t="shared" si="372"/>
        <v>0</v>
      </c>
      <c r="X181" s="88">
        <f>SUM(X176:X180)</f>
        <v>0</v>
      </c>
      <c r="Y181" s="88">
        <f>SUM(Y176:Y180)</f>
        <v>0</v>
      </c>
      <c r="Z181" s="88">
        <f>SUM(Z176:Z180)</f>
        <v>0</v>
      </c>
      <c r="AA181" s="88">
        <f t="shared" ref="AA181:AF181" si="373">SUM(AA175:AA180)</f>
        <v>0</v>
      </c>
      <c r="AB181" s="88">
        <f t="shared" si="373"/>
        <v>0</v>
      </c>
      <c r="AC181" s="88">
        <f t="shared" si="373"/>
        <v>0</v>
      </c>
      <c r="AD181" s="88">
        <f t="shared" si="373"/>
        <v>0</v>
      </c>
      <c r="AE181" s="88">
        <f t="shared" si="373"/>
        <v>49359.135593220315</v>
      </c>
      <c r="AF181" s="88">
        <f t="shared" si="373"/>
        <v>49359.135593220315</v>
      </c>
      <c r="AG181" s="31"/>
      <c r="AH181" s="419"/>
      <c r="AI181" s="43" t="s">
        <v>6</v>
      </c>
      <c r="AJ181" s="43"/>
      <c r="AK181" s="43" t="s">
        <v>1183</v>
      </c>
      <c r="AL181" s="307">
        <v>77705.288135593204</v>
      </c>
      <c r="AM181" s="307">
        <f>SUM(AM175:AM180)</f>
        <v>49359.135593220315</v>
      </c>
      <c r="AN181" s="307">
        <f>SUM(AN176:AN180)</f>
        <v>19924.745762711871</v>
      </c>
    </row>
    <row r="182" spans="1:40" ht="15.75" hidden="1" customHeight="1" outlineLevel="1" x14ac:dyDescent="0.2">
      <c r="A182" s="42" t="s">
        <v>216</v>
      </c>
      <c r="B182" s="42" t="s">
        <v>18</v>
      </c>
      <c r="C182" s="42" t="s">
        <v>0</v>
      </c>
      <c r="D182" s="293" t="s">
        <v>1184</v>
      </c>
      <c r="E182" s="47">
        <f>ROUND(SUMIF('Target Achieved- Input'!$B$93:$B$182,'Incentive Report- Output'!B182,'Target Achieved- Input'!$G$93:$G$182),0)</f>
        <v>70</v>
      </c>
      <c r="F182" s="47">
        <f>ROUND(SUMIF('Target Achieved- Input'!$B$93:$B$182,'Incentive Report- Output'!B182,'Target Achieved- Input'!$H$93:$H$182),0)</f>
        <v>91</v>
      </c>
      <c r="G182" s="47">
        <f>SUMIF('Target Achieved- Input'!$L$93:$L$182,'Incentive Report- Output'!B182,'Target Achieved- Input'!$O$93:$O$182)</f>
        <v>30</v>
      </c>
      <c r="H182" s="39">
        <f>SUMIF('Target Achieved- Input'!$S$93:$S$182,'Incentive Report- Output'!B182,'Target Achieved- Input'!$V$93:$V$182)</f>
        <v>14</v>
      </c>
      <c r="I182" s="48">
        <f>SUMIF('Target Achieved- Input'!$L$93:$L$182,'Incentive Report- Output'!B182,'Target Achieved- Input'!$AC$93:$AC$182)</f>
        <v>0</v>
      </c>
      <c r="J182" s="39">
        <f t="shared" ref="J182:J186" si="374">G182-H182</f>
        <v>16</v>
      </c>
      <c r="K182" s="40">
        <f t="shared" ref="K182:K186" si="375">IFERROR(J182/E182,0)</f>
        <v>0.22857142857142856</v>
      </c>
      <c r="L182" s="41">
        <f t="shared" ref="L182:L186" si="376">E182*33000</f>
        <v>2310000</v>
      </c>
      <c r="M182" s="41">
        <f>SUMIF('Target Achieved- Input'!$L$93:$L$182,'Incentive Report- Output'!B182,'Target Achieved- Input'!$M$93:$M$182)</f>
        <v>1447520</v>
      </c>
      <c r="N182" s="41">
        <f>SUMIF('Target Achieved- Input'!$S$93:$S$182,'Incentive Report- Output'!B182,'Target Achieved- Input'!$U$93:$U$182)</f>
        <v>554861.01694915257</v>
      </c>
      <c r="O182" s="41">
        <f>SUMIF('Target Achieved- Input'!$L$93:$L$182,'Incentive Report- Output'!B182,'Target Achieved- Input'!$N$93:$N$182)-N182</f>
        <v>671850.84745762683</v>
      </c>
      <c r="P182" s="40">
        <f t="shared" ref="P182:P186" si="377">IFERROR(O182/L182,0)</f>
        <v>0.29084452270892935</v>
      </c>
      <c r="Q182" s="40">
        <f t="shared" ref="Q182:Q186" si="378">MAX(P182,K182)</f>
        <v>0.29084452270892935</v>
      </c>
      <c r="R182" s="40">
        <v>0</v>
      </c>
      <c r="S182" s="49">
        <f>(LOOKUP(Q182,Policy!$L$12:$M$16)+R182)*O182</f>
        <v>0</v>
      </c>
      <c r="T182" s="191"/>
      <c r="U182" s="192"/>
      <c r="V182" s="144"/>
      <c r="W182" s="192"/>
      <c r="X182" s="385"/>
      <c r="Y182" s="385"/>
      <c r="Z182" s="388"/>
      <c r="AA182" s="52">
        <v>0</v>
      </c>
      <c r="AB182" s="52">
        <v>0</v>
      </c>
      <c r="AC182" s="52">
        <v>0</v>
      </c>
      <c r="AD182" s="41">
        <f t="shared" ref="AD182:AD186" si="379">IF(AF182&gt;200000,AF182-200000,0)</f>
        <v>0</v>
      </c>
      <c r="AE182" s="41">
        <f t="shared" ref="AE182:AE186" si="380">AF182-AD182</f>
        <v>0</v>
      </c>
      <c r="AF182" s="41">
        <f>S182+W182+AB182+AC182</f>
        <v>0</v>
      </c>
      <c r="AG182" s="32"/>
      <c r="AH182" s="419"/>
      <c r="AI182" s="289" t="s">
        <v>216</v>
      </c>
      <c r="AJ182" s="289" t="s">
        <v>18</v>
      </c>
      <c r="AK182" s="289" t="s">
        <v>1184</v>
      </c>
      <c r="AL182" s="309">
        <v>6133.5593220338969</v>
      </c>
      <c r="AM182" s="299">
        <f t="shared" ref="AM182:AM186" si="381">AF182</f>
        <v>0</v>
      </c>
      <c r="AN182" s="300">
        <f t="shared" ref="AN182:AN186" si="382">AL182-AM182</f>
        <v>6133.5593220338969</v>
      </c>
    </row>
    <row r="183" spans="1:40" ht="15.75" hidden="1" customHeight="1" outlineLevel="1" x14ac:dyDescent="0.2">
      <c r="A183" s="42" t="s">
        <v>701</v>
      </c>
      <c r="B183" s="42" t="s">
        <v>702</v>
      </c>
      <c r="C183" s="79" t="s">
        <v>1</v>
      </c>
      <c r="D183" s="293" t="s">
        <v>1184</v>
      </c>
      <c r="E183" s="47">
        <f>ROUND(SUMIF('Target Achieved- Input'!$B$93:$B$182,'Incentive Report- Output'!B183,'Target Achieved- Input'!$G$93:$G$182),0)</f>
        <v>70</v>
      </c>
      <c r="F183" s="47">
        <f>ROUND(SUMIF('Target Achieved- Input'!$B$93:$B$182,'Incentive Report- Output'!B183,'Target Achieved- Input'!$H$93:$H$182),0)</f>
        <v>91</v>
      </c>
      <c r="G183" s="47">
        <f>SUMIF('Target Achieved- Input'!$L$93:$L$182,'Incentive Report- Output'!B183,'Target Achieved- Input'!$O$93:$O$182)</f>
        <v>12</v>
      </c>
      <c r="H183" s="39">
        <f>SUMIF('Target Achieved- Input'!$S$93:$S$182,'Incentive Report- Output'!B183,'Target Achieved- Input'!$V$93:$V$182)</f>
        <v>3</v>
      </c>
      <c r="I183" s="48">
        <f>SUMIF('Target Achieved- Input'!$L$93:$L$182,'Incentive Report- Output'!B183,'Target Achieved- Input'!$AC$93:$AC$182)</f>
        <v>0</v>
      </c>
      <c r="J183" s="39">
        <f t="shared" si="374"/>
        <v>9</v>
      </c>
      <c r="K183" s="40">
        <f t="shared" si="375"/>
        <v>0.12857142857142856</v>
      </c>
      <c r="L183" s="41">
        <f t="shared" si="376"/>
        <v>2310000</v>
      </c>
      <c r="M183" s="41">
        <f>SUMIF('Target Achieved- Input'!$L$93:$L$182,'Incentive Report- Output'!B183,'Target Achieved- Input'!$M$93:$M$182)</f>
        <v>635988</v>
      </c>
      <c r="N183" s="41">
        <f>SUMIF('Target Achieved- Input'!$S$93:$S$182,'Incentive Report- Output'!B183,'Target Achieved- Input'!$U$93:$U$182)</f>
        <v>91522.881355932201</v>
      </c>
      <c r="O183" s="41">
        <f>SUMIF('Target Achieved- Input'!$L$93:$L$182,'Incentive Report- Output'!B183,'Target Achieved- Input'!$N$93:$N$182)-N183</f>
        <v>447450</v>
      </c>
      <c r="P183" s="40">
        <f t="shared" si="377"/>
        <v>0.19370129870129871</v>
      </c>
      <c r="Q183" s="40">
        <f t="shared" si="378"/>
        <v>0.19370129870129871</v>
      </c>
      <c r="R183" s="40">
        <v>0</v>
      </c>
      <c r="S183" s="49">
        <f>(LOOKUP(Q183,Policy!$L$12:$M$16)+R183)*O183</f>
        <v>0</v>
      </c>
      <c r="T183" s="191"/>
      <c r="U183" s="192"/>
      <c r="V183" s="144"/>
      <c r="W183" s="192"/>
      <c r="X183" s="386"/>
      <c r="Y183" s="386"/>
      <c r="Z183" s="389"/>
      <c r="AA183" s="52">
        <v>0</v>
      </c>
      <c r="AB183" s="52">
        <v>0</v>
      </c>
      <c r="AC183" s="52">
        <v>0</v>
      </c>
      <c r="AD183" s="41">
        <f t="shared" si="379"/>
        <v>0</v>
      </c>
      <c r="AE183" s="41">
        <f t="shared" si="380"/>
        <v>0</v>
      </c>
      <c r="AF183" s="41">
        <f>S183+W183+AB183+AC183</f>
        <v>0</v>
      </c>
      <c r="AG183" s="32"/>
      <c r="AH183" s="419"/>
      <c r="AI183" s="289" t="s">
        <v>701</v>
      </c>
      <c r="AJ183" s="289" t="s">
        <v>702</v>
      </c>
      <c r="AK183" s="289" t="s">
        <v>1184</v>
      </c>
      <c r="AL183" s="309">
        <v>0</v>
      </c>
      <c r="AM183" s="299">
        <f t="shared" si="381"/>
        <v>0</v>
      </c>
      <c r="AN183" s="300">
        <f t="shared" si="382"/>
        <v>0</v>
      </c>
    </row>
    <row r="184" spans="1:40" ht="15.75" hidden="1" customHeight="1" outlineLevel="1" x14ac:dyDescent="0.2">
      <c r="A184" s="42" t="s">
        <v>671</v>
      </c>
      <c r="B184" s="42" t="s">
        <v>200</v>
      </c>
      <c r="C184" s="79" t="s">
        <v>1</v>
      </c>
      <c r="D184" s="293" t="s">
        <v>1184</v>
      </c>
      <c r="E184" s="47">
        <f>ROUND(SUMIF('Target Achieved- Input'!$B$93:$B$182,'Incentive Report- Output'!B184,'Target Achieved- Input'!$G$93:$G$182),0)</f>
        <v>75</v>
      </c>
      <c r="F184" s="47">
        <f>ROUND(SUMIF('Target Achieved- Input'!$B$93:$B$182,'Incentive Report- Output'!B184,'Target Achieved- Input'!$H$93:$H$182),0)</f>
        <v>98</v>
      </c>
      <c r="G184" s="47">
        <f>SUMIF('Target Achieved- Input'!$L$93:$L$182,'Incentive Report- Output'!B184,'Target Achieved- Input'!$O$93:$O$182)</f>
        <v>18</v>
      </c>
      <c r="H184" s="39">
        <f>SUMIF('Target Achieved- Input'!$S$93:$S$182,'Incentive Report- Output'!B184,'Target Achieved- Input'!$V$93:$V$182)</f>
        <v>1</v>
      </c>
      <c r="I184" s="48">
        <f>SUMIF('Target Achieved- Input'!$L$93:$L$182,'Incentive Report- Output'!B184,'Target Achieved- Input'!$AC$93:$AC$182)</f>
        <v>4</v>
      </c>
      <c r="J184" s="39">
        <f t="shared" si="374"/>
        <v>17</v>
      </c>
      <c r="K184" s="40">
        <f t="shared" si="375"/>
        <v>0.22666666666666666</v>
      </c>
      <c r="L184" s="41">
        <f t="shared" si="376"/>
        <v>2475000</v>
      </c>
      <c r="M184" s="41">
        <f>SUMIF('Target Achieved- Input'!$L$93:$L$182,'Incentive Report- Output'!B184,'Target Achieved- Input'!$M$93:$M$182)</f>
        <v>775582</v>
      </c>
      <c r="N184" s="41">
        <f>SUMIF('Target Achieved- Input'!$S$93:$S$182,'Incentive Report- Output'!B184,'Target Achieved- Input'!$U$93:$U$182)</f>
        <v>33558.47457627119</v>
      </c>
      <c r="O184" s="41">
        <f>SUMIF('Target Achieved- Input'!$L$93:$L$182,'Incentive Report- Output'!B184,'Target Achieved- Input'!$N$93:$N$182)-N184</f>
        <v>623714.40677966108</v>
      </c>
      <c r="P184" s="40">
        <f t="shared" si="377"/>
        <v>0.25200582092107521</v>
      </c>
      <c r="Q184" s="40">
        <f t="shared" si="378"/>
        <v>0.25200582092107521</v>
      </c>
      <c r="R184" s="40">
        <v>0</v>
      </c>
      <c r="S184" s="49">
        <f>(LOOKUP(Q184,Policy!$L$12:$M$16)+R184)*O184</f>
        <v>0</v>
      </c>
      <c r="T184" s="185"/>
      <c r="U184" s="156"/>
      <c r="V184" s="51"/>
      <c r="W184" s="156"/>
      <c r="X184" s="386"/>
      <c r="Y184" s="386"/>
      <c r="Z184" s="389"/>
      <c r="AA184" s="52">
        <v>0</v>
      </c>
      <c r="AB184" s="52">
        <v>0</v>
      </c>
      <c r="AC184" s="52">
        <v>0</v>
      </c>
      <c r="AD184" s="41">
        <f t="shared" si="379"/>
        <v>0</v>
      </c>
      <c r="AE184" s="41">
        <f t="shared" si="380"/>
        <v>0</v>
      </c>
      <c r="AF184" s="41">
        <f>S184+W184+AB184+AC184</f>
        <v>0</v>
      </c>
      <c r="AG184" s="32"/>
      <c r="AH184" s="419"/>
      <c r="AI184" s="289" t="s">
        <v>671</v>
      </c>
      <c r="AJ184" s="289" t="s">
        <v>200</v>
      </c>
      <c r="AK184" s="289" t="s">
        <v>1184</v>
      </c>
      <c r="AL184" s="309">
        <v>0</v>
      </c>
      <c r="AM184" s="299">
        <f t="shared" si="381"/>
        <v>0</v>
      </c>
      <c r="AN184" s="300">
        <f t="shared" si="382"/>
        <v>0</v>
      </c>
    </row>
    <row r="185" spans="1:40" ht="15.75" hidden="1" customHeight="1" outlineLevel="1" x14ac:dyDescent="0.2">
      <c r="A185" s="42" t="s">
        <v>19</v>
      </c>
      <c r="B185" s="42" t="s">
        <v>205</v>
      </c>
      <c r="C185" s="79" t="s">
        <v>1185</v>
      </c>
      <c r="D185" s="293" t="s">
        <v>1184</v>
      </c>
      <c r="E185" s="47">
        <f>ROUND(SUMIF('Target Achieved- Input'!$B$93:$B$182,'Incentive Report- Output'!B185,'Target Achieved- Input'!$G$93:$G$182),0)</f>
        <v>75</v>
      </c>
      <c r="F185" s="47">
        <f>ROUND(SUMIF('Target Achieved- Input'!$B$93:$B$182,'Incentive Report- Output'!B185,'Target Achieved- Input'!$H$93:$H$182),0)</f>
        <v>98</v>
      </c>
      <c r="G185" s="47">
        <f>SUMIF('Target Achieved- Input'!$L$93:$L$182,'Incentive Report- Output'!B185,'Target Achieved- Input'!$O$93:$O$182)</f>
        <v>16</v>
      </c>
      <c r="H185" s="39">
        <f>SUMIF('Target Achieved- Input'!$S$93:$S$182,'Incentive Report- Output'!B185,'Target Achieved- Input'!$V$93:$V$182)</f>
        <v>0</v>
      </c>
      <c r="I185" s="48">
        <f>SUMIF('Target Achieved- Input'!$L$93:$L$182,'Incentive Report- Output'!B185,'Target Achieved- Input'!$AC$93:$AC$182)</f>
        <v>0</v>
      </c>
      <c r="J185" s="39">
        <f t="shared" si="374"/>
        <v>16</v>
      </c>
      <c r="K185" s="40">
        <f t="shared" si="375"/>
        <v>0.21333333333333335</v>
      </c>
      <c r="L185" s="41">
        <f t="shared" si="376"/>
        <v>2475000</v>
      </c>
      <c r="M185" s="41">
        <f>SUMIF('Target Achieved- Input'!$L$93:$L$182,'Incentive Report- Output'!B185,'Target Achieved- Input'!$M$93:$M$182)</f>
        <v>954834</v>
      </c>
      <c r="N185" s="41">
        <f>SUMIF('Target Achieved- Input'!$S$93:$S$182,'Incentive Report- Output'!B185,'Target Achieved- Input'!$U$93:$U$182)</f>
        <v>0</v>
      </c>
      <c r="O185" s="41">
        <f>SUMIF('Target Achieved- Input'!$L$93:$L$182,'Incentive Report- Output'!B185,'Target Achieved- Input'!$N$93:$N$182)-N185</f>
        <v>809181.35593220347</v>
      </c>
      <c r="P185" s="40">
        <f t="shared" si="377"/>
        <v>0.3269419619928095</v>
      </c>
      <c r="Q185" s="40">
        <f t="shared" si="378"/>
        <v>0.3269419619928095</v>
      </c>
      <c r="R185" s="40">
        <v>0</v>
      </c>
      <c r="S185" s="49">
        <f>(LOOKUP(Q185,Policy!$L$12:$M$16)+R185)*O185</f>
        <v>0</v>
      </c>
      <c r="T185" s="191">
        <f>L184</f>
        <v>2475000</v>
      </c>
      <c r="U185" s="192">
        <f>O184</f>
        <v>623714.40677966108</v>
      </c>
      <c r="V185" s="51">
        <f>IFERROR(U185/T185,0)</f>
        <v>0.25200582092107521</v>
      </c>
      <c r="W185" s="156">
        <f>LOOKUP(V185,Policy!$L$18:$M$21)*U185</f>
        <v>0</v>
      </c>
      <c r="X185" s="386"/>
      <c r="Y185" s="386"/>
      <c r="Z185" s="389"/>
      <c r="AA185" s="52">
        <v>0</v>
      </c>
      <c r="AB185" s="52">
        <v>0</v>
      </c>
      <c r="AC185" s="52">
        <v>0</v>
      </c>
      <c r="AD185" s="41">
        <f t="shared" si="379"/>
        <v>0</v>
      </c>
      <c r="AE185" s="41">
        <f t="shared" si="380"/>
        <v>0</v>
      </c>
      <c r="AF185" s="41">
        <f>S185+W185+AB185+AC185</f>
        <v>0</v>
      </c>
      <c r="AG185" s="32"/>
      <c r="AH185" s="419"/>
      <c r="AI185" s="289" t="s">
        <v>19</v>
      </c>
      <c r="AJ185" s="289" t="s">
        <v>205</v>
      </c>
      <c r="AK185" s="289" t="s">
        <v>1184</v>
      </c>
      <c r="AL185" s="309">
        <v>0</v>
      </c>
      <c r="AM185" s="299">
        <f t="shared" si="381"/>
        <v>0</v>
      </c>
      <c r="AN185" s="300">
        <f t="shared" si="382"/>
        <v>0</v>
      </c>
    </row>
    <row r="186" spans="1:40" ht="15.75" hidden="1" customHeight="1" outlineLevel="1" x14ac:dyDescent="0.2">
      <c r="A186" s="42" t="s">
        <v>333</v>
      </c>
      <c r="B186" s="42" t="s">
        <v>340</v>
      </c>
      <c r="C186" s="79" t="s">
        <v>1</v>
      </c>
      <c r="D186" s="293" t="s">
        <v>1184</v>
      </c>
      <c r="E186" s="47">
        <f>ROUND(SUMIF('Target Achieved- Input'!$B$93:$B$182,'Incentive Report- Output'!B186,'Target Achieved- Input'!$G$93:$G$182),0)</f>
        <v>70</v>
      </c>
      <c r="F186" s="47">
        <f>ROUND(SUMIF('Target Achieved- Input'!$B$93:$B$182,'Incentive Report- Output'!B186,'Target Achieved- Input'!$H$93:$H$182),0)</f>
        <v>91</v>
      </c>
      <c r="G186" s="47">
        <f>SUMIF('Target Achieved- Input'!$L$93:$L$182,'Incentive Report- Output'!B186,'Target Achieved- Input'!$O$93:$O$182)</f>
        <v>13</v>
      </c>
      <c r="H186" s="39">
        <f>SUMIF('Target Achieved- Input'!$S$93:$S$182,'Incentive Report- Output'!B186,'Target Achieved- Input'!$V$93:$V$182)</f>
        <v>5</v>
      </c>
      <c r="I186" s="48">
        <f>SUMIF('Target Achieved- Input'!$L$93:$L$182,'Incentive Report- Output'!B186,'Target Achieved- Input'!$AC$93:$AC$182)</f>
        <v>0</v>
      </c>
      <c r="J186" s="39">
        <f t="shared" si="374"/>
        <v>8</v>
      </c>
      <c r="K186" s="40">
        <f t="shared" si="375"/>
        <v>0.11428571428571428</v>
      </c>
      <c r="L186" s="41">
        <f t="shared" si="376"/>
        <v>2310000</v>
      </c>
      <c r="M186" s="41">
        <f>SUMIF('Target Achieved- Input'!$L$93:$L$182,'Incentive Report- Output'!B186,'Target Achieved- Input'!$M$93:$M$182)</f>
        <v>619987</v>
      </c>
      <c r="N186" s="41">
        <f>SUMIF('Target Achieved- Input'!$S$93:$S$182,'Incentive Report- Output'!B186,'Target Achieved- Input'!$U$93:$U$182)</f>
        <v>179233.05084745763</v>
      </c>
      <c r="O186" s="41">
        <f>SUMIF('Target Achieved- Input'!$L$93:$L$182,'Incentive Report- Output'!B186,'Target Achieved- Input'!$N$93:$N$182)-N186</f>
        <v>346179.66101694922</v>
      </c>
      <c r="P186" s="40">
        <f t="shared" si="377"/>
        <v>0.14986132511556244</v>
      </c>
      <c r="Q186" s="40">
        <f t="shared" si="378"/>
        <v>0.14986132511556244</v>
      </c>
      <c r="R186" s="40">
        <v>0</v>
      </c>
      <c r="S186" s="49">
        <f>(LOOKUP(Q186,Policy!$L$12:$M$16)+R186)*O186</f>
        <v>0</v>
      </c>
      <c r="T186" s="185"/>
      <c r="U186" s="156"/>
      <c r="V186" s="51"/>
      <c r="W186" s="156"/>
      <c r="X186" s="387"/>
      <c r="Y186" s="387"/>
      <c r="Z186" s="390"/>
      <c r="AA186" s="52">
        <v>0</v>
      </c>
      <c r="AB186" s="52">
        <v>0</v>
      </c>
      <c r="AC186" s="52">
        <v>0</v>
      </c>
      <c r="AD186" s="41">
        <f t="shared" si="379"/>
        <v>0</v>
      </c>
      <c r="AE186" s="41">
        <f t="shared" si="380"/>
        <v>0</v>
      </c>
      <c r="AF186" s="41">
        <f>S186+W186+AB186+AC186</f>
        <v>0</v>
      </c>
      <c r="AG186" s="32"/>
      <c r="AH186" s="419"/>
      <c r="AI186" s="289" t="s">
        <v>333</v>
      </c>
      <c r="AJ186" s="289" t="s">
        <v>340</v>
      </c>
      <c r="AK186" s="289" t="s">
        <v>1184</v>
      </c>
      <c r="AL186" s="309">
        <v>0</v>
      </c>
      <c r="AM186" s="299">
        <f t="shared" si="381"/>
        <v>0</v>
      </c>
      <c r="AN186" s="300">
        <f t="shared" si="382"/>
        <v>0</v>
      </c>
    </row>
    <row r="187" spans="1:40" ht="15.75" hidden="1" customHeight="1" outlineLevel="1" x14ac:dyDescent="0.2">
      <c r="A187" s="109" t="s">
        <v>6</v>
      </c>
      <c r="B187" s="109"/>
      <c r="C187" s="109"/>
      <c r="D187" s="292" t="s">
        <v>1184</v>
      </c>
      <c r="E187" s="88">
        <f>SUM(E182:E186)</f>
        <v>360</v>
      </c>
      <c r="F187" s="88">
        <f t="shared" ref="F187:J187" si="383">SUM(F182:F186)</f>
        <v>469</v>
      </c>
      <c r="G187" s="88">
        <f t="shared" si="383"/>
        <v>89</v>
      </c>
      <c r="H187" s="88">
        <f t="shared" si="383"/>
        <v>23</v>
      </c>
      <c r="I187" s="88">
        <f t="shared" si="383"/>
        <v>4</v>
      </c>
      <c r="J187" s="88">
        <f t="shared" si="383"/>
        <v>66</v>
      </c>
      <c r="K187" s="88"/>
      <c r="L187" s="88">
        <f t="shared" ref="L187:O187" si="384">SUM(L182:L186)</f>
        <v>11880000</v>
      </c>
      <c r="M187" s="88">
        <f t="shared" si="384"/>
        <v>4433911</v>
      </c>
      <c r="N187" s="88">
        <f t="shared" si="384"/>
        <v>859175.42372881353</v>
      </c>
      <c r="O187" s="88">
        <f t="shared" si="384"/>
        <v>2898376.2711864403</v>
      </c>
      <c r="P187" s="88"/>
      <c r="Q187" s="88"/>
      <c r="R187" s="88"/>
      <c r="S187" s="88">
        <f t="shared" ref="S187:AF187" si="385">SUM(S182:S186)</f>
        <v>0</v>
      </c>
      <c r="T187" s="88">
        <f t="shared" si="385"/>
        <v>2475000</v>
      </c>
      <c r="U187" s="88">
        <f t="shared" si="385"/>
        <v>623714.40677966108</v>
      </c>
      <c r="V187" s="88">
        <f t="shared" si="385"/>
        <v>0.25200582092107521</v>
      </c>
      <c r="W187" s="88">
        <f t="shared" si="385"/>
        <v>0</v>
      </c>
      <c r="X187" s="88">
        <f t="shared" si="385"/>
        <v>0</v>
      </c>
      <c r="Y187" s="88">
        <f t="shared" si="385"/>
        <v>0</v>
      </c>
      <c r="Z187" s="88">
        <f t="shared" si="385"/>
        <v>0</v>
      </c>
      <c r="AA187" s="88">
        <f t="shared" si="385"/>
        <v>0</v>
      </c>
      <c r="AB187" s="88">
        <f t="shared" si="385"/>
        <v>0</v>
      </c>
      <c r="AC187" s="88">
        <f t="shared" si="385"/>
        <v>0</v>
      </c>
      <c r="AD187" s="88">
        <f t="shared" si="385"/>
        <v>0</v>
      </c>
      <c r="AE187" s="88">
        <f t="shared" si="385"/>
        <v>0</v>
      </c>
      <c r="AF187" s="88">
        <f t="shared" si="385"/>
        <v>0</v>
      </c>
      <c r="AG187" s="31"/>
      <c r="AH187" s="419"/>
      <c r="AI187" s="286" t="s">
        <v>6</v>
      </c>
      <c r="AJ187" s="287"/>
      <c r="AK187" s="288" t="s">
        <v>1184</v>
      </c>
      <c r="AL187" s="303">
        <v>6133.5593220338969</v>
      </c>
      <c r="AM187" s="303">
        <f>SUM(AM182:AM186)</f>
        <v>0</v>
      </c>
      <c r="AN187" s="307">
        <f>SUM(AN182:AN186)</f>
        <v>6133.5593220338969</v>
      </c>
    </row>
    <row r="188" spans="1:40" ht="15.75" hidden="1" customHeight="1" outlineLevel="1" x14ac:dyDescent="0.2">
      <c r="A188" s="391" t="s">
        <v>101</v>
      </c>
      <c r="B188" s="391"/>
      <c r="C188" s="391"/>
      <c r="D188" s="392"/>
      <c r="E188" s="106">
        <f t="shared" ref="E188:J188" si="386">E104+E109+E118+E122+E131+E139+E144+E149+E153+E161+E169+E174+E181+E187</f>
        <v>5255</v>
      </c>
      <c r="F188" s="106">
        <f t="shared" si="386"/>
        <v>6837</v>
      </c>
      <c r="G188" s="106">
        <f t="shared" si="386"/>
        <v>3991</v>
      </c>
      <c r="H188" s="106">
        <f t="shared" si="386"/>
        <v>528</v>
      </c>
      <c r="I188" s="106">
        <f t="shared" si="386"/>
        <v>157</v>
      </c>
      <c r="J188" s="106">
        <f t="shared" si="386"/>
        <v>3463</v>
      </c>
      <c r="K188" s="107"/>
      <c r="L188" s="106">
        <f>L104+L109+L118+L122+L131+L139+L144+L149+L153+L161+L169+L174+L181+L187</f>
        <v>173415000</v>
      </c>
      <c r="M188" s="106">
        <f>M104+M109+M118+M122+M131+M139+M144+M149+M153+M161+M169+M174+M181+M187</f>
        <v>167119517</v>
      </c>
      <c r="N188" s="106">
        <f>N104+N109+N118+N122+N131+N139+N144+N149+N153+N161+N169+N174+N181+N187</f>
        <v>19211927.118644066</v>
      </c>
      <c r="O188" s="106">
        <f>O104+O109+O118+O122+O131+O139+O144+O149+O153+O161+O169+O174+O181+O187</f>
        <v>122414782.20338978</v>
      </c>
      <c r="P188" s="107"/>
      <c r="Q188" s="108"/>
      <c r="R188" s="238"/>
      <c r="S188" s="106">
        <f>S104+S109+S118+S122+S131+S139+S144+S149+S153+S161+S169+S174+S181+S187</f>
        <v>1764141.84957627</v>
      </c>
      <c r="T188" s="106">
        <f>T104+T109+T118+T122+T131+T139+T144+T149+T153+T161+T169+T174+T181+T187</f>
        <v>14025000</v>
      </c>
      <c r="U188" s="106">
        <f>U104+U109+U118+U122+U131+U139+U144+U149+U153+U161+U169+U174+U181+U187</f>
        <v>7428806.7796610156</v>
      </c>
      <c r="V188" s="106"/>
      <c r="W188" s="106">
        <f>W104+W109+W118+W122+W131+W139+W144+W149+W153+W161+W169+W174+W181+W187</f>
        <v>0</v>
      </c>
      <c r="X188" s="106">
        <f>X104+X109+X118+X122+X131+X139+X144+X149+X153+X161+X169+X174+X181+X187</f>
        <v>2965</v>
      </c>
      <c r="Y188" s="106">
        <f>Y104+Y109+Y118+Y122+Y131+Y139+Y144+Y149+Y153+Y161+Y169+Y174+Y181+Y187</f>
        <v>2322</v>
      </c>
      <c r="Z188" s="173"/>
      <c r="AA188" s="106">
        <f t="shared" ref="AA188:AF188" si="387">AA104+AA109+AA118+AA122+AA131+AA139+AA144+AA149+AA153+AA161+AA169+AA174+AA181+AA187</f>
        <v>0</v>
      </c>
      <c r="AB188" s="106">
        <f t="shared" si="387"/>
        <v>0</v>
      </c>
      <c r="AC188" s="106">
        <f t="shared" si="387"/>
        <v>0</v>
      </c>
      <c r="AD188" s="106">
        <f t="shared" si="387"/>
        <v>0</v>
      </c>
      <c r="AE188" s="106">
        <f t="shared" si="387"/>
        <v>1764141.84957627</v>
      </c>
      <c r="AF188" s="106">
        <f t="shared" si="387"/>
        <v>1764141.84957627</v>
      </c>
      <c r="AG188" s="31"/>
      <c r="AH188" s="419"/>
      <c r="AI188" s="393" t="s">
        <v>9</v>
      </c>
      <c r="AJ188" s="394"/>
      <c r="AK188" s="395"/>
      <c r="AL188" s="173">
        <v>2028986.1334745749</v>
      </c>
      <c r="AM188" s="173">
        <f>AM104+AM109+AM118+AM122+AM131+AM139+AM144+AM149+AM153+AM161+AM169+AM174+AM181+AM187</f>
        <v>1764141.84957627</v>
      </c>
      <c r="AN188" s="173">
        <f>AN104+AN109+AN118+AN122+AN131+AN139+AN144+AN149+AN153+AN161+AN169+AN174+AN181+AN187</f>
        <v>256422.87711864401</v>
      </c>
    </row>
    <row r="191" spans="1:40" ht="19" collapsed="1" x14ac:dyDescent="0.2">
      <c r="A191" s="155">
        <v>46174</v>
      </c>
      <c r="B191" s="119"/>
      <c r="C191" s="119"/>
      <c r="D191" s="291"/>
      <c r="E191" s="31"/>
      <c r="F191" s="31"/>
      <c r="G191" s="31"/>
      <c r="H191" s="32"/>
      <c r="I191" s="32"/>
      <c r="J191" s="31"/>
      <c r="K191" s="32"/>
      <c r="L191" s="31"/>
      <c r="M191" s="31"/>
      <c r="N191" s="32"/>
      <c r="O191" s="33"/>
      <c r="P191" s="34"/>
      <c r="Q191" s="35"/>
      <c r="R191" s="35"/>
      <c r="S191" s="35"/>
      <c r="T191" s="194"/>
      <c r="U191" s="194"/>
      <c r="V191" s="31"/>
      <c r="W191" s="194"/>
      <c r="X191" s="35"/>
      <c r="Y191" s="35"/>
      <c r="Z191" s="31"/>
      <c r="AA191" s="36"/>
      <c r="AB191" s="31"/>
      <c r="AC191" s="31"/>
      <c r="AD191" s="31"/>
      <c r="AE191" s="35"/>
      <c r="AF191" s="35"/>
      <c r="AG191" s="31"/>
      <c r="AH191" s="31"/>
      <c r="AI191" s="35"/>
      <c r="AJ191" s="35"/>
      <c r="AK191" s="35"/>
      <c r="AL191" s="295"/>
      <c r="AM191" s="295"/>
      <c r="AN191" s="295"/>
    </row>
    <row r="192" spans="1:40" ht="15.75" hidden="1" customHeight="1" outlineLevel="1" x14ac:dyDescent="0.2">
      <c r="A192" s="409" t="s">
        <v>74</v>
      </c>
      <c r="B192" s="410"/>
      <c r="C192" s="411"/>
      <c r="D192" s="412"/>
      <c r="E192" s="413" t="s">
        <v>1</v>
      </c>
      <c r="F192" s="414"/>
      <c r="G192" s="414"/>
      <c r="H192" s="414"/>
      <c r="I192" s="414"/>
      <c r="J192" s="414"/>
      <c r="K192" s="414"/>
      <c r="L192" s="414"/>
      <c r="M192" s="414"/>
      <c r="N192" s="414"/>
      <c r="O192" s="414"/>
      <c r="P192" s="414"/>
      <c r="Q192" s="414"/>
      <c r="R192" s="414"/>
      <c r="S192" s="414"/>
      <c r="T192" s="415" t="s">
        <v>75</v>
      </c>
      <c r="U192" s="414"/>
      <c r="V192" s="414"/>
      <c r="W192" s="414"/>
      <c r="X192" s="416" t="s">
        <v>76</v>
      </c>
      <c r="Y192" s="414"/>
      <c r="Z192" s="414"/>
      <c r="AA192" s="414"/>
      <c r="AB192" s="56" t="s">
        <v>204</v>
      </c>
      <c r="AC192" s="417" t="s">
        <v>2093</v>
      </c>
      <c r="AD192" s="414"/>
      <c r="AE192" s="414"/>
      <c r="AF192" s="418"/>
      <c r="AG192" s="31"/>
      <c r="AH192" s="419" t="s">
        <v>77</v>
      </c>
      <c r="AI192" s="409" t="s">
        <v>74</v>
      </c>
      <c r="AJ192" s="410"/>
      <c r="AK192" s="418"/>
      <c r="AL192" s="420" t="s">
        <v>78</v>
      </c>
      <c r="AM192" s="421"/>
      <c r="AN192" s="422"/>
    </row>
    <row r="193" spans="1:41" s="294" customFormat="1" ht="45" hidden="1" customHeight="1" outlineLevel="1" x14ac:dyDescent="0.2">
      <c r="A193" s="145" t="s">
        <v>79</v>
      </c>
      <c r="B193" s="146" t="s">
        <v>16</v>
      </c>
      <c r="C193" s="146" t="s">
        <v>2</v>
      </c>
      <c r="D193" s="147" t="s">
        <v>3</v>
      </c>
      <c r="E193" s="148" t="s">
        <v>80</v>
      </c>
      <c r="F193" s="149" t="s">
        <v>81</v>
      </c>
      <c r="G193" s="149" t="s">
        <v>215</v>
      </c>
      <c r="H193" s="149" t="s">
        <v>210</v>
      </c>
      <c r="I193" s="243" t="s">
        <v>949</v>
      </c>
      <c r="J193" s="149" t="s">
        <v>83</v>
      </c>
      <c r="K193" s="149" t="s">
        <v>84</v>
      </c>
      <c r="L193" s="149" t="s">
        <v>4</v>
      </c>
      <c r="M193" s="150" t="s">
        <v>213</v>
      </c>
      <c r="N193" s="150" t="s">
        <v>212</v>
      </c>
      <c r="O193" s="150" t="s">
        <v>211</v>
      </c>
      <c r="P193" s="150" t="s">
        <v>5</v>
      </c>
      <c r="Q193" s="149" t="s">
        <v>88</v>
      </c>
      <c r="R193" s="243" t="s">
        <v>950</v>
      </c>
      <c r="S193" s="150" t="s">
        <v>157</v>
      </c>
      <c r="T193" s="183" t="s">
        <v>255</v>
      </c>
      <c r="U193" s="183" t="s">
        <v>256</v>
      </c>
      <c r="V193" s="151" t="s">
        <v>104</v>
      </c>
      <c r="W193" s="183" t="s">
        <v>105</v>
      </c>
      <c r="X193" s="151" t="s">
        <v>90</v>
      </c>
      <c r="Y193" s="151" t="s">
        <v>91</v>
      </c>
      <c r="Z193" s="151" t="s">
        <v>92</v>
      </c>
      <c r="AA193" s="152" t="s">
        <v>93</v>
      </c>
      <c r="AB193" s="152" t="s">
        <v>202</v>
      </c>
      <c r="AC193" s="152" t="s">
        <v>185</v>
      </c>
      <c r="AD193" s="152" t="s">
        <v>95</v>
      </c>
      <c r="AE193" s="152" t="s">
        <v>96</v>
      </c>
      <c r="AF193" s="152" t="s">
        <v>97</v>
      </c>
      <c r="AG193" s="31"/>
      <c r="AH193" s="419"/>
      <c r="AI193" s="38" t="s">
        <v>79</v>
      </c>
      <c r="AJ193" s="38" t="str">
        <f>B193</f>
        <v>Employee ID</v>
      </c>
      <c r="AK193" s="38" t="s">
        <v>3</v>
      </c>
      <c r="AL193" s="297" t="s">
        <v>98</v>
      </c>
      <c r="AM193" s="297" t="s">
        <v>99</v>
      </c>
      <c r="AN193" s="297" t="s">
        <v>100</v>
      </c>
      <c r="AO193" s="298"/>
    </row>
    <row r="194" spans="1:41" ht="15.75" hidden="1" customHeight="1" outlineLevel="1" x14ac:dyDescent="0.2">
      <c r="A194" s="79" t="s">
        <v>191</v>
      </c>
      <c r="B194" s="161" t="s">
        <v>195</v>
      </c>
      <c r="C194" s="79" t="s">
        <v>0</v>
      </c>
      <c r="D194" s="1" t="s">
        <v>663</v>
      </c>
      <c r="E194" s="47">
        <f>ROUND(SUMIF('Target Achieved- Input'!$B$185:$B$275,'Incentive Report- Output'!B194,'Target Achieved- Input'!$G$185:$G$275),0)</f>
        <v>80</v>
      </c>
      <c r="F194" s="47">
        <f>ROUND(SUMIF('Target Achieved- Input'!$B$185:$B$275,'Incentive Report- Output'!B194,'Target Achieved- Input'!$H$185:$H$275),0)</f>
        <v>104</v>
      </c>
      <c r="G194" s="47">
        <f>SUMIF('Target Achieved- Input'!$L$185:$L$275,'Incentive Report- Output'!B194,'Target Achieved- Input'!$O$185:$O$275)</f>
        <v>46</v>
      </c>
      <c r="H194" s="39">
        <f>SUMIF('Target Achieved- Input'!$S$185:$S$275,'Incentive Report- Output'!B194,'Target Achieved- Input'!$V$185:$V$275)</f>
        <v>3</v>
      </c>
      <c r="I194" s="48">
        <f>SUMIF('Target Achieved- Input'!$L$185:$L$275,'Incentive Report- Output'!B194,'Target Achieved- Input'!$AC$185:$AC$275)</f>
        <v>3</v>
      </c>
      <c r="J194" s="39">
        <f>G194-H194</f>
        <v>43</v>
      </c>
      <c r="K194" s="40">
        <f t="shared" ref="K194" si="388">IFERROR(J194/E194,0)</f>
        <v>0.53749999999999998</v>
      </c>
      <c r="L194" s="41">
        <f t="shared" ref="L194" si="389">E194*33000</f>
        <v>2640000</v>
      </c>
      <c r="M194" s="41">
        <f>SUMIF('Target Achieved- Input'!$L$185:$L$275,'Incentive Report- Output'!B194,'Target Achieved- Input'!$M$185:$M$275)</f>
        <v>1682354</v>
      </c>
      <c r="N194" s="41">
        <f>SUMIF('Target Achieved- Input'!$S$185:$S$275,'Incentive Report- Output'!B194,'Target Achieved- Input'!$U$185:$U$275)</f>
        <v>97455.084745762506</v>
      </c>
      <c r="O194" s="41">
        <f>SUMIF('Target Achieved- Input'!$L$185:$L$275,'Incentive Report- Output'!B194,'Target Achieved- Input'!$N$185:$N$275)-N194</f>
        <v>1328268.6440677946</v>
      </c>
      <c r="P194" s="40">
        <f t="shared" ref="P194" si="390">IFERROR(O194/L194,0)</f>
        <v>0.50313206214689188</v>
      </c>
      <c r="Q194" s="40">
        <f>P194</f>
        <v>0.50313206214689188</v>
      </c>
      <c r="R194" s="40">
        <v>0</v>
      </c>
      <c r="S194" s="49">
        <f>(LOOKUP(Q194,Policy!$L$12:$M$16)+R194)*O194</f>
        <v>6641.343220338973</v>
      </c>
      <c r="T194" s="184"/>
      <c r="U194" s="184"/>
      <c r="V194" s="115"/>
      <c r="W194" s="184"/>
      <c r="X194" s="423">
        <f>E199</f>
        <v>360</v>
      </c>
      <c r="Y194" s="423">
        <f>J199</f>
        <v>193</v>
      </c>
      <c r="Z194" s="425">
        <f>Y194/X194</f>
        <v>0.53611111111111109</v>
      </c>
      <c r="AA194" s="52">
        <v>0</v>
      </c>
      <c r="AB194" s="41">
        <v>0</v>
      </c>
      <c r="AC194" s="41">
        <v>0</v>
      </c>
      <c r="AD194" s="41">
        <f t="shared" ref="AD194:AD198" si="391">IF(AF194&gt;200000,AF194-200000,0)</f>
        <v>0</v>
      </c>
      <c r="AE194" s="41">
        <f t="shared" ref="AE194:AE198" si="392">AF194-AD194</f>
        <v>6641.343220338973</v>
      </c>
      <c r="AF194" s="41">
        <f>S194+W194+AB194+AC194</f>
        <v>6641.343220338973</v>
      </c>
      <c r="AG194" s="31"/>
      <c r="AH194" s="419"/>
      <c r="AI194" s="22" t="s">
        <v>191</v>
      </c>
      <c r="AJ194" s="19" t="s">
        <v>195</v>
      </c>
      <c r="AK194" s="195" t="s">
        <v>663</v>
      </c>
      <c r="AL194" s="299">
        <v>7128.6186440677848</v>
      </c>
      <c r="AM194" s="299">
        <f t="shared" ref="AM194:AM198" si="393">AF194</f>
        <v>6641.343220338973</v>
      </c>
      <c r="AN194" s="300">
        <f>AL194-AM194</f>
        <v>487.2754237288118</v>
      </c>
    </row>
    <row r="195" spans="1:41" ht="15.75" hidden="1" customHeight="1" outlineLevel="1" x14ac:dyDescent="0.2">
      <c r="A195" s="79" t="s">
        <v>31</v>
      </c>
      <c r="B195" s="79" t="s">
        <v>32</v>
      </c>
      <c r="C195" s="79" t="s">
        <v>1</v>
      </c>
      <c r="D195" s="1" t="s">
        <v>663</v>
      </c>
      <c r="E195" s="47">
        <f>ROUND(SUMIF('Target Achieved- Input'!$B$185:$B$275,'Incentive Report- Output'!B195,'Target Achieved- Input'!$G$185:$G$275),0)</f>
        <v>70</v>
      </c>
      <c r="F195" s="47">
        <f>ROUND(SUMIF('Target Achieved- Input'!$B$185:$B$275,'Incentive Report- Output'!B195,'Target Achieved- Input'!$H$185:$H$275),0)</f>
        <v>91</v>
      </c>
      <c r="G195" s="47">
        <f>SUMIF('Target Achieved- Input'!$L$185:$L$275,'Incentive Report- Output'!B195,'Target Achieved- Input'!$O$185:$O$275)</f>
        <v>52</v>
      </c>
      <c r="H195" s="39">
        <f>SUMIF('Target Achieved- Input'!$S$185:$S$275,'Incentive Report- Output'!B195,'Target Achieved- Input'!$V$185:$V$275)</f>
        <v>9</v>
      </c>
      <c r="I195" s="48">
        <f>SUMIF('Target Achieved- Input'!$L$185:$L$275,'Incentive Report- Output'!B195,'Target Achieved- Input'!$AC$185:$AC$275)</f>
        <v>2</v>
      </c>
      <c r="J195" s="39">
        <f t="shared" ref="J195:J198" si="394">G195-H195</f>
        <v>43</v>
      </c>
      <c r="K195" s="40">
        <f t="shared" ref="K195:K198" si="395">IFERROR(J195/E195,0)</f>
        <v>0.61428571428571432</v>
      </c>
      <c r="L195" s="41">
        <f t="shared" ref="L195:L198" si="396">E195*33000</f>
        <v>2310000</v>
      </c>
      <c r="M195" s="41">
        <f>SUMIF('Target Achieved- Input'!$L$185:$L$275,'Incentive Report- Output'!B195,'Target Achieved- Input'!$M$185:$M$275)</f>
        <v>2048598</v>
      </c>
      <c r="N195" s="41">
        <f>SUMIF('Target Achieved- Input'!$S$185:$S$275,'Incentive Report- Output'!B195,'Target Achieved- Input'!$U$185:$U$275)</f>
        <v>262916.10169491492</v>
      </c>
      <c r="O195" s="41">
        <f>SUMIF('Target Achieved- Input'!$L$185:$L$275,'Incentive Report- Output'!B195,'Target Achieved- Input'!$N$185:$N$275)-N195</f>
        <v>1473183.8983050832</v>
      </c>
      <c r="P195" s="40">
        <f t="shared" ref="P195:P198" si="397">IFERROR(O195/L195,0)</f>
        <v>0.63774194731821787</v>
      </c>
      <c r="Q195" s="40">
        <f t="shared" ref="Q195:Q196" si="398">MAX(P195,K195)</f>
        <v>0.63774194731821787</v>
      </c>
      <c r="R195" s="40">
        <v>0</v>
      </c>
      <c r="S195" s="49">
        <f>(LOOKUP(Q195,Policy!$L$12:$M$16)+R195)*O195</f>
        <v>7365.9194915254157</v>
      </c>
      <c r="T195" s="184"/>
      <c r="U195" s="184"/>
      <c r="V195" s="40"/>
      <c r="W195" s="53"/>
      <c r="X195" s="424"/>
      <c r="Y195" s="424"/>
      <c r="Z195" s="426"/>
      <c r="AA195" s="55">
        <v>0</v>
      </c>
      <c r="AB195" s="41">
        <v>0</v>
      </c>
      <c r="AC195" s="41">
        <v>0</v>
      </c>
      <c r="AD195" s="41">
        <f t="shared" si="391"/>
        <v>0</v>
      </c>
      <c r="AE195" s="41">
        <f t="shared" si="392"/>
        <v>7365.9194915254157</v>
      </c>
      <c r="AF195" s="41">
        <f>S195+W195+AB195+AC195</f>
        <v>7365.9194915254157</v>
      </c>
      <c r="AG195" s="31"/>
      <c r="AH195" s="419"/>
      <c r="AI195" s="22" t="s">
        <v>31</v>
      </c>
      <c r="AJ195" s="22" t="s">
        <v>32</v>
      </c>
      <c r="AK195" s="195" t="s">
        <v>663</v>
      </c>
      <c r="AL195" s="299">
        <v>8680.4999999999909</v>
      </c>
      <c r="AM195" s="299">
        <f t="shared" si="393"/>
        <v>7365.9194915254157</v>
      </c>
      <c r="AN195" s="300">
        <f t="shared" ref="AN195:AN198" si="399">AL195-AM195</f>
        <v>1314.5805084745753</v>
      </c>
    </row>
    <row r="196" spans="1:41" ht="15.75" hidden="1" customHeight="1" outlineLevel="1" x14ac:dyDescent="0.2">
      <c r="A196" s="79" t="s">
        <v>756</v>
      </c>
      <c r="B196" s="79" t="s">
        <v>757</v>
      </c>
      <c r="C196" s="79" t="s">
        <v>1</v>
      </c>
      <c r="D196" s="1" t="s">
        <v>663</v>
      </c>
      <c r="E196" s="47">
        <f>ROUND(SUMIF('Target Achieved- Input'!$B$185:$B$275,'Incentive Report- Output'!B196,'Target Achieved- Input'!$G$185:$G$275),0)</f>
        <v>70</v>
      </c>
      <c r="F196" s="47">
        <f>ROUND(SUMIF('Target Achieved- Input'!$B$185:$B$275,'Incentive Report- Output'!B196,'Target Achieved- Input'!$H$185:$H$275),0)</f>
        <v>91</v>
      </c>
      <c r="G196" s="47">
        <f>SUMIF('Target Achieved- Input'!$L$185:$L$275,'Incentive Report- Output'!B196,'Target Achieved- Input'!$O$185:$O$275)</f>
        <v>25</v>
      </c>
      <c r="H196" s="39">
        <f>SUMIF('Target Achieved- Input'!$S$185:$S$275,'Incentive Report- Output'!B196,'Target Achieved- Input'!$V$185:$V$275)</f>
        <v>5</v>
      </c>
      <c r="I196" s="48">
        <f>SUMIF('Target Achieved- Input'!$L$185:$L$275,'Incentive Report- Output'!B196,'Target Achieved- Input'!$AC$185:$AC$275)</f>
        <v>0</v>
      </c>
      <c r="J196" s="39">
        <f t="shared" si="394"/>
        <v>20</v>
      </c>
      <c r="K196" s="40">
        <f t="shared" si="395"/>
        <v>0.2857142857142857</v>
      </c>
      <c r="L196" s="41">
        <f t="shared" si="396"/>
        <v>2310000</v>
      </c>
      <c r="M196" s="41">
        <f>SUMIF('Target Achieved- Input'!$L$185:$L$275,'Incentive Report- Output'!B196,'Target Achieved- Input'!$M$185:$M$275)</f>
        <v>993575</v>
      </c>
      <c r="N196" s="41">
        <f>SUMIF('Target Achieved- Input'!$S$185:$S$275,'Incentive Report- Output'!B196,'Target Achieved- Input'!$U$185:$U$275)</f>
        <v>162114.40677966073</v>
      </c>
      <c r="O196" s="41">
        <f>SUMIF('Target Achieved- Input'!$L$185:$L$275,'Incentive Report- Output'!B196,'Target Achieved- Input'!$N$185:$N$275)-N196</f>
        <v>679898.30508474424</v>
      </c>
      <c r="P196" s="40">
        <f t="shared" si="397"/>
        <v>0.29432827059945638</v>
      </c>
      <c r="Q196" s="40">
        <f t="shared" si="398"/>
        <v>0.29432827059945638</v>
      </c>
      <c r="R196" s="40">
        <v>0</v>
      </c>
      <c r="S196" s="49">
        <f>(LOOKUP(Q196,Policy!$L$12:$M$16)+R196)*O196</f>
        <v>0</v>
      </c>
      <c r="T196" s="184"/>
      <c r="U196" s="184"/>
      <c r="V196" s="40"/>
      <c r="W196" s="53"/>
      <c r="X196" s="424"/>
      <c r="Y196" s="424"/>
      <c r="Z196" s="426"/>
      <c r="AA196" s="55">
        <v>0</v>
      </c>
      <c r="AB196" s="41">
        <v>0</v>
      </c>
      <c r="AC196" s="41">
        <v>0</v>
      </c>
      <c r="AD196" s="41">
        <f t="shared" si="391"/>
        <v>0</v>
      </c>
      <c r="AE196" s="41">
        <f t="shared" si="392"/>
        <v>0</v>
      </c>
      <c r="AF196" s="41">
        <f>S196+W196+AB196+AC196</f>
        <v>0</v>
      </c>
      <c r="AG196" s="31"/>
      <c r="AH196" s="419"/>
      <c r="AI196" s="22" t="s">
        <v>756</v>
      </c>
      <c r="AJ196" s="22" t="s">
        <v>757</v>
      </c>
      <c r="AK196" s="195" t="s">
        <v>663</v>
      </c>
      <c r="AL196" s="299">
        <v>0</v>
      </c>
      <c r="AM196" s="299">
        <f t="shared" si="393"/>
        <v>0</v>
      </c>
      <c r="AN196" s="300">
        <f t="shared" si="399"/>
        <v>0</v>
      </c>
    </row>
    <row r="197" spans="1:41" ht="15.75" hidden="1" customHeight="1" outlineLevel="1" x14ac:dyDescent="0.2">
      <c r="A197" s="79" t="s">
        <v>705</v>
      </c>
      <c r="B197" s="79" t="s">
        <v>686</v>
      </c>
      <c r="C197" s="79" t="s">
        <v>1</v>
      </c>
      <c r="D197" s="1" t="s">
        <v>663</v>
      </c>
      <c r="E197" s="47">
        <f>ROUND(SUMIF('Target Achieved- Input'!$B$185:$B$275,'Incentive Report- Output'!B197,'Target Achieved- Input'!$G$185:$G$275),0)</f>
        <v>70</v>
      </c>
      <c r="F197" s="47">
        <f>ROUND(SUMIF('Target Achieved- Input'!$B$185:$B$275,'Incentive Report- Output'!B197,'Target Achieved- Input'!$H$185:$H$275),0)</f>
        <v>91</v>
      </c>
      <c r="G197" s="47">
        <f>SUMIF('Target Achieved- Input'!$L$185:$L$275,'Incentive Report- Output'!B197,'Target Achieved- Input'!$O$185:$O$275)</f>
        <v>26</v>
      </c>
      <c r="H197" s="39">
        <f>SUMIF('Target Achieved- Input'!$S$185:$S$275,'Incentive Report- Output'!B197,'Target Achieved- Input'!$V$185:$V$275)</f>
        <v>5</v>
      </c>
      <c r="I197" s="48">
        <f>SUMIF('Target Achieved- Input'!$L$185:$L$275,'Incentive Report- Output'!B197,'Target Achieved- Input'!$AC$185:$AC$275)</f>
        <v>0</v>
      </c>
      <c r="J197" s="39">
        <f t="shared" si="394"/>
        <v>21</v>
      </c>
      <c r="K197" s="40">
        <f t="shared" si="395"/>
        <v>0.3</v>
      </c>
      <c r="L197" s="41">
        <f t="shared" si="396"/>
        <v>2310000</v>
      </c>
      <c r="M197" s="41">
        <f>SUMIF('Target Achieved- Input'!$L$185:$L$275,'Incentive Report- Output'!B197,'Target Achieved- Input'!$M$185:$M$275)</f>
        <v>972874</v>
      </c>
      <c r="N197" s="41">
        <f>SUMIF('Target Achieved- Input'!$S$185:$S$275,'Incentive Report- Output'!B197,'Target Achieved- Input'!$U$185:$U$275)</f>
        <v>175631.35593220321</v>
      </c>
      <c r="O197" s="41">
        <f>SUMIF('Target Achieved- Input'!$L$185:$L$275,'Incentive Report- Output'!B197,'Target Achieved- Input'!$N$185:$N$275)-N197</f>
        <v>648838.13559321931</v>
      </c>
      <c r="P197" s="40">
        <f t="shared" si="397"/>
        <v>0.2808823097806144</v>
      </c>
      <c r="Q197" s="40">
        <f t="shared" ref="Q197:Q198" si="400">P197</f>
        <v>0.2808823097806144</v>
      </c>
      <c r="R197" s="40">
        <v>0</v>
      </c>
      <c r="S197" s="49">
        <f>(LOOKUP(Q197,Policy!$L$12:$M$16)+R197)*O197</f>
        <v>0</v>
      </c>
      <c r="T197" s="184"/>
      <c r="U197" s="184"/>
      <c r="V197" s="40"/>
      <c r="W197" s="53"/>
      <c r="X197" s="424"/>
      <c r="Y197" s="424"/>
      <c r="Z197" s="426"/>
      <c r="AA197" s="55">
        <v>0</v>
      </c>
      <c r="AB197" s="41">
        <v>0</v>
      </c>
      <c r="AC197" s="41">
        <v>0</v>
      </c>
      <c r="AD197" s="41">
        <f t="shared" si="391"/>
        <v>0</v>
      </c>
      <c r="AE197" s="41">
        <f t="shared" si="392"/>
        <v>0</v>
      </c>
      <c r="AF197" s="41">
        <f>S197+W197+AB197+AC197</f>
        <v>0</v>
      </c>
      <c r="AG197" s="31"/>
      <c r="AH197" s="419"/>
      <c r="AI197" s="22" t="s">
        <v>705</v>
      </c>
      <c r="AJ197" s="22" t="s">
        <v>686</v>
      </c>
      <c r="AK197" s="195" t="s">
        <v>663</v>
      </c>
      <c r="AL197" s="299">
        <v>0</v>
      </c>
      <c r="AM197" s="299">
        <f t="shared" si="393"/>
        <v>0</v>
      </c>
      <c r="AN197" s="300">
        <f t="shared" si="399"/>
        <v>0</v>
      </c>
    </row>
    <row r="198" spans="1:41" ht="15.75" hidden="1" customHeight="1" outlineLevel="1" x14ac:dyDescent="0.2">
      <c r="A198" s="79" t="s">
        <v>248</v>
      </c>
      <c r="B198" s="79" t="s">
        <v>251</v>
      </c>
      <c r="C198" s="79" t="s">
        <v>1</v>
      </c>
      <c r="D198" s="1" t="s">
        <v>663</v>
      </c>
      <c r="E198" s="47">
        <f>ROUND(SUMIF('Target Achieved- Input'!$B$185:$B$275,'Incentive Report- Output'!B198,'Target Achieved- Input'!$G$185:$G$275),0)</f>
        <v>70</v>
      </c>
      <c r="F198" s="47">
        <f>ROUND(SUMIF('Target Achieved- Input'!$B$185:$B$275,'Incentive Report- Output'!B198,'Target Achieved- Input'!$H$185:$H$275),0)</f>
        <v>91</v>
      </c>
      <c r="G198" s="47">
        <f>SUMIF('Target Achieved- Input'!$L$185:$L$275,'Incentive Report- Output'!B198,'Target Achieved- Input'!$O$185:$O$275)</f>
        <v>69</v>
      </c>
      <c r="H198" s="39">
        <f>SUMIF('Target Achieved- Input'!$S$185:$S$275,'Incentive Report- Output'!B198,'Target Achieved- Input'!$V$185:$V$275)</f>
        <v>3</v>
      </c>
      <c r="I198" s="48">
        <f>SUMIF('Target Achieved- Input'!$L$185:$L$275,'Incentive Report- Output'!B198,'Target Achieved- Input'!$AC$185:$AC$275)</f>
        <v>1</v>
      </c>
      <c r="J198" s="39">
        <f t="shared" si="394"/>
        <v>66</v>
      </c>
      <c r="K198" s="40">
        <f t="shared" si="395"/>
        <v>0.94285714285714284</v>
      </c>
      <c r="L198" s="41">
        <f t="shared" si="396"/>
        <v>2310000</v>
      </c>
      <c r="M198" s="41">
        <f>SUMIF('Target Achieved- Input'!$L$185:$L$275,'Incentive Report- Output'!B198,'Target Achieved- Input'!$M$185:$M$275)</f>
        <v>2629981</v>
      </c>
      <c r="N198" s="41">
        <f>SUMIF('Target Achieved- Input'!$S$185:$S$275,'Incentive Report- Output'!B198,'Target Achieved- Input'!$U$185:$U$275)</f>
        <v>89234.745762711696</v>
      </c>
      <c r="O198" s="41">
        <f>SUMIF('Target Achieved- Input'!$L$185:$L$275,'Incentive Report- Output'!B198,'Target Achieved- Input'!$N$185:$N$275)-N198</f>
        <v>2139562.7118644034</v>
      </c>
      <c r="P198" s="40">
        <f t="shared" si="397"/>
        <v>0.92621762418372444</v>
      </c>
      <c r="Q198" s="40">
        <f t="shared" si="400"/>
        <v>0.92621762418372444</v>
      </c>
      <c r="R198" s="40">
        <v>0</v>
      </c>
      <c r="S198" s="49">
        <f>(LOOKUP(Q198,Policy!$L$12:$M$16)+R198)*O198</f>
        <v>21395.627118644035</v>
      </c>
      <c r="T198" s="185"/>
      <c r="U198" s="156"/>
      <c r="V198" s="51"/>
      <c r="W198" s="156"/>
      <c r="X198" s="424"/>
      <c r="Y198" s="424"/>
      <c r="Z198" s="426"/>
      <c r="AA198" s="55">
        <v>0</v>
      </c>
      <c r="AB198" s="41">
        <v>0</v>
      </c>
      <c r="AC198" s="41">
        <v>0</v>
      </c>
      <c r="AD198" s="41">
        <f t="shared" si="391"/>
        <v>0</v>
      </c>
      <c r="AE198" s="41">
        <f t="shared" si="392"/>
        <v>21395.627118644035</v>
      </c>
      <c r="AF198" s="41">
        <f>S198+W198+AB198+AC198</f>
        <v>21395.627118644035</v>
      </c>
      <c r="AG198" s="32"/>
      <c r="AH198" s="419"/>
      <c r="AI198" s="22" t="s">
        <v>248</v>
      </c>
      <c r="AJ198" s="22" t="s">
        <v>251</v>
      </c>
      <c r="AK198" s="195" t="s">
        <v>663</v>
      </c>
      <c r="AL198" s="301">
        <v>22287.974576271154</v>
      </c>
      <c r="AM198" s="301">
        <f t="shared" si="393"/>
        <v>21395.627118644035</v>
      </c>
      <c r="AN198" s="302">
        <f t="shared" si="399"/>
        <v>892.34745762711827</v>
      </c>
      <c r="AO198" s="334"/>
    </row>
    <row r="199" spans="1:41" ht="15.75" hidden="1" customHeight="1" outlineLevel="1" x14ac:dyDescent="0.2">
      <c r="A199" s="109" t="s">
        <v>6</v>
      </c>
      <c r="B199" s="109"/>
      <c r="C199" s="109"/>
      <c r="D199" s="292" t="s">
        <v>663</v>
      </c>
      <c r="E199" s="44">
        <f t="shared" ref="E199:J199" si="401">SUM(E194:E198)</f>
        <v>360</v>
      </c>
      <c r="F199" s="44">
        <f t="shared" si="401"/>
        <v>468</v>
      </c>
      <c r="G199" s="44">
        <f t="shared" si="401"/>
        <v>218</v>
      </c>
      <c r="H199" s="44">
        <f t="shared" si="401"/>
        <v>25</v>
      </c>
      <c r="I199" s="44">
        <f t="shared" si="401"/>
        <v>6</v>
      </c>
      <c r="J199" s="44">
        <f t="shared" si="401"/>
        <v>193</v>
      </c>
      <c r="K199" s="44"/>
      <c r="L199" s="44">
        <f>SUM(L194:L198)</f>
        <v>11880000</v>
      </c>
      <c r="M199" s="44">
        <f>SUM(M194:M198)</f>
        <v>8327382</v>
      </c>
      <c r="N199" s="44">
        <f>SUM(N194:N198)</f>
        <v>787351.69491525309</v>
      </c>
      <c r="O199" s="44">
        <f>SUM(O194:O198)</f>
        <v>6269751.6949152444</v>
      </c>
      <c r="P199" s="45"/>
      <c r="Q199" s="46"/>
      <c r="R199" s="46"/>
      <c r="S199" s="44">
        <f t="shared" ref="S199:AF199" si="402">SUM(S194:S198)</f>
        <v>35402.889830508422</v>
      </c>
      <c r="T199" s="187">
        <f t="shared" si="402"/>
        <v>0</v>
      </c>
      <c r="U199" s="187">
        <f t="shared" si="402"/>
        <v>0</v>
      </c>
      <c r="V199" s="104">
        <f t="shared" si="402"/>
        <v>0</v>
      </c>
      <c r="W199" s="187">
        <f t="shared" si="402"/>
        <v>0</v>
      </c>
      <c r="X199" s="44">
        <f t="shared" si="402"/>
        <v>360</v>
      </c>
      <c r="Y199" s="44">
        <f t="shared" si="402"/>
        <v>193</v>
      </c>
      <c r="Z199" s="54">
        <f t="shared" si="402"/>
        <v>0.53611111111111109</v>
      </c>
      <c r="AA199" s="44">
        <f t="shared" si="402"/>
        <v>0</v>
      </c>
      <c r="AB199" s="44">
        <f t="shared" si="402"/>
        <v>0</v>
      </c>
      <c r="AC199" s="44">
        <f t="shared" si="402"/>
        <v>0</v>
      </c>
      <c r="AD199" s="44">
        <f t="shared" si="402"/>
        <v>0</v>
      </c>
      <c r="AE199" s="44">
        <f t="shared" si="402"/>
        <v>35402.889830508422</v>
      </c>
      <c r="AF199" s="44">
        <f t="shared" si="402"/>
        <v>35402.889830508422</v>
      </c>
      <c r="AG199" s="31"/>
      <c r="AH199" s="419"/>
      <c r="AI199" s="43" t="s">
        <v>6</v>
      </c>
      <c r="AJ199" s="43"/>
      <c r="AK199" s="43" t="s">
        <v>663</v>
      </c>
      <c r="AL199" s="303">
        <v>38097.093220338931</v>
      </c>
      <c r="AM199" s="303">
        <f>SUM(AM194:AM198)</f>
        <v>35402.889830508422</v>
      </c>
      <c r="AN199" s="303">
        <f>SUM(AN194:AN198)</f>
        <v>2694.2033898305053</v>
      </c>
    </row>
    <row r="200" spans="1:41" ht="15.75" hidden="1" customHeight="1" outlineLevel="1" x14ac:dyDescent="0.2">
      <c r="A200" s="79" t="s">
        <v>224</v>
      </c>
      <c r="B200" s="161" t="s">
        <v>33</v>
      </c>
      <c r="C200" s="79" t="s">
        <v>0</v>
      </c>
      <c r="D200" s="1" t="s">
        <v>666</v>
      </c>
      <c r="E200" s="47">
        <f>ROUND(SUMIF('Target Achieved- Input'!$B$185:$B$275,'Incentive Report- Output'!B200,'Target Achieved- Input'!$G$185:$G$275),0)</f>
        <v>65</v>
      </c>
      <c r="F200" s="47">
        <f>ROUND(SUMIF('Target Achieved- Input'!$B$185:$B$275,'Incentive Report- Output'!B200,'Target Achieved- Input'!$H$185:$H$275),0)</f>
        <v>85</v>
      </c>
      <c r="G200" s="47">
        <f>SUMIF('Target Achieved- Input'!$L$185:$L$275,'Incentive Report- Output'!B200,'Target Achieved- Input'!$O$185:$O$275)</f>
        <v>95</v>
      </c>
      <c r="H200" s="39">
        <f>SUMIF('Target Achieved- Input'!$S$185:$S$275,'Incentive Report- Output'!B200,'Target Achieved- Input'!$V$185:$V$275)</f>
        <v>2</v>
      </c>
      <c r="I200" s="48">
        <f>SUMIF('Target Achieved- Input'!$L$185:$L$275,'Incentive Report- Output'!B200,'Target Achieved- Input'!$AC$185:$AC$275)</f>
        <v>0</v>
      </c>
      <c r="J200" s="39">
        <f t="shared" ref="J200:J203" si="403">G200-H200</f>
        <v>93</v>
      </c>
      <c r="K200" s="40">
        <f t="shared" ref="K200:K203" si="404">IFERROR(J200/E200,0)</f>
        <v>1.4307692307692308</v>
      </c>
      <c r="L200" s="41">
        <f t="shared" ref="L200:L203" si="405">E200*33000</f>
        <v>2145000</v>
      </c>
      <c r="M200" s="41">
        <f>SUMIF('Target Achieved- Input'!$L$185:$L$275,'Incentive Report- Output'!B200,'Target Achieved- Input'!$M$185:$M$275)</f>
        <v>3586755</v>
      </c>
      <c r="N200" s="41">
        <f>SUMIF('Target Achieved- Input'!$S$185:$S$275,'Incentive Report- Output'!B200,'Target Achieved- Input'!$U$185:$U$275)</f>
        <v>64659.322033898199</v>
      </c>
      <c r="O200" s="41">
        <f>SUMIF('Target Achieved- Input'!$L$185:$L$275,'Incentive Report- Output'!B200,'Target Achieved- Input'!$N$185:$N$275)-N200</f>
        <v>2974963.5593220284</v>
      </c>
      <c r="P200" s="40">
        <f t="shared" ref="P200:P203" si="406">IFERROR(O200/L200,0)</f>
        <v>1.3869293982853279</v>
      </c>
      <c r="Q200" s="40">
        <f>P200</f>
        <v>1.3869293982853279</v>
      </c>
      <c r="R200" s="40">
        <v>0</v>
      </c>
      <c r="S200" s="49">
        <f>(LOOKUP(Q200,Policy!$L$12:$M$16)+R200)*O200</f>
        <v>89248.906779660843</v>
      </c>
      <c r="T200" s="188"/>
      <c r="U200" s="53"/>
      <c r="V200" s="40"/>
      <c r="W200" s="53"/>
      <c r="X200" s="427">
        <f>E204</f>
        <v>295</v>
      </c>
      <c r="Y200" s="397">
        <f>J204</f>
        <v>221</v>
      </c>
      <c r="Z200" s="406">
        <f>Y200/X200</f>
        <v>0.74915254237288131</v>
      </c>
      <c r="AA200" s="55">
        <v>0</v>
      </c>
      <c r="AB200" s="41">
        <v>0</v>
      </c>
      <c r="AC200" s="41">
        <v>0</v>
      </c>
      <c r="AD200" s="41">
        <f t="shared" ref="AD200:AD203" si="407">IF(AF200&gt;200000,AF200-200000,0)</f>
        <v>0</v>
      </c>
      <c r="AE200" s="41">
        <f t="shared" ref="AE200:AE203" si="408">AF200-AD200</f>
        <v>89248.906779660843</v>
      </c>
      <c r="AF200" s="41">
        <f>S200+W200+AB200+AC200</f>
        <v>89248.906779660843</v>
      </c>
      <c r="AG200" s="31"/>
      <c r="AH200" s="419"/>
      <c r="AI200" s="22" t="s">
        <v>224</v>
      </c>
      <c r="AJ200" s="19" t="s">
        <v>33</v>
      </c>
      <c r="AK200" s="195" t="s">
        <v>666</v>
      </c>
      <c r="AL200" s="299">
        <v>91188.68644067779</v>
      </c>
      <c r="AM200" s="299">
        <f t="shared" ref="AM200:AM203" si="409">AF200</f>
        <v>89248.906779660843</v>
      </c>
      <c r="AN200" s="300">
        <f t="shared" ref="AN200:AN203" si="410">AL200-AM200</f>
        <v>1939.7796610169462</v>
      </c>
    </row>
    <row r="201" spans="1:41" ht="15.75" hidden="1" customHeight="1" outlineLevel="1" x14ac:dyDescent="0.2">
      <c r="A201" s="79" t="s">
        <v>787</v>
      </c>
      <c r="B201" s="161" t="s">
        <v>788</v>
      </c>
      <c r="C201" s="79" t="s">
        <v>1</v>
      </c>
      <c r="D201" s="1" t="s">
        <v>666</v>
      </c>
      <c r="E201" s="47">
        <f>ROUND(SUMIF('Target Achieved- Input'!$B$185:$B$275,'Incentive Report- Output'!B201,'Target Achieved- Input'!$G$185:$G$275),0)</f>
        <v>70</v>
      </c>
      <c r="F201" s="47">
        <f>ROUND(SUMIF('Target Achieved- Input'!$B$185:$B$275,'Incentive Report- Output'!B201,'Target Achieved- Input'!$H$185:$H$275),0)</f>
        <v>91</v>
      </c>
      <c r="G201" s="47">
        <f>SUMIF('Target Achieved- Input'!$L$185:$L$275,'Incentive Report- Output'!B201,'Target Achieved- Input'!$O$185:$O$275)</f>
        <v>52</v>
      </c>
      <c r="H201" s="39">
        <f>SUMIF('Target Achieved- Input'!$S$185:$S$275,'Incentive Report- Output'!B201,'Target Achieved- Input'!$V$185:$V$275)</f>
        <v>7</v>
      </c>
      <c r="I201" s="48">
        <f>SUMIF('Target Achieved- Input'!$L$185:$L$275,'Incentive Report- Output'!B201,'Target Achieved- Input'!$AC$185:$AC$275)</f>
        <v>0</v>
      </c>
      <c r="J201" s="39">
        <f t="shared" si="403"/>
        <v>45</v>
      </c>
      <c r="K201" s="40">
        <f t="shared" si="404"/>
        <v>0.6428571428571429</v>
      </c>
      <c r="L201" s="41">
        <f t="shared" si="405"/>
        <v>2310000</v>
      </c>
      <c r="M201" s="41">
        <f>SUMIF('Target Achieved- Input'!$L$185:$L$275,'Incentive Report- Output'!B201,'Target Achieved- Input'!$M$185:$M$275)</f>
        <v>2062848</v>
      </c>
      <c r="N201" s="41">
        <f>SUMIF('Target Achieved- Input'!$S$185:$S$275,'Incentive Report- Output'!B201,'Target Achieved- Input'!$U$185:$U$275)</f>
        <v>221138.13559322001</v>
      </c>
      <c r="O201" s="41">
        <f>SUMIF('Target Achieved- Input'!$L$185:$L$275,'Incentive Report- Output'!B201,'Target Achieved- Input'!$N$185:$N$275)-N201</f>
        <v>1527038.1355932183</v>
      </c>
      <c r="P201" s="40">
        <f t="shared" si="406"/>
        <v>0.66105546995377418</v>
      </c>
      <c r="Q201" s="40">
        <f t="shared" ref="Q201:Q202" si="411">MAX(P201,K201)</f>
        <v>0.66105546995377418</v>
      </c>
      <c r="R201" s="40">
        <v>0</v>
      </c>
      <c r="S201" s="49">
        <f>(LOOKUP(Q201,Policy!$L$12:$M$16)+R201)*O201</f>
        <v>7635.1906779660912</v>
      </c>
      <c r="T201" s="185"/>
      <c r="U201" s="156"/>
      <c r="V201" s="51"/>
      <c r="W201" s="156"/>
      <c r="X201" s="427"/>
      <c r="Y201" s="397"/>
      <c r="Z201" s="406"/>
      <c r="AA201" s="55">
        <v>0</v>
      </c>
      <c r="AB201" s="41">
        <v>0</v>
      </c>
      <c r="AC201" s="41">
        <v>0</v>
      </c>
      <c r="AD201" s="41">
        <f t="shared" si="407"/>
        <v>0</v>
      </c>
      <c r="AE201" s="41">
        <f t="shared" si="408"/>
        <v>7635.1906779660912</v>
      </c>
      <c r="AF201" s="41">
        <f>S201+W201+AB201+AC201</f>
        <v>7635.1906779660912</v>
      </c>
      <c r="AG201" s="31"/>
      <c r="AH201" s="419"/>
      <c r="AI201" s="22" t="s">
        <v>787</v>
      </c>
      <c r="AJ201" s="19" t="s">
        <v>788</v>
      </c>
      <c r="AK201" s="195" t="s">
        <v>666</v>
      </c>
      <c r="AL201" s="299">
        <v>8740.8813559321916</v>
      </c>
      <c r="AM201" s="299">
        <f t="shared" si="409"/>
        <v>7635.1906779660912</v>
      </c>
      <c r="AN201" s="300">
        <f t="shared" si="410"/>
        <v>1105.6906779661003</v>
      </c>
    </row>
    <row r="202" spans="1:41" ht="15.75" hidden="1" customHeight="1" outlineLevel="1" x14ac:dyDescent="0.2">
      <c r="A202" s="79" t="s">
        <v>218</v>
      </c>
      <c r="B202" s="161" t="s">
        <v>219</v>
      </c>
      <c r="C202" s="79" t="s">
        <v>1</v>
      </c>
      <c r="D202" s="1" t="s">
        <v>666</v>
      </c>
      <c r="E202" s="47">
        <f>ROUND(SUMIF('Target Achieved- Input'!$B$185:$B$275,'Incentive Report- Output'!B202,'Target Achieved- Input'!$G$185:$G$275),0)</f>
        <v>80</v>
      </c>
      <c r="F202" s="47">
        <f>ROUND(SUMIF('Target Achieved- Input'!$B$185:$B$275,'Incentive Report- Output'!B202,'Target Achieved- Input'!$H$185:$H$275),0)</f>
        <v>104</v>
      </c>
      <c r="G202" s="47">
        <f>SUMIF('Target Achieved- Input'!$L$185:$L$275,'Incentive Report- Output'!B202,'Target Achieved- Input'!$O$185:$O$275)</f>
        <v>46</v>
      </c>
      <c r="H202" s="39">
        <f>SUMIF('Target Achieved- Input'!$S$185:$S$275,'Incentive Report- Output'!B202,'Target Achieved- Input'!$V$185:$V$275)</f>
        <v>9</v>
      </c>
      <c r="I202" s="48">
        <f>SUMIF('Target Achieved- Input'!$L$185:$L$275,'Incentive Report- Output'!B202,'Target Achieved- Input'!$AC$185:$AC$275)</f>
        <v>1</v>
      </c>
      <c r="J202" s="39">
        <f t="shared" si="403"/>
        <v>37</v>
      </c>
      <c r="K202" s="40">
        <f t="shared" si="404"/>
        <v>0.46250000000000002</v>
      </c>
      <c r="L202" s="41">
        <f t="shared" si="405"/>
        <v>2640000</v>
      </c>
      <c r="M202" s="41">
        <f>SUMIF('Target Achieved- Input'!$L$185:$L$275,'Incentive Report- Output'!B202,'Target Achieved- Input'!$M$185:$M$275)</f>
        <v>1941754</v>
      </c>
      <c r="N202" s="41">
        <f>SUMIF('Target Achieved- Input'!$S$185:$S$275,'Incentive Report- Output'!B202,'Target Achieved- Input'!$U$185:$U$275)</f>
        <v>285204.2372881351</v>
      </c>
      <c r="O202" s="41">
        <f>SUMIF('Target Achieved- Input'!$L$185:$L$275,'Incentive Report- Output'!B202,'Target Achieved- Input'!$N$185:$N$275)-N202</f>
        <v>1360349.9999999984</v>
      </c>
      <c r="P202" s="40">
        <f t="shared" si="406"/>
        <v>0.51528409090909033</v>
      </c>
      <c r="Q202" s="40">
        <f t="shared" si="411"/>
        <v>0.51528409090909033</v>
      </c>
      <c r="R202" s="40">
        <v>0</v>
      </c>
      <c r="S202" s="49">
        <f>(LOOKUP(Q202,Policy!$L$12:$M$16)+R202)*O202</f>
        <v>6801.7499999999918</v>
      </c>
      <c r="T202" s="188"/>
      <c r="U202" s="53"/>
      <c r="V202" s="40"/>
      <c r="W202" s="53"/>
      <c r="X202" s="427"/>
      <c r="Y202" s="397"/>
      <c r="Z202" s="406"/>
      <c r="AA202" s="55">
        <v>0</v>
      </c>
      <c r="AB202" s="41">
        <v>0</v>
      </c>
      <c r="AC202" s="41">
        <v>0</v>
      </c>
      <c r="AD202" s="41">
        <f t="shared" si="407"/>
        <v>0</v>
      </c>
      <c r="AE202" s="41">
        <f t="shared" si="408"/>
        <v>6801.7499999999918</v>
      </c>
      <c r="AF202" s="41">
        <f>S202+W202+AB202+AC202</f>
        <v>6801.7499999999918</v>
      </c>
      <c r="AG202" s="31"/>
      <c r="AH202" s="419"/>
      <c r="AI202" s="22" t="s">
        <v>218</v>
      </c>
      <c r="AJ202" s="19" t="s">
        <v>219</v>
      </c>
      <c r="AK202" s="195" t="s">
        <v>666</v>
      </c>
      <c r="AL202" s="299">
        <v>8227.7711864406683</v>
      </c>
      <c r="AM202" s="299">
        <f t="shared" si="409"/>
        <v>6801.7499999999918</v>
      </c>
      <c r="AN202" s="300">
        <f t="shared" si="410"/>
        <v>1426.0211864406765</v>
      </c>
    </row>
    <row r="203" spans="1:41" ht="15.75" hidden="1" customHeight="1" outlineLevel="1" x14ac:dyDescent="0.2">
      <c r="A203" s="79" t="s">
        <v>780</v>
      </c>
      <c r="B203" s="161" t="s">
        <v>781</v>
      </c>
      <c r="C203" s="79" t="s">
        <v>1</v>
      </c>
      <c r="D203" s="1" t="s">
        <v>666</v>
      </c>
      <c r="E203" s="47">
        <f>ROUND(SUMIF('Target Achieved- Input'!$B$185:$B$275,'Incentive Report- Output'!B203,'Target Achieved- Input'!$G$185:$G$275),0)</f>
        <v>80</v>
      </c>
      <c r="F203" s="47">
        <f>ROUND(SUMIF('Target Achieved- Input'!$B$185:$B$275,'Incentive Report- Output'!B203,'Target Achieved- Input'!$H$185:$H$275),0)</f>
        <v>104</v>
      </c>
      <c r="G203" s="47">
        <f>SUMIF('Target Achieved- Input'!$L$185:$L$275,'Incentive Report- Output'!B203,'Target Achieved- Input'!$O$185:$O$275)</f>
        <v>47</v>
      </c>
      <c r="H203" s="39">
        <f>SUMIF('Target Achieved- Input'!$S$185:$S$275,'Incentive Report- Output'!B203,'Target Achieved- Input'!$V$185:$V$275)</f>
        <v>1</v>
      </c>
      <c r="I203" s="48">
        <f>SUMIF('Target Achieved- Input'!$L$185:$L$275,'Incentive Report- Output'!B203,'Target Achieved- Input'!$AC$185:$AC$275)</f>
        <v>0</v>
      </c>
      <c r="J203" s="39">
        <f t="shared" si="403"/>
        <v>46</v>
      </c>
      <c r="K203" s="40">
        <f t="shared" si="404"/>
        <v>0.57499999999999996</v>
      </c>
      <c r="L203" s="41">
        <f t="shared" si="405"/>
        <v>2640000</v>
      </c>
      <c r="M203" s="41">
        <f>SUMIF('Target Achieved- Input'!$L$185:$L$275,'Incentive Report- Output'!B203,'Target Achieved- Input'!$M$185:$M$275)</f>
        <v>1774903</v>
      </c>
      <c r="N203" s="41">
        <f>SUMIF('Target Achieved- Input'!$S$185:$S$275,'Incentive Report- Output'!B203,'Target Achieved- Input'!$U$185:$U$275)</f>
        <v>28219.491525423698</v>
      </c>
      <c r="O203" s="41">
        <f>SUMIF('Target Achieved- Input'!$L$185:$L$275,'Incentive Report- Output'!B203,'Target Achieved- Input'!$N$185:$N$275)-N203</f>
        <v>1475935.5932203364</v>
      </c>
      <c r="P203" s="40">
        <f t="shared" si="406"/>
        <v>0.55906651258346074</v>
      </c>
      <c r="Q203" s="40">
        <f>P203</f>
        <v>0.55906651258346074</v>
      </c>
      <c r="R203" s="40">
        <v>0</v>
      </c>
      <c r="S203" s="49">
        <f>(LOOKUP(Q203,Policy!$L$12:$M$16)+R203)*O203</f>
        <v>7379.6779661016817</v>
      </c>
      <c r="T203" s="185"/>
      <c r="U203" s="156"/>
      <c r="V203" s="51"/>
      <c r="W203" s="156"/>
      <c r="X203" s="427"/>
      <c r="Y203" s="397"/>
      <c r="Z203" s="406"/>
      <c r="AA203" s="55">
        <v>0</v>
      </c>
      <c r="AB203" s="41">
        <v>0</v>
      </c>
      <c r="AC203" s="41">
        <v>0</v>
      </c>
      <c r="AD203" s="41">
        <f t="shared" si="407"/>
        <v>0</v>
      </c>
      <c r="AE203" s="41">
        <f t="shared" si="408"/>
        <v>7379.6779661016817</v>
      </c>
      <c r="AF203" s="41">
        <f>S203+W203+AB203+AC203</f>
        <v>7379.6779661016817</v>
      </c>
      <c r="AG203" s="31"/>
      <c r="AH203" s="419"/>
      <c r="AI203" s="22" t="s">
        <v>780</v>
      </c>
      <c r="AJ203" s="19" t="s">
        <v>781</v>
      </c>
      <c r="AK203" s="195" t="s">
        <v>666</v>
      </c>
      <c r="AL203" s="299">
        <v>7520.7754237288009</v>
      </c>
      <c r="AM203" s="299">
        <f t="shared" si="409"/>
        <v>7379.6779661016817</v>
      </c>
      <c r="AN203" s="300">
        <f t="shared" si="410"/>
        <v>141.09745762711918</v>
      </c>
    </row>
    <row r="204" spans="1:41" ht="15.75" hidden="1" customHeight="1" outlineLevel="1" x14ac:dyDescent="0.2">
      <c r="A204" s="109" t="s">
        <v>6</v>
      </c>
      <c r="B204" s="109"/>
      <c r="C204" s="109"/>
      <c r="D204" s="292" t="s">
        <v>666</v>
      </c>
      <c r="E204" s="44">
        <f t="shared" ref="E204:J204" si="412">SUM(E200:E203)</f>
        <v>295</v>
      </c>
      <c r="F204" s="44">
        <f t="shared" si="412"/>
        <v>384</v>
      </c>
      <c r="G204" s="44">
        <f t="shared" si="412"/>
        <v>240</v>
      </c>
      <c r="H204" s="44">
        <f t="shared" si="412"/>
        <v>19</v>
      </c>
      <c r="I204" s="44">
        <f t="shared" si="412"/>
        <v>1</v>
      </c>
      <c r="J204" s="44">
        <f t="shared" si="412"/>
        <v>221</v>
      </c>
      <c r="K204" s="45"/>
      <c r="L204" s="44">
        <f>SUM(L200:L203)</f>
        <v>9735000</v>
      </c>
      <c r="M204" s="44">
        <f>SUM(M200:M203)</f>
        <v>9366260</v>
      </c>
      <c r="N204" s="44">
        <f>SUM(N200:N203)</f>
        <v>599221.18644067703</v>
      </c>
      <c r="O204" s="44">
        <f>SUM(O200:O203)</f>
        <v>7338287.2881355807</v>
      </c>
      <c r="P204" s="45"/>
      <c r="Q204" s="46"/>
      <c r="R204" s="46"/>
      <c r="S204" s="44">
        <f t="shared" ref="S204:AF204" si="413">SUM(S200:S203)</f>
        <v>111065.5254237286</v>
      </c>
      <c r="T204" s="189">
        <f t="shared" si="413"/>
        <v>0</v>
      </c>
      <c r="U204" s="189">
        <f t="shared" si="413"/>
        <v>0</v>
      </c>
      <c r="V204" s="103">
        <f t="shared" si="413"/>
        <v>0</v>
      </c>
      <c r="W204" s="189">
        <f t="shared" si="413"/>
        <v>0</v>
      </c>
      <c r="X204" s="44">
        <f t="shared" si="413"/>
        <v>295</v>
      </c>
      <c r="Y204" s="44">
        <f t="shared" si="413"/>
        <v>221</v>
      </c>
      <c r="Z204" s="54">
        <f t="shared" si="413"/>
        <v>0.74915254237288131</v>
      </c>
      <c r="AA204" s="87">
        <f t="shared" si="413"/>
        <v>0</v>
      </c>
      <c r="AB204" s="87">
        <f t="shared" si="413"/>
        <v>0</v>
      </c>
      <c r="AC204" s="87">
        <f t="shared" si="413"/>
        <v>0</v>
      </c>
      <c r="AD204" s="87">
        <f t="shared" si="413"/>
        <v>0</v>
      </c>
      <c r="AE204" s="87">
        <f t="shared" si="413"/>
        <v>111065.5254237286</v>
      </c>
      <c r="AF204" s="87">
        <f t="shared" si="413"/>
        <v>111065.5254237286</v>
      </c>
      <c r="AG204" s="31"/>
      <c r="AH204" s="419"/>
      <c r="AI204" s="43" t="s">
        <v>6</v>
      </c>
      <c r="AJ204" s="43"/>
      <c r="AK204" s="43" t="s">
        <v>666</v>
      </c>
      <c r="AL204" s="304">
        <v>115678.11440677945</v>
      </c>
      <c r="AM204" s="304">
        <f>SUM(AM200:AM203)</f>
        <v>111065.5254237286</v>
      </c>
      <c r="AN204" s="304">
        <f>SUM(AN200:AN203)</f>
        <v>4612.5889830508422</v>
      </c>
    </row>
    <row r="205" spans="1:41" ht="15.75" hidden="1" customHeight="1" outlineLevel="1" x14ac:dyDescent="0.2">
      <c r="A205" s="79" t="s">
        <v>298</v>
      </c>
      <c r="B205" s="79" t="s">
        <v>49</v>
      </c>
      <c r="C205" s="79" t="s">
        <v>0</v>
      </c>
      <c r="D205" s="1" t="s">
        <v>667</v>
      </c>
      <c r="E205" s="47">
        <f>ROUND(SUMIF('Target Achieved- Input'!$B$185:$B$275,'Incentive Report- Output'!B205,'Target Achieved- Input'!$G$185:$G$275),0)</f>
        <v>50</v>
      </c>
      <c r="F205" s="47">
        <f>ROUND(SUMIF('Target Achieved- Input'!$B$185:$B$275,'Incentive Report- Output'!B205,'Target Achieved- Input'!$H$185:$H$275),0)</f>
        <v>65</v>
      </c>
      <c r="G205" s="47">
        <f>SUMIF('Target Achieved- Input'!$L$185:$L$275,'Incentive Report- Output'!B205,'Target Achieved- Input'!$O$185:$O$275)</f>
        <v>12</v>
      </c>
      <c r="H205" s="39">
        <f>SUMIF('Target Achieved- Input'!$S$185:$S$275,'Incentive Report- Output'!B205,'Target Achieved- Input'!$V$185:$V$275)</f>
        <v>12</v>
      </c>
      <c r="I205" s="48">
        <f>SUMIF('Target Achieved- Input'!$L$185:$L$275,'Incentive Report- Output'!B205,'Target Achieved- Input'!$AC$185:$AC$275)</f>
        <v>0</v>
      </c>
      <c r="J205" s="39">
        <f t="shared" ref="J205:J212" si="414">G205-H205</f>
        <v>0</v>
      </c>
      <c r="K205" s="40">
        <f t="shared" ref="K205:K212" si="415">IFERROR(J205/E205,0)</f>
        <v>0</v>
      </c>
      <c r="L205" s="41">
        <f t="shared" ref="L205:L212" si="416">E205*33000</f>
        <v>1650000</v>
      </c>
      <c r="M205" s="41">
        <f>SUMIF('Target Achieved- Input'!$L$185:$L$275,'Incentive Report- Output'!B205,'Target Achieved- Input'!$M$185:$M$275)</f>
        <v>465988</v>
      </c>
      <c r="N205" s="41">
        <f>SUMIF('Target Achieved- Input'!$S$185:$S$275,'Incentive Report- Output'!B205,'Target Achieved- Input'!$U$185:$U$275)</f>
        <v>394905.08474576217</v>
      </c>
      <c r="O205" s="41">
        <f>SUMIF('Target Achieved- Input'!$L$185:$L$275,'Incentive Report- Output'!B205,'Target Achieved- Input'!$N$185:$N$275)-N205</f>
        <v>0</v>
      </c>
      <c r="P205" s="40">
        <f t="shared" ref="P205:P212" si="417">IFERROR(O205/L205,0)</f>
        <v>0</v>
      </c>
      <c r="Q205" s="40">
        <f>P205</f>
        <v>0</v>
      </c>
      <c r="R205" s="40">
        <v>0</v>
      </c>
      <c r="S205" s="49">
        <f>(LOOKUP(Q205,Policy!$L$12:$M$16)+R205)*O205</f>
        <v>0</v>
      </c>
      <c r="T205" s="188" t="s">
        <v>1426</v>
      </c>
      <c r="U205" s="53"/>
      <c r="V205" s="40"/>
      <c r="W205" s="53"/>
      <c r="X205" s="428">
        <f>E213</f>
        <v>560</v>
      </c>
      <c r="Y205" s="396">
        <f>J213</f>
        <v>260</v>
      </c>
      <c r="Z205" s="430">
        <f>Y205/X205</f>
        <v>0.4642857142857143</v>
      </c>
      <c r="AA205" s="55">
        <v>0</v>
      </c>
      <c r="AB205" s="41">
        <v>0</v>
      </c>
      <c r="AC205" s="41">
        <v>0</v>
      </c>
      <c r="AD205" s="41">
        <f t="shared" ref="AD205:AD212" si="418">IF(AF205&gt;200000,AF205-200000,0)</f>
        <v>0</v>
      </c>
      <c r="AE205" s="41">
        <f t="shared" ref="AE205:AE212" si="419">AF205-AD205</f>
        <v>0</v>
      </c>
      <c r="AF205" s="41">
        <f t="shared" ref="AF205:AF212" si="420">S205+W205+AB205+AC205</f>
        <v>0</v>
      </c>
      <c r="AG205" s="31"/>
      <c r="AH205" s="419"/>
      <c r="AI205" s="22" t="s">
        <v>298</v>
      </c>
      <c r="AJ205" s="22" t="s">
        <v>49</v>
      </c>
      <c r="AK205" s="195" t="s">
        <v>667</v>
      </c>
      <c r="AL205" s="299">
        <v>0</v>
      </c>
      <c r="AM205" s="299">
        <f t="shared" ref="AM205:AM212" si="421">AF205</f>
        <v>0</v>
      </c>
      <c r="AN205" s="300">
        <f t="shared" ref="AN205:AN212" si="422">AL205-AM205</f>
        <v>0</v>
      </c>
    </row>
    <row r="206" spans="1:41" ht="15.75" hidden="1" customHeight="1" outlineLevel="1" x14ac:dyDescent="0.2">
      <c r="A206" s="79" t="s">
        <v>1109</v>
      </c>
      <c r="B206" s="79" t="s">
        <v>1110</v>
      </c>
      <c r="C206" s="79" t="s">
        <v>1</v>
      </c>
      <c r="D206" s="1" t="s">
        <v>667</v>
      </c>
      <c r="E206" s="47">
        <f>ROUND(SUMIF('Target Achieved- Input'!$B$185:$B$275,'Incentive Report- Output'!B206,'Target Achieved- Input'!$G$185:$G$275),0)</f>
        <v>70</v>
      </c>
      <c r="F206" s="47">
        <f>ROUND(SUMIF('Target Achieved- Input'!$B$185:$B$275,'Incentive Report- Output'!B206,'Target Achieved- Input'!$H$185:$H$275),0)</f>
        <v>91</v>
      </c>
      <c r="G206" s="47">
        <f>SUMIF('Target Achieved- Input'!$L$185:$L$275,'Incentive Report- Output'!B206,'Target Achieved- Input'!$O$185:$O$275)</f>
        <v>24</v>
      </c>
      <c r="H206" s="39">
        <f>SUMIF('Target Achieved- Input'!$S$185:$S$275,'Incentive Report- Output'!B206,'Target Achieved- Input'!$V$185:$V$275)</f>
        <v>1</v>
      </c>
      <c r="I206" s="48">
        <f>SUMIF('Target Achieved- Input'!$L$185:$L$275,'Incentive Report- Output'!B206,'Target Achieved- Input'!$AC$185:$AC$275)</f>
        <v>1</v>
      </c>
      <c r="J206" s="39">
        <f t="shared" si="414"/>
        <v>23</v>
      </c>
      <c r="K206" s="40">
        <f t="shared" si="415"/>
        <v>0.32857142857142857</v>
      </c>
      <c r="L206" s="41">
        <f t="shared" si="416"/>
        <v>2310000</v>
      </c>
      <c r="M206" s="41">
        <f>SUMIF('Target Achieved- Input'!$L$185:$L$275,'Incentive Report- Output'!B206,'Target Achieved- Input'!$M$185:$M$275)</f>
        <v>1019576</v>
      </c>
      <c r="N206" s="41">
        <f>SUMIF('Target Achieved- Input'!$S$185:$S$275,'Incentive Report- Output'!B206,'Target Achieved- Input'!$U$185:$U$275)</f>
        <v>30507.627118643999</v>
      </c>
      <c r="O206" s="41">
        <f>SUMIF('Target Achieved- Input'!$L$185:$L$275,'Incentive Report- Output'!B206,'Target Achieved- Input'!$N$185:$N$275)-N206</f>
        <v>833539.8305084731</v>
      </c>
      <c r="P206" s="40">
        <f t="shared" si="417"/>
        <v>0.36083975346687147</v>
      </c>
      <c r="Q206" s="40">
        <f t="shared" ref="Q206:Q212" si="423">MAX(P206,K206)</f>
        <v>0.36083975346687147</v>
      </c>
      <c r="R206" s="40">
        <v>0</v>
      </c>
      <c r="S206" s="49">
        <f>(LOOKUP(Q206,Policy!$L$12:$M$16)+R206)*O206</f>
        <v>0</v>
      </c>
      <c r="T206" s="188"/>
      <c r="U206" s="53"/>
      <c r="V206" s="40"/>
      <c r="W206" s="53"/>
      <c r="X206" s="427"/>
      <c r="Y206" s="397"/>
      <c r="Z206" s="431"/>
      <c r="AA206" s="55">
        <v>0</v>
      </c>
      <c r="AB206" s="41">
        <v>0</v>
      </c>
      <c r="AC206" s="41">
        <v>0</v>
      </c>
      <c r="AD206" s="41">
        <f t="shared" si="418"/>
        <v>0</v>
      </c>
      <c r="AE206" s="41">
        <f t="shared" si="419"/>
        <v>0</v>
      </c>
      <c r="AF206" s="41">
        <f t="shared" si="420"/>
        <v>0</v>
      </c>
      <c r="AG206" s="31"/>
      <c r="AH206" s="419"/>
      <c r="AI206" s="22" t="s">
        <v>1109</v>
      </c>
      <c r="AJ206" s="22" t="s">
        <v>1110</v>
      </c>
      <c r="AK206" s="195" t="s">
        <v>667</v>
      </c>
      <c r="AL206" s="299">
        <v>0</v>
      </c>
      <c r="AM206" s="299">
        <f t="shared" si="421"/>
        <v>0</v>
      </c>
      <c r="AN206" s="300">
        <f t="shared" si="422"/>
        <v>0</v>
      </c>
    </row>
    <row r="207" spans="1:41" ht="15.75" hidden="1" customHeight="1" outlineLevel="1" x14ac:dyDescent="0.2">
      <c r="A207" s="79" t="s">
        <v>25</v>
      </c>
      <c r="B207" s="79" t="s">
        <v>26</v>
      </c>
      <c r="C207" s="79" t="s">
        <v>1</v>
      </c>
      <c r="D207" s="1" t="s">
        <v>667</v>
      </c>
      <c r="E207" s="47">
        <f>ROUND(SUMIF('Target Achieved- Input'!$B$185:$B$275,'Incentive Report- Output'!B207,'Target Achieved- Input'!$G$185:$G$275),0)</f>
        <v>70</v>
      </c>
      <c r="F207" s="47">
        <f>ROUND(SUMIF('Target Achieved- Input'!$B$185:$B$275,'Incentive Report- Output'!B207,'Target Achieved- Input'!$H$185:$H$275),0)</f>
        <v>91</v>
      </c>
      <c r="G207" s="47">
        <f>SUMIF('Target Achieved- Input'!$L$185:$L$275,'Incentive Report- Output'!B207,'Target Achieved- Input'!$O$185:$O$275)</f>
        <v>42</v>
      </c>
      <c r="H207" s="39">
        <f>SUMIF('Target Achieved- Input'!$S$185:$S$275,'Incentive Report- Output'!B207,'Target Achieved- Input'!$V$185:$V$275)</f>
        <v>7</v>
      </c>
      <c r="I207" s="48">
        <f>SUMIF('Target Achieved- Input'!$L$185:$L$275,'Incentive Report- Output'!B207,'Target Achieved- Input'!$AC$185:$AC$275)</f>
        <v>0</v>
      </c>
      <c r="J207" s="39">
        <f t="shared" si="414"/>
        <v>35</v>
      </c>
      <c r="K207" s="40">
        <f t="shared" si="415"/>
        <v>0.5</v>
      </c>
      <c r="L207" s="41">
        <f t="shared" si="416"/>
        <v>2310000</v>
      </c>
      <c r="M207" s="41">
        <f>SUMIF('Target Achieved- Input'!$L$185:$L$275,'Incentive Report- Output'!B207,'Target Achieved- Input'!$M$185:$M$275)</f>
        <v>1843058</v>
      </c>
      <c r="N207" s="41">
        <f>SUMIF('Target Achieved- Input'!$S$185:$S$275,'Incentive Report- Output'!B207,'Target Achieved- Input'!$U$185:$U$275)</f>
        <v>221349.99999999971</v>
      </c>
      <c r="O207" s="41">
        <f>SUMIF('Target Achieved- Input'!$L$185:$L$275,'Incentive Report- Output'!B207,'Target Achieved- Input'!$N$185:$N$275)-N207</f>
        <v>1340563.5593220319</v>
      </c>
      <c r="P207" s="40">
        <f t="shared" si="417"/>
        <v>0.58033054516105276</v>
      </c>
      <c r="Q207" s="40">
        <f t="shared" si="423"/>
        <v>0.58033054516105276</v>
      </c>
      <c r="R207" s="40">
        <v>0</v>
      </c>
      <c r="S207" s="49">
        <f>(LOOKUP(Q207,Policy!$L$12:$M$16)+R207)*O207</f>
        <v>6702.8177966101593</v>
      </c>
      <c r="T207" s="185"/>
      <c r="U207" s="156"/>
      <c r="V207" s="51"/>
      <c r="W207" s="156"/>
      <c r="X207" s="427"/>
      <c r="Y207" s="397"/>
      <c r="Z207" s="431"/>
      <c r="AA207" s="55">
        <v>0</v>
      </c>
      <c r="AB207" s="41">
        <v>0</v>
      </c>
      <c r="AC207" s="41">
        <v>0</v>
      </c>
      <c r="AD207" s="41">
        <f t="shared" si="418"/>
        <v>0</v>
      </c>
      <c r="AE207" s="41">
        <f t="shared" si="419"/>
        <v>6702.8177966101593</v>
      </c>
      <c r="AF207" s="41">
        <f t="shared" si="420"/>
        <v>6702.8177966101593</v>
      </c>
      <c r="AG207" s="31"/>
      <c r="AH207" s="419"/>
      <c r="AI207" s="22" t="s">
        <v>25</v>
      </c>
      <c r="AJ207" s="22" t="s">
        <v>26</v>
      </c>
      <c r="AK207" s="195" t="s">
        <v>667</v>
      </c>
      <c r="AL207" s="299">
        <v>7809.5677966101584</v>
      </c>
      <c r="AM207" s="299">
        <f t="shared" si="421"/>
        <v>6702.8177966101593</v>
      </c>
      <c r="AN207" s="300">
        <f t="shared" si="422"/>
        <v>1106.7499999999991</v>
      </c>
    </row>
    <row r="208" spans="1:41" ht="15.75" hidden="1" customHeight="1" outlineLevel="1" x14ac:dyDescent="0.2">
      <c r="A208" s="79" t="s">
        <v>209</v>
      </c>
      <c r="B208" s="79" t="s">
        <v>52</v>
      </c>
      <c r="C208" s="79" t="s">
        <v>1185</v>
      </c>
      <c r="D208" s="1" t="s">
        <v>667</v>
      </c>
      <c r="E208" s="47">
        <f>ROUND(SUMIF('Target Achieved- Input'!$B$185:$B$275,'Incentive Report- Output'!B208,'Target Achieved- Input'!$G$185:$G$275),0)</f>
        <v>80</v>
      </c>
      <c r="F208" s="47">
        <f>ROUND(SUMIF('Target Achieved- Input'!$B$185:$B$275,'Incentive Report- Output'!B208,'Target Achieved- Input'!$H$185:$H$275),0)</f>
        <v>104</v>
      </c>
      <c r="G208" s="47">
        <f>SUMIF('Target Achieved- Input'!$L$185:$L$275,'Incentive Report- Output'!B208,'Target Achieved- Input'!$O$185:$O$275)</f>
        <v>35</v>
      </c>
      <c r="H208" s="39">
        <f>SUMIF('Target Achieved- Input'!$S$185:$S$275,'Incentive Report- Output'!B208,'Target Achieved- Input'!$V$185:$V$275)</f>
        <v>3</v>
      </c>
      <c r="I208" s="48">
        <f>SUMIF('Target Achieved- Input'!$L$185:$L$275,'Incentive Report- Output'!B208,'Target Achieved- Input'!$AC$185:$AC$275)</f>
        <v>0</v>
      </c>
      <c r="J208" s="39">
        <f t="shared" si="414"/>
        <v>32</v>
      </c>
      <c r="K208" s="40">
        <f t="shared" si="415"/>
        <v>0.4</v>
      </c>
      <c r="L208" s="41">
        <f t="shared" si="416"/>
        <v>2640000</v>
      </c>
      <c r="M208" s="41">
        <f>SUMIF('Target Achieved- Input'!$L$185:$L$275,'Incentive Report- Output'!B208,'Target Achieved- Input'!$M$185:$M$275)</f>
        <v>1452265</v>
      </c>
      <c r="N208" s="41">
        <f>SUMIF('Target Achieved- Input'!$S$185:$S$275,'Incentive Report- Output'!B208,'Target Achieved- Input'!$U$185:$U$275)</f>
        <v>86946.610169491396</v>
      </c>
      <c r="O208" s="41">
        <f>SUMIF('Target Achieved- Input'!$L$185:$L$275,'Incentive Report- Output'!B208,'Target Achieved- Input'!$N$185:$N$275)-N208</f>
        <v>1143786.4406779646</v>
      </c>
      <c r="P208" s="40">
        <f t="shared" si="417"/>
        <v>0.43325243965074417</v>
      </c>
      <c r="Q208" s="40">
        <f t="shared" si="423"/>
        <v>0.43325243965074417</v>
      </c>
      <c r="R208" s="40">
        <v>0</v>
      </c>
      <c r="S208" s="49">
        <f>(LOOKUP(Q208,Policy!$L$12:$M$16)+R208)*O208</f>
        <v>0</v>
      </c>
      <c r="T208" s="185">
        <f>L209</f>
        <v>2310000</v>
      </c>
      <c r="U208" s="156">
        <f>O209</f>
        <v>1169927.1186440657</v>
      </c>
      <c r="V208" s="51">
        <f>IFERROR(U208/T208,0)</f>
        <v>0.50646195612297218</v>
      </c>
      <c r="W208" s="156">
        <f>LOOKUP(V208,Policy!$L$18:$M$21)*U208</f>
        <v>0</v>
      </c>
      <c r="X208" s="427"/>
      <c r="Y208" s="397"/>
      <c r="Z208" s="431"/>
      <c r="AA208" s="55">
        <v>0</v>
      </c>
      <c r="AB208" s="41">
        <v>0</v>
      </c>
      <c r="AC208" s="41">
        <v>0</v>
      </c>
      <c r="AD208" s="41">
        <f t="shared" si="418"/>
        <v>0</v>
      </c>
      <c r="AE208" s="41">
        <f t="shared" si="419"/>
        <v>0</v>
      </c>
      <c r="AF208" s="41">
        <f t="shared" si="420"/>
        <v>0</v>
      </c>
      <c r="AG208" s="31"/>
      <c r="AH208" s="419"/>
      <c r="AI208" s="22" t="s">
        <v>209</v>
      </c>
      <c r="AJ208" s="22" t="s">
        <v>52</v>
      </c>
      <c r="AK208" s="195" t="s">
        <v>667</v>
      </c>
      <c r="AL208" s="299">
        <v>0</v>
      </c>
      <c r="AM208" s="299">
        <f t="shared" si="421"/>
        <v>0</v>
      </c>
      <c r="AN208" s="300">
        <f t="shared" si="422"/>
        <v>0</v>
      </c>
    </row>
    <row r="209" spans="1:42" ht="15.75" hidden="1" customHeight="1" outlineLevel="1" x14ac:dyDescent="0.2">
      <c r="A209" s="79" t="s">
        <v>303</v>
      </c>
      <c r="B209" s="79" t="s">
        <v>305</v>
      </c>
      <c r="C209" s="79" t="s">
        <v>1</v>
      </c>
      <c r="D209" s="1" t="s">
        <v>667</v>
      </c>
      <c r="E209" s="47">
        <f>ROUND(SUMIF('Target Achieved- Input'!$B$185:$B$275,'Incentive Report- Output'!B209,'Target Achieved- Input'!$G$185:$G$275),0)</f>
        <v>70</v>
      </c>
      <c r="F209" s="47">
        <f>ROUND(SUMIF('Target Achieved- Input'!$B$185:$B$275,'Incentive Report- Output'!B209,'Target Achieved- Input'!$H$185:$H$275),0)</f>
        <v>91</v>
      </c>
      <c r="G209" s="47">
        <f>SUMIF('Target Achieved- Input'!$L$185:$L$275,'Incentive Report- Output'!B209,'Target Achieved- Input'!$O$185:$O$275)</f>
        <v>38</v>
      </c>
      <c r="H209" s="39">
        <f>SUMIF('Target Achieved- Input'!$S$185:$S$275,'Incentive Report- Output'!B209,'Target Achieved- Input'!$V$185:$V$275)</f>
        <v>2</v>
      </c>
      <c r="I209" s="48">
        <f>SUMIF('Target Achieved- Input'!$L$185:$L$275,'Incentive Report- Output'!B209,'Target Achieved- Input'!$AC$185:$AC$275)</f>
        <v>0</v>
      </c>
      <c r="J209" s="39">
        <f t="shared" si="414"/>
        <v>36</v>
      </c>
      <c r="K209" s="40">
        <f t="shared" si="415"/>
        <v>0.51428571428571423</v>
      </c>
      <c r="L209" s="41">
        <f t="shared" si="416"/>
        <v>2310000</v>
      </c>
      <c r="M209" s="41">
        <f>SUMIF('Target Achieved- Input'!$L$185:$L$275,'Incentive Report- Output'!B209,'Target Achieved- Input'!$M$185:$M$275)</f>
        <v>1449812</v>
      </c>
      <c r="N209" s="41">
        <f>SUMIF('Target Achieved- Input'!$S$185:$S$275,'Incentive Report- Output'!B209,'Target Achieved- Input'!$U$185:$U$275)</f>
        <v>58727.118644067697</v>
      </c>
      <c r="O209" s="41">
        <f>SUMIF('Target Achieved- Input'!$L$185:$L$275,'Incentive Report- Output'!B209,'Target Achieved- Input'!$N$185:$N$275)-N209</f>
        <v>1169927.1186440657</v>
      </c>
      <c r="P209" s="40">
        <f t="shared" si="417"/>
        <v>0.50646195612297218</v>
      </c>
      <c r="Q209" s="40">
        <f>P209</f>
        <v>0.50646195612297218</v>
      </c>
      <c r="R209" s="40">
        <v>0</v>
      </c>
      <c r="S209" s="49">
        <f>(LOOKUP(Q209,Policy!$L$12:$M$16)+R209)*O209</f>
        <v>5849.6355932203287</v>
      </c>
      <c r="T209" s="185"/>
      <c r="U209" s="156"/>
      <c r="V209" s="51"/>
      <c r="W209" s="156"/>
      <c r="X209" s="427"/>
      <c r="Y209" s="397"/>
      <c r="Z209" s="431"/>
      <c r="AA209" s="55">
        <v>0</v>
      </c>
      <c r="AB209" s="41">
        <v>0</v>
      </c>
      <c r="AC209" s="41">
        <v>0</v>
      </c>
      <c r="AD209" s="41">
        <f t="shared" si="418"/>
        <v>0</v>
      </c>
      <c r="AE209" s="41">
        <f t="shared" si="419"/>
        <v>5849.6355932203287</v>
      </c>
      <c r="AF209" s="41">
        <f t="shared" si="420"/>
        <v>5849.6355932203287</v>
      </c>
      <c r="AG209" s="31"/>
      <c r="AH209" s="419"/>
      <c r="AI209" s="22" t="s">
        <v>303</v>
      </c>
      <c r="AJ209" s="22" t="s">
        <v>305</v>
      </c>
      <c r="AK209" s="195" t="s">
        <v>667</v>
      </c>
      <c r="AL209" s="299">
        <v>6143.2711864406674</v>
      </c>
      <c r="AM209" s="299">
        <f t="shared" si="421"/>
        <v>5849.6355932203287</v>
      </c>
      <c r="AN209" s="300">
        <f t="shared" si="422"/>
        <v>293.63559322033871</v>
      </c>
    </row>
    <row r="210" spans="1:42" ht="15.75" hidden="1" customHeight="1" outlineLevel="1" x14ac:dyDescent="0.2">
      <c r="A210" s="79" t="s">
        <v>285</v>
      </c>
      <c r="B210" s="79" t="s">
        <v>54</v>
      </c>
      <c r="C210" s="79" t="s">
        <v>1</v>
      </c>
      <c r="D210" s="1" t="s">
        <v>667</v>
      </c>
      <c r="E210" s="47">
        <f>ROUND(SUMIF('Target Achieved- Input'!$B$185:$B$275,'Incentive Report- Output'!B210,'Target Achieved- Input'!$G$185:$G$275),0)</f>
        <v>70</v>
      </c>
      <c r="F210" s="47">
        <f>ROUND(SUMIF('Target Achieved- Input'!$B$185:$B$275,'Incentive Report- Output'!B210,'Target Achieved- Input'!$H$185:$H$275),0)</f>
        <v>91</v>
      </c>
      <c r="G210" s="47">
        <f>SUMIF('Target Achieved- Input'!$L$185:$L$275,'Incentive Report- Output'!B210,'Target Achieved- Input'!$O$185:$O$275)</f>
        <v>45</v>
      </c>
      <c r="H210" s="39">
        <f>SUMIF('Target Achieved- Input'!$S$185:$S$275,'Incentive Report- Output'!B210,'Target Achieved- Input'!$V$185:$V$275)</f>
        <v>13</v>
      </c>
      <c r="I210" s="48">
        <f>SUMIF('Target Achieved- Input'!$L$185:$L$275,'Incentive Report- Output'!B210,'Target Achieved- Input'!$AC$185:$AC$275)</f>
        <v>1</v>
      </c>
      <c r="J210" s="39">
        <f t="shared" si="414"/>
        <v>32</v>
      </c>
      <c r="K210" s="40">
        <f t="shared" si="415"/>
        <v>0.45714285714285713</v>
      </c>
      <c r="L210" s="41">
        <f t="shared" si="416"/>
        <v>2310000</v>
      </c>
      <c r="M210" s="41">
        <f>SUMIF('Target Achieved- Input'!$L$185:$L$275,'Incentive Report- Output'!B210,'Target Achieved- Input'!$M$185:$M$275)</f>
        <v>1764505</v>
      </c>
      <c r="N210" s="41">
        <f>SUMIF('Target Achieved- Input'!$S$185:$S$275,'Incentive Report- Output'!B210,'Target Achieved- Input'!$U$185:$U$275)</f>
        <v>468548.30508474488</v>
      </c>
      <c r="O210" s="41">
        <f>SUMIF('Target Achieved- Input'!$L$185:$L$275,'Incentive Report- Output'!B210,'Target Achieved- Input'!$N$185:$N$275)-N210</f>
        <v>1026794.9152542357</v>
      </c>
      <c r="P210" s="40">
        <f t="shared" si="417"/>
        <v>0.44449996331352198</v>
      </c>
      <c r="Q210" s="40">
        <f t="shared" si="423"/>
        <v>0.45714285714285713</v>
      </c>
      <c r="R210" s="40">
        <v>0</v>
      </c>
      <c r="S210" s="49">
        <f>(LOOKUP(Q210,Policy!$L$12:$M$16)+R210)*O210</f>
        <v>0</v>
      </c>
      <c r="T210" s="185"/>
      <c r="U210" s="156"/>
      <c r="V210" s="51"/>
      <c r="W210" s="156"/>
      <c r="X210" s="427"/>
      <c r="Y210" s="397"/>
      <c r="Z210" s="431"/>
      <c r="AA210" s="55">
        <v>0</v>
      </c>
      <c r="AB210" s="41">
        <v>0</v>
      </c>
      <c r="AC210" s="41">
        <v>0</v>
      </c>
      <c r="AD210" s="41">
        <f t="shared" si="418"/>
        <v>0</v>
      </c>
      <c r="AE210" s="41">
        <f t="shared" si="419"/>
        <v>0</v>
      </c>
      <c r="AF210" s="41">
        <f t="shared" si="420"/>
        <v>0</v>
      </c>
      <c r="AG210" s="31"/>
      <c r="AH210" s="419"/>
      <c r="AI210" s="22" t="s">
        <v>285</v>
      </c>
      <c r="AJ210" s="22" t="s">
        <v>54</v>
      </c>
      <c r="AK210" s="195" t="s">
        <v>667</v>
      </c>
      <c r="AL210" s="299">
        <v>7476.716101694903</v>
      </c>
      <c r="AM210" s="299">
        <f t="shared" si="421"/>
        <v>0</v>
      </c>
      <c r="AN210" s="300">
        <f t="shared" si="422"/>
        <v>7476.716101694903</v>
      </c>
    </row>
    <row r="211" spans="1:42" ht="15.75" hidden="1" customHeight="1" outlineLevel="1" x14ac:dyDescent="0.2">
      <c r="A211" s="79" t="s">
        <v>246</v>
      </c>
      <c r="B211" s="79" t="s">
        <v>247</v>
      </c>
      <c r="C211" s="79" t="s">
        <v>1</v>
      </c>
      <c r="D211" s="1" t="s">
        <v>667</v>
      </c>
      <c r="E211" s="47">
        <f>ROUND(SUMIF('Target Achieved- Input'!$B$185:$B$275,'Incentive Report- Output'!B211,'Target Achieved- Input'!$G$185:$G$275),0)</f>
        <v>80</v>
      </c>
      <c r="F211" s="47">
        <f>ROUND(SUMIF('Target Achieved- Input'!$B$185:$B$275,'Incentive Report- Output'!B211,'Target Achieved- Input'!$H$185:$H$275),0)</f>
        <v>104</v>
      </c>
      <c r="G211" s="47">
        <f>SUMIF('Target Achieved- Input'!$L$185:$L$275,'Incentive Report- Output'!B211,'Target Achieved- Input'!$O$185:$O$275)</f>
        <v>46</v>
      </c>
      <c r="H211" s="39">
        <f>SUMIF('Target Achieved- Input'!$S$185:$S$275,'Incentive Report- Output'!B211,'Target Achieved- Input'!$V$185:$V$275)</f>
        <v>1</v>
      </c>
      <c r="I211" s="48">
        <f>SUMIF('Target Achieved- Input'!$L$185:$L$275,'Incentive Report- Output'!B211,'Target Achieved- Input'!$AC$185:$AC$275)</f>
        <v>0</v>
      </c>
      <c r="J211" s="39">
        <f t="shared" si="414"/>
        <v>45</v>
      </c>
      <c r="K211" s="40">
        <f t="shared" si="415"/>
        <v>0.5625</v>
      </c>
      <c r="L211" s="41">
        <f t="shared" si="416"/>
        <v>2640000</v>
      </c>
      <c r="M211" s="41">
        <f>SUMIF('Target Achieved- Input'!$L$185:$L$275,'Incentive Report- Output'!B211,'Target Achieved- Input'!$M$185:$M$275)</f>
        <v>1776954</v>
      </c>
      <c r="N211" s="41">
        <f>SUMIF('Target Achieved- Input'!$S$185:$S$275,'Incentive Report- Output'!B211,'Target Achieved- Input'!$U$185:$U$275)</f>
        <v>21736.4406779661</v>
      </c>
      <c r="O211" s="41">
        <f>SUMIF('Target Achieved- Input'!$L$185:$L$275,'Incentive Report- Output'!B211,'Target Achieved- Input'!$N$185:$N$275)-N211</f>
        <v>1484156.7796610149</v>
      </c>
      <c r="P211" s="40">
        <f t="shared" si="417"/>
        <v>0.56218059835644507</v>
      </c>
      <c r="Q211" s="40">
        <f>P211</f>
        <v>0.56218059835644507</v>
      </c>
      <c r="R211" s="40">
        <v>0</v>
      </c>
      <c r="S211" s="49">
        <f>(LOOKUP(Q211,Policy!$L$12:$M$16)+R211)*O211</f>
        <v>7420.7838983050751</v>
      </c>
      <c r="T211" s="185"/>
      <c r="U211" s="156"/>
      <c r="V211" s="51"/>
      <c r="W211" s="156"/>
      <c r="X211" s="427"/>
      <c r="Y211" s="397"/>
      <c r="Z211" s="431"/>
      <c r="AA211" s="55">
        <v>0</v>
      </c>
      <c r="AB211" s="41">
        <v>0</v>
      </c>
      <c r="AC211" s="41">
        <v>0</v>
      </c>
      <c r="AD211" s="41">
        <f t="shared" si="418"/>
        <v>0</v>
      </c>
      <c r="AE211" s="41">
        <f t="shared" si="419"/>
        <v>7420.7838983050751</v>
      </c>
      <c r="AF211" s="41">
        <f t="shared" si="420"/>
        <v>7420.7838983050751</v>
      </c>
      <c r="AG211" s="31"/>
      <c r="AH211" s="419"/>
      <c r="AI211" s="22" t="s">
        <v>246</v>
      </c>
      <c r="AJ211" s="22" t="s">
        <v>247</v>
      </c>
      <c r="AK211" s="195" t="s">
        <v>667</v>
      </c>
      <c r="AL211" s="299">
        <v>7529.4661016949049</v>
      </c>
      <c r="AM211" s="299">
        <f t="shared" si="421"/>
        <v>7420.7838983050751</v>
      </c>
      <c r="AN211" s="300">
        <f t="shared" si="422"/>
        <v>108.68220338982974</v>
      </c>
    </row>
    <row r="212" spans="1:42" ht="15.75" hidden="1" customHeight="1" outlineLevel="1" x14ac:dyDescent="0.2">
      <c r="A212" s="79" t="s">
        <v>334</v>
      </c>
      <c r="B212" s="79" t="s">
        <v>341</v>
      </c>
      <c r="C212" s="79" t="s">
        <v>1</v>
      </c>
      <c r="D212" s="1" t="s">
        <v>667</v>
      </c>
      <c r="E212" s="47">
        <f>ROUND(SUMIF('Target Achieved- Input'!$B$185:$B$275,'Incentive Report- Output'!B212,'Target Achieved- Input'!$G$185:$G$275),0)</f>
        <v>70</v>
      </c>
      <c r="F212" s="47">
        <f>ROUND(SUMIF('Target Achieved- Input'!$B$185:$B$275,'Incentive Report- Output'!B212,'Target Achieved- Input'!$H$185:$H$275),0)</f>
        <v>91</v>
      </c>
      <c r="G212" s="47">
        <f>SUMIF('Target Achieved- Input'!$L$185:$L$275,'Incentive Report- Output'!B212,'Target Achieved- Input'!$O$185:$O$275)</f>
        <v>58</v>
      </c>
      <c r="H212" s="39">
        <f>SUMIF('Target Achieved- Input'!$S$185:$S$275,'Incentive Report- Output'!B212,'Target Achieved- Input'!$V$185:$V$275)</f>
        <v>1</v>
      </c>
      <c r="I212" s="48">
        <f>SUMIF('Target Achieved- Input'!$L$185:$L$275,'Incentive Report- Output'!B212,'Target Achieved- Input'!$AC$185:$AC$275)</f>
        <v>1</v>
      </c>
      <c r="J212" s="39">
        <f t="shared" si="414"/>
        <v>57</v>
      </c>
      <c r="K212" s="40">
        <f t="shared" si="415"/>
        <v>0.81428571428571428</v>
      </c>
      <c r="L212" s="41">
        <f t="shared" si="416"/>
        <v>2310000</v>
      </c>
      <c r="M212" s="41">
        <f>SUMIF('Target Achieved- Input'!$L$185:$L$275,'Incentive Report- Output'!B212,'Target Achieved- Input'!$M$185:$M$275)</f>
        <v>2474242</v>
      </c>
      <c r="N212" s="41">
        <f>SUMIF('Target Achieved- Input'!$S$185:$S$275,'Incentive Report- Output'!B212,'Target Achieved- Input'!$U$185:$U$275)</f>
        <v>30507.627118643999</v>
      </c>
      <c r="O212" s="41">
        <f>SUMIF('Target Achieved- Input'!$L$185:$L$275,'Incentive Report- Output'!B212,'Target Achieved- Input'!$N$185:$N$275)-N212</f>
        <v>2066307.6271186422</v>
      </c>
      <c r="P212" s="40">
        <f t="shared" si="417"/>
        <v>0.8945054662851265</v>
      </c>
      <c r="Q212" s="40">
        <f t="shared" si="423"/>
        <v>0.8945054662851265</v>
      </c>
      <c r="R212" s="40">
        <v>0</v>
      </c>
      <c r="S212" s="49">
        <f>(LOOKUP(Q212,Policy!$L$12:$M$16)+R212)*O212</f>
        <v>20663.076271186423</v>
      </c>
      <c r="T212" s="185"/>
      <c r="U212" s="156"/>
      <c r="V212" s="51"/>
      <c r="W212" s="156"/>
      <c r="X212" s="429"/>
      <c r="Y212" s="398"/>
      <c r="Z212" s="432"/>
      <c r="AA212" s="55">
        <v>0</v>
      </c>
      <c r="AB212" s="41">
        <v>0</v>
      </c>
      <c r="AC212" s="41">
        <v>0</v>
      </c>
      <c r="AD212" s="41">
        <f t="shared" si="418"/>
        <v>0</v>
      </c>
      <c r="AE212" s="41">
        <f t="shared" si="419"/>
        <v>20663.076271186423</v>
      </c>
      <c r="AF212" s="41">
        <f t="shared" si="420"/>
        <v>20663.076271186423</v>
      </c>
      <c r="AG212" s="31"/>
      <c r="AH212" s="419"/>
      <c r="AI212" s="22" t="s">
        <v>334</v>
      </c>
      <c r="AJ212" s="22" t="s">
        <v>341</v>
      </c>
      <c r="AK212" s="195" t="s">
        <v>667</v>
      </c>
      <c r="AL212" s="299">
        <v>20968.152542372864</v>
      </c>
      <c r="AM212" s="299">
        <f t="shared" si="421"/>
        <v>20663.076271186423</v>
      </c>
      <c r="AN212" s="300">
        <f t="shared" si="422"/>
        <v>305.07627118644086</v>
      </c>
    </row>
    <row r="213" spans="1:42" ht="15.75" hidden="1" customHeight="1" outlineLevel="1" x14ac:dyDescent="0.2">
      <c r="A213" s="109" t="s">
        <v>6</v>
      </c>
      <c r="B213" s="109"/>
      <c r="C213" s="109"/>
      <c r="D213" s="292" t="s">
        <v>667</v>
      </c>
      <c r="E213" s="44">
        <f>SUM(E205:E212)</f>
        <v>560</v>
      </c>
      <c r="F213" s="44">
        <f t="shared" ref="F213:J213" si="424">SUM(F205:F212)</f>
        <v>728</v>
      </c>
      <c r="G213" s="44">
        <f t="shared" si="424"/>
        <v>300</v>
      </c>
      <c r="H213" s="44">
        <f t="shared" si="424"/>
        <v>40</v>
      </c>
      <c r="I213" s="44">
        <f t="shared" si="424"/>
        <v>3</v>
      </c>
      <c r="J213" s="44">
        <f t="shared" si="424"/>
        <v>260</v>
      </c>
      <c r="K213" s="45"/>
      <c r="L213" s="44">
        <f t="shared" ref="L213:O213" si="425">SUM(L205:L212)</f>
        <v>18480000</v>
      </c>
      <c r="M213" s="44">
        <f t="shared" si="425"/>
        <v>12246400</v>
      </c>
      <c r="N213" s="44">
        <f t="shared" si="425"/>
        <v>1313228.8135593198</v>
      </c>
      <c r="O213" s="44">
        <f t="shared" si="425"/>
        <v>9065076.2711864263</v>
      </c>
      <c r="P213" s="45"/>
      <c r="Q213" s="46"/>
      <c r="R213" s="46"/>
      <c r="S213" s="44">
        <f t="shared" ref="S213:AF213" si="426">SUM(S205:S212)</f>
        <v>40636.313559321985</v>
      </c>
      <c r="T213" s="44">
        <f t="shared" si="426"/>
        <v>2310000</v>
      </c>
      <c r="U213" s="44">
        <f t="shared" si="426"/>
        <v>1169927.1186440657</v>
      </c>
      <c r="V213" s="44">
        <f t="shared" si="426"/>
        <v>0.50646195612297218</v>
      </c>
      <c r="W213" s="44">
        <f t="shared" si="426"/>
        <v>0</v>
      </c>
      <c r="X213" s="44">
        <f t="shared" si="426"/>
        <v>560</v>
      </c>
      <c r="Y213" s="44">
        <f t="shared" si="426"/>
        <v>260</v>
      </c>
      <c r="Z213" s="44">
        <f t="shared" si="426"/>
        <v>0.4642857142857143</v>
      </c>
      <c r="AA213" s="44">
        <f t="shared" si="426"/>
        <v>0</v>
      </c>
      <c r="AB213" s="44">
        <f t="shared" si="426"/>
        <v>0</v>
      </c>
      <c r="AC213" s="44">
        <f t="shared" si="426"/>
        <v>0</v>
      </c>
      <c r="AD213" s="44">
        <f t="shared" si="426"/>
        <v>0</v>
      </c>
      <c r="AE213" s="44">
        <f t="shared" si="426"/>
        <v>40636.313559321985</v>
      </c>
      <c r="AF213" s="44">
        <f t="shared" si="426"/>
        <v>40636.313559321985</v>
      </c>
      <c r="AG213" s="31"/>
      <c r="AH213" s="419"/>
      <c r="AI213" s="43" t="s">
        <v>6</v>
      </c>
      <c r="AJ213" s="43"/>
      <c r="AK213" s="43" t="s">
        <v>667</v>
      </c>
      <c r="AL213" s="304">
        <v>49927.17372881349</v>
      </c>
      <c r="AM213" s="304">
        <f>SUM(AM205:AM212)</f>
        <v>40636.313559321985</v>
      </c>
      <c r="AN213" s="304">
        <f>SUM(AN205:AN212)</f>
        <v>9290.8601694915105</v>
      </c>
    </row>
    <row r="214" spans="1:42" ht="15.75" hidden="1" customHeight="1" outlineLevel="1" x14ac:dyDescent="0.2">
      <c r="A214" s="79" t="s">
        <v>61</v>
      </c>
      <c r="B214" s="79" t="s">
        <v>62</v>
      </c>
      <c r="C214" s="79" t="s">
        <v>0</v>
      </c>
      <c r="D214" s="1" t="s">
        <v>668</v>
      </c>
      <c r="E214" s="47">
        <f>ROUND(SUMIF('Target Achieved- Input'!$B$185:$B$275,'Incentive Report- Output'!B214,'Target Achieved- Input'!$G$185:$G$275),0)</f>
        <v>70</v>
      </c>
      <c r="F214" s="47">
        <f>ROUND(SUMIF('Target Achieved- Input'!$B$185:$B$275,'Incentive Report- Output'!B214,'Target Achieved- Input'!$H$185:$H$275),0)</f>
        <v>91</v>
      </c>
      <c r="G214" s="47">
        <f>SUMIF('Target Achieved- Input'!$L$185:$L$275,'Incentive Report- Output'!B214,'Target Achieved- Input'!$O$185:$O$275)</f>
        <v>41</v>
      </c>
      <c r="H214" s="39">
        <f>SUMIF('Target Achieved- Input'!$S$185:$S$275,'Incentive Report- Output'!B214,'Target Achieved- Input'!$V$185:$V$275)</f>
        <v>4</v>
      </c>
      <c r="I214" s="48">
        <f>SUMIF('Target Achieved- Input'!$L$185:$L$275,'Incentive Report- Output'!B214,'Target Achieved- Input'!$AC$185:$AC$275)</f>
        <v>1</v>
      </c>
      <c r="J214" s="39">
        <f t="shared" ref="J214:J216" si="427">G214-H214</f>
        <v>37</v>
      </c>
      <c r="K214" s="40">
        <f t="shared" ref="K214:K216" si="428">IFERROR(J214/E214,0)</f>
        <v>0.52857142857142858</v>
      </c>
      <c r="L214" s="41">
        <f t="shared" ref="L214:L216" si="429">E214*33000</f>
        <v>2310000</v>
      </c>
      <c r="M214" s="41">
        <f>SUMIF('Target Achieved- Input'!$L$185:$L$275,'Incentive Report- Output'!B214,'Target Achieved- Input'!$M$185:$M$275)</f>
        <v>1711759</v>
      </c>
      <c r="N214" s="41">
        <f>SUMIF('Target Achieved- Input'!$S$185:$S$275,'Incentive Report- Output'!B214,'Target Achieved- Input'!$U$185:$U$275)</f>
        <v>119742.3728813557</v>
      </c>
      <c r="O214" s="41">
        <f>SUMIF('Target Achieved- Input'!$L$185:$L$275,'Incentive Report- Output'!B214,'Target Achieved- Input'!$N$185:$N$275)-N214</f>
        <v>1330900.8474576257</v>
      </c>
      <c r="P214" s="40">
        <f t="shared" ref="P214:P216" si="430">IFERROR(O214/L214,0)</f>
        <v>0.57614755301195919</v>
      </c>
      <c r="Q214" s="40">
        <f t="shared" ref="Q214:Q216" si="431">MAX(P214,K214)</f>
        <v>0.57614755301195919</v>
      </c>
      <c r="R214" s="40">
        <v>0</v>
      </c>
      <c r="S214" s="49">
        <f>(LOOKUP(Q214,Policy!$L$12:$M$16)+R214)*O214</f>
        <v>6654.5042372881289</v>
      </c>
      <c r="T214" s="188"/>
      <c r="U214" s="53"/>
      <c r="V214" s="40"/>
      <c r="W214" s="53"/>
      <c r="X214" s="433">
        <f>E217</f>
        <v>220</v>
      </c>
      <c r="Y214" s="433">
        <f>J217</f>
        <v>81</v>
      </c>
      <c r="Z214" s="435">
        <f>Y214/X214</f>
        <v>0.36818181818181817</v>
      </c>
      <c r="AA214" s="55">
        <v>0</v>
      </c>
      <c r="AB214" s="41">
        <v>0</v>
      </c>
      <c r="AC214" s="41">
        <v>0</v>
      </c>
      <c r="AD214" s="41">
        <f t="shared" ref="AD214:AD216" si="432">IF(AF214&gt;200000,AF214-200000,0)</f>
        <v>0</v>
      </c>
      <c r="AE214" s="41">
        <f t="shared" ref="AE214:AE216" si="433">AF214-AD214+AC214</f>
        <v>6654.5042372881289</v>
      </c>
      <c r="AF214" s="41">
        <f>S214+W214+AB214+AC214</f>
        <v>6654.5042372881289</v>
      </c>
      <c r="AG214" s="31"/>
      <c r="AH214" s="419"/>
      <c r="AI214" s="22" t="s">
        <v>61</v>
      </c>
      <c r="AJ214" s="22" t="s">
        <v>62</v>
      </c>
      <c r="AK214" s="195" t="s">
        <v>668</v>
      </c>
      <c r="AL214" s="299">
        <v>7253.2161016949067</v>
      </c>
      <c r="AM214" s="299">
        <f t="shared" ref="AM214:AM216" si="434">AF214</f>
        <v>6654.5042372881289</v>
      </c>
      <c r="AN214" s="300">
        <f t="shared" ref="AN214:AN216" si="435">AL214-AM214</f>
        <v>598.71186440677775</v>
      </c>
      <c r="AP214" s="172"/>
    </row>
    <row r="215" spans="1:42" ht="15.75" hidden="1" customHeight="1" outlineLevel="1" x14ac:dyDescent="0.2">
      <c r="A215" s="79" t="s">
        <v>689</v>
      </c>
      <c r="B215" s="79" t="s">
        <v>690</v>
      </c>
      <c r="C215" s="79" t="s">
        <v>1</v>
      </c>
      <c r="D215" s="1" t="s">
        <v>668</v>
      </c>
      <c r="E215" s="47">
        <f>ROUND(SUMIF('Target Achieved- Input'!$B$185:$B$275,'Incentive Report- Output'!B215,'Target Achieved- Input'!$G$185:$G$275),0)</f>
        <v>80</v>
      </c>
      <c r="F215" s="47">
        <f>ROUND(SUMIF('Target Achieved- Input'!$B$185:$B$275,'Incentive Report- Output'!B215,'Target Achieved- Input'!$H$185:$H$275),0)</f>
        <v>104</v>
      </c>
      <c r="G215" s="47">
        <f>SUMIF('Target Achieved- Input'!$L$185:$L$275,'Incentive Report- Output'!B215,'Target Achieved- Input'!$O$185:$O$275)</f>
        <v>33</v>
      </c>
      <c r="H215" s="39">
        <f>SUMIF('Target Achieved- Input'!$S$185:$S$275,'Incentive Report- Output'!B215,'Target Achieved- Input'!$V$185:$V$275)</f>
        <v>5</v>
      </c>
      <c r="I215" s="48">
        <f>SUMIF('Target Achieved- Input'!$L$185:$L$275,'Incentive Report- Output'!B215,'Target Achieved- Input'!$AC$185:$AC$275)</f>
        <v>0</v>
      </c>
      <c r="J215" s="39">
        <f t="shared" si="427"/>
        <v>28</v>
      </c>
      <c r="K215" s="40">
        <f t="shared" si="428"/>
        <v>0.35</v>
      </c>
      <c r="L215" s="41">
        <f t="shared" si="429"/>
        <v>2640000</v>
      </c>
      <c r="M215" s="41">
        <f>SUMIF('Target Achieved- Input'!$L$185:$L$275,'Incentive Report- Output'!B215,'Target Achieved- Input'!$M$185:$M$275)</f>
        <v>1397817</v>
      </c>
      <c r="N215" s="41">
        <f>SUMIF('Target Achieved- Input'!$S$185:$S$275,'Incentive Report- Output'!B215,'Target Achieved- Input'!$U$185:$U$275)</f>
        <v>161521.18644067759</v>
      </c>
      <c r="O215" s="41">
        <f>SUMIF('Target Achieved- Input'!$L$185:$L$275,'Incentive Report- Output'!B215,'Target Achieved- Input'!$N$185:$N$275)-N215</f>
        <v>1023069.4915254225</v>
      </c>
      <c r="P215" s="40">
        <f t="shared" si="430"/>
        <v>0.38752632254750852</v>
      </c>
      <c r="Q215" s="40">
        <f t="shared" si="431"/>
        <v>0.38752632254750852</v>
      </c>
      <c r="R215" s="40">
        <v>0</v>
      </c>
      <c r="S215" s="49">
        <f>(LOOKUP(Q215,Policy!$L$12:$M$16)+R215)*O215</f>
        <v>0</v>
      </c>
      <c r="T215" s="188"/>
      <c r="U215" s="53"/>
      <c r="V215" s="40"/>
      <c r="W215" s="53"/>
      <c r="X215" s="405"/>
      <c r="Y215" s="405"/>
      <c r="Z215" s="436"/>
      <c r="AA215" s="55">
        <v>0</v>
      </c>
      <c r="AB215" s="41">
        <v>0</v>
      </c>
      <c r="AC215" s="41">
        <v>0</v>
      </c>
      <c r="AD215" s="41">
        <f t="shared" si="432"/>
        <v>0</v>
      </c>
      <c r="AE215" s="41">
        <f t="shared" si="433"/>
        <v>0</v>
      </c>
      <c r="AF215" s="41">
        <f>S215+W215+AB215+AC215</f>
        <v>0</v>
      </c>
      <c r="AG215" s="32"/>
      <c r="AH215" s="419"/>
      <c r="AI215" s="22" t="s">
        <v>689</v>
      </c>
      <c r="AJ215" s="22" t="s">
        <v>690</v>
      </c>
      <c r="AK215" s="195" t="s">
        <v>668</v>
      </c>
      <c r="AL215" s="301">
        <v>0</v>
      </c>
      <c r="AM215" s="301">
        <f t="shared" si="434"/>
        <v>0</v>
      </c>
      <c r="AN215" s="302">
        <f t="shared" si="435"/>
        <v>0</v>
      </c>
      <c r="AO215" s="334"/>
      <c r="AP215" s="172"/>
    </row>
    <row r="216" spans="1:42" ht="15.75" hidden="1" customHeight="1" outlineLevel="1" x14ac:dyDescent="0.2">
      <c r="A216" s="79" t="s">
        <v>706</v>
      </c>
      <c r="B216" s="79" t="s">
        <v>688</v>
      </c>
      <c r="C216" s="79" t="s">
        <v>1</v>
      </c>
      <c r="D216" s="1" t="s">
        <v>668</v>
      </c>
      <c r="E216" s="47">
        <f>ROUND(SUMIF('Target Achieved- Input'!$B$185:$B$275,'Incentive Report- Output'!B216,'Target Achieved- Input'!$G$185:$G$275),0)</f>
        <v>70</v>
      </c>
      <c r="F216" s="47">
        <f>ROUND(SUMIF('Target Achieved- Input'!$B$185:$B$275,'Incentive Report- Output'!B216,'Target Achieved- Input'!$H$185:$H$275),0)</f>
        <v>91</v>
      </c>
      <c r="G216" s="47">
        <f>SUMIF('Target Achieved- Input'!$L$185:$L$275,'Incentive Report- Output'!B216,'Target Achieved- Input'!$O$185:$O$275)</f>
        <v>22</v>
      </c>
      <c r="H216" s="39">
        <f>SUMIF('Target Achieved- Input'!$S$185:$S$275,'Incentive Report- Output'!B216,'Target Achieved- Input'!$V$185:$V$275)</f>
        <v>6</v>
      </c>
      <c r="I216" s="48">
        <f>SUMIF('Target Achieved- Input'!$L$185:$L$275,'Incentive Report- Output'!B216,'Target Achieved- Input'!$AC$185:$AC$275)</f>
        <v>0</v>
      </c>
      <c r="J216" s="39">
        <f t="shared" si="427"/>
        <v>16</v>
      </c>
      <c r="K216" s="40">
        <f t="shared" si="428"/>
        <v>0.22857142857142856</v>
      </c>
      <c r="L216" s="41">
        <f t="shared" si="429"/>
        <v>2310000</v>
      </c>
      <c r="M216" s="41">
        <f>SUMIF('Target Achieved- Input'!$L$185:$L$275,'Incentive Report- Output'!B216,'Target Achieved- Input'!$M$185:$M$275)</f>
        <v>920628</v>
      </c>
      <c r="N216" s="41">
        <f>SUMIF('Target Achieved- Input'!$S$185:$S$275,'Incentive Report- Output'!B216,'Target Achieved- Input'!$U$185:$U$275)</f>
        <v>173893.22033898282</v>
      </c>
      <c r="O216" s="41">
        <f>SUMIF('Target Achieved- Input'!$L$185:$L$275,'Incentive Report- Output'!B216,'Target Achieved- Input'!$N$185:$N$275)-N216</f>
        <v>606299.99999999884</v>
      </c>
      <c r="P216" s="40">
        <f t="shared" si="430"/>
        <v>0.26246753246753196</v>
      </c>
      <c r="Q216" s="40">
        <f t="shared" si="431"/>
        <v>0.26246753246753196</v>
      </c>
      <c r="R216" s="40">
        <v>0</v>
      </c>
      <c r="S216" s="49">
        <f>(LOOKUP(Q216,Policy!$L$12:$M$16)+R216)*O216</f>
        <v>0</v>
      </c>
      <c r="T216" s="185"/>
      <c r="U216" s="156"/>
      <c r="V216" s="51"/>
      <c r="W216" s="156"/>
      <c r="X216" s="434"/>
      <c r="Y216" s="434"/>
      <c r="Z216" s="437"/>
      <c r="AA216" s="55">
        <v>0</v>
      </c>
      <c r="AB216" s="41">
        <v>0</v>
      </c>
      <c r="AC216" s="41">
        <v>0</v>
      </c>
      <c r="AD216" s="41">
        <f t="shared" si="432"/>
        <v>0</v>
      </c>
      <c r="AE216" s="41">
        <f t="shared" si="433"/>
        <v>0</v>
      </c>
      <c r="AF216" s="41">
        <f>S216+W216+AB216+AC216</f>
        <v>0</v>
      </c>
      <c r="AG216" s="31"/>
      <c r="AH216" s="419"/>
      <c r="AI216" s="22" t="s">
        <v>706</v>
      </c>
      <c r="AJ216" s="22" t="s">
        <v>688</v>
      </c>
      <c r="AK216" s="195" t="s">
        <v>668</v>
      </c>
      <c r="AL216" s="301">
        <v>0</v>
      </c>
      <c r="AM216" s="301">
        <f t="shared" si="434"/>
        <v>0</v>
      </c>
      <c r="AN216" s="302">
        <f t="shared" si="435"/>
        <v>0</v>
      </c>
      <c r="AP216" s="172"/>
    </row>
    <row r="217" spans="1:42" ht="15.75" hidden="1" customHeight="1" outlineLevel="1" x14ac:dyDescent="0.2">
      <c r="A217" s="109" t="s">
        <v>6</v>
      </c>
      <c r="B217" s="109"/>
      <c r="C217" s="109"/>
      <c r="D217" s="292" t="s">
        <v>668</v>
      </c>
      <c r="E217" s="44">
        <f>SUM(E214:E216)</f>
        <v>220</v>
      </c>
      <c r="F217" s="44">
        <f t="shared" ref="F217:J217" si="436">SUM(F214:F216)</f>
        <v>286</v>
      </c>
      <c r="G217" s="44">
        <f t="shared" si="436"/>
        <v>96</v>
      </c>
      <c r="H217" s="44">
        <f t="shared" si="436"/>
        <v>15</v>
      </c>
      <c r="I217" s="44">
        <f t="shared" si="436"/>
        <v>1</v>
      </c>
      <c r="J217" s="44">
        <f t="shared" si="436"/>
        <v>81</v>
      </c>
      <c r="K217" s="45"/>
      <c r="L217" s="44">
        <f t="shared" ref="L217:O217" si="437">SUM(L214:L216)</f>
        <v>7260000</v>
      </c>
      <c r="M217" s="44">
        <f t="shared" si="437"/>
        <v>4030204</v>
      </c>
      <c r="N217" s="44">
        <f t="shared" si="437"/>
        <v>455156.77966101613</v>
      </c>
      <c r="O217" s="44">
        <f t="shared" si="437"/>
        <v>2960270.3389830468</v>
      </c>
      <c r="P217" s="45"/>
      <c r="Q217" s="46"/>
      <c r="R217" s="46"/>
      <c r="S217" s="44">
        <f t="shared" ref="S217:AF217" si="438">SUM(S214:S216)</f>
        <v>6654.5042372881289</v>
      </c>
      <c r="T217" s="44">
        <f t="shared" si="438"/>
        <v>0</v>
      </c>
      <c r="U217" s="44">
        <f t="shared" si="438"/>
        <v>0</v>
      </c>
      <c r="V217" s="44">
        <f t="shared" si="438"/>
        <v>0</v>
      </c>
      <c r="W217" s="44">
        <f t="shared" si="438"/>
        <v>0</v>
      </c>
      <c r="X217" s="44">
        <f t="shared" si="438"/>
        <v>220</v>
      </c>
      <c r="Y217" s="44">
        <f t="shared" si="438"/>
        <v>81</v>
      </c>
      <c r="Z217" s="44">
        <f t="shared" si="438"/>
        <v>0.36818181818181817</v>
      </c>
      <c r="AA217" s="44">
        <f t="shared" si="438"/>
        <v>0</v>
      </c>
      <c r="AB217" s="44">
        <f t="shared" si="438"/>
        <v>0</v>
      </c>
      <c r="AC217" s="44">
        <f t="shared" si="438"/>
        <v>0</v>
      </c>
      <c r="AD217" s="44">
        <f t="shared" si="438"/>
        <v>0</v>
      </c>
      <c r="AE217" s="44">
        <f t="shared" si="438"/>
        <v>6654.5042372881289</v>
      </c>
      <c r="AF217" s="44">
        <f t="shared" si="438"/>
        <v>6654.5042372881289</v>
      </c>
      <c r="AG217" s="31"/>
      <c r="AH217" s="419"/>
      <c r="AI217" s="43" t="s">
        <v>6</v>
      </c>
      <c r="AJ217" s="43"/>
      <c r="AK217" s="43" t="s">
        <v>668</v>
      </c>
      <c r="AL217" s="305">
        <v>7253.2161016949067</v>
      </c>
      <c r="AM217" s="305">
        <f>SUM(AM214:AM216)</f>
        <v>6654.5042372881289</v>
      </c>
      <c r="AN217" s="305">
        <f>SUM(AN214:AN216)</f>
        <v>598.71186440677775</v>
      </c>
    </row>
    <row r="218" spans="1:42" ht="15.75" hidden="1" customHeight="1" outlineLevel="1" x14ac:dyDescent="0.2">
      <c r="A218" s="79" t="s">
        <v>249</v>
      </c>
      <c r="B218" s="79" t="s">
        <v>250</v>
      </c>
      <c r="C218" s="79" t="s">
        <v>0</v>
      </c>
      <c r="D218" s="1" t="s">
        <v>669</v>
      </c>
      <c r="E218" s="47">
        <f>ROUND(SUMIF('Target Achieved- Input'!$B$185:$B$275,'Incentive Report- Output'!B218,'Target Achieved- Input'!$G$185:$G$275),0)</f>
        <v>80</v>
      </c>
      <c r="F218" s="47">
        <f>ROUND(SUMIF('Target Achieved- Input'!$B$185:$B$275,'Incentive Report- Output'!B218,'Target Achieved- Input'!$H$185:$H$275),0)</f>
        <v>104</v>
      </c>
      <c r="G218" s="47">
        <f>SUMIF('Target Achieved- Input'!$L$185:$L$275,'Incentive Report- Output'!B218,'Target Achieved- Input'!$O$185:$O$275)</f>
        <v>157</v>
      </c>
      <c r="H218" s="39">
        <f>SUMIF('Target Achieved- Input'!$S$185:$S$275,'Incentive Report- Output'!B218,'Target Achieved- Input'!$V$185:$V$275)</f>
        <v>0</v>
      </c>
      <c r="I218" s="48">
        <f>SUMIF('Target Achieved- Input'!$L$185:$L$275,'Incentive Report- Output'!B218,'Target Achieved- Input'!$AC$185:$AC$275)</f>
        <v>6</v>
      </c>
      <c r="J218" s="39">
        <f t="shared" ref="J218:J225" si="439">G218-H218</f>
        <v>157</v>
      </c>
      <c r="K218" s="40">
        <f t="shared" ref="K218:K225" si="440">IFERROR(J218/E218,0)</f>
        <v>1.9624999999999999</v>
      </c>
      <c r="L218" s="41">
        <f t="shared" ref="L218:L225" si="441">E218*33000</f>
        <v>2640000</v>
      </c>
      <c r="M218" s="41">
        <f>SUMIF('Target Achieved- Input'!$L$185:$L$275,'Incentive Report- Output'!B218,'Target Achieved- Input'!$M$185:$M$275)</f>
        <v>5861743</v>
      </c>
      <c r="N218" s="41">
        <f>SUMIF('Target Achieved- Input'!$S$185:$S$275,'Incentive Report- Output'!B218,'Target Achieved- Input'!$U$185:$U$275)</f>
        <v>0</v>
      </c>
      <c r="O218" s="41">
        <f>SUMIF('Target Achieved- Input'!$L$185:$L$275,'Incentive Report- Output'!B218,'Target Achieved- Input'!$N$185:$N$275)-N218</f>
        <v>4967578.8135593142</v>
      </c>
      <c r="P218" s="40">
        <f t="shared" ref="P218:P225" si="442">IFERROR(O218/L218,0)</f>
        <v>1.8816586414997403</v>
      </c>
      <c r="Q218" s="40">
        <f t="shared" ref="Q218:Q220" si="443">P218</f>
        <v>1.8816586414997403</v>
      </c>
      <c r="R218" s="40">
        <v>0</v>
      </c>
      <c r="S218" s="49">
        <f>(LOOKUP(Q218,Policy!$L$12:$M$16)+R218)*O218</f>
        <v>149027.36440677941</v>
      </c>
      <c r="T218" s="185"/>
      <c r="U218" s="156"/>
      <c r="V218" s="51"/>
      <c r="W218" s="156"/>
      <c r="X218" s="396">
        <f>E226</f>
        <v>510</v>
      </c>
      <c r="Y218" s="428">
        <f>J226</f>
        <v>680</v>
      </c>
      <c r="Z218" s="407">
        <f>Y218/X218</f>
        <v>1.3333333333333333</v>
      </c>
      <c r="AA218" s="55">
        <v>0</v>
      </c>
      <c r="AB218" s="41">
        <v>0</v>
      </c>
      <c r="AC218" s="41">
        <v>0</v>
      </c>
      <c r="AD218" s="41">
        <f t="shared" ref="AD218:AD225" si="444">IF(AF218&gt;200000,AF218-200000,0)</f>
        <v>0</v>
      </c>
      <c r="AE218" s="41">
        <f t="shared" ref="AE218:AE225" si="445">AF218-AD218</f>
        <v>149027.36440677941</v>
      </c>
      <c r="AF218" s="41">
        <f t="shared" ref="AF218:AF225" si="446">S218+W218+AB218+AC218</f>
        <v>149027.36440677941</v>
      </c>
      <c r="AG218" s="31"/>
      <c r="AH218" s="419"/>
      <c r="AI218" s="22" t="s">
        <v>249</v>
      </c>
      <c r="AJ218" s="22" t="s">
        <v>250</v>
      </c>
      <c r="AK218" s="195" t="s">
        <v>669</v>
      </c>
      <c r="AL218" s="301">
        <v>149027.36440677941</v>
      </c>
      <c r="AM218" s="301">
        <f t="shared" ref="AM218" si="447">AF218</f>
        <v>149027.36440677941</v>
      </c>
      <c r="AN218" s="302">
        <f t="shared" ref="AN218:AN225" si="448">AL218-AM218</f>
        <v>0</v>
      </c>
    </row>
    <row r="219" spans="1:42" ht="15.75" hidden="1" customHeight="1" outlineLevel="1" x14ac:dyDescent="0.2">
      <c r="A219" s="79" t="s">
        <v>194</v>
      </c>
      <c r="B219" s="79" t="s">
        <v>199</v>
      </c>
      <c r="C219" s="79" t="s">
        <v>1185</v>
      </c>
      <c r="D219" s="1" t="s">
        <v>669</v>
      </c>
      <c r="E219" s="47">
        <f>ROUND(SUMIF('Target Achieved- Input'!$B$185:$B$275,'Incentive Report- Output'!B219,'Target Achieved- Input'!$G$185:$G$275),0)</f>
        <v>75</v>
      </c>
      <c r="F219" s="47">
        <f>ROUND(SUMIF('Target Achieved- Input'!$B$185:$B$275,'Incentive Report- Output'!B219,'Target Achieved- Input'!$H$185:$H$275),0)</f>
        <v>98</v>
      </c>
      <c r="G219" s="47">
        <f>SUMIF('Target Achieved- Input'!$L$185:$L$275,'Incentive Report- Output'!B219,'Target Achieved- Input'!$O$185:$O$275)</f>
        <v>121</v>
      </c>
      <c r="H219" s="39">
        <f>SUMIF('Target Achieved- Input'!$S$185:$S$275,'Incentive Report- Output'!B219,'Target Achieved- Input'!$V$185:$V$275)</f>
        <v>0</v>
      </c>
      <c r="I219" s="48">
        <f>SUMIF('Target Achieved- Input'!$L$185:$L$275,'Incentive Report- Output'!B219,'Target Achieved- Input'!$AC$185:$AC$275)</f>
        <v>7</v>
      </c>
      <c r="J219" s="39">
        <f t="shared" si="439"/>
        <v>121</v>
      </c>
      <c r="K219" s="40">
        <f t="shared" si="440"/>
        <v>1.6133333333333333</v>
      </c>
      <c r="L219" s="41">
        <f t="shared" si="441"/>
        <v>2475000</v>
      </c>
      <c r="M219" s="41">
        <f>SUMIF('Target Achieved- Input'!$L$185:$L$275,'Incentive Report- Output'!B219,'Target Achieved- Input'!$M$185:$M$275)</f>
        <v>4669179</v>
      </c>
      <c r="N219" s="41">
        <f>SUMIF('Target Achieved- Input'!$S$185:$S$275,'Incentive Report- Output'!B219,'Target Achieved- Input'!$U$185:$U$275)</f>
        <v>0</v>
      </c>
      <c r="O219" s="41">
        <f>SUMIF('Target Achieved- Input'!$L$185:$L$275,'Incentive Report- Output'!B219,'Target Achieved- Input'!$N$185:$N$275)-N219</f>
        <v>3956931.3559321957</v>
      </c>
      <c r="P219" s="40">
        <f t="shared" si="442"/>
        <v>1.5987601438109882</v>
      </c>
      <c r="Q219" s="40">
        <f t="shared" si="443"/>
        <v>1.5987601438109882</v>
      </c>
      <c r="R219" s="40">
        <v>0</v>
      </c>
      <c r="S219" s="49">
        <f>(LOOKUP(Q219,Policy!$L$12:$M$16)+R219)*O219</f>
        <v>118707.94067796586</v>
      </c>
      <c r="T219" s="185">
        <f>L221+L225</f>
        <v>4125000</v>
      </c>
      <c r="U219" s="156">
        <f>O221+O225</f>
        <v>5695026.2711864244</v>
      </c>
      <c r="V219" s="51">
        <f>IFERROR(U219/T219,0)</f>
        <v>1.3806124293785271</v>
      </c>
      <c r="W219" s="156">
        <f>LOOKUP(V219,Policy!$L$18:$M$21)*U219</f>
        <v>14237.565677966062</v>
      </c>
      <c r="X219" s="397"/>
      <c r="Y219" s="427"/>
      <c r="Z219" s="406"/>
      <c r="AA219" s="55">
        <v>0</v>
      </c>
      <c r="AB219" s="41">
        <v>0</v>
      </c>
      <c r="AC219" s="41">
        <v>0</v>
      </c>
      <c r="AD219" s="41">
        <f t="shared" si="444"/>
        <v>0</v>
      </c>
      <c r="AE219" s="41">
        <f t="shared" si="445"/>
        <v>132945.50635593192</v>
      </c>
      <c r="AF219" s="41">
        <f t="shared" si="446"/>
        <v>132945.50635593192</v>
      </c>
      <c r="AG219" s="31"/>
      <c r="AH219" s="419"/>
      <c r="AI219" s="22" t="s">
        <v>194</v>
      </c>
      <c r="AJ219" s="22" t="s">
        <v>199</v>
      </c>
      <c r="AK219" s="195" t="s">
        <v>669</v>
      </c>
      <c r="AL219" s="299">
        <v>133016.05508474549</v>
      </c>
      <c r="AM219" s="299">
        <f>AF219</f>
        <v>132945.50635593192</v>
      </c>
      <c r="AN219" s="300">
        <f t="shared" si="448"/>
        <v>70.548728813562775</v>
      </c>
      <c r="AP219" s="172"/>
    </row>
    <row r="220" spans="1:42" ht="15.75" hidden="1" customHeight="1" outlineLevel="1" x14ac:dyDescent="0.2">
      <c r="A220" s="79" t="s">
        <v>1107</v>
      </c>
      <c r="B220" s="79" t="s">
        <v>1108</v>
      </c>
      <c r="C220" s="79" t="s">
        <v>1</v>
      </c>
      <c r="D220" s="1" t="s">
        <v>669</v>
      </c>
      <c r="E220" s="47">
        <f>ROUND(SUMIF('Target Achieved- Input'!$B$185:$B$275,'Incentive Report- Output'!B220,'Target Achieved- Input'!$G$185:$G$275),0)</f>
        <v>25</v>
      </c>
      <c r="F220" s="47">
        <f>ROUND(SUMIF('Target Achieved- Input'!$B$185:$B$275,'Incentive Report- Output'!B220,'Target Achieved- Input'!$H$185:$H$275),0)</f>
        <v>33</v>
      </c>
      <c r="G220" s="47">
        <f>SUMIF('Target Achieved- Input'!$L$185:$L$275,'Incentive Report- Output'!B220,'Target Achieved- Input'!$O$185:$O$275)</f>
        <v>17</v>
      </c>
      <c r="H220" s="39">
        <f>SUMIF('Target Achieved- Input'!$S$185:$S$275,'Incentive Report- Output'!B220,'Target Achieved- Input'!$V$185:$V$275)</f>
        <v>0</v>
      </c>
      <c r="I220" s="48">
        <f>SUMIF('Target Achieved- Input'!$L$185:$L$275,'Incentive Report- Output'!B220,'Target Achieved- Input'!$AC$185:$AC$275)</f>
        <v>5</v>
      </c>
      <c r="J220" s="39">
        <f t="shared" si="439"/>
        <v>17</v>
      </c>
      <c r="K220" s="40">
        <f t="shared" si="440"/>
        <v>0.68</v>
      </c>
      <c r="L220" s="41">
        <f t="shared" si="441"/>
        <v>825000</v>
      </c>
      <c r="M220" s="41">
        <f>SUMIF('Target Achieved- Input'!$L$185:$L$275,'Incentive Report- Output'!B220,'Target Achieved- Input'!$M$185:$M$275)</f>
        <v>539983</v>
      </c>
      <c r="N220" s="41">
        <f>SUMIF('Target Achieved- Input'!$S$185:$S$275,'Incentive Report- Output'!B220,'Target Achieved- Input'!$U$185:$U$275)</f>
        <v>0</v>
      </c>
      <c r="O220" s="41">
        <f>SUMIF('Target Achieved- Input'!$L$185:$L$275,'Incentive Report- Output'!B220,'Target Achieved- Input'!$N$185:$N$275)-N220</f>
        <v>457612.71186440613</v>
      </c>
      <c r="P220" s="40">
        <f t="shared" si="442"/>
        <v>0.55468207498715894</v>
      </c>
      <c r="Q220" s="40">
        <f t="shared" si="443"/>
        <v>0.55468207498715894</v>
      </c>
      <c r="R220" s="40">
        <v>0</v>
      </c>
      <c r="S220" s="49">
        <f>(LOOKUP(Q220,Policy!$L$12:$M$16)+R220)*O220</f>
        <v>2288.0635593220309</v>
      </c>
      <c r="T220" s="185"/>
      <c r="U220" s="156"/>
      <c r="V220" s="50"/>
      <c r="W220" s="156"/>
      <c r="X220" s="397"/>
      <c r="Y220" s="427"/>
      <c r="Z220" s="406"/>
      <c r="AA220" s="55">
        <v>0</v>
      </c>
      <c r="AB220" s="41">
        <v>0</v>
      </c>
      <c r="AC220" s="41">
        <v>0</v>
      </c>
      <c r="AD220" s="41">
        <f t="shared" si="444"/>
        <v>0</v>
      </c>
      <c r="AE220" s="41">
        <f t="shared" si="445"/>
        <v>2288.0635593220309</v>
      </c>
      <c r="AF220" s="41">
        <f t="shared" si="446"/>
        <v>2288.0635593220309</v>
      </c>
      <c r="AG220" s="32"/>
      <c r="AH220" s="419"/>
      <c r="AI220" s="22" t="s">
        <v>1107</v>
      </c>
      <c r="AJ220" s="22" t="s">
        <v>1108</v>
      </c>
      <c r="AK220" s="195" t="s">
        <v>669</v>
      </c>
      <c r="AL220" s="301">
        <v>2288.0635593220309</v>
      </c>
      <c r="AM220" s="301">
        <f>AF220</f>
        <v>2288.0635593220309</v>
      </c>
      <c r="AN220" s="302">
        <f t="shared" si="448"/>
        <v>0</v>
      </c>
      <c r="AO220" s="334"/>
    </row>
    <row r="221" spans="1:42" ht="15.75" hidden="1" customHeight="1" outlineLevel="1" x14ac:dyDescent="0.2">
      <c r="A221" s="79" t="s">
        <v>707</v>
      </c>
      <c r="B221" s="79" t="s">
        <v>696</v>
      </c>
      <c r="C221" s="79" t="s">
        <v>1</v>
      </c>
      <c r="D221" s="1" t="s">
        <v>669</v>
      </c>
      <c r="E221" s="47">
        <f>ROUND(SUMIF('Target Achieved- Input'!$B$185:$B$275,'Incentive Report- Output'!B221,'Target Achieved- Input'!$G$185:$G$275),0)</f>
        <v>65</v>
      </c>
      <c r="F221" s="47">
        <f>ROUND(SUMIF('Target Achieved- Input'!$B$185:$B$275,'Incentive Report- Output'!B221,'Target Achieved- Input'!$H$185:$H$275),0)</f>
        <v>85</v>
      </c>
      <c r="G221" s="47">
        <f>SUMIF('Target Achieved- Input'!$L$185:$L$275,'Incentive Report- Output'!B221,'Target Achieved- Input'!$O$185:$O$275)</f>
        <v>123</v>
      </c>
      <c r="H221" s="39">
        <f>SUMIF('Target Achieved- Input'!$S$185:$S$275,'Incentive Report- Output'!B221,'Target Achieved- Input'!$V$185:$V$275)</f>
        <v>0</v>
      </c>
      <c r="I221" s="48">
        <f>SUMIF('Target Achieved- Input'!$L$185:$L$275,'Incentive Report- Output'!B221,'Target Achieved- Input'!$AC$185:$AC$275)</f>
        <v>0</v>
      </c>
      <c r="J221" s="39">
        <f t="shared" si="439"/>
        <v>123</v>
      </c>
      <c r="K221" s="40">
        <f t="shared" si="440"/>
        <v>1.8923076923076922</v>
      </c>
      <c r="L221" s="41">
        <f t="shared" si="441"/>
        <v>2145000</v>
      </c>
      <c r="M221" s="41">
        <f>SUMIF('Target Achieved- Input'!$L$185:$L$275,'Incentive Report- Output'!B221,'Target Achieved- Input'!$M$185:$M$275)</f>
        <v>4918177</v>
      </c>
      <c r="N221" s="41">
        <f>SUMIF('Target Achieved- Input'!$S$185:$S$275,'Incentive Report- Output'!B221,'Target Achieved- Input'!$U$185:$U$275)</f>
        <v>0</v>
      </c>
      <c r="O221" s="41">
        <f>SUMIF('Target Achieved- Input'!$L$185:$L$275,'Incentive Report- Output'!B221,'Target Achieved- Input'!$N$185:$N$275)-N221</f>
        <v>4167946.6101694782</v>
      </c>
      <c r="P221" s="40">
        <f t="shared" si="442"/>
        <v>1.9430986527596634</v>
      </c>
      <c r="Q221" s="40">
        <f t="shared" ref="Q221:Q225" si="449">MAX(P221,K221)</f>
        <v>1.9430986527596634</v>
      </c>
      <c r="R221" s="40">
        <v>0</v>
      </c>
      <c r="S221" s="49">
        <f>(LOOKUP(Q221,Policy!$L$12:$M$16)+R221)*O221</f>
        <v>125038.39830508434</v>
      </c>
      <c r="T221" s="185"/>
      <c r="U221" s="156"/>
      <c r="V221" s="50"/>
      <c r="W221" s="156"/>
      <c r="X221" s="397"/>
      <c r="Y221" s="427"/>
      <c r="Z221" s="406"/>
      <c r="AA221" s="55">
        <v>0</v>
      </c>
      <c r="AB221" s="41">
        <v>0</v>
      </c>
      <c r="AC221" s="41">
        <v>0</v>
      </c>
      <c r="AD221" s="41">
        <f t="shared" si="444"/>
        <v>0</v>
      </c>
      <c r="AE221" s="41">
        <f t="shared" si="445"/>
        <v>125038.39830508434</v>
      </c>
      <c r="AF221" s="41">
        <f t="shared" si="446"/>
        <v>125038.39830508434</v>
      </c>
      <c r="AG221" s="31"/>
      <c r="AH221" s="419"/>
      <c r="AI221" s="22" t="s">
        <v>707</v>
      </c>
      <c r="AJ221" s="22" t="s">
        <v>696</v>
      </c>
      <c r="AK221" s="195" t="s">
        <v>669</v>
      </c>
      <c r="AL221" s="301">
        <v>125038.39830508434</v>
      </c>
      <c r="AM221" s="301">
        <f>AF221</f>
        <v>125038.39830508434</v>
      </c>
      <c r="AN221" s="302">
        <f t="shared" si="448"/>
        <v>0</v>
      </c>
    </row>
    <row r="222" spans="1:42" ht="15.75" hidden="1" customHeight="1" outlineLevel="1" x14ac:dyDescent="0.2">
      <c r="A222" s="79" t="s">
        <v>804</v>
      </c>
      <c r="B222" s="79" t="s">
        <v>805</v>
      </c>
      <c r="C222" s="79" t="s">
        <v>1</v>
      </c>
      <c r="D222" s="1" t="s">
        <v>669</v>
      </c>
      <c r="E222" s="47">
        <f>ROUND(SUMIF('Target Achieved- Input'!$B$185:$B$275,'Incentive Report- Output'!B222,'Target Achieved- Input'!$G$185:$G$275),0)</f>
        <v>60</v>
      </c>
      <c r="F222" s="47">
        <f>ROUND(SUMIF('Target Achieved- Input'!$B$185:$B$275,'Incentive Report- Output'!B222,'Target Achieved- Input'!$H$185:$H$275),0)</f>
        <v>78</v>
      </c>
      <c r="G222" s="47">
        <f>SUMIF('Target Achieved- Input'!$L$185:$L$275,'Incentive Report- Output'!B222,'Target Achieved- Input'!$O$185:$O$275)</f>
        <v>37</v>
      </c>
      <c r="H222" s="39">
        <f>SUMIF('Target Achieved- Input'!$S$185:$S$275,'Incentive Report- Output'!B222,'Target Achieved- Input'!$V$185:$V$275)</f>
        <v>0</v>
      </c>
      <c r="I222" s="48">
        <f>SUMIF('Target Achieved- Input'!$L$185:$L$275,'Incentive Report- Output'!B222,'Target Achieved- Input'!$AC$185:$AC$275)</f>
        <v>0</v>
      </c>
      <c r="J222" s="39">
        <f t="shared" si="439"/>
        <v>37</v>
      </c>
      <c r="K222" s="40">
        <f t="shared" si="440"/>
        <v>0.6166666666666667</v>
      </c>
      <c r="L222" s="41">
        <f t="shared" si="441"/>
        <v>1980000</v>
      </c>
      <c r="M222" s="41">
        <f>SUMIF('Target Achieved- Input'!$L$185:$L$275,'Incentive Report- Output'!B222,'Target Achieved- Input'!$M$185:$M$275)</f>
        <v>1619513</v>
      </c>
      <c r="N222" s="41">
        <f>SUMIF('Target Achieved- Input'!$S$185:$S$275,'Incentive Report- Output'!B222,'Target Achieved- Input'!$U$185:$U$275)</f>
        <v>0</v>
      </c>
      <c r="O222" s="41">
        <f>SUMIF('Target Achieved- Input'!$L$185:$L$275,'Incentive Report- Output'!B222,'Target Achieved- Input'!$N$185:$N$275)-N222</f>
        <v>1372468.6440677946</v>
      </c>
      <c r="P222" s="40">
        <f t="shared" si="442"/>
        <v>0.69316598185242151</v>
      </c>
      <c r="Q222" s="40">
        <f t="shared" si="449"/>
        <v>0.69316598185242151</v>
      </c>
      <c r="R222" s="40">
        <v>0</v>
      </c>
      <c r="S222" s="49">
        <f>(LOOKUP(Q222,Policy!$L$12:$M$16)+R222)*O222</f>
        <v>6862.343220338973</v>
      </c>
      <c r="T222" s="185"/>
      <c r="U222" s="156"/>
      <c r="V222" s="50"/>
      <c r="W222" s="156"/>
      <c r="X222" s="397"/>
      <c r="Y222" s="427"/>
      <c r="Z222" s="406"/>
      <c r="AA222" s="55">
        <v>0</v>
      </c>
      <c r="AB222" s="41">
        <v>0</v>
      </c>
      <c r="AC222" s="41">
        <v>0</v>
      </c>
      <c r="AD222" s="41">
        <f t="shared" si="444"/>
        <v>0</v>
      </c>
      <c r="AE222" s="41">
        <f t="shared" si="445"/>
        <v>6862.343220338973</v>
      </c>
      <c r="AF222" s="41">
        <f t="shared" si="446"/>
        <v>6862.343220338973</v>
      </c>
      <c r="AG222" s="31"/>
      <c r="AH222" s="419"/>
      <c r="AI222" s="22" t="s">
        <v>804</v>
      </c>
      <c r="AJ222" s="22" t="s">
        <v>805</v>
      </c>
      <c r="AK222" s="195" t="s">
        <v>669</v>
      </c>
      <c r="AL222" s="301">
        <v>6862.343220338973</v>
      </c>
      <c r="AM222" s="301">
        <f t="shared" ref="AM222:AM224" si="450">AF222</f>
        <v>6862.343220338973</v>
      </c>
      <c r="AN222" s="302">
        <f t="shared" si="448"/>
        <v>0</v>
      </c>
    </row>
    <row r="223" spans="1:42" ht="15.75" hidden="1" customHeight="1" outlineLevel="1" x14ac:dyDescent="0.2">
      <c r="A223" s="79" t="s">
        <v>313</v>
      </c>
      <c r="B223" s="79" t="s">
        <v>314</v>
      </c>
      <c r="C223" s="79" t="s">
        <v>1</v>
      </c>
      <c r="D223" s="1" t="s">
        <v>669</v>
      </c>
      <c r="E223" s="47">
        <f>ROUND(SUMIF('Target Achieved- Input'!$B$185:$B$275,'Incentive Report- Output'!B223,'Target Achieved- Input'!$G$185:$G$275),0)</f>
        <v>75</v>
      </c>
      <c r="F223" s="47">
        <f>ROUND(SUMIF('Target Achieved- Input'!$B$185:$B$275,'Incentive Report- Output'!B223,'Target Achieved- Input'!$H$185:$H$275),0)</f>
        <v>98</v>
      </c>
      <c r="G223" s="47">
        <f>SUMIF('Target Achieved- Input'!$L$185:$L$275,'Incentive Report- Output'!B223,'Target Achieved- Input'!$O$185:$O$275)</f>
        <v>108</v>
      </c>
      <c r="H223" s="39">
        <f>SUMIF('Target Achieved- Input'!$S$185:$S$275,'Incentive Report- Output'!B223,'Target Achieved- Input'!$V$185:$V$275)</f>
        <v>0</v>
      </c>
      <c r="I223" s="48">
        <f>SUMIF('Target Achieved- Input'!$L$185:$L$275,'Incentive Report- Output'!B223,'Target Achieved- Input'!$AC$185:$AC$275)</f>
        <v>7</v>
      </c>
      <c r="J223" s="39">
        <f t="shared" si="439"/>
        <v>108</v>
      </c>
      <c r="K223" s="40">
        <f t="shared" si="440"/>
        <v>1.44</v>
      </c>
      <c r="L223" s="41">
        <f t="shared" si="441"/>
        <v>2475000</v>
      </c>
      <c r="M223" s="41">
        <f>SUMIF('Target Achieved- Input'!$L$185:$L$275,'Incentive Report- Output'!B223,'Target Achieved- Input'!$M$185:$M$275)</f>
        <v>4046692</v>
      </c>
      <c r="N223" s="41">
        <f>SUMIF('Target Achieved- Input'!$S$185:$S$275,'Incentive Report- Output'!B223,'Target Achieved- Input'!$U$185:$U$275)</f>
        <v>0</v>
      </c>
      <c r="O223" s="41">
        <f>SUMIF('Target Achieved- Input'!$L$185:$L$275,'Incentive Report- Output'!B223,'Target Achieved- Input'!$N$185:$N$275)-N223</f>
        <v>3429399.999999993</v>
      </c>
      <c r="P223" s="40">
        <f t="shared" si="442"/>
        <v>1.3856161616161589</v>
      </c>
      <c r="Q223" s="40">
        <f>P223</f>
        <v>1.3856161616161589</v>
      </c>
      <c r="R223" s="40">
        <v>0</v>
      </c>
      <c r="S223" s="49">
        <f>(LOOKUP(Q223,Policy!$L$12:$M$16)+R223)*O223</f>
        <v>102881.99999999978</v>
      </c>
      <c r="T223" s="185"/>
      <c r="U223" s="156"/>
      <c r="V223" s="50"/>
      <c r="W223" s="156"/>
      <c r="X223" s="397"/>
      <c r="Y223" s="427"/>
      <c r="Z223" s="406"/>
      <c r="AA223" s="55">
        <v>0</v>
      </c>
      <c r="AB223" s="41">
        <v>0</v>
      </c>
      <c r="AC223" s="41">
        <v>0</v>
      </c>
      <c r="AD223" s="41">
        <f t="shared" si="444"/>
        <v>0</v>
      </c>
      <c r="AE223" s="41">
        <f t="shared" si="445"/>
        <v>102881.99999999978</v>
      </c>
      <c r="AF223" s="41">
        <f t="shared" si="446"/>
        <v>102881.99999999978</v>
      </c>
      <c r="AG223" s="31"/>
      <c r="AH223" s="419"/>
      <c r="AI223" s="22" t="s">
        <v>313</v>
      </c>
      <c r="AJ223" s="22" t="s">
        <v>314</v>
      </c>
      <c r="AK223" s="195" t="s">
        <v>669</v>
      </c>
      <c r="AL223" s="299">
        <v>102881.99999999978</v>
      </c>
      <c r="AM223" s="299">
        <f t="shared" si="450"/>
        <v>102881.99999999978</v>
      </c>
      <c r="AN223" s="300">
        <f t="shared" si="448"/>
        <v>0</v>
      </c>
    </row>
    <row r="224" spans="1:42" ht="15.75" hidden="1" customHeight="1" outlineLevel="1" x14ac:dyDescent="0.2">
      <c r="A224" s="79" t="s">
        <v>23</v>
      </c>
      <c r="B224" s="79" t="s">
        <v>24</v>
      </c>
      <c r="C224" s="79" t="s">
        <v>1185</v>
      </c>
      <c r="D224" s="1" t="s">
        <v>669</v>
      </c>
      <c r="E224" s="47">
        <f>ROUND(SUMIF('Target Achieved- Input'!$B$185:$B$275,'Incentive Report- Output'!B224,'Target Achieved- Input'!$G$185:$G$275),0)</f>
        <v>70</v>
      </c>
      <c r="F224" s="47">
        <f>ROUND(SUMIF('Target Achieved- Input'!$B$185:$B$275,'Incentive Report- Output'!B224,'Target Achieved- Input'!$H$185:$H$275),0)</f>
        <v>91</v>
      </c>
      <c r="G224" s="47">
        <f>SUMIF('Target Achieved- Input'!$L$185:$L$275,'Incentive Report- Output'!B224,'Target Achieved- Input'!$O$185:$O$275)</f>
        <v>72</v>
      </c>
      <c r="H224" s="39">
        <f>SUMIF('Target Achieved- Input'!$S$185:$S$275,'Incentive Report- Output'!B224,'Target Achieved- Input'!$V$185:$V$275)</f>
        <v>1</v>
      </c>
      <c r="I224" s="48">
        <f>SUMIF('Target Achieved- Input'!$L$185:$L$275,'Incentive Report- Output'!B224,'Target Achieved- Input'!$AC$185:$AC$275)</f>
        <v>1</v>
      </c>
      <c r="J224" s="39">
        <f t="shared" si="439"/>
        <v>71</v>
      </c>
      <c r="K224" s="40">
        <f t="shared" si="440"/>
        <v>1.0142857142857142</v>
      </c>
      <c r="L224" s="41">
        <f t="shared" si="441"/>
        <v>2310000</v>
      </c>
      <c r="M224" s="41">
        <f>SUMIF('Target Achieved- Input'!$L$185:$L$275,'Incentive Report- Output'!B224,'Target Achieved- Input'!$M$185:$M$275)</f>
        <v>3000678</v>
      </c>
      <c r="N224" s="41">
        <f>SUMIF('Target Achieved- Input'!$S$185:$S$275,'Incentive Report- Output'!B224,'Target Achieved- Input'!$U$185:$U$275)</f>
        <v>26694.067796610099</v>
      </c>
      <c r="O224" s="41">
        <f>SUMIF('Target Achieved- Input'!$L$185:$L$275,'Incentive Report- Output'!B224,'Target Achieved- Input'!$N$185:$N$275)-N224</f>
        <v>2516253.3898305036</v>
      </c>
      <c r="P224" s="40">
        <f t="shared" si="442"/>
        <v>1.0892871817448067</v>
      </c>
      <c r="Q224" s="40">
        <f t="shared" si="449"/>
        <v>1.0892871817448067</v>
      </c>
      <c r="R224" s="40">
        <v>0</v>
      </c>
      <c r="S224" s="49">
        <f>(LOOKUP(Q224,Policy!$L$12:$M$16)+R224)*O224</f>
        <v>56615.701271186328</v>
      </c>
      <c r="T224" s="185">
        <f>L222</f>
        <v>1980000</v>
      </c>
      <c r="U224" s="156">
        <f>O222</f>
        <v>1372468.6440677946</v>
      </c>
      <c r="V224" s="51">
        <f>IFERROR(U224/T224,0)</f>
        <v>0.69316598185242151</v>
      </c>
      <c r="W224" s="156">
        <f>LOOKUP(V224,Policy!$L$18:$M$21)*U224</f>
        <v>0</v>
      </c>
      <c r="X224" s="397"/>
      <c r="Y224" s="427"/>
      <c r="Z224" s="406"/>
      <c r="AA224" s="55">
        <v>0</v>
      </c>
      <c r="AB224" s="41">
        <v>0</v>
      </c>
      <c r="AC224" s="41">
        <v>0</v>
      </c>
      <c r="AD224" s="41">
        <f t="shared" si="444"/>
        <v>0</v>
      </c>
      <c r="AE224" s="41">
        <f t="shared" si="445"/>
        <v>56615.701271186328</v>
      </c>
      <c r="AF224" s="41">
        <f t="shared" si="446"/>
        <v>56615.701271186328</v>
      </c>
      <c r="AG224" s="31"/>
      <c r="AH224" s="419"/>
      <c r="AI224" s="22" t="s">
        <v>23</v>
      </c>
      <c r="AJ224" s="22" t="s">
        <v>24</v>
      </c>
      <c r="AK224" s="195" t="s">
        <v>669</v>
      </c>
      <c r="AL224" s="299">
        <v>57216.317796610063</v>
      </c>
      <c r="AM224" s="299">
        <f t="shared" si="450"/>
        <v>56615.701271186328</v>
      </c>
      <c r="AN224" s="300">
        <f t="shared" si="448"/>
        <v>600.61652542373486</v>
      </c>
    </row>
    <row r="225" spans="1:43" ht="15.75" hidden="1" customHeight="1" outlineLevel="1" x14ac:dyDescent="0.2">
      <c r="A225" s="79" t="s">
        <v>1145</v>
      </c>
      <c r="B225" s="79" t="s">
        <v>1146</v>
      </c>
      <c r="C225" s="79" t="s">
        <v>1</v>
      </c>
      <c r="D225" s="1" t="s">
        <v>669</v>
      </c>
      <c r="E225" s="47">
        <f>ROUND(SUMIF('Target Achieved- Input'!$B$185:$B$275,'Incentive Report- Output'!B225,'Target Achieved- Input'!$G$185:$G$275),0)</f>
        <v>60</v>
      </c>
      <c r="F225" s="47">
        <f>ROUND(SUMIF('Target Achieved- Input'!$B$185:$B$275,'Incentive Report- Output'!B225,'Target Achieved- Input'!$H$185:$H$275),0)</f>
        <v>78</v>
      </c>
      <c r="G225" s="47">
        <f>SUMIF('Target Achieved- Input'!$L$185:$L$275,'Incentive Report- Output'!B225,'Target Achieved- Input'!$O$185:$O$275)</f>
        <v>47</v>
      </c>
      <c r="H225" s="39">
        <f>SUMIF('Target Achieved- Input'!$S$185:$S$275,'Incentive Report- Output'!B225,'Target Achieved- Input'!$V$185:$V$275)</f>
        <v>1</v>
      </c>
      <c r="I225" s="48">
        <f>SUMIF('Target Achieved- Input'!$L$185:$L$275,'Incentive Report- Output'!B225,'Target Achieved- Input'!$AC$185:$AC$275)</f>
        <v>2</v>
      </c>
      <c r="J225" s="39">
        <f t="shared" si="439"/>
        <v>46</v>
      </c>
      <c r="K225" s="40">
        <f t="shared" si="440"/>
        <v>0.76666666666666672</v>
      </c>
      <c r="L225" s="41">
        <f t="shared" si="441"/>
        <v>1980000</v>
      </c>
      <c r="M225" s="41">
        <f>SUMIF('Target Achieved- Input'!$L$185:$L$275,'Incentive Report- Output'!B225,'Target Achieved- Input'!$M$185:$M$275)</f>
        <v>1835253</v>
      </c>
      <c r="N225" s="41">
        <f>SUMIF('Target Achieved- Input'!$S$185:$S$275,'Incentive Report- Output'!B225,'Target Achieved- Input'!$U$185:$U$275)</f>
        <v>28219.491525423698</v>
      </c>
      <c r="O225" s="41">
        <f>SUMIF('Target Achieved- Input'!$L$185:$L$275,'Incentive Report- Output'!B225,'Target Achieved- Input'!$N$185:$N$275)-N225</f>
        <v>1527079.6610169464</v>
      </c>
      <c r="P225" s="40">
        <f t="shared" si="442"/>
        <v>0.77125235404896286</v>
      </c>
      <c r="Q225" s="40">
        <f t="shared" si="449"/>
        <v>0.77125235404896286</v>
      </c>
      <c r="R225" s="40">
        <v>0</v>
      </c>
      <c r="S225" s="49">
        <f>(LOOKUP(Q225,Policy!$L$12:$M$16)+R225)*O225</f>
        <v>7635.3983050847319</v>
      </c>
      <c r="T225" s="185"/>
      <c r="U225" s="156"/>
      <c r="V225" s="51"/>
      <c r="W225" s="156"/>
      <c r="X225" s="398"/>
      <c r="Y225" s="429"/>
      <c r="Z225" s="408"/>
      <c r="AA225" s="55">
        <v>0</v>
      </c>
      <c r="AB225" s="41">
        <v>0</v>
      </c>
      <c r="AC225" s="41">
        <v>0</v>
      </c>
      <c r="AD225" s="41">
        <f t="shared" si="444"/>
        <v>0</v>
      </c>
      <c r="AE225" s="41">
        <f t="shared" si="445"/>
        <v>7635.3983050847319</v>
      </c>
      <c r="AF225" s="41">
        <f t="shared" si="446"/>
        <v>7635.3983050847319</v>
      </c>
      <c r="AG225" s="31"/>
      <c r="AH225" s="419"/>
      <c r="AI225" s="22" t="s">
        <v>1145</v>
      </c>
      <c r="AJ225" s="22" t="s">
        <v>1146</v>
      </c>
      <c r="AK225" s="195" t="s">
        <v>669</v>
      </c>
      <c r="AL225" s="299">
        <v>7776.4957627118511</v>
      </c>
      <c r="AM225" s="299">
        <f>AF225</f>
        <v>7635.3983050847319</v>
      </c>
      <c r="AN225" s="300">
        <f t="shared" si="448"/>
        <v>141.09745762711918</v>
      </c>
    </row>
    <row r="226" spans="1:43" ht="15.75" hidden="1" customHeight="1" outlineLevel="1" x14ac:dyDescent="0.2">
      <c r="A226" s="109" t="s">
        <v>6</v>
      </c>
      <c r="B226" s="109"/>
      <c r="C226" s="109"/>
      <c r="D226" s="292" t="s">
        <v>669</v>
      </c>
      <c r="E226" s="44">
        <f>SUM(E218:E225)</f>
        <v>510</v>
      </c>
      <c r="F226" s="44">
        <f t="shared" ref="F226:J226" si="451">SUM(F218:F225)</f>
        <v>665</v>
      </c>
      <c r="G226" s="44">
        <f t="shared" si="451"/>
        <v>682</v>
      </c>
      <c r="H226" s="44">
        <f t="shared" si="451"/>
        <v>2</v>
      </c>
      <c r="I226" s="44">
        <f t="shared" si="451"/>
        <v>28</v>
      </c>
      <c r="J226" s="44">
        <f t="shared" si="451"/>
        <v>680</v>
      </c>
      <c r="K226" s="44"/>
      <c r="L226" s="44">
        <f t="shared" ref="L226:O226" si="452">SUM(L218:L225)</f>
        <v>16830000</v>
      </c>
      <c r="M226" s="44">
        <f t="shared" si="452"/>
        <v>26491218</v>
      </c>
      <c r="N226" s="44">
        <f t="shared" si="452"/>
        <v>54913.559322033798</v>
      </c>
      <c r="O226" s="44">
        <f t="shared" si="452"/>
        <v>22395271.186440632</v>
      </c>
      <c r="P226" s="44"/>
      <c r="Q226" s="44"/>
      <c r="R226" s="44"/>
      <c r="S226" s="44">
        <f t="shared" ref="S226:AF226" si="453">SUM(S218:S225)</f>
        <v>569057.20974576147</v>
      </c>
      <c r="T226" s="44">
        <f t="shared" si="453"/>
        <v>6105000</v>
      </c>
      <c r="U226" s="44">
        <f t="shared" si="453"/>
        <v>7067494.9152542185</v>
      </c>
      <c r="V226" s="44">
        <f t="shared" si="453"/>
        <v>2.0737784112309487</v>
      </c>
      <c r="W226" s="44">
        <f t="shared" si="453"/>
        <v>14237.565677966062</v>
      </c>
      <c r="X226" s="44">
        <f t="shared" si="453"/>
        <v>510</v>
      </c>
      <c r="Y226" s="44">
        <f t="shared" si="453"/>
        <v>680</v>
      </c>
      <c r="Z226" s="44">
        <f t="shared" si="453"/>
        <v>1.3333333333333333</v>
      </c>
      <c r="AA226" s="44">
        <f t="shared" si="453"/>
        <v>0</v>
      </c>
      <c r="AB226" s="44">
        <f t="shared" si="453"/>
        <v>0</v>
      </c>
      <c r="AC226" s="44">
        <f t="shared" si="453"/>
        <v>0</v>
      </c>
      <c r="AD226" s="44">
        <f t="shared" si="453"/>
        <v>0</v>
      </c>
      <c r="AE226" s="44">
        <f t="shared" si="453"/>
        <v>583294.77542372758</v>
      </c>
      <c r="AF226" s="44">
        <f t="shared" si="453"/>
        <v>583294.77542372758</v>
      </c>
      <c r="AG226" s="31"/>
      <c r="AH226" s="419"/>
      <c r="AI226" s="43" t="s">
        <v>6</v>
      </c>
      <c r="AJ226" s="43"/>
      <c r="AK226" s="43" t="s">
        <v>669</v>
      </c>
      <c r="AL226" s="306">
        <v>584107.03813559189</v>
      </c>
      <c r="AM226" s="306">
        <f>SUM(AM218:AM225)</f>
        <v>583294.77542372758</v>
      </c>
      <c r="AN226" s="306">
        <f>SUM(AN218:AN225)</f>
        <v>812.26271186441681</v>
      </c>
    </row>
    <row r="227" spans="1:43" ht="15.75" hidden="1" customHeight="1" outlineLevel="1" x14ac:dyDescent="0.2">
      <c r="A227" s="111" t="s">
        <v>225</v>
      </c>
      <c r="B227" s="79" t="s">
        <v>27</v>
      </c>
      <c r="C227" s="79" t="s">
        <v>1</v>
      </c>
      <c r="D227" s="1" t="s">
        <v>670</v>
      </c>
      <c r="E227" s="47">
        <f>ROUND(SUMIF('Target Achieved- Input'!$B$185:$B$275,'Incentive Report- Output'!B227,'Target Achieved- Input'!$G$185:$G$275),0)</f>
        <v>70</v>
      </c>
      <c r="F227" s="47">
        <f>ROUND(SUMIF('Target Achieved- Input'!$B$185:$B$275,'Incentive Report- Output'!B227,'Target Achieved- Input'!$H$185:$H$275),0)</f>
        <v>91</v>
      </c>
      <c r="G227" s="47">
        <f>SUMIF('Target Achieved- Input'!$L$185:$L$275,'Incentive Report- Output'!B227,'Target Achieved- Input'!$O$185:$O$275)</f>
        <v>63</v>
      </c>
      <c r="H227" s="39">
        <f>SUMIF('Target Achieved- Input'!$S$185:$S$275,'Incentive Report- Output'!B227,'Target Achieved- Input'!$V$185:$V$275)</f>
        <v>1</v>
      </c>
      <c r="I227" s="48">
        <f>SUMIF('Target Achieved- Input'!$L$185:$L$275,'Incentive Report- Output'!B227,'Target Achieved- Input'!$AC$185:$AC$275)</f>
        <v>3</v>
      </c>
      <c r="J227" s="39">
        <f t="shared" ref="J227:J233" si="454">G227-H227</f>
        <v>62</v>
      </c>
      <c r="K227" s="40">
        <f t="shared" ref="K227:K233" si="455">IFERROR(J227/E227,0)</f>
        <v>0.88571428571428568</v>
      </c>
      <c r="L227" s="41">
        <f t="shared" ref="L227:L233" si="456">E227*33000</f>
        <v>2310000</v>
      </c>
      <c r="M227" s="41">
        <f>SUMIF('Target Achieved- Input'!$L$185:$L$275,'Incentive Report- Output'!B227,'Target Achieved- Input'!$M$185:$M$275)</f>
        <v>2485087</v>
      </c>
      <c r="N227" s="41">
        <f>SUMIF('Target Achieved- Input'!$S$185:$S$275,'Incentive Report- Output'!B227,'Target Achieved- Input'!$U$185:$U$275)</f>
        <v>24405.932203389799</v>
      </c>
      <c r="O227" s="41">
        <f>SUMIF('Target Achieved- Input'!$L$185:$L$275,'Incentive Report- Output'!B227,'Target Achieved- Input'!$N$185:$N$275)-N227</f>
        <v>2081599.9999999977</v>
      </c>
      <c r="P227" s="40">
        <f t="shared" ref="P227:P233" si="457">IFERROR(O227/L227,0)</f>
        <v>0.90112554112554011</v>
      </c>
      <c r="Q227" s="40">
        <f t="shared" ref="Q227:Q233" si="458">MAX(P227,K227)</f>
        <v>0.90112554112554011</v>
      </c>
      <c r="R227" s="40">
        <v>0</v>
      </c>
      <c r="S227" s="49">
        <f>(LOOKUP(Q227,Policy!$L$12:$M$16)+R227)*O227</f>
        <v>20815.999999999978</v>
      </c>
      <c r="T227" s="185"/>
      <c r="U227" s="156"/>
      <c r="V227" s="51"/>
      <c r="W227" s="156"/>
      <c r="X227" s="405"/>
      <c r="Y227" s="405"/>
      <c r="Z227" s="406"/>
      <c r="AA227" s="55">
        <v>0</v>
      </c>
      <c r="AB227" s="41">
        <v>0</v>
      </c>
      <c r="AC227" s="41">
        <v>0</v>
      </c>
      <c r="AD227" s="41">
        <f t="shared" ref="AD227:AD233" si="459">IF(AF227&gt;200000,AF227-200000,0)</f>
        <v>0</v>
      </c>
      <c r="AE227" s="41">
        <f t="shared" ref="AE227:AE233" si="460">AF227-AD227</f>
        <v>20815.999999999978</v>
      </c>
      <c r="AF227" s="41">
        <f t="shared" ref="AF227:AF233" si="461">S227+W227+AB227+AC227</f>
        <v>20815.999999999978</v>
      </c>
      <c r="AG227" s="31"/>
      <c r="AH227" s="419"/>
      <c r="AI227" s="111" t="s">
        <v>225</v>
      </c>
      <c r="AJ227" s="22" t="s">
        <v>27</v>
      </c>
      <c r="AK227" s="195" t="s">
        <v>670</v>
      </c>
      <c r="AL227" s="299">
        <v>21060.059322033874</v>
      </c>
      <c r="AM227" s="299">
        <f t="shared" ref="AM227:AM233" si="462">AF227</f>
        <v>20815.999999999978</v>
      </c>
      <c r="AN227" s="300">
        <f t="shared" ref="AN227:AN233" si="463">AL227-AM227</f>
        <v>244.05932203389602</v>
      </c>
    </row>
    <row r="228" spans="1:43" ht="15.75" hidden="1" customHeight="1" outlineLevel="1" x14ac:dyDescent="0.2">
      <c r="A228" s="111" t="s">
        <v>29</v>
      </c>
      <c r="B228" s="79" t="s">
        <v>30</v>
      </c>
      <c r="C228" s="79" t="s">
        <v>1</v>
      </c>
      <c r="D228" s="1" t="s">
        <v>670</v>
      </c>
      <c r="E228" s="47">
        <f>ROUND(SUMIF('Target Achieved- Input'!$B$185:$B$275,'Incentive Report- Output'!B228,'Target Achieved- Input'!$G$185:$G$275),0)</f>
        <v>70</v>
      </c>
      <c r="F228" s="47">
        <f>ROUND(SUMIF('Target Achieved- Input'!$B$185:$B$275,'Incentive Report- Output'!B228,'Target Achieved- Input'!$H$185:$H$275),0)</f>
        <v>91</v>
      </c>
      <c r="G228" s="47">
        <f>SUMIF('Target Achieved- Input'!$L$185:$L$275,'Incentive Report- Output'!B228,'Target Achieved- Input'!$O$185:$O$275)</f>
        <v>58</v>
      </c>
      <c r="H228" s="39">
        <f>SUMIF('Target Achieved- Input'!$S$185:$S$275,'Incentive Report- Output'!B228,'Target Achieved- Input'!$V$185:$V$275)</f>
        <v>4</v>
      </c>
      <c r="I228" s="48">
        <f>SUMIF('Target Achieved- Input'!$L$185:$L$275,'Incentive Report- Output'!B228,'Target Achieved- Input'!$AC$185:$AC$275)</f>
        <v>0</v>
      </c>
      <c r="J228" s="39">
        <f t="shared" si="454"/>
        <v>54</v>
      </c>
      <c r="K228" s="40">
        <f t="shared" si="455"/>
        <v>0.77142857142857146</v>
      </c>
      <c r="L228" s="41">
        <f t="shared" si="456"/>
        <v>2310000</v>
      </c>
      <c r="M228" s="41">
        <f>SUMIF('Target Achieved- Input'!$L$185:$L$275,'Incentive Report- Output'!B228,'Target Achieved- Input'!$M$185:$M$275)</f>
        <v>2516692</v>
      </c>
      <c r="N228" s="41">
        <f>SUMIF('Target Achieved- Input'!$S$185:$S$275,'Incentive Report- Output'!B228,'Target Achieved- Input'!$U$185:$U$275)</f>
        <v>119191.5254237286</v>
      </c>
      <c r="O228" s="41">
        <f>SUMIF('Target Achieved- Input'!$L$185:$L$275,'Incentive Report- Output'!B228,'Target Achieved- Input'!$N$185:$N$275)-N228</f>
        <v>2013598.3050847428</v>
      </c>
      <c r="P228" s="40">
        <f t="shared" si="457"/>
        <v>0.87168757795876317</v>
      </c>
      <c r="Q228" s="40">
        <f t="shared" si="458"/>
        <v>0.87168757795876317</v>
      </c>
      <c r="R228" s="40">
        <v>0</v>
      </c>
      <c r="S228" s="49">
        <f>(LOOKUP(Q228,Policy!$L$12:$M$16)+R228)*O228</f>
        <v>20135.98305084743</v>
      </c>
      <c r="T228" s="185"/>
      <c r="U228" s="156"/>
      <c r="V228" s="51"/>
      <c r="W228" s="156"/>
      <c r="X228" s="405"/>
      <c r="Y228" s="405"/>
      <c r="Z228" s="406"/>
      <c r="AA228" s="55">
        <v>0</v>
      </c>
      <c r="AB228" s="41">
        <v>0</v>
      </c>
      <c r="AC228" s="41">
        <v>0</v>
      </c>
      <c r="AD228" s="41">
        <f t="shared" si="459"/>
        <v>0</v>
      </c>
      <c r="AE228" s="41">
        <f t="shared" si="460"/>
        <v>20135.98305084743</v>
      </c>
      <c r="AF228" s="41">
        <f t="shared" si="461"/>
        <v>20135.98305084743</v>
      </c>
      <c r="AG228" s="31"/>
      <c r="AH228" s="419"/>
      <c r="AI228" s="111" t="s">
        <v>29</v>
      </c>
      <c r="AJ228" s="22" t="s">
        <v>30</v>
      </c>
      <c r="AK228" s="195" t="s">
        <v>670</v>
      </c>
      <c r="AL228" s="299">
        <v>21327.898305084716</v>
      </c>
      <c r="AM228" s="299">
        <f t="shared" si="462"/>
        <v>20135.98305084743</v>
      </c>
      <c r="AN228" s="300">
        <f t="shared" si="463"/>
        <v>1191.9152542372867</v>
      </c>
    </row>
    <row r="229" spans="1:43" ht="15.75" hidden="1" customHeight="1" outlineLevel="1" x14ac:dyDescent="0.2">
      <c r="A229" s="111" t="s">
        <v>244</v>
      </c>
      <c r="B229" s="79" t="s">
        <v>245</v>
      </c>
      <c r="C229" s="79" t="s">
        <v>1</v>
      </c>
      <c r="D229" s="1" t="s">
        <v>670</v>
      </c>
      <c r="E229" s="47">
        <f>ROUND(SUMIF('Target Achieved- Input'!$B$185:$B$275,'Incentive Report- Output'!B229,'Target Achieved- Input'!$G$185:$G$275),0)</f>
        <v>70</v>
      </c>
      <c r="F229" s="47">
        <f>ROUND(SUMIF('Target Achieved- Input'!$B$185:$B$275,'Incentive Report- Output'!B229,'Target Achieved- Input'!$H$185:$H$275),0)</f>
        <v>91</v>
      </c>
      <c r="G229" s="47">
        <f>SUMIF('Target Achieved- Input'!$L$185:$L$275,'Incentive Report- Output'!B229,'Target Achieved- Input'!$O$185:$O$275)</f>
        <v>47</v>
      </c>
      <c r="H229" s="39">
        <f>SUMIF('Target Achieved- Input'!$S$185:$S$275,'Incentive Report- Output'!B229,'Target Achieved- Input'!$V$185:$V$275)</f>
        <v>7</v>
      </c>
      <c r="I229" s="48">
        <f>SUMIF('Target Achieved- Input'!$L$185:$L$275,'Incentive Report- Output'!B229,'Target Achieved- Input'!$AC$185:$AC$275)</f>
        <v>0</v>
      </c>
      <c r="J229" s="39">
        <f t="shared" si="454"/>
        <v>40</v>
      </c>
      <c r="K229" s="40">
        <f t="shared" si="455"/>
        <v>0.5714285714285714</v>
      </c>
      <c r="L229" s="41">
        <f t="shared" si="456"/>
        <v>2310000</v>
      </c>
      <c r="M229" s="41">
        <f>SUMIF('Target Achieved- Input'!$L$185:$L$275,'Incentive Report- Output'!B229,'Target Achieved- Input'!$M$185:$M$275)</f>
        <v>2022353</v>
      </c>
      <c r="N229" s="41">
        <f>SUMIF('Target Achieved- Input'!$S$185:$S$275,'Incentive Report- Output'!B229,'Target Achieved- Input'!$U$185:$U$275)</f>
        <v>260290.67796610127</v>
      </c>
      <c r="O229" s="41">
        <f>SUMIF('Target Achieved- Input'!$L$185:$L$275,'Incentive Report- Output'!B229,'Target Achieved- Input'!$N$185:$N$275)-N229</f>
        <v>1453567.7966101673</v>
      </c>
      <c r="P229" s="40">
        <f t="shared" si="457"/>
        <v>0.62925012840266981</v>
      </c>
      <c r="Q229" s="40">
        <f t="shared" si="458"/>
        <v>0.62925012840266981</v>
      </c>
      <c r="R229" s="40">
        <v>0</v>
      </c>
      <c r="S229" s="49">
        <f>(LOOKUP(Q229,Policy!$L$12:$M$16)+R229)*O229</f>
        <v>7267.8389830508368</v>
      </c>
      <c r="T229" s="185"/>
      <c r="U229" s="156"/>
      <c r="V229" s="51"/>
      <c r="W229" s="156"/>
      <c r="X229" s="405"/>
      <c r="Y229" s="405"/>
      <c r="Z229" s="406"/>
      <c r="AA229" s="55">
        <v>0</v>
      </c>
      <c r="AB229" s="41">
        <v>0</v>
      </c>
      <c r="AC229" s="41">
        <v>0</v>
      </c>
      <c r="AD229" s="41">
        <f t="shared" si="459"/>
        <v>0</v>
      </c>
      <c r="AE229" s="41">
        <f t="shared" si="460"/>
        <v>7267.8389830508368</v>
      </c>
      <c r="AF229" s="41">
        <f t="shared" si="461"/>
        <v>7267.8389830508368</v>
      </c>
      <c r="AG229" s="31"/>
      <c r="AH229" s="419"/>
      <c r="AI229" s="111" t="s">
        <v>244</v>
      </c>
      <c r="AJ229" s="22" t="s">
        <v>245</v>
      </c>
      <c r="AK229" s="195" t="s">
        <v>670</v>
      </c>
      <c r="AL229" s="299">
        <v>8569.2923728813439</v>
      </c>
      <c r="AM229" s="299">
        <f t="shared" si="462"/>
        <v>7267.8389830508368</v>
      </c>
      <c r="AN229" s="300">
        <f t="shared" si="463"/>
        <v>1301.4533898305071</v>
      </c>
    </row>
    <row r="230" spans="1:43" ht="15.75" hidden="1" customHeight="1" outlineLevel="1" x14ac:dyDescent="0.2">
      <c r="A230" s="111" t="s">
        <v>20</v>
      </c>
      <c r="B230" s="79" t="s">
        <v>21</v>
      </c>
      <c r="C230" s="79" t="s">
        <v>1</v>
      </c>
      <c r="D230" s="1" t="s">
        <v>670</v>
      </c>
      <c r="E230" s="47">
        <f>ROUND(SUMIF('Target Achieved- Input'!$B$185:$B$275,'Incentive Report- Output'!B230,'Target Achieved- Input'!$G$185:$G$275),0)</f>
        <v>70</v>
      </c>
      <c r="F230" s="47">
        <f>ROUND(SUMIF('Target Achieved- Input'!$B$185:$B$275,'Incentive Report- Output'!B230,'Target Achieved- Input'!$H$185:$H$275),0)</f>
        <v>91</v>
      </c>
      <c r="G230" s="47">
        <f>SUMIF('Target Achieved- Input'!$L$185:$L$275,'Incentive Report- Output'!B230,'Target Achieved- Input'!$O$185:$O$275)</f>
        <v>72</v>
      </c>
      <c r="H230" s="39">
        <f>SUMIF('Target Achieved- Input'!$S$185:$S$275,'Incentive Report- Output'!B230,'Target Achieved- Input'!$V$185:$V$275)</f>
        <v>0</v>
      </c>
      <c r="I230" s="48">
        <f>SUMIF('Target Achieved- Input'!$L$185:$L$275,'Incentive Report- Output'!B230,'Target Achieved- Input'!$AC$185:$AC$275)</f>
        <v>2</v>
      </c>
      <c r="J230" s="39">
        <f t="shared" si="454"/>
        <v>72</v>
      </c>
      <c r="K230" s="40">
        <f t="shared" si="455"/>
        <v>1.0285714285714285</v>
      </c>
      <c r="L230" s="41">
        <f t="shared" si="456"/>
        <v>2310000</v>
      </c>
      <c r="M230" s="41">
        <f>SUMIF('Target Achieved- Input'!$L$185:$L$275,'Incentive Report- Output'!B230,'Target Achieved- Input'!$M$185:$M$275)</f>
        <v>2855628</v>
      </c>
      <c r="N230" s="41">
        <f>SUMIF('Target Achieved- Input'!$S$185:$S$275,'Incentive Report- Output'!B230,'Target Achieved- Input'!$U$185:$U$275)</f>
        <v>0</v>
      </c>
      <c r="O230" s="41">
        <f>SUMIF('Target Achieved- Input'!$L$185:$L$275,'Incentive Report- Output'!B230,'Target Achieved- Input'!$N$185:$N$275)-N230</f>
        <v>2420023.728813556</v>
      </c>
      <c r="P230" s="40">
        <f t="shared" si="457"/>
        <v>1.0476293198327082</v>
      </c>
      <c r="Q230" s="40">
        <f t="shared" si="458"/>
        <v>1.0476293198327082</v>
      </c>
      <c r="R230" s="40">
        <v>0</v>
      </c>
      <c r="S230" s="49">
        <f>(LOOKUP(Q230,Policy!$L$12:$M$16)+R230)*O230</f>
        <v>54450.53389830501</v>
      </c>
      <c r="T230" s="185"/>
      <c r="U230" s="156"/>
      <c r="V230" s="51"/>
      <c r="W230" s="156"/>
      <c r="X230" s="405"/>
      <c r="Y230" s="405"/>
      <c r="Z230" s="406"/>
      <c r="AA230" s="55">
        <v>0</v>
      </c>
      <c r="AB230" s="41">
        <v>0</v>
      </c>
      <c r="AC230" s="41">
        <v>0</v>
      </c>
      <c r="AD230" s="41">
        <f t="shared" si="459"/>
        <v>0</v>
      </c>
      <c r="AE230" s="41">
        <f t="shared" si="460"/>
        <v>54450.53389830501</v>
      </c>
      <c r="AF230" s="41">
        <f t="shared" si="461"/>
        <v>54450.53389830501</v>
      </c>
      <c r="AG230" s="31"/>
      <c r="AH230" s="419"/>
      <c r="AI230" s="111" t="s">
        <v>20</v>
      </c>
      <c r="AJ230" s="22" t="s">
        <v>21</v>
      </c>
      <c r="AK230" s="195" t="s">
        <v>670</v>
      </c>
      <c r="AL230" s="299">
        <v>54450.53389830501</v>
      </c>
      <c r="AM230" s="299">
        <f t="shared" si="462"/>
        <v>54450.53389830501</v>
      </c>
      <c r="AN230" s="300">
        <f t="shared" si="463"/>
        <v>0</v>
      </c>
    </row>
    <row r="231" spans="1:43" ht="15.75" hidden="1" customHeight="1" outlineLevel="1" x14ac:dyDescent="0.2">
      <c r="A231" s="111" t="s">
        <v>699</v>
      </c>
      <c r="B231" s="79" t="s">
        <v>700</v>
      </c>
      <c r="C231" s="79" t="s">
        <v>1</v>
      </c>
      <c r="D231" s="1" t="s">
        <v>670</v>
      </c>
      <c r="E231" s="47">
        <f>ROUND(SUMIF('Target Achieved- Input'!$B$185:$B$275,'Incentive Report- Output'!B231,'Target Achieved- Input'!$G$185:$G$275),0)</f>
        <v>70</v>
      </c>
      <c r="F231" s="47">
        <f>ROUND(SUMIF('Target Achieved- Input'!$B$185:$B$275,'Incentive Report- Output'!B231,'Target Achieved- Input'!$H$185:$H$275),0)</f>
        <v>91</v>
      </c>
      <c r="G231" s="47">
        <f>SUMIF('Target Achieved- Input'!$L$185:$L$275,'Incentive Report- Output'!B231,'Target Achieved- Input'!$O$185:$O$275)</f>
        <v>52</v>
      </c>
      <c r="H231" s="39">
        <f>SUMIF('Target Achieved- Input'!$S$185:$S$275,'Incentive Report- Output'!B231,'Target Achieved- Input'!$V$185:$V$275)</f>
        <v>2</v>
      </c>
      <c r="I231" s="48">
        <f>SUMIF('Target Achieved- Input'!$L$185:$L$275,'Incentive Report- Output'!B231,'Target Achieved- Input'!$AC$185:$AC$275)</f>
        <v>1</v>
      </c>
      <c r="J231" s="39">
        <f t="shared" si="454"/>
        <v>50</v>
      </c>
      <c r="K231" s="40">
        <f t="shared" si="455"/>
        <v>0.7142857142857143</v>
      </c>
      <c r="L231" s="41">
        <f t="shared" si="456"/>
        <v>2310000</v>
      </c>
      <c r="M231" s="41">
        <f>SUMIF('Target Achieved- Input'!$L$185:$L$275,'Incentive Report- Output'!B231,'Target Achieved- Input'!$M$185:$M$275)</f>
        <v>2809748</v>
      </c>
      <c r="N231" s="41">
        <f>SUMIF('Target Achieved- Input'!$S$185:$S$275,'Incentive Report- Output'!B231,'Target Achieved- Input'!$U$185:$U$275)</f>
        <v>52625.423728813497</v>
      </c>
      <c r="O231" s="41">
        <f>SUMIF('Target Achieved- Input'!$L$185:$L$275,'Incentive Report- Output'!B231,'Target Achieved- Input'!$N$185:$N$275)-N231</f>
        <v>2328516.9491525395</v>
      </c>
      <c r="P231" s="40">
        <f t="shared" si="457"/>
        <v>1.0080159953041297</v>
      </c>
      <c r="Q231" s="40">
        <f t="shared" si="458"/>
        <v>1.0080159953041297</v>
      </c>
      <c r="R231" s="40">
        <v>0</v>
      </c>
      <c r="S231" s="49">
        <f>(LOOKUP(Q231,Policy!$L$12:$M$16)+R231)*O231</f>
        <v>52391.631355932135</v>
      </c>
      <c r="T231" s="185"/>
      <c r="U231" s="156"/>
      <c r="V231" s="51"/>
      <c r="W231" s="156"/>
      <c r="X231" s="405"/>
      <c r="Y231" s="405"/>
      <c r="Z231" s="406"/>
      <c r="AA231" s="55">
        <v>0</v>
      </c>
      <c r="AB231" s="41">
        <v>0</v>
      </c>
      <c r="AC231" s="41">
        <v>0</v>
      </c>
      <c r="AD231" s="41">
        <f t="shared" si="459"/>
        <v>0</v>
      </c>
      <c r="AE231" s="41">
        <f t="shared" si="460"/>
        <v>52391.631355932135</v>
      </c>
      <c r="AF231" s="41">
        <f t="shared" si="461"/>
        <v>52391.631355932135</v>
      </c>
      <c r="AG231" s="31"/>
      <c r="AH231" s="419"/>
      <c r="AI231" s="111" t="s">
        <v>699</v>
      </c>
      <c r="AJ231" s="22" t="s">
        <v>700</v>
      </c>
      <c r="AK231" s="195" t="s">
        <v>670</v>
      </c>
      <c r="AL231" s="299">
        <v>53575.703389830436</v>
      </c>
      <c r="AM231" s="299">
        <f t="shared" si="462"/>
        <v>52391.631355932135</v>
      </c>
      <c r="AN231" s="300">
        <f t="shared" si="463"/>
        <v>1184.072033898301</v>
      </c>
    </row>
    <row r="232" spans="1:43" ht="15.75" hidden="1" customHeight="1" outlineLevel="1" x14ac:dyDescent="0.2">
      <c r="A232" s="111" t="s">
        <v>222</v>
      </c>
      <c r="B232" s="79" t="s">
        <v>223</v>
      </c>
      <c r="C232" s="79" t="s">
        <v>1</v>
      </c>
      <c r="D232" s="1" t="s">
        <v>670</v>
      </c>
      <c r="E232" s="47">
        <f>ROUND(SUMIF('Target Achieved- Input'!$B$185:$B$275,'Incentive Report- Output'!B232,'Target Achieved- Input'!$G$185:$G$275),0)</f>
        <v>75</v>
      </c>
      <c r="F232" s="47">
        <f>ROUND(SUMIF('Target Achieved- Input'!$B$185:$B$275,'Incentive Report- Output'!B232,'Target Achieved- Input'!$H$185:$H$275),0)</f>
        <v>98</v>
      </c>
      <c r="G232" s="47">
        <f>SUMIF('Target Achieved- Input'!$L$185:$L$275,'Incentive Report- Output'!B232,'Target Achieved- Input'!$O$185:$O$275)</f>
        <v>80</v>
      </c>
      <c r="H232" s="39">
        <f>SUMIF('Target Achieved- Input'!$S$185:$S$275,'Incentive Report- Output'!B232,'Target Achieved- Input'!$V$185:$V$275)</f>
        <v>3</v>
      </c>
      <c r="I232" s="48">
        <f>SUMIF('Target Achieved- Input'!$L$185:$L$275,'Incentive Report- Output'!B232,'Target Achieved- Input'!$AC$185:$AC$275)</f>
        <v>1</v>
      </c>
      <c r="J232" s="39">
        <f t="shared" si="454"/>
        <v>77</v>
      </c>
      <c r="K232" s="40">
        <f t="shared" si="455"/>
        <v>1.0266666666666666</v>
      </c>
      <c r="L232" s="41">
        <f t="shared" si="456"/>
        <v>2475000</v>
      </c>
      <c r="M232" s="41">
        <f>SUMIF('Target Achieved- Input'!$L$185:$L$275,'Incentive Report- Output'!B232,'Target Achieved- Input'!$M$185:$M$275)</f>
        <v>3054620</v>
      </c>
      <c r="N232" s="41">
        <f>SUMIF('Target Achieved- Input'!$S$185:$S$275,'Incentive Report- Output'!B232,'Target Achieved- Input'!$U$185:$U$275)</f>
        <v>76649.999999999898</v>
      </c>
      <c r="O232" s="41">
        <f>SUMIF('Target Achieved- Input'!$L$185:$L$275,'Incentive Report- Output'!B232,'Target Achieved- Input'!$N$185:$N$275)-N232</f>
        <v>2512011.0169491484</v>
      </c>
      <c r="P232" s="40">
        <f t="shared" si="457"/>
        <v>1.0149539462420802</v>
      </c>
      <c r="Q232" s="40">
        <f>P232</f>
        <v>1.0149539462420802</v>
      </c>
      <c r="R232" s="40">
        <v>0</v>
      </c>
      <c r="S232" s="49">
        <f>(LOOKUP(Q232,Policy!$L$12:$M$16)+R232)*O232</f>
        <v>56520.247881355834</v>
      </c>
      <c r="T232" s="185"/>
      <c r="U232" s="156"/>
      <c r="V232" s="51"/>
      <c r="W232" s="156"/>
      <c r="X232" s="405"/>
      <c r="Y232" s="405"/>
      <c r="Z232" s="406"/>
      <c r="AA232" s="55">
        <v>0</v>
      </c>
      <c r="AB232" s="41">
        <v>0</v>
      </c>
      <c r="AC232" s="41">
        <v>0</v>
      </c>
      <c r="AD232" s="41">
        <f t="shared" si="459"/>
        <v>0</v>
      </c>
      <c r="AE232" s="41">
        <f t="shared" si="460"/>
        <v>56520.247881355834</v>
      </c>
      <c r="AF232" s="41">
        <f t="shared" si="461"/>
        <v>56520.247881355834</v>
      </c>
      <c r="AG232" s="31"/>
      <c r="AH232" s="419"/>
      <c r="AI232" s="111" t="s">
        <v>222</v>
      </c>
      <c r="AJ232" s="22" t="s">
        <v>223</v>
      </c>
      <c r="AK232" s="195" t="s">
        <v>670</v>
      </c>
      <c r="AL232" s="301">
        <v>58244.872881355834</v>
      </c>
      <c r="AM232" s="301">
        <f t="shared" si="462"/>
        <v>56520.247881355834</v>
      </c>
      <c r="AN232" s="302">
        <f t="shared" si="463"/>
        <v>1724.625</v>
      </c>
    </row>
    <row r="233" spans="1:43" ht="15.75" hidden="1" customHeight="1" outlineLevel="1" x14ac:dyDescent="0.2">
      <c r="A233" s="111" t="s">
        <v>70</v>
      </c>
      <c r="B233" s="79" t="s">
        <v>34</v>
      </c>
      <c r="C233" s="79" t="s">
        <v>1</v>
      </c>
      <c r="D233" s="1" t="s">
        <v>670</v>
      </c>
      <c r="E233" s="47">
        <f>ROUND(SUMIF('Target Achieved- Input'!$B$185:$B$275,'Incentive Report- Output'!B233,'Target Achieved- Input'!$G$185:$G$275),0)</f>
        <v>45</v>
      </c>
      <c r="F233" s="47">
        <f>ROUND(SUMIF('Target Achieved- Input'!$B$185:$B$275,'Incentive Report- Output'!B233,'Target Achieved- Input'!$H$185:$H$275),0)</f>
        <v>59</v>
      </c>
      <c r="G233" s="47">
        <f>SUMIF('Target Achieved- Input'!$L$185:$L$275,'Incentive Report- Output'!B233,'Target Achieved- Input'!$O$185:$O$275)</f>
        <v>41</v>
      </c>
      <c r="H233" s="39">
        <f>SUMIF('Target Achieved- Input'!$S$185:$S$275,'Incentive Report- Output'!B233,'Target Achieved- Input'!$V$185:$V$275)</f>
        <v>8</v>
      </c>
      <c r="I233" s="48">
        <f>SUMIF('Target Achieved- Input'!$L$185:$L$275,'Incentive Report- Output'!B233,'Target Achieved- Input'!$AC$185:$AC$275)</f>
        <v>2</v>
      </c>
      <c r="J233" s="39">
        <f t="shared" si="454"/>
        <v>33</v>
      </c>
      <c r="K233" s="40">
        <f t="shared" si="455"/>
        <v>0.73333333333333328</v>
      </c>
      <c r="L233" s="41">
        <f t="shared" si="456"/>
        <v>1485000</v>
      </c>
      <c r="M233" s="41">
        <f>SUMIF('Target Achieved- Input'!$L$185:$L$275,'Incentive Report- Output'!B233,'Target Achieved- Input'!$M$185:$M$275)</f>
        <v>1625659</v>
      </c>
      <c r="N233" s="41">
        <f>SUMIF('Target Achieved- Input'!$S$185:$S$275,'Incentive Report- Output'!B233,'Target Achieved- Input'!$U$185:$U$275)</f>
        <v>278383.05084745726</v>
      </c>
      <c r="O233" s="41">
        <f>SUMIF('Target Achieved- Input'!$L$185:$L$275,'Incentive Report- Output'!B233,'Target Achieved- Input'!$N$185:$N$275)-N233</f>
        <v>1099294.0677966084</v>
      </c>
      <c r="P233" s="40">
        <f t="shared" si="457"/>
        <v>0.74026536551960165</v>
      </c>
      <c r="Q233" s="40">
        <f t="shared" si="458"/>
        <v>0.74026536551960165</v>
      </c>
      <c r="R233" s="40">
        <v>0</v>
      </c>
      <c r="S233" s="49">
        <f>(LOOKUP(Q233,Policy!$L$12:$M$16)+R233)*O233</f>
        <v>5496.470338983042</v>
      </c>
      <c r="T233" s="185"/>
      <c r="U233" s="156"/>
      <c r="V233" s="51"/>
      <c r="W233" s="156"/>
      <c r="X233" s="405"/>
      <c r="Y233" s="405"/>
      <c r="Z233" s="406"/>
      <c r="AA233" s="55">
        <v>0</v>
      </c>
      <c r="AB233" s="41">
        <v>0</v>
      </c>
      <c r="AC233" s="41">
        <v>0</v>
      </c>
      <c r="AD233" s="41">
        <f t="shared" si="459"/>
        <v>0</v>
      </c>
      <c r="AE233" s="41">
        <f t="shared" si="460"/>
        <v>5496.470338983042</v>
      </c>
      <c r="AF233" s="41">
        <f t="shared" si="461"/>
        <v>5496.470338983042</v>
      </c>
      <c r="AG233" s="31"/>
      <c r="AH233" s="419"/>
      <c r="AI233" s="111" t="s">
        <v>70</v>
      </c>
      <c r="AJ233" s="22" t="s">
        <v>34</v>
      </c>
      <c r="AK233" s="195" t="s">
        <v>670</v>
      </c>
      <c r="AL233" s="299">
        <v>13776.771186440657</v>
      </c>
      <c r="AM233" s="299">
        <f t="shared" si="462"/>
        <v>5496.470338983042</v>
      </c>
      <c r="AN233" s="300">
        <f t="shared" si="463"/>
        <v>8280.3008474576163</v>
      </c>
    </row>
    <row r="234" spans="1:43" ht="15.75" hidden="1" customHeight="1" outlineLevel="1" x14ac:dyDescent="0.2">
      <c r="A234" s="109" t="s">
        <v>6</v>
      </c>
      <c r="B234" s="109"/>
      <c r="C234" s="109"/>
      <c r="D234" s="292" t="s">
        <v>670</v>
      </c>
      <c r="E234" s="44">
        <f t="shared" ref="E234:J234" si="464">SUM(E227:E233)</f>
        <v>470</v>
      </c>
      <c r="F234" s="44">
        <f t="shared" si="464"/>
        <v>612</v>
      </c>
      <c r="G234" s="44">
        <f t="shared" si="464"/>
        <v>413</v>
      </c>
      <c r="H234" s="44">
        <f t="shared" si="464"/>
        <v>25</v>
      </c>
      <c r="I234" s="44">
        <f t="shared" si="464"/>
        <v>9</v>
      </c>
      <c r="J234" s="44">
        <f t="shared" si="464"/>
        <v>388</v>
      </c>
      <c r="K234" s="45"/>
      <c r="L234" s="44">
        <f>SUM(L227:L233)</f>
        <v>15510000</v>
      </c>
      <c r="M234" s="44">
        <f>SUM(M227:M233)</f>
        <v>17369787</v>
      </c>
      <c r="N234" s="44">
        <f>SUM(N227:N233)</f>
        <v>811546.61016949033</v>
      </c>
      <c r="O234" s="44">
        <f>SUM(O227:O233)</f>
        <v>13908611.864406761</v>
      </c>
      <c r="P234" s="46"/>
      <c r="Q234" s="45"/>
      <c r="R234" s="45"/>
      <c r="S234" s="44">
        <f t="shared" ref="S234:AF234" si="465">SUM(S227:S233)</f>
        <v>217078.70550847429</v>
      </c>
      <c r="T234" s="190">
        <f t="shared" si="465"/>
        <v>0</v>
      </c>
      <c r="U234" s="190">
        <f t="shared" si="465"/>
        <v>0</v>
      </c>
      <c r="V234" s="88">
        <f t="shared" si="465"/>
        <v>0</v>
      </c>
      <c r="W234" s="190">
        <f t="shared" si="465"/>
        <v>0</v>
      </c>
      <c r="X234" s="88">
        <f t="shared" si="465"/>
        <v>0</v>
      </c>
      <c r="Y234" s="88">
        <f t="shared" si="465"/>
        <v>0</v>
      </c>
      <c r="Z234" s="54">
        <f t="shared" si="465"/>
        <v>0</v>
      </c>
      <c r="AA234" s="88">
        <f t="shared" si="465"/>
        <v>0</v>
      </c>
      <c r="AB234" s="88">
        <f t="shared" si="465"/>
        <v>0</v>
      </c>
      <c r="AC234" s="88">
        <f t="shared" si="465"/>
        <v>0</v>
      </c>
      <c r="AD234" s="88">
        <f t="shared" si="465"/>
        <v>0</v>
      </c>
      <c r="AE234" s="88">
        <f t="shared" si="465"/>
        <v>217078.70550847429</v>
      </c>
      <c r="AF234" s="88">
        <f t="shared" si="465"/>
        <v>217078.70550847429</v>
      </c>
      <c r="AG234" s="31"/>
      <c r="AH234" s="419"/>
      <c r="AI234" s="43" t="s">
        <v>6</v>
      </c>
      <c r="AJ234" s="43"/>
      <c r="AK234" s="43" t="s">
        <v>670</v>
      </c>
      <c r="AL234" s="307">
        <v>231005.1313559319</v>
      </c>
      <c r="AM234" s="307">
        <f>SUM(AM227:AM233)</f>
        <v>217078.70550847429</v>
      </c>
      <c r="AN234" s="307">
        <f>SUM(AN227:AN233)</f>
        <v>13926.425847457607</v>
      </c>
    </row>
    <row r="235" spans="1:43" ht="15.75" hidden="1" customHeight="1" outlineLevel="1" x14ac:dyDescent="0.2">
      <c r="A235" s="112" t="s">
        <v>63</v>
      </c>
      <c r="B235" s="112" t="s">
        <v>64</v>
      </c>
      <c r="C235" s="79" t="s">
        <v>0</v>
      </c>
      <c r="D235" s="1" t="s">
        <v>672</v>
      </c>
      <c r="E235" s="47">
        <f>ROUND(SUMIF('Target Achieved- Input'!$B$185:$B$275,'Incentive Report- Output'!B235,'Target Achieved- Input'!$G$185:$G$275),0)</f>
        <v>80</v>
      </c>
      <c r="F235" s="47">
        <f>ROUND(SUMIF('Target Achieved- Input'!$B$185:$B$275,'Incentive Report- Output'!B235,'Target Achieved- Input'!$H$185:$H$275),0)</f>
        <v>104</v>
      </c>
      <c r="G235" s="47">
        <f>SUMIF('Target Achieved- Input'!$L$185:$L$275,'Incentive Report- Output'!B235,'Target Achieved- Input'!$O$185:$O$275)</f>
        <v>58</v>
      </c>
      <c r="H235" s="39">
        <f>SUMIF('Target Achieved- Input'!$S$185:$S$275,'Incentive Report- Output'!B235,'Target Achieved- Input'!$V$185:$V$275)</f>
        <v>15</v>
      </c>
      <c r="I235" s="48">
        <f>SUMIF('Target Achieved- Input'!$L$185:$L$275,'Incentive Report- Output'!B235,'Target Achieved- Input'!$AC$185:$AC$275)</f>
        <v>0</v>
      </c>
      <c r="J235" s="39">
        <f t="shared" ref="J235:J238" si="466">G235-H235</f>
        <v>43</v>
      </c>
      <c r="K235" s="40">
        <f t="shared" ref="K235:K238" si="467">IFERROR(J235/E235,0)</f>
        <v>0.53749999999999998</v>
      </c>
      <c r="L235" s="41">
        <f t="shared" ref="L235:L238" si="468">E235*33000</f>
        <v>2640000</v>
      </c>
      <c r="M235" s="41">
        <f>SUMIF('Target Achieved- Input'!$L$185:$L$275,'Incentive Report- Output'!B235,'Target Achieved- Input'!$M$185:$M$275)</f>
        <v>2521892</v>
      </c>
      <c r="N235" s="41">
        <f>SUMIF('Target Achieved- Input'!$S$185:$S$275,'Incentive Report- Output'!B235,'Target Achieved- Input'!$U$185:$U$275)</f>
        <v>504182.20338982966</v>
      </c>
      <c r="O235" s="41">
        <f>SUMIF('Target Achieved- Input'!$L$185:$L$275,'Incentive Report- Output'!B235,'Target Achieved- Input'!$N$185:$N$275)-N235</f>
        <v>1633014.4067796597</v>
      </c>
      <c r="P235" s="40">
        <f t="shared" ref="P235:P238" si="469">IFERROR(O235/L235,0)</f>
        <v>0.61856606317411356</v>
      </c>
      <c r="Q235" s="40">
        <f t="shared" ref="Q235:Q238" si="470">MAX(P235,K235)</f>
        <v>0.61856606317411356</v>
      </c>
      <c r="R235" s="40">
        <v>0</v>
      </c>
      <c r="S235" s="49">
        <f>(LOOKUP(Q235,Policy!$L$12:$M$16)+R235)*O235</f>
        <v>8165.0720338982983</v>
      </c>
      <c r="T235" s="188"/>
      <c r="U235" s="53"/>
      <c r="V235" s="40"/>
      <c r="W235" s="53"/>
      <c r="X235" s="396">
        <f>E239</f>
        <v>270</v>
      </c>
      <c r="Y235" s="396">
        <f>J239</f>
        <v>198</v>
      </c>
      <c r="Z235" s="407">
        <f>Y235/X235</f>
        <v>0.73333333333333328</v>
      </c>
      <c r="AA235" s="55">
        <v>0</v>
      </c>
      <c r="AB235" s="41">
        <v>0</v>
      </c>
      <c r="AC235" s="41">
        <v>0</v>
      </c>
      <c r="AD235" s="41">
        <f t="shared" ref="AD235:AD238" si="471">IF(AF235&gt;200000,AF235-200000,0)</f>
        <v>0</v>
      </c>
      <c r="AE235" s="41">
        <f t="shared" ref="AE235:AE238" si="472">AF235-AD235</f>
        <v>8165.0720338982983</v>
      </c>
      <c r="AF235" s="41">
        <f>S235+W235+AB235+AC235</f>
        <v>8165.0720338982983</v>
      </c>
      <c r="AG235" s="31"/>
      <c r="AH235" s="419"/>
      <c r="AI235" s="1" t="s">
        <v>63</v>
      </c>
      <c r="AJ235" s="1" t="s">
        <v>64</v>
      </c>
      <c r="AK235" s="195" t="s">
        <v>672</v>
      </c>
      <c r="AL235" s="299">
        <v>21371.966101694896</v>
      </c>
      <c r="AM235" s="299">
        <f t="shared" ref="AM235:AM238" si="473">AF235</f>
        <v>8165.0720338982983</v>
      </c>
      <c r="AN235" s="300">
        <f t="shared" ref="AN235:AN238" si="474">AL235-AM235</f>
        <v>13206.894067796598</v>
      </c>
      <c r="AQ235" s="172"/>
    </row>
    <row r="236" spans="1:43" ht="15.75" hidden="1" customHeight="1" outlineLevel="1" x14ac:dyDescent="0.2">
      <c r="A236" s="79" t="s">
        <v>806</v>
      </c>
      <c r="B236" s="79" t="s">
        <v>807</v>
      </c>
      <c r="C236" s="79" t="s">
        <v>1</v>
      </c>
      <c r="D236" s="1" t="s">
        <v>672</v>
      </c>
      <c r="E236" s="47">
        <f>ROUND(SUMIF('Target Achieved- Input'!$B$185:$B$275,'Incentive Report- Output'!B236,'Target Achieved- Input'!$G$185:$G$275),0)</f>
        <v>70</v>
      </c>
      <c r="F236" s="47">
        <f>ROUND(SUMIF('Target Achieved- Input'!$B$185:$B$275,'Incentive Report- Output'!B236,'Target Achieved- Input'!$H$185:$H$275),0)</f>
        <v>91</v>
      </c>
      <c r="G236" s="47">
        <f>SUMIF('Target Achieved- Input'!$L$185:$L$275,'Incentive Report- Output'!B236,'Target Achieved- Input'!$O$185:$O$275)</f>
        <v>48</v>
      </c>
      <c r="H236" s="39">
        <f>SUMIF('Target Achieved- Input'!$S$185:$S$275,'Incentive Report- Output'!B236,'Target Achieved- Input'!$V$185:$V$275)</f>
        <v>2</v>
      </c>
      <c r="I236" s="48">
        <f>SUMIF('Target Achieved- Input'!$L$185:$L$275,'Incentive Report- Output'!B236,'Target Achieved- Input'!$AC$185:$AC$275)</f>
        <v>3</v>
      </c>
      <c r="J236" s="39">
        <f t="shared" si="466"/>
        <v>46</v>
      </c>
      <c r="K236" s="40">
        <f t="shared" si="467"/>
        <v>0.65714285714285714</v>
      </c>
      <c r="L236" s="41">
        <f t="shared" si="468"/>
        <v>2310000</v>
      </c>
      <c r="M236" s="41">
        <f>SUMIF('Target Achieved- Input'!$L$185:$L$275,'Incentive Report- Output'!B236,'Target Achieved- Input'!$M$185:$M$275)</f>
        <v>2149902</v>
      </c>
      <c r="N236" s="41">
        <f>SUMIF('Target Achieved- Input'!$S$185:$S$275,'Incentive Report- Output'!B236,'Target Achieved- Input'!$U$185:$U$275)</f>
        <v>64405.084745762702</v>
      </c>
      <c r="O236" s="41">
        <f>SUMIF('Target Achieved- Input'!$L$185:$L$275,'Incentive Report- Output'!B236,'Target Achieved- Input'!$N$185:$N$275)-N236</f>
        <v>1757545.7627118621</v>
      </c>
      <c r="P236" s="40">
        <f t="shared" si="469"/>
        <v>0.76084232152028664</v>
      </c>
      <c r="Q236" s="40">
        <f t="shared" si="470"/>
        <v>0.76084232152028664</v>
      </c>
      <c r="R236" s="40">
        <v>0</v>
      </c>
      <c r="S236" s="49">
        <f>(LOOKUP(Q236,Policy!$L$12:$M$16)+R236)*O236</f>
        <v>8787.7288135593099</v>
      </c>
      <c r="T236" s="188"/>
      <c r="U236" s="53"/>
      <c r="V236" s="40"/>
      <c r="W236" s="53"/>
      <c r="X236" s="397"/>
      <c r="Y236" s="397"/>
      <c r="Z236" s="406"/>
      <c r="AA236" s="55">
        <v>0</v>
      </c>
      <c r="AB236" s="41">
        <v>0</v>
      </c>
      <c r="AC236" s="41">
        <v>0</v>
      </c>
      <c r="AD236" s="41">
        <f t="shared" si="471"/>
        <v>0</v>
      </c>
      <c r="AE236" s="41">
        <f t="shared" si="472"/>
        <v>8787.7288135593099</v>
      </c>
      <c r="AF236" s="41">
        <f>S236+W236+AB236+AC236</f>
        <v>8787.7288135593099</v>
      </c>
      <c r="AG236" s="31"/>
      <c r="AH236" s="419"/>
      <c r="AI236" s="22" t="s">
        <v>806</v>
      </c>
      <c r="AJ236" s="22" t="s">
        <v>807</v>
      </c>
      <c r="AK236" s="195" t="s">
        <v>672</v>
      </c>
      <c r="AL236" s="299">
        <v>9109.7542372881235</v>
      </c>
      <c r="AM236" s="299">
        <f t="shared" si="473"/>
        <v>8787.7288135593099</v>
      </c>
      <c r="AN236" s="300">
        <f t="shared" si="474"/>
        <v>322.02542372881362</v>
      </c>
    </row>
    <row r="237" spans="1:43" ht="15.75" hidden="1" customHeight="1" outlineLevel="1" x14ac:dyDescent="0.2">
      <c r="A237" s="112" t="s">
        <v>301</v>
      </c>
      <c r="B237" s="112" t="s">
        <v>302</v>
      </c>
      <c r="C237" s="79" t="s">
        <v>1</v>
      </c>
      <c r="D237" s="1" t="s">
        <v>672</v>
      </c>
      <c r="E237" s="47">
        <f>ROUND(SUMIF('Target Achieved- Input'!$B$185:$B$275,'Incentive Report- Output'!B237,'Target Achieved- Input'!$G$185:$G$275),0)</f>
        <v>80</v>
      </c>
      <c r="F237" s="47">
        <f>ROUND(SUMIF('Target Achieved- Input'!$B$185:$B$275,'Incentive Report- Output'!B237,'Target Achieved- Input'!$H$185:$H$275),0)</f>
        <v>104</v>
      </c>
      <c r="G237" s="47">
        <f>SUMIF('Target Achieved- Input'!$L$185:$L$275,'Incentive Report- Output'!B237,'Target Achieved- Input'!$O$185:$O$275)</f>
        <v>84</v>
      </c>
      <c r="H237" s="39">
        <f>SUMIF('Target Achieved- Input'!$S$185:$S$275,'Incentive Report- Output'!B237,'Target Achieved- Input'!$V$185:$V$275)</f>
        <v>3</v>
      </c>
      <c r="I237" s="48">
        <f>SUMIF('Target Achieved- Input'!$L$185:$L$275,'Incentive Report- Output'!B237,'Target Achieved- Input'!$AC$185:$AC$275)</f>
        <v>0</v>
      </c>
      <c r="J237" s="39">
        <f t="shared" si="466"/>
        <v>81</v>
      </c>
      <c r="K237" s="40">
        <f t="shared" si="467"/>
        <v>1.0125</v>
      </c>
      <c r="L237" s="41">
        <f t="shared" si="468"/>
        <v>2640000</v>
      </c>
      <c r="M237" s="41">
        <f>SUMIF('Target Achieved- Input'!$L$185:$L$275,'Incentive Report- Output'!B237,'Target Achieved- Input'!$M$185:$M$275)</f>
        <v>3438616</v>
      </c>
      <c r="N237" s="41">
        <f>SUMIF('Target Achieved- Input'!$S$185:$S$275,'Incentive Report- Output'!B237,'Target Achieved- Input'!$U$185:$U$275)</f>
        <v>114065.25423728791</v>
      </c>
      <c r="O237" s="41">
        <f>SUMIF('Target Achieved- Input'!$L$185:$L$275,'Incentive Report- Output'!B237,'Target Achieved- Input'!$N$185:$N$275)-N237</f>
        <v>2800016.1016949089</v>
      </c>
      <c r="P237" s="40">
        <f t="shared" si="469"/>
        <v>1.0606121597329201</v>
      </c>
      <c r="Q237" s="40">
        <f t="shared" si="470"/>
        <v>1.0606121597329201</v>
      </c>
      <c r="R237" s="40">
        <v>0</v>
      </c>
      <c r="S237" s="49">
        <f>(LOOKUP(Q237,Policy!$L$12:$M$16)+R237)*O237</f>
        <v>63000.362288135446</v>
      </c>
      <c r="T237" s="188"/>
      <c r="U237" s="188"/>
      <c r="V237" s="40"/>
      <c r="W237" s="53"/>
      <c r="X237" s="397"/>
      <c r="Y237" s="397"/>
      <c r="Z237" s="406"/>
      <c r="AA237" s="55">
        <v>0</v>
      </c>
      <c r="AB237" s="41">
        <v>0</v>
      </c>
      <c r="AC237" s="41">
        <v>0</v>
      </c>
      <c r="AD237" s="41">
        <f t="shared" si="471"/>
        <v>0</v>
      </c>
      <c r="AE237" s="41">
        <f t="shared" si="472"/>
        <v>63000.362288135446</v>
      </c>
      <c r="AF237" s="41">
        <f>S237+W237+AB237+AC237</f>
        <v>63000.362288135446</v>
      </c>
      <c r="AG237" s="31"/>
      <c r="AH237" s="419"/>
      <c r="AI237" s="1" t="s">
        <v>301</v>
      </c>
      <c r="AJ237" s="1" t="s">
        <v>302</v>
      </c>
      <c r="AK237" s="195" t="s">
        <v>672</v>
      </c>
      <c r="AL237" s="299">
        <v>65566.830508474435</v>
      </c>
      <c r="AM237" s="299">
        <f t="shared" si="473"/>
        <v>63000.362288135446</v>
      </c>
      <c r="AN237" s="300">
        <f t="shared" si="474"/>
        <v>2566.4682203389893</v>
      </c>
    </row>
    <row r="238" spans="1:43" ht="15.75" hidden="1" customHeight="1" outlineLevel="1" x14ac:dyDescent="0.2">
      <c r="A238" s="112" t="s">
        <v>1150</v>
      </c>
      <c r="B238" s="112" t="s">
        <v>1151</v>
      </c>
      <c r="C238" s="79" t="s">
        <v>1</v>
      </c>
      <c r="D238" s="1" t="s">
        <v>672</v>
      </c>
      <c r="E238" s="47">
        <f>ROUND(SUMIF('Target Achieved- Input'!$B$185:$B$275,'Incentive Report- Output'!B238,'Target Achieved- Input'!$G$185:$G$275),0)</f>
        <v>40</v>
      </c>
      <c r="F238" s="47">
        <f>ROUND(SUMIF('Target Achieved- Input'!$B$185:$B$275,'Incentive Report- Output'!B238,'Target Achieved- Input'!$H$185:$H$275),0)</f>
        <v>52</v>
      </c>
      <c r="G238" s="47">
        <f>SUMIF('Target Achieved- Input'!$L$185:$L$275,'Incentive Report- Output'!B238,'Target Achieved- Input'!$O$185:$O$275)</f>
        <v>30</v>
      </c>
      <c r="H238" s="39">
        <f>SUMIF('Target Achieved- Input'!$S$185:$S$275,'Incentive Report- Output'!B238,'Target Achieved- Input'!$V$185:$V$275)</f>
        <v>2</v>
      </c>
      <c r="I238" s="48">
        <f>SUMIF('Target Achieved- Input'!$L$185:$L$275,'Incentive Report- Output'!B238,'Target Achieved- Input'!$AC$185:$AC$275)</f>
        <v>0</v>
      </c>
      <c r="J238" s="39">
        <f t="shared" si="466"/>
        <v>28</v>
      </c>
      <c r="K238" s="40">
        <f t="shared" si="467"/>
        <v>0.7</v>
      </c>
      <c r="L238" s="41">
        <f t="shared" si="468"/>
        <v>1320000</v>
      </c>
      <c r="M238" s="41">
        <f>SUMIF('Target Achieved- Input'!$L$185:$L$275,'Incentive Report- Output'!B238,'Target Achieved- Input'!$M$185:$M$275)</f>
        <v>1259970</v>
      </c>
      <c r="N238" s="41">
        <f>SUMIF('Target Achieved- Input'!$S$185:$S$275,'Incentive Report- Output'!B238,'Target Achieved- Input'!$U$185:$U$275)</f>
        <v>111015.254237288</v>
      </c>
      <c r="O238" s="41">
        <f>SUMIF('Target Achieved- Input'!$L$185:$L$275,'Incentive Report- Output'!B238,'Target Achieved- Input'!$N$185:$N$275)-N238</f>
        <v>956755.93220338819</v>
      </c>
      <c r="P238" s="40">
        <f t="shared" si="469"/>
        <v>0.72481510015408201</v>
      </c>
      <c r="Q238" s="40">
        <f t="shared" si="470"/>
        <v>0.72481510015408201</v>
      </c>
      <c r="R238" s="40">
        <v>0</v>
      </c>
      <c r="S238" s="49">
        <f>(LOOKUP(Q238,Policy!$L$12:$M$16)+R238)*O238</f>
        <v>4783.7796610169407</v>
      </c>
      <c r="T238" s="186"/>
      <c r="U238" s="186"/>
      <c r="V238" s="51"/>
      <c r="W238" s="156"/>
      <c r="X238" s="398"/>
      <c r="Y238" s="398"/>
      <c r="Z238" s="408"/>
      <c r="AA238" s="55">
        <v>0</v>
      </c>
      <c r="AB238" s="41">
        <v>0</v>
      </c>
      <c r="AC238" s="41">
        <v>0</v>
      </c>
      <c r="AD238" s="41">
        <f t="shared" si="471"/>
        <v>0</v>
      </c>
      <c r="AE238" s="41">
        <f t="shared" si="472"/>
        <v>4783.7796610169407</v>
      </c>
      <c r="AF238" s="41">
        <f>S238+W238+AB238+AC238</f>
        <v>4783.7796610169407</v>
      </c>
      <c r="AG238" s="31"/>
      <c r="AH238" s="419"/>
      <c r="AI238" s="1" t="s">
        <v>1150</v>
      </c>
      <c r="AJ238" s="1" t="s">
        <v>1151</v>
      </c>
      <c r="AK238" s="195" t="s">
        <v>672</v>
      </c>
      <c r="AL238" s="299">
        <v>10677.711864406763</v>
      </c>
      <c r="AM238" s="299">
        <f t="shared" si="473"/>
        <v>4783.7796610169407</v>
      </c>
      <c r="AN238" s="300">
        <f t="shared" si="474"/>
        <v>5893.9322033898225</v>
      </c>
    </row>
    <row r="239" spans="1:43" ht="15.75" hidden="1" customHeight="1" outlineLevel="1" x14ac:dyDescent="0.2">
      <c r="A239" s="109" t="s">
        <v>6</v>
      </c>
      <c r="B239" s="109"/>
      <c r="C239" s="109"/>
      <c r="D239" s="292" t="s">
        <v>672</v>
      </c>
      <c r="E239" s="44">
        <f>SUM(E235:E238)</f>
        <v>270</v>
      </c>
      <c r="F239" s="44">
        <f t="shared" ref="F239:J239" si="475">SUM(F235:F238)</f>
        <v>351</v>
      </c>
      <c r="G239" s="44">
        <f t="shared" si="475"/>
        <v>220</v>
      </c>
      <c r="H239" s="44">
        <f t="shared" si="475"/>
        <v>22</v>
      </c>
      <c r="I239" s="44">
        <f t="shared" si="475"/>
        <v>3</v>
      </c>
      <c r="J239" s="44">
        <f t="shared" si="475"/>
        <v>198</v>
      </c>
      <c r="K239" s="44"/>
      <c r="L239" s="44">
        <f t="shared" ref="L239:O239" si="476">SUM(L235:L238)</f>
        <v>8910000</v>
      </c>
      <c r="M239" s="44">
        <f t="shared" si="476"/>
        <v>9370380</v>
      </c>
      <c r="N239" s="44">
        <f t="shared" si="476"/>
        <v>793667.7966101683</v>
      </c>
      <c r="O239" s="44">
        <f t="shared" si="476"/>
        <v>7147332.2033898188</v>
      </c>
      <c r="P239" s="45"/>
      <c r="Q239" s="46"/>
      <c r="R239" s="46"/>
      <c r="S239" s="44">
        <f t="shared" ref="S239:AF239" si="477">SUM(S235:S238)</f>
        <v>84736.942796610005</v>
      </c>
      <c r="T239" s="44">
        <f t="shared" si="477"/>
        <v>0</v>
      </c>
      <c r="U239" s="44">
        <f t="shared" si="477"/>
        <v>0</v>
      </c>
      <c r="V239" s="44">
        <f t="shared" si="477"/>
        <v>0</v>
      </c>
      <c r="W239" s="44">
        <f t="shared" si="477"/>
        <v>0</v>
      </c>
      <c r="X239" s="44">
        <f t="shared" si="477"/>
        <v>270</v>
      </c>
      <c r="Y239" s="44">
        <f t="shared" si="477"/>
        <v>198</v>
      </c>
      <c r="Z239" s="44">
        <f t="shared" si="477"/>
        <v>0.73333333333333328</v>
      </c>
      <c r="AA239" s="44">
        <f t="shared" si="477"/>
        <v>0</v>
      </c>
      <c r="AB239" s="44">
        <f t="shared" si="477"/>
        <v>0</v>
      </c>
      <c r="AC239" s="44">
        <f t="shared" si="477"/>
        <v>0</v>
      </c>
      <c r="AD239" s="44">
        <f t="shared" si="477"/>
        <v>0</v>
      </c>
      <c r="AE239" s="44">
        <f t="shared" si="477"/>
        <v>84736.942796610005</v>
      </c>
      <c r="AF239" s="44">
        <f t="shared" si="477"/>
        <v>84736.942796610005</v>
      </c>
      <c r="AG239" s="31"/>
      <c r="AH239" s="419"/>
      <c r="AI239" s="43" t="s">
        <v>6</v>
      </c>
      <c r="AJ239" s="43"/>
      <c r="AK239" s="43" t="s">
        <v>672</v>
      </c>
      <c r="AL239" s="304">
        <v>106726.26271186423</v>
      </c>
      <c r="AM239" s="304">
        <f>SUM(AM235:AM238)</f>
        <v>84736.942796610005</v>
      </c>
      <c r="AN239" s="304">
        <f>SUM(AN235:AN238)</f>
        <v>21989.319915254222</v>
      </c>
    </row>
    <row r="240" spans="1:43" ht="15.75" hidden="1" customHeight="1" outlineLevel="1" x14ac:dyDescent="0.2">
      <c r="A240" s="79" t="s">
        <v>307</v>
      </c>
      <c r="B240" s="112" t="s">
        <v>308</v>
      </c>
      <c r="C240" s="79" t="s">
        <v>0</v>
      </c>
      <c r="D240" s="1" t="s">
        <v>673</v>
      </c>
      <c r="E240" s="47">
        <f>ROUND(SUMIF('Target Achieved- Input'!$B$185:$B$275,'Incentive Report- Output'!B240,'Target Achieved- Input'!$G$185:$G$275),0)</f>
        <v>80</v>
      </c>
      <c r="F240" s="47">
        <f>ROUND(SUMIF('Target Achieved- Input'!$B$185:$B$275,'Incentive Report- Output'!B240,'Target Achieved- Input'!$H$185:$H$275),0)</f>
        <v>104</v>
      </c>
      <c r="G240" s="47">
        <f>SUMIF('Target Achieved- Input'!$L$185:$L$275,'Incentive Report- Output'!B240,'Target Achieved- Input'!$O$185:$O$275)</f>
        <v>34</v>
      </c>
      <c r="H240" s="39">
        <f>SUMIF('Target Achieved- Input'!$S$185:$S$275,'Incentive Report- Output'!B240,'Target Achieved- Input'!$V$185:$V$275)</f>
        <v>19</v>
      </c>
      <c r="I240" s="48">
        <f>SUMIF('Target Achieved- Input'!$L$185:$L$275,'Incentive Report- Output'!B240,'Target Achieved- Input'!$AC$185:$AC$275)</f>
        <v>2</v>
      </c>
      <c r="J240" s="39">
        <f t="shared" ref="J240:J243" si="478">G240-H240</f>
        <v>15</v>
      </c>
      <c r="K240" s="40">
        <f t="shared" ref="K240:K243" si="479">IFERROR(J240/E240,0)</f>
        <v>0.1875</v>
      </c>
      <c r="L240" s="41">
        <f t="shared" ref="L240:L243" si="480">E240*33000</f>
        <v>2640000</v>
      </c>
      <c r="M240" s="41">
        <f>SUMIF('Target Achieved- Input'!$L$185:$L$275,'Incentive Report- Output'!B240,'Target Achieved- Input'!$M$185:$M$275)</f>
        <v>1388916</v>
      </c>
      <c r="N240" s="41">
        <f>SUMIF('Target Achieved- Input'!$S$185:$S$275,'Incentive Report- Output'!B240,'Target Achieved- Input'!$U$185:$U$275)</f>
        <v>662653.38983050745</v>
      </c>
      <c r="O240" s="41">
        <f>SUMIF('Target Achieved- Input'!$L$185:$L$275,'Incentive Report- Output'!B240,'Target Achieved- Input'!$N$185:$N$275)-N240</f>
        <v>514394.06779660948</v>
      </c>
      <c r="P240" s="40">
        <f t="shared" ref="P240:P243" si="481">IFERROR(O240/L240,0)</f>
        <v>0.19484623780174601</v>
      </c>
      <c r="Q240" s="40">
        <f t="shared" ref="Q240:Q243" si="482">MAX(P240,K240)</f>
        <v>0.19484623780174601</v>
      </c>
      <c r="R240" s="40">
        <v>0</v>
      </c>
      <c r="S240" s="49">
        <f>(LOOKUP(Q240,Policy!$L$12:$M$16)+R240)*O240</f>
        <v>0</v>
      </c>
      <c r="T240" s="185"/>
      <c r="U240" s="185"/>
      <c r="V240" s="51"/>
      <c r="W240" s="156"/>
      <c r="X240" s="397"/>
      <c r="Y240" s="397"/>
      <c r="Z240" s="400"/>
      <c r="AA240" s="55">
        <v>0</v>
      </c>
      <c r="AB240" s="41">
        <v>0</v>
      </c>
      <c r="AC240" s="41">
        <v>0</v>
      </c>
      <c r="AD240" s="41">
        <f t="shared" ref="AD240:AD243" si="483">IF(AF240&gt;200000,AF240-200000,0)</f>
        <v>0</v>
      </c>
      <c r="AE240" s="41">
        <f t="shared" ref="AE240:AE243" si="484">AF240-AD240</f>
        <v>0</v>
      </c>
      <c r="AF240" s="41">
        <f>S240+W240+AB240+AC240</f>
        <v>0</v>
      </c>
      <c r="AG240" s="31"/>
      <c r="AH240" s="419"/>
      <c r="AI240" s="22" t="s">
        <v>307</v>
      </c>
      <c r="AJ240" s="1" t="s">
        <v>308</v>
      </c>
      <c r="AK240" s="195" t="s">
        <v>673</v>
      </c>
      <c r="AL240" s="299">
        <v>0</v>
      </c>
      <c r="AM240" s="299">
        <f t="shared" ref="AM240:AM243" si="485">AF240</f>
        <v>0</v>
      </c>
      <c r="AN240" s="300">
        <f t="shared" ref="AN240:AN243" si="486">AL240-AM240</f>
        <v>0</v>
      </c>
    </row>
    <row r="241" spans="1:42" ht="15.75" hidden="1" customHeight="1" outlineLevel="1" x14ac:dyDescent="0.2">
      <c r="A241" s="79" t="s">
        <v>217</v>
      </c>
      <c r="B241" s="112" t="s">
        <v>197</v>
      </c>
      <c r="C241" s="79" t="s">
        <v>1</v>
      </c>
      <c r="D241" s="1" t="s">
        <v>673</v>
      </c>
      <c r="E241" s="47">
        <f>ROUND(SUMIF('Target Achieved- Input'!$B$185:$B$275,'Incentive Report- Output'!B241,'Target Achieved- Input'!$G$185:$G$275),0)</f>
        <v>80</v>
      </c>
      <c r="F241" s="47">
        <f>ROUND(SUMIF('Target Achieved- Input'!$B$185:$B$275,'Incentive Report- Output'!B241,'Target Achieved- Input'!$H$185:$H$275),0)</f>
        <v>104</v>
      </c>
      <c r="G241" s="47">
        <f>SUMIF('Target Achieved- Input'!$L$185:$L$275,'Incentive Report- Output'!B241,'Target Achieved- Input'!$O$185:$O$275)</f>
        <v>55</v>
      </c>
      <c r="H241" s="39">
        <f>SUMIF('Target Achieved- Input'!$S$185:$S$275,'Incentive Report- Output'!B241,'Target Achieved- Input'!$V$185:$V$275)</f>
        <v>9</v>
      </c>
      <c r="I241" s="48">
        <f>SUMIF('Target Achieved- Input'!$L$185:$L$275,'Incentive Report- Output'!B241,'Target Achieved- Input'!$AC$185:$AC$275)</f>
        <v>1</v>
      </c>
      <c r="J241" s="39">
        <f t="shared" si="478"/>
        <v>46</v>
      </c>
      <c r="K241" s="40">
        <f t="shared" si="479"/>
        <v>0.57499999999999996</v>
      </c>
      <c r="L241" s="41">
        <f t="shared" si="480"/>
        <v>2640000</v>
      </c>
      <c r="M241" s="41">
        <f>SUMIF('Target Achieved- Input'!$L$185:$L$275,'Incentive Report- Output'!B241,'Target Achieved- Input'!$M$185:$M$275)</f>
        <v>2328195</v>
      </c>
      <c r="N241" s="41">
        <f>SUMIF('Target Achieved- Input'!$S$185:$S$275,'Incentive Report- Output'!B241,'Target Achieved- Input'!$U$185:$U$275)</f>
        <v>355373.72881355876</v>
      </c>
      <c r="O241" s="41">
        <f>SUMIF('Target Achieved- Input'!$L$185:$L$275,'Incentive Report- Output'!B241,'Target Achieved- Input'!$N$185:$N$275)-N241</f>
        <v>1617672.8813559308</v>
      </c>
      <c r="P241" s="40">
        <f t="shared" si="481"/>
        <v>0.61275487930148897</v>
      </c>
      <c r="Q241" s="40">
        <f t="shared" si="482"/>
        <v>0.61275487930148897</v>
      </c>
      <c r="R241" s="40">
        <v>0</v>
      </c>
      <c r="S241" s="49">
        <f>(LOOKUP(Q241,Policy!$L$12:$M$16)+R241)*O241</f>
        <v>8088.364406779654</v>
      </c>
      <c r="T241" s="185"/>
      <c r="U241" s="156"/>
      <c r="V241" s="51"/>
      <c r="W241" s="156"/>
      <c r="X241" s="397"/>
      <c r="Y241" s="397"/>
      <c r="Z241" s="400"/>
      <c r="AA241" s="55">
        <v>0</v>
      </c>
      <c r="AB241" s="41">
        <v>0</v>
      </c>
      <c r="AC241" s="41">
        <v>0</v>
      </c>
      <c r="AD241" s="41">
        <f t="shared" si="483"/>
        <v>0</v>
      </c>
      <c r="AE241" s="41">
        <f t="shared" si="484"/>
        <v>8088.364406779654</v>
      </c>
      <c r="AF241" s="41">
        <f>S241+W241+AB241+AC241</f>
        <v>8088.364406779654</v>
      </c>
      <c r="AG241" s="31"/>
      <c r="AH241" s="419"/>
      <c r="AI241" s="22" t="s">
        <v>217</v>
      </c>
      <c r="AJ241" s="1" t="s">
        <v>197</v>
      </c>
      <c r="AK241" s="195" t="s">
        <v>673</v>
      </c>
      <c r="AL241" s="299">
        <v>9865.2330508474479</v>
      </c>
      <c r="AM241" s="299">
        <f t="shared" si="485"/>
        <v>8088.364406779654</v>
      </c>
      <c r="AN241" s="300">
        <f t="shared" si="486"/>
        <v>1776.8686440677939</v>
      </c>
    </row>
    <row r="242" spans="1:42" ht="15.75" hidden="1" customHeight="1" outlineLevel="1" x14ac:dyDescent="0.2">
      <c r="A242" s="79" t="s">
        <v>1152</v>
      </c>
      <c r="B242" s="112" t="s">
        <v>1153</v>
      </c>
      <c r="C242" s="79" t="s">
        <v>1</v>
      </c>
      <c r="D242" s="1" t="s">
        <v>673</v>
      </c>
      <c r="E242" s="47">
        <f>ROUND(SUMIF('Target Achieved- Input'!$B$185:$B$275,'Incentive Report- Output'!B242,'Target Achieved- Input'!$G$185:$G$275),0)</f>
        <v>60</v>
      </c>
      <c r="F242" s="47">
        <f>ROUND(SUMIF('Target Achieved- Input'!$B$185:$B$275,'Incentive Report- Output'!B242,'Target Achieved- Input'!$H$185:$H$275),0)</f>
        <v>78</v>
      </c>
      <c r="G242" s="47">
        <f>SUMIF('Target Achieved- Input'!$L$185:$L$275,'Incentive Report- Output'!B242,'Target Achieved- Input'!$O$185:$O$275)</f>
        <v>17</v>
      </c>
      <c r="H242" s="39">
        <f>SUMIF('Target Achieved- Input'!$S$185:$S$275,'Incentive Report- Output'!B242,'Target Achieved- Input'!$V$185:$V$275)</f>
        <v>7</v>
      </c>
      <c r="I242" s="48">
        <f>SUMIF('Target Achieved- Input'!$L$185:$L$275,'Incentive Report- Output'!B242,'Target Achieved- Input'!$AC$185:$AC$275)</f>
        <v>0</v>
      </c>
      <c r="J242" s="39">
        <f t="shared" si="478"/>
        <v>10</v>
      </c>
      <c r="K242" s="40">
        <f t="shared" si="479"/>
        <v>0.16666666666666666</v>
      </c>
      <c r="L242" s="41">
        <f t="shared" si="480"/>
        <v>1980000</v>
      </c>
      <c r="M242" s="41">
        <f>SUMIF('Target Achieved- Input'!$L$185:$L$275,'Incentive Report- Output'!B242,'Target Achieved- Input'!$M$185:$M$275)</f>
        <v>790583</v>
      </c>
      <c r="N242" s="41">
        <f>SUMIF('Target Achieved- Input'!$S$185:$S$275,'Incentive Report- Output'!B242,'Target Achieved- Input'!$U$185:$U$275)</f>
        <v>248256.77966101666</v>
      </c>
      <c r="O242" s="41">
        <f>SUMIF('Target Achieved- Input'!$L$185:$L$275,'Incentive Report- Output'!B242,'Target Achieved- Input'!$N$185:$N$275)-N242</f>
        <v>421728.81355932134</v>
      </c>
      <c r="P242" s="40">
        <f t="shared" si="481"/>
        <v>0.21299435028248553</v>
      </c>
      <c r="Q242" s="40">
        <f t="shared" si="482"/>
        <v>0.21299435028248553</v>
      </c>
      <c r="R242" s="40">
        <v>0</v>
      </c>
      <c r="S242" s="49">
        <f>(LOOKUP(Q242,Policy!$L$12:$M$16)+R242)*O242</f>
        <v>0</v>
      </c>
      <c r="T242" s="185"/>
      <c r="U242" s="156"/>
      <c r="V242" s="51"/>
      <c r="W242" s="156"/>
      <c r="X242" s="397"/>
      <c r="Y242" s="397"/>
      <c r="Z242" s="400"/>
      <c r="AA242" s="55">
        <v>0</v>
      </c>
      <c r="AB242" s="41">
        <v>0</v>
      </c>
      <c r="AC242" s="41">
        <v>0</v>
      </c>
      <c r="AD242" s="41">
        <f t="shared" si="483"/>
        <v>0</v>
      </c>
      <c r="AE242" s="41">
        <f t="shared" si="484"/>
        <v>0</v>
      </c>
      <c r="AF242" s="41">
        <f>S242+W242+AB242+AC242</f>
        <v>0</v>
      </c>
      <c r="AG242" s="31"/>
      <c r="AH242" s="419"/>
      <c r="AI242" s="22" t="s">
        <v>1152</v>
      </c>
      <c r="AJ242" s="1" t="s">
        <v>1153</v>
      </c>
      <c r="AK242" s="195" t="s">
        <v>673</v>
      </c>
      <c r="AL242" s="299">
        <v>0</v>
      </c>
      <c r="AM242" s="299">
        <f t="shared" si="485"/>
        <v>0</v>
      </c>
      <c r="AN242" s="300">
        <f t="shared" si="486"/>
        <v>0</v>
      </c>
    </row>
    <row r="243" spans="1:42" ht="15.75" hidden="1" customHeight="1" outlineLevel="1" x14ac:dyDescent="0.2">
      <c r="A243" s="79" t="s">
        <v>335</v>
      </c>
      <c r="B243" s="112" t="s">
        <v>342</v>
      </c>
      <c r="C243" s="79" t="s">
        <v>1</v>
      </c>
      <c r="D243" s="1" t="s">
        <v>673</v>
      </c>
      <c r="E243" s="47">
        <f>ROUND(SUMIF('Target Achieved- Input'!$B$185:$B$275,'Incentive Report- Output'!B243,'Target Achieved- Input'!$G$185:$G$275),0)</f>
        <v>80</v>
      </c>
      <c r="F243" s="47">
        <f>ROUND(SUMIF('Target Achieved- Input'!$B$185:$B$275,'Incentive Report- Output'!B243,'Target Achieved- Input'!$H$185:$H$275),0)</f>
        <v>104</v>
      </c>
      <c r="G243" s="47">
        <f>SUMIF('Target Achieved- Input'!$L$185:$L$275,'Incentive Report- Output'!B243,'Target Achieved- Input'!$O$185:$O$275)</f>
        <v>78</v>
      </c>
      <c r="H243" s="39">
        <f>SUMIF('Target Achieved- Input'!$S$185:$S$275,'Incentive Report- Output'!B243,'Target Achieved- Input'!$V$185:$V$275)</f>
        <v>20</v>
      </c>
      <c r="I243" s="48">
        <f>SUMIF('Target Achieved- Input'!$L$185:$L$275,'Incentive Report- Output'!B243,'Target Achieved- Input'!$AC$185:$AC$275)</f>
        <v>0</v>
      </c>
      <c r="J243" s="39">
        <f t="shared" si="478"/>
        <v>58</v>
      </c>
      <c r="K243" s="40">
        <f t="shared" si="479"/>
        <v>0.72499999999999998</v>
      </c>
      <c r="L243" s="41">
        <f t="shared" si="480"/>
        <v>2640000</v>
      </c>
      <c r="M243" s="41">
        <f>SUMIF('Target Achieved- Input'!$L$185:$L$275,'Incentive Report- Output'!B243,'Target Achieved- Input'!$M$185:$M$275)</f>
        <v>3332672</v>
      </c>
      <c r="N243" s="41">
        <f>SUMIF('Target Achieved- Input'!$S$185:$S$275,'Incentive Report- Output'!B243,'Target Achieved- Input'!$U$185:$U$275)</f>
        <v>816423.728813558</v>
      </c>
      <c r="O243" s="41">
        <f>SUMIF('Target Achieved- Input'!$L$185:$L$275,'Incentive Report- Output'!B243,'Target Achieved- Input'!$N$185:$N$275)-N243</f>
        <v>2007874.5762711819</v>
      </c>
      <c r="P243" s="40">
        <f t="shared" si="481"/>
        <v>0.76055855161787189</v>
      </c>
      <c r="Q243" s="40">
        <f t="shared" si="482"/>
        <v>0.76055855161787189</v>
      </c>
      <c r="R243" s="40">
        <v>0</v>
      </c>
      <c r="S243" s="49">
        <f>(LOOKUP(Q243,Policy!$L$12:$M$16)+R243)*O243</f>
        <v>10039.37288135591</v>
      </c>
      <c r="T243" s="185"/>
      <c r="U243" s="156"/>
      <c r="V243" s="51"/>
      <c r="W243" s="156"/>
      <c r="X243" s="397"/>
      <c r="Y243" s="397"/>
      <c r="Z243" s="400"/>
      <c r="AA243" s="55">
        <v>0</v>
      </c>
      <c r="AB243" s="41">
        <v>0</v>
      </c>
      <c r="AC243" s="41">
        <v>0</v>
      </c>
      <c r="AD243" s="41">
        <f t="shared" si="483"/>
        <v>0</v>
      </c>
      <c r="AE243" s="41">
        <f t="shared" si="484"/>
        <v>10039.37288135591</v>
      </c>
      <c r="AF243" s="41">
        <f>S243+W243+AB243+AC243</f>
        <v>10039.37288135591</v>
      </c>
      <c r="AG243" s="31"/>
      <c r="AH243" s="419"/>
      <c r="AI243" s="22" t="s">
        <v>335</v>
      </c>
      <c r="AJ243" s="1" t="s">
        <v>342</v>
      </c>
      <c r="AK243" s="195" t="s">
        <v>673</v>
      </c>
      <c r="AL243" s="299">
        <v>63546.711864406643</v>
      </c>
      <c r="AM243" s="299">
        <f t="shared" si="485"/>
        <v>10039.37288135591</v>
      </c>
      <c r="AN243" s="300">
        <f t="shared" si="486"/>
        <v>53507.338983050737</v>
      </c>
    </row>
    <row r="244" spans="1:42" ht="15.75" hidden="1" customHeight="1" outlineLevel="1" x14ac:dyDescent="0.2">
      <c r="A244" s="109" t="s">
        <v>6</v>
      </c>
      <c r="B244" s="109"/>
      <c r="C244" s="109"/>
      <c r="D244" s="292" t="s">
        <v>673</v>
      </c>
      <c r="E244" s="44">
        <f t="shared" ref="E244:J244" si="487">SUM(E240:E243)</f>
        <v>300</v>
      </c>
      <c r="F244" s="44">
        <f t="shared" si="487"/>
        <v>390</v>
      </c>
      <c r="G244" s="44">
        <f t="shared" si="487"/>
        <v>184</v>
      </c>
      <c r="H244" s="44">
        <f t="shared" si="487"/>
        <v>55</v>
      </c>
      <c r="I244" s="44">
        <f t="shared" si="487"/>
        <v>3</v>
      </c>
      <c r="J244" s="44">
        <f t="shared" si="487"/>
        <v>129</v>
      </c>
      <c r="K244" s="45"/>
      <c r="L244" s="44">
        <f>SUM(L240:L243)</f>
        <v>9900000</v>
      </c>
      <c r="M244" s="44">
        <f>SUM(M240:M243)</f>
        <v>7840366</v>
      </c>
      <c r="N244" s="44">
        <f>SUM(N240:N243)</f>
        <v>2082707.6271186406</v>
      </c>
      <c r="O244" s="44">
        <f>SUM(O240:O243)</f>
        <v>4561670.338983044</v>
      </c>
      <c r="P244" s="45"/>
      <c r="Q244" s="46"/>
      <c r="R244" s="46"/>
      <c r="S244" s="44">
        <f t="shared" ref="S244:AF244" si="488">SUM(S240:S243)</f>
        <v>18127.737288135562</v>
      </c>
      <c r="T244" s="189">
        <f t="shared" si="488"/>
        <v>0</v>
      </c>
      <c r="U244" s="189">
        <f t="shared" si="488"/>
        <v>0</v>
      </c>
      <c r="V244" s="86">
        <f t="shared" si="488"/>
        <v>0</v>
      </c>
      <c r="W244" s="189">
        <f t="shared" si="488"/>
        <v>0</v>
      </c>
      <c r="X244" s="86">
        <f t="shared" si="488"/>
        <v>0</v>
      </c>
      <c r="Y244" s="86">
        <f t="shared" si="488"/>
        <v>0</v>
      </c>
      <c r="Z244" s="54">
        <f t="shared" si="488"/>
        <v>0</v>
      </c>
      <c r="AA244" s="86">
        <f t="shared" si="488"/>
        <v>0</v>
      </c>
      <c r="AB244" s="86">
        <f t="shared" si="488"/>
        <v>0</v>
      </c>
      <c r="AC244" s="86">
        <f t="shared" si="488"/>
        <v>0</v>
      </c>
      <c r="AD244" s="86">
        <f t="shared" si="488"/>
        <v>0</v>
      </c>
      <c r="AE244" s="102">
        <f t="shared" si="488"/>
        <v>18127.737288135562</v>
      </c>
      <c r="AF244" s="102">
        <f t="shared" si="488"/>
        <v>18127.737288135562</v>
      </c>
      <c r="AG244" s="31"/>
      <c r="AH244" s="419"/>
      <c r="AI244" s="43" t="s">
        <v>6</v>
      </c>
      <c r="AJ244" s="43"/>
      <c r="AK244" s="43" t="s">
        <v>673</v>
      </c>
      <c r="AL244" s="304">
        <v>73411.944915254091</v>
      </c>
      <c r="AM244" s="304">
        <f>SUM(AM240:AM243)</f>
        <v>18127.737288135562</v>
      </c>
      <c r="AN244" s="304">
        <f>SUM(AN240:AN243)</f>
        <v>55284.207627118529</v>
      </c>
    </row>
    <row r="245" spans="1:42" ht="15.75" hidden="1" customHeight="1" outlineLevel="1" x14ac:dyDescent="0.2">
      <c r="A245" s="79" t="s">
        <v>286</v>
      </c>
      <c r="B245" s="112" t="s">
        <v>37</v>
      </c>
      <c r="C245" s="79" t="s">
        <v>0</v>
      </c>
      <c r="D245" s="1" t="s">
        <v>674</v>
      </c>
      <c r="E245" s="47">
        <f>ROUND(SUMIF('Target Achieved- Input'!$B$185:$B$275,'Incentive Report- Output'!B245,'Target Achieved- Input'!$G$185:$G$275),0)</f>
        <v>70</v>
      </c>
      <c r="F245" s="47">
        <f>ROUND(SUMIF('Target Achieved- Input'!$B$185:$B$275,'Incentive Report- Output'!B245,'Target Achieved- Input'!$H$185:$H$275),0)</f>
        <v>91</v>
      </c>
      <c r="G245" s="47">
        <f>SUMIF('Target Achieved- Input'!$L$185:$L$275,'Incentive Report- Output'!B245,'Target Achieved- Input'!$O$185:$O$275)</f>
        <v>35</v>
      </c>
      <c r="H245" s="39">
        <f>SUMIF('Target Achieved- Input'!$S$185:$S$275,'Incentive Report- Output'!B245,'Target Achieved- Input'!$V$185:$V$275)</f>
        <v>5</v>
      </c>
      <c r="I245" s="48">
        <f>SUMIF('Target Achieved- Input'!$L$185:$L$275,'Incentive Report- Output'!B245,'Target Achieved- Input'!$AC$185:$AC$275)</f>
        <v>2</v>
      </c>
      <c r="J245" s="39">
        <f t="shared" ref="J245:J247" si="489">G245-H245</f>
        <v>30</v>
      </c>
      <c r="K245" s="40">
        <f t="shared" ref="K245:K247" si="490">IFERROR(J245/E245,0)</f>
        <v>0.42857142857142855</v>
      </c>
      <c r="L245" s="41">
        <f t="shared" ref="L245:L247" si="491">E245*33000</f>
        <v>2310000</v>
      </c>
      <c r="M245" s="41">
        <f>SUMIF('Target Achieved- Input'!$L$185:$L$275,'Incentive Report- Output'!B245,'Target Achieved- Input'!$M$185:$M$275)</f>
        <v>1578215</v>
      </c>
      <c r="N245" s="41">
        <f>SUMIF('Target Achieved- Input'!$S$185:$S$275,'Incentive Report- Output'!B245,'Target Achieved- Input'!$U$185:$U$275)</f>
        <v>240970.33898305049</v>
      </c>
      <c r="O245" s="41">
        <f>SUMIF('Target Achieved- Input'!$L$185:$L$275,'Incentive Report- Output'!B245,'Target Achieved- Input'!$N$185:$N$275)-N245</f>
        <v>1096499.9999999981</v>
      </c>
      <c r="P245" s="40">
        <f t="shared" ref="P245:P247" si="492">IFERROR(O245/L245,0)</f>
        <v>0.47467532467532386</v>
      </c>
      <c r="Q245" s="40">
        <f t="shared" ref="Q245:Q247" si="493">MAX(P245,K245)</f>
        <v>0.47467532467532386</v>
      </c>
      <c r="R245" s="40">
        <v>0</v>
      </c>
      <c r="S245" s="49">
        <f>(LOOKUP(Q245,Policy!$L$12:$M$16)+R245)*O245</f>
        <v>0</v>
      </c>
      <c r="T245" s="188"/>
      <c r="U245" s="188"/>
      <c r="V245" s="40"/>
      <c r="W245" s="53"/>
      <c r="X245" s="396">
        <f>E248</f>
        <v>220</v>
      </c>
      <c r="Y245" s="396">
        <f>J248</f>
        <v>111</v>
      </c>
      <c r="Z245" s="399">
        <f>Y245/X245</f>
        <v>0.50454545454545452</v>
      </c>
      <c r="AA245" s="55">
        <v>0</v>
      </c>
      <c r="AB245" s="41">
        <v>0</v>
      </c>
      <c r="AC245" s="41">
        <v>0</v>
      </c>
      <c r="AD245" s="41">
        <f t="shared" ref="AD245:AD247" si="494">IF(AF245&gt;200000,AF245-200000,0)</f>
        <v>0</v>
      </c>
      <c r="AE245" s="41">
        <f t="shared" ref="AE245:AE247" si="495">AF245-AD245</f>
        <v>0</v>
      </c>
      <c r="AF245" s="41">
        <f>S245+W245+AB245+AC245</f>
        <v>0</v>
      </c>
      <c r="AG245" s="31"/>
      <c r="AH245" s="419"/>
      <c r="AI245" s="22" t="s">
        <v>286</v>
      </c>
      <c r="AJ245" s="1" t="s">
        <v>37</v>
      </c>
      <c r="AK245" s="195" t="s">
        <v>674</v>
      </c>
      <c r="AL245" s="299">
        <v>6687.3516949152436</v>
      </c>
      <c r="AM245" s="299">
        <f t="shared" ref="AM245:AM247" si="496">AF245</f>
        <v>0</v>
      </c>
      <c r="AN245" s="300">
        <f t="shared" ref="AN245:AN247" si="497">AL245-AM245</f>
        <v>6687.3516949152436</v>
      </c>
    </row>
    <row r="246" spans="1:42" ht="15.75" hidden="1" customHeight="1" outlineLevel="1" x14ac:dyDescent="0.2">
      <c r="A246" s="42" t="s">
        <v>657</v>
      </c>
      <c r="B246" s="112" t="s">
        <v>39</v>
      </c>
      <c r="C246" s="79" t="s">
        <v>1</v>
      </c>
      <c r="D246" s="1" t="s">
        <v>674</v>
      </c>
      <c r="E246" s="47">
        <f>ROUND(SUMIF('Target Achieved- Input'!$B$185:$B$275,'Incentive Report- Output'!B246,'Target Achieved- Input'!$G$185:$G$275),0)</f>
        <v>80</v>
      </c>
      <c r="F246" s="47">
        <f>ROUND(SUMIF('Target Achieved- Input'!$B$185:$B$275,'Incentive Report- Output'!B246,'Target Achieved- Input'!$H$185:$H$275),0)</f>
        <v>104</v>
      </c>
      <c r="G246" s="47">
        <f>SUMIF('Target Achieved- Input'!$L$185:$L$275,'Incentive Report- Output'!B246,'Target Achieved- Input'!$O$185:$O$275)</f>
        <v>35</v>
      </c>
      <c r="H246" s="39">
        <f>SUMIF('Target Achieved- Input'!$S$185:$S$275,'Incentive Report- Output'!B246,'Target Achieved- Input'!$V$185:$V$275)</f>
        <v>3</v>
      </c>
      <c r="I246" s="48">
        <f>SUMIF('Target Achieved- Input'!$L$185:$L$275,'Incentive Report- Output'!B246,'Target Achieved- Input'!$AC$185:$AC$275)</f>
        <v>0</v>
      </c>
      <c r="J246" s="39">
        <f t="shared" si="489"/>
        <v>32</v>
      </c>
      <c r="K246" s="40">
        <f t="shared" si="490"/>
        <v>0.4</v>
      </c>
      <c r="L246" s="41">
        <f t="shared" si="491"/>
        <v>2640000</v>
      </c>
      <c r="M246" s="41">
        <f>SUMIF('Target Achieved- Input'!$L$185:$L$275,'Incentive Report- Output'!B246,'Target Achieved- Input'!$M$185:$M$275)</f>
        <v>1593015</v>
      </c>
      <c r="N246" s="41">
        <f>SUMIF('Target Achieved- Input'!$S$185:$S$275,'Incentive Report- Output'!B246,'Target Achieved- Input'!$U$185:$U$275)</f>
        <v>113472.03389830492</v>
      </c>
      <c r="O246" s="41">
        <f>SUMIF('Target Achieved- Input'!$L$185:$L$275,'Incentive Report- Output'!B246,'Target Achieved- Input'!$N$185:$N$275)-N246</f>
        <v>1236540.6779661002</v>
      </c>
      <c r="P246" s="40">
        <f t="shared" si="492"/>
        <v>0.46838662044170459</v>
      </c>
      <c r="Q246" s="40">
        <f t="shared" si="493"/>
        <v>0.46838662044170459</v>
      </c>
      <c r="R246" s="40">
        <v>0</v>
      </c>
      <c r="S246" s="49">
        <f>(LOOKUP(Q246,Policy!$L$12:$M$16)+R246)*O246</f>
        <v>0</v>
      </c>
      <c r="T246" s="188"/>
      <c r="U246" s="53"/>
      <c r="V246" s="40"/>
      <c r="W246" s="53"/>
      <c r="X246" s="397"/>
      <c r="Y246" s="397"/>
      <c r="Z246" s="400"/>
      <c r="AA246" s="55">
        <v>0</v>
      </c>
      <c r="AB246" s="41">
        <v>0</v>
      </c>
      <c r="AC246" s="41">
        <v>0</v>
      </c>
      <c r="AD246" s="41">
        <f t="shared" si="494"/>
        <v>0</v>
      </c>
      <c r="AE246" s="41">
        <f t="shared" si="495"/>
        <v>0</v>
      </c>
      <c r="AF246" s="41">
        <f>S246+W246+AB246+AC246</f>
        <v>0</v>
      </c>
      <c r="AG246" s="31"/>
      <c r="AH246" s="419"/>
      <c r="AI246" s="42" t="s">
        <v>657</v>
      </c>
      <c r="AJ246" s="1" t="s">
        <v>39</v>
      </c>
      <c r="AK246" s="195" t="s">
        <v>674</v>
      </c>
      <c r="AL246" s="299">
        <v>6750.0635593220259</v>
      </c>
      <c r="AM246" s="299">
        <f t="shared" si="496"/>
        <v>0</v>
      </c>
      <c r="AN246" s="300">
        <f t="shared" si="497"/>
        <v>6750.0635593220259</v>
      </c>
    </row>
    <row r="247" spans="1:42" ht="15.75" hidden="1" customHeight="1" outlineLevel="1" x14ac:dyDescent="0.2">
      <c r="A247" s="79" t="s">
        <v>1156</v>
      </c>
      <c r="B247" s="112" t="s">
        <v>1157</v>
      </c>
      <c r="C247" s="79" t="s">
        <v>1</v>
      </c>
      <c r="D247" s="1" t="s">
        <v>674</v>
      </c>
      <c r="E247" s="47">
        <f>ROUND(SUMIF('Target Achieved- Input'!$B$185:$B$275,'Incentive Report- Output'!B247,'Target Achieved- Input'!$G$185:$G$275),0)</f>
        <v>70</v>
      </c>
      <c r="F247" s="47">
        <f>ROUND(SUMIF('Target Achieved- Input'!$B$185:$B$275,'Incentive Report- Output'!B247,'Target Achieved- Input'!$H$185:$H$275),0)</f>
        <v>91</v>
      </c>
      <c r="G247" s="47">
        <f>SUMIF('Target Achieved- Input'!$L$185:$L$275,'Incentive Report- Output'!B247,'Target Achieved- Input'!$O$185:$O$275)</f>
        <v>49</v>
      </c>
      <c r="H247" s="39">
        <f>SUMIF('Target Achieved- Input'!$S$185:$S$275,'Incentive Report- Output'!B247,'Target Achieved- Input'!$V$185:$V$275)</f>
        <v>0</v>
      </c>
      <c r="I247" s="48">
        <f>SUMIF('Target Achieved- Input'!$L$185:$L$275,'Incentive Report- Output'!B247,'Target Achieved- Input'!$AC$185:$AC$275)</f>
        <v>2</v>
      </c>
      <c r="J247" s="39">
        <f t="shared" si="489"/>
        <v>49</v>
      </c>
      <c r="K247" s="40">
        <f t="shared" si="490"/>
        <v>0.7</v>
      </c>
      <c r="L247" s="41">
        <f t="shared" si="491"/>
        <v>2310000</v>
      </c>
      <c r="M247" s="41">
        <f>SUMIF('Target Achieved- Input'!$L$185:$L$275,'Incentive Report- Output'!B247,'Target Achieved- Input'!$M$185:$M$275)</f>
        <v>2019301</v>
      </c>
      <c r="N247" s="41">
        <f>SUMIF('Target Achieved- Input'!$S$185:$S$275,'Incentive Report- Output'!B247,'Target Achieved- Input'!$U$185:$U$275)</f>
        <v>0</v>
      </c>
      <c r="O247" s="41">
        <f>SUMIF('Target Achieved- Input'!$L$185:$L$275,'Incentive Report- Output'!B247,'Target Achieved- Input'!$N$185:$N$275)-N247</f>
        <v>1711272.0338983033</v>
      </c>
      <c r="P247" s="40">
        <f t="shared" si="492"/>
        <v>0.7408104042849798</v>
      </c>
      <c r="Q247" s="40">
        <f t="shared" si="493"/>
        <v>0.7408104042849798</v>
      </c>
      <c r="R247" s="40">
        <v>0</v>
      </c>
      <c r="S247" s="49">
        <f>(LOOKUP(Q247,Policy!$L$12:$M$16)+R247)*O247</f>
        <v>8556.360169491516</v>
      </c>
      <c r="T247" s="188"/>
      <c r="U247" s="188"/>
      <c r="V247" s="40"/>
      <c r="W247" s="53"/>
      <c r="X247" s="398"/>
      <c r="Y247" s="398"/>
      <c r="Z247" s="401"/>
      <c r="AA247" s="55">
        <v>0</v>
      </c>
      <c r="AB247" s="41">
        <v>0</v>
      </c>
      <c r="AC247" s="41">
        <v>0</v>
      </c>
      <c r="AD247" s="41">
        <f t="shared" si="494"/>
        <v>0</v>
      </c>
      <c r="AE247" s="41">
        <f t="shared" si="495"/>
        <v>8556.360169491516</v>
      </c>
      <c r="AF247" s="41">
        <f>S247+W247+AB247+AC247</f>
        <v>8556.360169491516</v>
      </c>
      <c r="AG247" s="31"/>
      <c r="AH247" s="419"/>
      <c r="AI247" s="22" t="s">
        <v>1156</v>
      </c>
      <c r="AJ247" s="1" t="s">
        <v>1157</v>
      </c>
      <c r="AK247" s="195" t="s">
        <v>674</v>
      </c>
      <c r="AL247" s="299">
        <v>8556.360169491516</v>
      </c>
      <c r="AM247" s="299">
        <f t="shared" si="496"/>
        <v>8556.360169491516</v>
      </c>
      <c r="AN247" s="300">
        <f t="shared" si="497"/>
        <v>0</v>
      </c>
    </row>
    <row r="248" spans="1:42" ht="15.75" hidden="1" customHeight="1" outlineLevel="1" x14ac:dyDescent="0.2">
      <c r="A248" s="109" t="s">
        <v>6</v>
      </c>
      <c r="B248" s="109"/>
      <c r="C248" s="109"/>
      <c r="D248" s="292" t="s">
        <v>674</v>
      </c>
      <c r="E248" s="44">
        <f>SUM(E245:E247)</f>
        <v>220</v>
      </c>
      <c r="F248" s="44">
        <f t="shared" ref="F248:J248" si="498">SUM(F245:F247)</f>
        <v>286</v>
      </c>
      <c r="G248" s="44">
        <f t="shared" si="498"/>
        <v>119</v>
      </c>
      <c r="H248" s="44">
        <f t="shared" si="498"/>
        <v>8</v>
      </c>
      <c r="I248" s="44">
        <f t="shared" si="498"/>
        <v>4</v>
      </c>
      <c r="J248" s="44">
        <f t="shared" si="498"/>
        <v>111</v>
      </c>
      <c r="K248" s="44"/>
      <c r="L248" s="44">
        <f t="shared" ref="L248:O248" si="499">SUM(L245:L247)</f>
        <v>7260000</v>
      </c>
      <c r="M248" s="44">
        <f t="shared" si="499"/>
        <v>5190531</v>
      </c>
      <c r="N248" s="44">
        <f t="shared" si="499"/>
        <v>354442.3728813554</v>
      </c>
      <c r="O248" s="44">
        <f t="shared" si="499"/>
        <v>4044312.7118644016</v>
      </c>
      <c r="P248" s="45"/>
      <c r="Q248" s="46"/>
      <c r="R248" s="46"/>
      <c r="S248" s="44">
        <f t="shared" ref="S248:AF248" si="500">SUM(S245:S247)</f>
        <v>8556.360169491516</v>
      </c>
      <c r="T248" s="44">
        <f t="shared" si="500"/>
        <v>0</v>
      </c>
      <c r="U248" s="44">
        <f t="shared" si="500"/>
        <v>0</v>
      </c>
      <c r="V248" s="44">
        <f t="shared" si="500"/>
        <v>0</v>
      </c>
      <c r="W248" s="44">
        <f t="shared" si="500"/>
        <v>0</v>
      </c>
      <c r="X248" s="44">
        <f t="shared" si="500"/>
        <v>220</v>
      </c>
      <c r="Y248" s="44">
        <f t="shared" si="500"/>
        <v>111</v>
      </c>
      <c r="Z248" s="44">
        <f t="shared" si="500"/>
        <v>0.50454545454545452</v>
      </c>
      <c r="AA248" s="44">
        <f t="shared" si="500"/>
        <v>0</v>
      </c>
      <c r="AB248" s="44">
        <f t="shared" si="500"/>
        <v>0</v>
      </c>
      <c r="AC248" s="44">
        <f t="shared" si="500"/>
        <v>0</v>
      </c>
      <c r="AD248" s="44">
        <f t="shared" si="500"/>
        <v>0</v>
      </c>
      <c r="AE248" s="44">
        <f t="shared" si="500"/>
        <v>8556.360169491516</v>
      </c>
      <c r="AF248" s="44">
        <f t="shared" si="500"/>
        <v>8556.360169491516</v>
      </c>
      <c r="AG248" s="31"/>
      <c r="AH248" s="419"/>
      <c r="AI248" s="43" t="s">
        <v>6</v>
      </c>
      <c r="AJ248" s="43"/>
      <c r="AK248" s="43" t="s">
        <v>674</v>
      </c>
      <c r="AL248" s="308">
        <v>21993.775423728785</v>
      </c>
      <c r="AM248" s="308">
        <f>SUM(AM245:AM247)</f>
        <v>8556.360169491516</v>
      </c>
      <c r="AN248" s="308">
        <f>SUM(AN245:AN247)</f>
        <v>13437.415254237269</v>
      </c>
    </row>
    <row r="249" spans="1:42" ht="15.75" hidden="1" customHeight="1" outlineLevel="1" x14ac:dyDescent="0.2">
      <c r="A249" s="79" t="s">
        <v>72</v>
      </c>
      <c r="B249" s="112" t="s">
        <v>43</v>
      </c>
      <c r="C249" s="79" t="s">
        <v>0</v>
      </c>
      <c r="D249" s="1" t="s">
        <v>675</v>
      </c>
      <c r="E249" s="47">
        <f>ROUND(SUMIF('Target Achieved- Input'!$B$185:$B$275,'Incentive Report- Output'!B249,'Target Achieved- Input'!$G$185:$G$275),0)</f>
        <v>75</v>
      </c>
      <c r="F249" s="47">
        <f>ROUND(SUMIF('Target Achieved- Input'!$B$185:$B$275,'Incentive Report- Output'!B249,'Target Achieved- Input'!$H$185:$H$275),0)</f>
        <v>98</v>
      </c>
      <c r="G249" s="47">
        <f>SUMIF('Target Achieved- Input'!$L$185:$L$275,'Incentive Report- Output'!B249,'Target Achieved- Input'!$O$185:$O$275)</f>
        <v>34</v>
      </c>
      <c r="H249" s="39">
        <f>SUMIF('Target Achieved- Input'!$S$185:$S$275,'Incentive Report- Output'!B249,'Target Achieved- Input'!$V$185:$V$275)</f>
        <v>0</v>
      </c>
      <c r="I249" s="48">
        <f>SUMIF('Target Achieved- Input'!$L$185:$L$275,'Incentive Report- Output'!B249,'Target Achieved- Input'!$AC$185:$AC$275)</f>
        <v>0</v>
      </c>
      <c r="J249" s="39">
        <f t="shared" ref="J249:J255" si="501">G249-H249</f>
        <v>34</v>
      </c>
      <c r="K249" s="40">
        <f t="shared" ref="K249:K255" si="502">IFERROR(J249/E249,0)</f>
        <v>0.45333333333333331</v>
      </c>
      <c r="L249" s="41">
        <f t="shared" ref="L249:L255" si="503">E249*33000</f>
        <v>2475000</v>
      </c>
      <c r="M249" s="41">
        <f>SUMIF('Target Achieved- Input'!$L$185:$L$275,'Incentive Report- Output'!B249,'Target Achieved- Input'!$M$185:$M$275)</f>
        <v>1450966</v>
      </c>
      <c r="N249" s="41">
        <f>SUMIF('Target Achieved- Input'!$S$185:$S$275,'Incentive Report- Output'!B249,'Target Achieved- Input'!$U$185:$U$275)</f>
        <v>0</v>
      </c>
      <c r="O249" s="41">
        <f>SUMIF('Target Achieved- Input'!$L$185:$L$275,'Incentive Report- Output'!B249,'Target Achieved- Input'!$N$185:$N$275)-N249</f>
        <v>1229632.2033898288</v>
      </c>
      <c r="P249" s="40">
        <f t="shared" ref="P249:P255" si="504">IFERROR(O249/L249,0)</f>
        <v>0.49682109227871868</v>
      </c>
      <c r="Q249" s="40">
        <f t="shared" ref="Q249:Q254" si="505">MAX(P249,K249)</f>
        <v>0.49682109227871868</v>
      </c>
      <c r="R249" s="40">
        <v>0</v>
      </c>
      <c r="S249" s="49">
        <f>(LOOKUP(Q249,Policy!$L$12:$M$16)+R249)*O249</f>
        <v>0</v>
      </c>
      <c r="T249" s="185"/>
      <c r="U249" s="156"/>
      <c r="V249" s="51"/>
      <c r="W249" s="156"/>
      <c r="X249" s="396">
        <f>E256</f>
        <v>430</v>
      </c>
      <c r="Y249" s="396">
        <f>J256</f>
        <v>127</v>
      </c>
      <c r="Z249" s="399">
        <f>Y249/X249</f>
        <v>0.29534883720930233</v>
      </c>
      <c r="AA249" s="55">
        <v>0</v>
      </c>
      <c r="AB249" s="41">
        <v>0</v>
      </c>
      <c r="AC249" s="41">
        <v>0</v>
      </c>
      <c r="AD249" s="41">
        <f t="shared" ref="AD249:AD255" si="506">IF(AF249&gt;200000,AF249-200000,0)</f>
        <v>0</v>
      </c>
      <c r="AE249" s="41">
        <f t="shared" ref="AE249:AE255" si="507">AF249-AD249</f>
        <v>0</v>
      </c>
      <c r="AF249" s="41">
        <f t="shared" ref="AF249:AF255" si="508">S249+W249+AB249+AC249</f>
        <v>0</v>
      </c>
      <c r="AG249" s="31"/>
      <c r="AH249" s="419"/>
      <c r="AI249" s="22" t="s">
        <v>72</v>
      </c>
      <c r="AJ249" s="1" t="s">
        <v>43</v>
      </c>
      <c r="AK249" s="195" t="s">
        <v>675</v>
      </c>
      <c r="AL249" s="299">
        <v>0</v>
      </c>
      <c r="AM249" s="299">
        <f t="shared" ref="AM249:AM255" si="509">AF249</f>
        <v>0</v>
      </c>
      <c r="AN249" s="300">
        <f t="shared" ref="AN249:AN255" si="510">AL249-AM249</f>
        <v>0</v>
      </c>
    </row>
    <row r="250" spans="1:42" ht="15.75" hidden="1" customHeight="1" outlineLevel="1" x14ac:dyDescent="0.2">
      <c r="A250" s="79" t="s">
        <v>726</v>
      </c>
      <c r="B250" s="112" t="s">
        <v>727</v>
      </c>
      <c r="C250" s="79" t="s">
        <v>1</v>
      </c>
      <c r="D250" s="1" t="s">
        <v>675</v>
      </c>
      <c r="E250" s="47">
        <f>ROUND(SUMIF('Target Achieved- Input'!$B$185:$B$275,'Incentive Report- Output'!B250,'Target Achieved- Input'!$G$185:$G$275),0)</f>
        <v>75</v>
      </c>
      <c r="F250" s="47">
        <f>ROUND(SUMIF('Target Achieved- Input'!$B$185:$B$275,'Incentive Report- Output'!B250,'Target Achieved- Input'!$H$185:$H$275),0)</f>
        <v>98</v>
      </c>
      <c r="G250" s="47">
        <f>SUMIF('Target Achieved- Input'!$L$185:$L$275,'Incentive Report- Output'!B250,'Target Achieved- Input'!$O$185:$O$275)</f>
        <v>13</v>
      </c>
      <c r="H250" s="39">
        <f>SUMIF('Target Achieved- Input'!$S$185:$S$275,'Incentive Report- Output'!B250,'Target Achieved- Input'!$V$185:$V$275)</f>
        <v>2</v>
      </c>
      <c r="I250" s="48">
        <f>SUMIF('Target Achieved- Input'!$L$185:$L$275,'Incentive Report- Output'!B250,'Target Achieved- Input'!$AC$185:$AC$275)</f>
        <v>0</v>
      </c>
      <c r="J250" s="39">
        <f t="shared" si="501"/>
        <v>11</v>
      </c>
      <c r="K250" s="40">
        <f t="shared" si="502"/>
        <v>0.14666666666666667</v>
      </c>
      <c r="L250" s="41">
        <f t="shared" si="503"/>
        <v>2475000</v>
      </c>
      <c r="M250" s="41">
        <f>SUMIF('Target Achieved- Input'!$L$185:$L$275,'Incentive Report- Output'!B250,'Target Achieved- Input'!$M$185:$M$275)</f>
        <v>615137</v>
      </c>
      <c r="N250" s="41">
        <f>SUMIF('Target Achieved- Input'!$S$185:$S$275,'Incentive Report- Output'!B250,'Target Achieved- Input'!$U$185:$U$275)</f>
        <v>88133.8983050846</v>
      </c>
      <c r="O250" s="41">
        <f>SUMIF('Target Achieved- Input'!$L$185:$L$275,'Incentive Report- Output'!B250,'Target Achieved- Input'!$N$185:$N$275)-N250</f>
        <v>433168.64406779606</v>
      </c>
      <c r="P250" s="40">
        <f t="shared" si="504"/>
        <v>0.1750176339667863</v>
      </c>
      <c r="Q250" s="40">
        <f t="shared" si="505"/>
        <v>0.1750176339667863</v>
      </c>
      <c r="R250" s="40">
        <v>0</v>
      </c>
      <c r="S250" s="49">
        <f>(LOOKUP(Q250,Policy!$L$12:$M$16)+R250)*O250</f>
        <v>0</v>
      </c>
      <c r="T250" s="188"/>
      <c r="U250" s="53"/>
      <c r="V250" s="40"/>
      <c r="W250" s="53"/>
      <c r="X250" s="397"/>
      <c r="Y250" s="397"/>
      <c r="Z250" s="400"/>
      <c r="AA250" s="55">
        <v>0</v>
      </c>
      <c r="AB250" s="41">
        <v>0</v>
      </c>
      <c r="AC250" s="41">
        <v>0</v>
      </c>
      <c r="AD250" s="41">
        <f t="shared" si="506"/>
        <v>0</v>
      </c>
      <c r="AE250" s="41">
        <f t="shared" si="507"/>
        <v>0</v>
      </c>
      <c r="AF250" s="41">
        <f t="shared" si="508"/>
        <v>0</v>
      </c>
      <c r="AG250" s="31"/>
      <c r="AH250" s="419"/>
      <c r="AI250" s="22" t="s">
        <v>726</v>
      </c>
      <c r="AJ250" s="1" t="s">
        <v>727</v>
      </c>
      <c r="AK250" s="195" t="s">
        <v>675</v>
      </c>
      <c r="AL250" s="299">
        <v>0</v>
      </c>
      <c r="AM250" s="299">
        <f t="shared" si="509"/>
        <v>0</v>
      </c>
      <c r="AN250" s="300">
        <f t="shared" si="510"/>
        <v>0</v>
      </c>
    </row>
    <row r="251" spans="1:42" ht="15.75" hidden="1" customHeight="1" outlineLevel="1" x14ac:dyDescent="0.2">
      <c r="A251" s="79" t="s">
        <v>291</v>
      </c>
      <c r="B251" s="112" t="s">
        <v>40</v>
      </c>
      <c r="C251" s="79" t="s">
        <v>1</v>
      </c>
      <c r="D251" s="1" t="s">
        <v>675</v>
      </c>
      <c r="E251" s="47">
        <f>ROUND(SUMIF('Target Achieved- Input'!$B$185:$B$275,'Incentive Report- Output'!B251,'Target Achieved- Input'!$G$185:$G$275),0)</f>
        <v>75</v>
      </c>
      <c r="F251" s="47">
        <f>ROUND(SUMIF('Target Achieved- Input'!$B$185:$B$275,'Incentive Report- Output'!B251,'Target Achieved- Input'!$H$185:$H$275),0)</f>
        <v>98</v>
      </c>
      <c r="G251" s="47">
        <f>SUMIF('Target Achieved- Input'!$L$185:$L$275,'Incentive Report- Output'!B251,'Target Achieved- Input'!$O$185:$O$275)</f>
        <v>23</v>
      </c>
      <c r="H251" s="39">
        <f>SUMIF('Target Achieved- Input'!$S$185:$S$275,'Incentive Report- Output'!B251,'Target Achieved- Input'!$V$185:$V$275)</f>
        <v>6</v>
      </c>
      <c r="I251" s="48">
        <f>SUMIF('Target Achieved- Input'!$L$185:$L$275,'Incentive Report- Output'!B251,'Target Achieved- Input'!$AC$185:$AC$275)</f>
        <v>0</v>
      </c>
      <c r="J251" s="39">
        <f t="shared" si="501"/>
        <v>17</v>
      </c>
      <c r="K251" s="40">
        <f t="shared" si="502"/>
        <v>0.22666666666666666</v>
      </c>
      <c r="L251" s="41">
        <f t="shared" si="503"/>
        <v>2475000</v>
      </c>
      <c r="M251" s="41">
        <f>SUMIF('Target Achieved- Input'!$L$185:$L$275,'Incentive Report- Output'!B251,'Target Achieved- Input'!$M$185:$M$275)</f>
        <v>1044127</v>
      </c>
      <c r="N251" s="41">
        <f>SUMIF('Target Achieved- Input'!$S$185:$S$275,'Incentive Report- Output'!B251,'Target Achieved- Input'!$U$185:$U$275)</f>
        <v>211350.84745762678</v>
      </c>
      <c r="O251" s="41">
        <f>SUMIF('Target Achieved- Input'!$L$185:$L$275,'Incentive Report- Output'!B251,'Target Achieved- Input'!$N$185:$N$275)-N251</f>
        <v>673502.54237288027</v>
      </c>
      <c r="P251" s="40">
        <f t="shared" si="504"/>
        <v>0.2721222393425779</v>
      </c>
      <c r="Q251" s="40">
        <f t="shared" si="505"/>
        <v>0.2721222393425779</v>
      </c>
      <c r="R251" s="40">
        <v>0</v>
      </c>
      <c r="S251" s="49">
        <f>(LOOKUP(Q251,Policy!$L$12:$M$16)+R251)*O251</f>
        <v>0</v>
      </c>
      <c r="T251" s="188"/>
      <c r="U251" s="188"/>
      <c r="V251" s="40"/>
      <c r="W251" s="53"/>
      <c r="X251" s="397"/>
      <c r="Y251" s="397"/>
      <c r="Z251" s="400"/>
      <c r="AA251" s="55">
        <v>0</v>
      </c>
      <c r="AB251" s="41">
        <v>0</v>
      </c>
      <c r="AC251" s="41">
        <v>0</v>
      </c>
      <c r="AD251" s="41">
        <f t="shared" si="506"/>
        <v>0</v>
      </c>
      <c r="AE251" s="41">
        <f t="shared" si="507"/>
        <v>0</v>
      </c>
      <c r="AF251" s="41">
        <f t="shared" si="508"/>
        <v>0</v>
      </c>
      <c r="AG251" s="31"/>
      <c r="AH251" s="419"/>
      <c r="AI251" s="22" t="s">
        <v>291</v>
      </c>
      <c r="AJ251" s="1" t="s">
        <v>40</v>
      </c>
      <c r="AK251" s="195" t="s">
        <v>675</v>
      </c>
      <c r="AL251" s="299">
        <v>0</v>
      </c>
      <c r="AM251" s="299">
        <f t="shared" si="509"/>
        <v>0</v>
      </c>
      <c r="AN251" s="300">
        <f t="shared" si="510"/>
        <v>0</v>
      </c>
    </row>
    <row r="252" spans="1:42" ht="15.75" hidden="1" customHeight="1" outlineLevel="1" x14ac:dyDescent="0.2">
      <c r="A252" s="79" t="s">
        <v>1073</v>
      </c>
      <c r="B252" s="161" t="s">
        <v>1074</v>
      </c>
      <c r="C252" s="79" t="s">
        <v>1</v>
      </c>
      <c r="D252" s="1" t="s">
        <v>675</v>
      </c>
      <c r="E252" s="47">
        <f>ROUND(SUMIF('Target Achieved- Input'!$B$185:$B$275,'Incentive Report- Output'!B252,'Target Achieved- Input'!$G$185:$G$275),0)</f>
        <v>0</v>
      </c>
      <c r="F252" s="47">
        <f>ROUND(SUMIF('Target Achieved- Input'!$B$185:$B$275,'Incentive Report- Output'!B252,'Target Achieved- Input'!$H$185:$H$275),0)</f>
        <v>0</v>
      </c>
      <c r="G252" s="47">
        <f>SUMIF('Target Achieved- Input'!$L$185:$L$275,'Incentive Report- Output'!B252,'Target Achieved- Input'!$O$185:$O$275)</f>
        <v>0</v>
      </c>
      <c r="H252" s="39">
        <f>SUMIF('Target Achieved- Input'!$S$185:$S$275,'Incentive Report- Output'!B252,'Target Achieved- Input'!$V$185:$V$275)</f>
        <v>0</v>
      </c>
      <c r="I252" s="48">
        <f>SUMIF('Target Achieved- Input'!$L$185:$L$275,'Incentive Report- Output'!B252,'Target Achieved- Input'!$AC$185:$AC$275)</f>
        <v>0</v>
      </c>
      <c r="J252" s="39">
        <f t="shared" si="501"/>
        <v>0</v>
      </c>
      <c r="K252" s="40">
        <f t="shared" si="502"/>
        <v>0</v>
      </c>
      <c r="L252" s="41">
        <f t="shared" si="503"/>
        <v>0</v>
      </c>
      <c r="M252" s="41">
        <f>SUMIF('Target Achieved- Input'!$L$185:$L$275,'Incentive Report- Output'!B252,'Target Achieved- Input'!$M$185:$M$275)</f>
        <v>0</v>
      </c>
      <c r="N252" s="41">
        <f>SUMIF('Target Achieved- Input'!$S$185:$S$275,'Incentive Report- Output'!B252,'Target Achieved- Input'!$U$185:$U$275)</f>
        <v>0</v>
      </c>
      <c r="O252" s="41">
        <f>SUMIF('Target Achieved- Input'!$L$185:$L$275,'Incentive Report- Output'!B252,'Target Achieved- Input'!$N$185:$N$275)-N252</f>
        <v>0</v>
      </c>
      <c r="P252" s="40">
        <f t="shared" si="504"/>
        <v>0</v>
      </c>
      <c r="Q252" s="40">
        <f t="shared" si="505"/>
        <v>0</v>
      </c>
      <c r="R252" s="40">
        <v>0</v>
      </c>
      <c r="S252" s="49">
        <f>(LOOKUP(Q252,Policy!$L$12:$M$16)+R252)*O252</f>
        <v>0</v>
      </c>
      <c r="T252" s="185"/>
      <c r="U252" s="156"/>
      <c r="V252" s="51"/>
      <c r="W252" s="156"/>
      <c r="X252" s="397"/>
      <c r="Y252" s="397"/>
      <c r="Z252" s="400"/>
      <c r="AA252" s="55">
        <v>0</v>
      </c>
      <c r="AB252" s="41">
        <v>0</v>
      </c>
      <c r="AC252" s="41">
        <v>0</v>
      </c>
      <c r="AD252" s="41">
        <f t="shared" si="506"/>
        <v>0</v>
      </c>
      <c r="AE252" s="41">
        <f t="shared" si="507"/>
        <v>0</v>
      </c>
      <c r="AF252" s="41">
        <f t="shared" si="508"/>
        <v>0</v>
      </c>
      <c r="AG252" s="31"/>
      <c r="AH252" s="419"/>
      <c r="AI252" s="22" t="s">
        <v>1073</v>
      </c>
      <c r="AJ252" s="19" t="s">
        <v>1074</v>
      </c>
      <c r="AK252" s="195" t="s">
        <v>675</v>
      </c>
      <c r="AL252" s="299">
        <v>0</v>
      </c>
      <c r="AM252" s="299">
        <f t="shared" si="509"/>
        <v>0</v>
      </c>
      <c r="AN252" s="300">
        <f t="shared" si="510"/>
        <v>0</v>
      </c>
    </row>
    <row r="253" spans="1:42" ht="15.75" hidden="1" customHeight="1" outlineLevel="1" x14ac:dyDescent="0.2">
      <c r="A253" s="79" t="s">
        <v>925</v>
      </c>
      <c r="B253" s="112" t="s">
        <v>764</v>
      </c>
      <c r="C253" s="79" t="s">
        <v>1</v>
      </c>
      <c r="D253" s="1" t="s">
        <v>675</v>
      </c>
      <c r="E253" s="47">
        <f>ROUND(SUMIF('Target Achieved- Input'!$B$185:$B$275,'Incentive Report- Output'!B253,'Target Achieved- Input'!$G$185:$G$275),0)</f>
        <v>85</v>
      </c>
      <c r="F253" s="47">
        <f>ROUND(SUMIF('Target Achieved- Input'!$B$185:$B$275,'Incentive Report- Output'!B253,'Target Achieved- Input'!$H$185:$H$275),0)</f>
        <v>111</v>
      </c>
      <c r="G253" s="47">
        <f>SUMIF('Target Achieved- Input'!$L$185:$L$275,'Incentive Report- Output'!B253,'Target Achieved- Input'!$O$185:$O$275)</f>
        <v>63</v>
      </c>
      <c r="H253" s="39">
        <f>SUMIF('Target Achieved- Input'!$S$185:$S$275,'Incentive Report- Output'!B253,'Target Achieved- Input'!$V$185:$V$275)</f>
        <v>4</v>
      </c>
      <c r="I253" s="48">
        <f>SUMIF('Target Achieved- Input'!$L$185:$L$275,'Incentive Report- Output'!B253,'Target Achieved- Input'!$AC$185:$AC$275)</f>
        <v>1</v>
      </c>
      <c r="J253" s="39">
        <f t="shared" si="501"/>
        <v>59</v>
      </c>
      <c r="K253" s="40">
        <f t="shared" si="502"/>
        <v>0.69411764705882351</v>
      </c>
      <c r="L253" s="41">
        <f t="shared" si="503"/>
        <v>2805000</v>
      </c>
      <c r="M253" s="41">
        <f>SUMIF('Target Achieved- Input'!$L$185:$L$275,'Incentive Report- Output'!B253,'Target Achieved- Input'!$M$185:$M$275)</f>
        <v>2564787</v>
      </c>
      <c r="N253" s="41">
        <f>SUMIF('Target Achieved- Input'!$S$185:$S$275,'Incentive Report- Output'!B253,'Target Achieved- Input'!$U$185:$U$275)</f>
        <v>91352.542372881173</v>
      </c>
      <c r="O253" s="41">
        <f>SUMIF('Target Achieved- Input'!$L$185:$L$275,'Incentive Report- Output'!B253,'Target Achieved- Input'!$N$185:$N$275)-N253</f>
        <v>2082195.7627118619</v>
      </c>
      <c r="P253" s="40">
        <f t="shared" si="504"/>
        <v>0.74231577993292763</v>
      </c>
      <c r="Q253" s="40">
        <f t="shared" si="505"/>
        <v>0.74231577993292763</v>
      </c>
      <c r="R253" s="40">
        <v>0</v>
      </c>
      <c r="S253" s="49">
        <f>(LOOKUP(Q253,Policy!$L$12:$M$16)+R253)*O253</f>
        <v>10410.97881355931</v>
      </c>
      <c r="T253" s="185"/>
      <c r="U253" s="156"/>
      <c r="V253" s="51"/>
      <c r="W253" s="156"/>
      <c r="X253" s="397"/>
      <c r="Y253" s="397"/>
      <c r="Z253" s="400"/>
      <c r="AA253" s="55">
        <v>0</v>
      </c>
      <c r="AB253" s="41">
        <v>0</v>
      </c>
      <c r="AC253" s="41">
        <v>0</v>
      </c>
      <c r="AD253" s="41">
        <f t="shared" si="506"/>
        <v>0</v>
      </c>
      <c r="AE253" s="41">
        <f t="shared" si="507"/>
        <v>10410.97881355931</v>
      </c>
      <c r="AF253" s="41">
        <f t="shared" si="508"/>
        <v>10410.97881355931</v>
      </c>
      <c r="AG253" s="31"/>
      <c r="AH253" s="419"/>
      <c r="AI253" s="22" t="s">
        <v>925</v>
      </c>
      <c r="AJ253" s="1" t="s">
        <v>764</v>
      </c>
      <c r="AK253" s="195" t="s">
        <v>675</v>
      </c>
      <c r="AL253" s="299">
        <v>10867.741525423715</v>
      </c>
      <c r="AM253" s="299">
        <f t="shared" si="509"/>
        <v>10410.97881355931</v>
      </c>
      <c r="AN253" s="300">
        <f t="shared" si="510"/>
        <v>456.76271186440499</v>
      </c>
      <c r="AP253" s="172"/>
    </row>
    <row r="254" spans="1:42" ht="15.75" hidden="1" customHeight="1" outlineLevel="1" x14ac:dyDescent="0.2">
      <c r="A254" s="79" t="s">
        <v>928</v>
      </c>
      <c r="B254" s="112" t="s">
        <v>759</v>
      </c>
      <c r="C254" s="79" t="s">
        <v>1</v>
      </c>
      <c r="D254" s="1" t="s">
        <v>675</v>
      </c>
      <c r="E254" s="47">
        <f>ROUND(SUMIF('Target Achieved- Input'!$B$185:$B$275,'Incentive Report- Output'!B254,'Target Achieved- Input'!$G$185:$G$275),0)</f>
        <v>50</v>
      </c>
      <c r="F254" s="47">
        <f>ROUND(SUMIF('Target Achieved- Input'!$B$185:$B$275,'Incentive Report- Output'!B254,'Target Achieved- Input'!$H$185:$H$275),0)</f>
        <v>65</v>
      </c>
      <c r="G254" s="47">
        <f>SUMIF('Target Achieved- Input'!$L$185:$L$275,'Incentive Report- Output'!B254,'Target Achieved- Input'!$O$185:$O$275)</f>
        <v>11</v>
      </c>
      <c r="H254" s="39">
        <f>SUMIF('Target Achieved- Input'!$S$185:$S$275,'Incentive Report- Output'!B254,'Target Achieved- Input'!$V$185:$V$275)</f>
        <v>5</v>
      </c>
      <c r="I254" s="48">
        <f>SUMIF('Target Achieved- Input'!$L$185:$L$275,'Incentive Report- Output'!B254,'Target Achieved- Input'!$AC$185:$AC$275)</f>
        <v>0</v>
      </c>
      <c r="J254" s="39">
        <f t="shared" si="501"/>
        <v>6</v>
      </c>
      <c r="K254" s="40">
        <f t="shared" si="502"/>
        <v>0.12</v>
      </c>
      <c r="L254" s="41">
        <f t="shared" si="503"/>
        <v>1650000</v>
      </c>
      <c r="M254" s="41">
        <f>SUMIF('Target Achieved- Input'!$L$185:$L$275,'Incentive Report- Output'!B254,'Target Achieved- Input'!$M$185:$M$275)</f>
        <v>490139</v>
      </c>
      <c r="N254" s="41">
        <f>SUMIF('Target Achieved- Input'!$S$185:$S$275,'Incentive Report- Output'!B254,'Target Achieved- Input'!$U$185:$U$275)</f>
        <v>142072.03389830494</v>
      </c>
      <c r="O254" s="41">
        <f>SUMIF('Target Achieved- Input'!$L$185:$L$275,'Incentive Report- Output'!B254,'Target Achieved- Input'!$N$185:$N$275)-N254</f>
        <v>273299.99999999965</v>
      </c>
      <c r="P254" s="40">
        <f t="shared" si="504"/>
        <v>0.16563636363636342</v>
      </c>
      <c r="Q254" s="40">
        <f t="shared" si="505"/>
        <v>0.16563636363636342</v>
      </c>
      <c r="R254" s="40">
        <v>0</v>
      </c>
      <c r="S254" s="49">
        <f>(LOOKUP(Q254,Policy!$L$12:$M$16)+R254)*O254</f>
        <v>0</v>
      </c>
      <c r="T254" s="185"/>
      <c r="U254" s="156"/>
      <c r="V254" s="51"/>
      <c r="W254" s="156"/>
      <c r="X254" s="397"/>
      <c r="Y254" s="397"/>
      <c r="Z254" s="400"/>
      <c r="AA254" s="55">
        <v>0</v>
      </c>
      <c r="AB254" s="41">
        <v>0</v>
      </c>
      <c r="AC254" s="41">
        <v>0</v>
      </c>
      <c r="AD254" s="41">
        <f t="shared" si="506"/>
        <v>0</v>
      </c>
      <c r="AE254" s="41">
        <f t="shared" si="507"/>
        <v>0</v>
      </c>
      <c r="AF254" s="41">
        <f t="shared" si="508"/>
        <v>0</v>
      </c>
      <c r="AG254" s="31"/>
      <c r="AH254" s="419"/>
      <c r="AI254" s="22" t="s">
        <v>928</v>
      </c>
      <c r="AJ254" s="1" t="s">
        <v>759</v>
      </c>
      <c r="AK254" s="195" t="s">
        <v>675</v>
      </c>
      <c r="AL254" s="299">
        <v>0</v>
      </c>
      <c r="AM254" s="299">
        <f t="shared" si="509"/>
        <v>0</v>
      </c>
      <c r="AN254" s="300">
        <f t="shared" si="510"/>
        <v>0</v>
      </c>
      <c r="AP254" s="172"/>
    </row>
    <row r="255" spans="1:42" ht="15.75" hidden="1" customHeight="1" outlineLevel="1" x14ac:dyDescent="0.2">
      <c r="A255" s="79" t="s">
        <v>1040</v>
      </c>
      <c r="B255" s="112" t="s">
        <v>1043</v>
      </c>
      <c r="C255" s="79" t="s">
        <v>1</v>
      </c>
      <c r="D255" s="1" t="s">
        <v>675</v>
      </c>
      <c r="E255" s="47">
        <f>ROUND(SUMIF('Target Achieved- Input'!$B$185:$B$275,'Incentive Report- Output'!B255,'Target Achieved- Input'!$G$185:$G$275),0)</f>
        <v>70</v>
      </c>
      <c r="F255" s="47">
        <f>ROUND(SUMIF('Target Achieved- Input'!$B$185:$B$275,'Incentive Report- Output'!B255,'Target Achieved- Input'!$H$185:$H$275),0)</f>
        <v>91</v>
      </c>
      <c r="G255" s="47">
        <f>SUMIF('Target Achieved- Input'!$L$185:$L$275,'Incentive Report- Output'!B255,'Target Achieved- Input'!$O$185:$O$275)</f>
        <v>14</v>
      </c>
      <c r="H255" s="39">
        <f>SUMIF('Target Achieved- Input'!$S$185:$S$275,'Incentive Report- Output'!B255,'Target Achieved- Input'!$V$185:$V$275)</f>
        <v>14</v>
      </c>
      <c r="I255" s="48">
        <f>SUMIF('Target Achieved- Input'!$L$185:$L$275,'Incentive Report- Output'!B255,'Target Achieved- Input'!$AC$185:$AC$275)</f>
        <v>0</v>
      </c>
      <c r="J255" s="39">
        <f t="shared" si="501"/>
        <v>0</v>
      </c>
      <c r="K255" s="40">
        <f t="shared" si="502"/>
        <v>0</v>
      </c>
      <c r="L255" s="41">
        <f t="shared" si="503"/>
        <v>2310000</v>
      </c>
      <c r="M255" s="41">
        <f>SUMIF('Target Achieved- Input'!$L$185:$L$275,'Incentive Report- Output'!B255,'Target Achieved- Input'!$M$185:$M$275)</f>
        <v>532936</v>
      </c>
      <c r="N255" s="41">
        <f>SUMIF('Target Achieved- Input'!$S$185:$S$275,'Incentive Report- Output'!B255,'Target Achieved- Input'!$U$185:$U$275)</f>
        <v>451640.67796610121</v>
      </c>
      <c r="O255" s="41">
        <f>SUMIF('Target Achieved- Input'!$L$185:$L$275,'Incentive Report- Output'!B255,'Target Achieved- Input'!$N$185:$N$275)-N255</f>
        <v>0</v>
      </c>
      <c r="P255" s="40">
        <f t="shared" si="504"/>
        <v>0</v>
      </c>
      <c r="Q255" s="40">
        <f>P255</f>
        <v>0</v>
      </c>
      <c r="R255" s="40">
        <v>0</v>
      </c>
      <c r="S255" s="49">
        <f>(LOOKUP(Q255,Policy!$L$12:$M$16)+R255)*O255</f>
        <v>0</v>
      </c>
      <c r="T255" s="185"/>
      <c r="U255" s="156"/>
      <c r="V255" s="51"/>
      <c r="W255" s="156"/>
      <c r="X255" s="398"/>
      <c r="Y255" s="398"/>
      <c r="Z255" s="401"/>
      <c r="AA255" s="55">
        <v>0</v>
      </c>
      <c r="AB255" s="41">
        <v>0</v>
      </c>
      <c r="AC255" s="41">
        <v>0</v>
      </c>
      <c r="AD255" s="41">
        <f t="shared" si="506"/>
        <v>0</v>
      </c>
      <c r="AE255" s="41">
        <f t="shared" si="507"/>
        <v>0</v>
      </c>
      <c r="AF255" s="41">
        <f t="shared" si="508"/>
        <v>0</v>
      </c>
      <c r="AG255" s="31"/>
      <c r="AH255" s="419"/>
      <c r="AI255" s="22" t="s">
        <v>1040</v>
      </c>
      <c r="AJ255" s="1" t="s">
        <v>1043</v>
      </c>
      <c r="AK255" s="195" t="s">
        <v>675</v>
      </c>
      <c r="AL255" s="299">
        <v>0</v>
      </c>
      <c r="AM255" s="299">
        <f t="shared" si="509"/>
        <v>0</v>
      </c>
      <c r="AN255" s="300">
        <f t="shared" si="510"/>
        <v>0</v>
      </c>
    </row>
    <row r="256" spans="1:42" ht="15.75" hidden="1" customHeight="1" outlineLevel="1" x14ac:dyDescent="0.2">
      <c r="A256" s="109" t="s">
        <v>6</v>
      </c>
      <c r="B256" s="109"/>
      <c r="C256" s="109"/>
      <c r="D256" s="292" t="s">
        <v>675</v>
      </c>
      <c r="E256" s="44">
        <f>SUM(E249:E255)</f>
        <v>430</v>
      </c>
      <c r="F256" s="44">
        <f t="shared" ref="F256:J256" si="511">SUM(F249:F255)</f>
        <v>561</v>
      </c>
      <c r="G256" s="44">
        <f t="shared" si="511"/>
        <v>158</v>
      </c>
      <c r="H256" s="44">
        <f t="shared" si="511"/>
        <v>31</v>
      </c>
      <c r="I256" s="44">
        <f t="shared" si="511"/>
        <v>1</v>
      </c>
      <c r="J256" s="44">
        <f t="shared" si="511"/>
        <v>127</v>
      </c>
      <c r="K256" s="44"/>
      <c r="L256" s="44">
        <f t="shared" ref="L256:O256" si="512">SUM(L249:L255)</f>
        <v>14190000</v>
      </c>
      <c r="M256" s="44">
        <f t="shared" si="512"/>
        <v>6698092</v>
      </c>
      <c r="N256" s="44">
        <f t="shared" si="512"/>
        <v>984549.99999999872</v>
      </c>
      <c r="O256" s="44">
        <f t="shared" si="512"/>
        <v>4691799.1525423676</v>
      </c>
      <c r="P256" s="45"/>
      <c r="Q256" s="46"/>
      <c r="R256" s="46"/>
      <c r="S256" s="44">
        <f t="shared" ref="S256:AF256" si="513">SUM(S249:S255)</f>
        <v>10410.97881355931</v>
      </c>
      <c r="T256" s="44">
        <f t="shared" si="513"/>
        <v>0</v>
      </c>
      <c r="U256" s="44">
        <f t="shared" si="513"/>
        <v>0</v>
      </c>
      <c r="V256" s="44">
        <f t="shared" si="513"/>
        <v>0</v>
      </c>
      <c r="W256" s="44">
        <f t="shared" si="513"/>
        <v>0</v>
      </c>
      <c r="X256" s="44">
        <f t="shared" si="513"/>
        <v>430</v>
      </c>
      <c r="Y256" s="44">
        <f t="shared" si="513"/>
        <v>127</v>
      </c>
      <c r="Z256" s="44">
        <f t="shared" si="513"/>
        <v>0.29534883720930233</v>
      </c>
      <c r="AA256" s="44">
        <f t="shared" si="513"/>
        <v>0</v>
      </c>
      <c r="AB256" s="44">
        <f t="shared" si="513"/>
        <v>0</v>
      </c>
      <c r="AC256" s="44">
        <f t="shared" si="513"/>
        <v>0</v>
      </c>
      <c r="AD256" s="44">
        <f t="shared" si="513"/>
        <v>0</v>
      </c>
      <c r="AE256" s="44">
        <f t="shared" si="513"/>
        <v>10410.97881355931</v>
      </c>
      <c r="AF256" s="44">
        <f t="shared" si="513"/>
        <v>10410.97881355931</v>
      </c>
      <c r="AG256" s="31"/>
      <c r="AH256" s="419"/>
      <c r="AI256" s="43" t="s">
        <v>6</v>
      </c>
      <c r="AJ256" s="43"/>
      <c r="AK256" s="43" t="s">
        <v>675</v>
      </c>
      <c r="AL256" s="308">
        <v>10867.741525423715</v>
      </c>
      <c r="AM256" s="308">
        <f>SUM(AM249:AM255)</f>
        <v>10410.97881355931</v>
      </c>
      <c r="AN256" s="308">
        <f>SUM(AN249:AN255)</f>
        <v>456.76271186440499</v>
      </c>
    </row>
    <row r="257" spans="1:40" ht="15.75" hidden="1" customHeight="1" outlineLevel="1" x14ac:dyDescent="0.2">
      <c r="A257" s="79" t="s">
        <v>41</v>
      </c>
      <c r="B257" s="112" t="s">
        <v>42</v>
      </c>
      <c r="C257" s="79" t="s">
        <v>0</v>
      </c>
      <c r="D257" s="1" t="s">
        <v>931</v>
      </c>
      <c r="E257" s="47">
        <f>ROUND(SUMIF('Target Achieved- Input'!$B$185:$B$275,'Incentive Report- Output'!B257,'Target Achieved- Input'!$G$185:$G$275),0)</f>
        <v>75</v>
      </c>
      <c r="F257" s="47">
        <f>ROUND(SUMIF('Target Achieved- Input'!$B$185:$B$275,'Incentive Report- Output'!B257,'Target Achieved- Input'!$H$185:$H$275),0)</f>
        <v>98</v>
      </c>
      <c r="G257" s="47">
        <f>SUMIF('Target Achieved- Input'!$L$185:$L$275,'Incentive Report- Output'!B257,'Target Achieved- Input'!$O$185:$O$275)</f>
        <v>72</v>
      </c>
      <c r="H257" s="39">
        <f>SUMIF('Target Achieved- Input'!$S$185:$S$275,'Incentive Report- Output'!B257,'Target Achieved- Input'!$V$185:$V$275)</f>
        <v>6</v>
      </c>
      <c r="I257" s="48">
        <f>SUMIF('Target Achieved- Input'!$L$185:$L$275,'Incentive Report- Output'!B257,'Target Achieved- Input'!$AC$185:$AC$275)</f>
        <v>1</v>
      </c>
      <c r="J257" s="39">
        <f t="shared" ref="J257:J263" si="514">G257-H257</f>
        <v>66</v>
      </c>
      <c r="K257" s="40">
        <f t="shared" ref="K257:K263" si="515">IFERROR(J257/E257,0)</f>
        <v>0.88</v>
      </c>
      <c r="L257" s="41">
        <f t="shared" ref="L257:L263" si="516">E257*33000</f>
        <v>2475000</v>
      </c>
      <c r="M257" s="41">
        <f>SUMIF('Target Achieved- Input'!$L$185:$L$275,'Incentive Report- Output'!B257,'Target Achieved- Input'!$M$185:$M$275)</f>
        <v>3241078</v>
      </c>
      <c r="N257" s="41">
        <f>SUMIF('Target Achieved- Input'!$S$185:$S$275,'Incentive Report- Output'!B257,'Target Achieved- Input'!$U$185:$U$275)</f>
        <v>212283.0508474572</v>
      </c>
      <c r="O257" s="41">
        <f>SUMIF('Target Achieved- Input'!$L$185:$L$275,'Incentive Report- Output'!B257,'Target Achieved- Input'!$N$185:$N$275)-N257</f>
        <v>2534393.2203389802</v>
      </c>
      <c r="P257" s="40">
        <f t="shared" ref="P257:P263" si="517">IFERROR(O257/L257,0)</f>
        <v>1.0239972607430223</v>
      </c>
      <c r="Q257" s="40">
        <f t="shared" ref="Q257:Q263" si="518">MAX(P257,K257)</f>
        <v>1.0239972607430223</v>
      </c>
      <c r="R257" s="40">
        <v>0</v>
      </c>
      <c r="S257" s="49">
        <f>(LOOKUP(Q257,Policy!$L$12:$M$16)+R257)*O257</f>
        <v>57023.847457627053</v>
      </c>
      <c r="T257" s="191"/>
      <c r="U257" s="192"/>
      <c r="V257" s="144"/>
      <c r="W257" s="192"/>
      <c r="X257" s="402"/>
      <c r="Y257" s="402"/>
      <c r="Z257" s="402"/>
      <c r="AA257" s="52">
        <v>0</v>
      </c>
      <c r="AB257" s="52">
        <v>0</v>
      </c>
      <c r="AC257" s="52">
        <v>0</v>
      </c>
      <c r="AD257" s="41">
        <f t="shared" ref="AD257:AD263" si="519">IF(AF257&gt;200000,AF257-200000,0)</f>
        <v>0</v>
      </c>
      <c r="AE257" s="41">
        <f t="shared" ref="AE257:AE263" si="520">AF257-AD257</f>
        <v>57023.847457627053</v>
      </c>
      <c r="AF257" s="41">
        <f t="shared" ref="AF257:AF263" si="521">S257+W257+AB257+AC257</f>
        <v>57023.847457627053</v>
      </c>
      <c r="AG257" s="31"/>
      <c r="AH257" s="419"/>
      <c r="AI257" s="22" t="s">
        <v>41</v>
      </c>
      <c r="AJ257" s="1" t="s">
        <v>42</v>
      </c>
      <c r="AK257" s="195" t="s">
        <v>931</v>
      </c>
      <c r="AL257" s="299">
        <v>61800.216101694838</v>
      </c>
      <c r="AM257" s="299">
        <f t="shared" ref="AM257:AM263" si="522">AF257</f>
        <v>57023.847457627053</v>
      </c>
      <c r="AN257" s="300">
        <f t="shared" ref="AN257:AN263" si="523">AL257-AM257</f>
        <v>4776.3686440677848</v>
      </c>
    </row>
    <row r="258" spans="1:40" ht="15.75" hidden="1" customHeight="1" outlineLevel="1" x14ac:dyDescent="0.2">
      <c r="A258" s="79" t="s">
        <v>1041</v>
      </c>
      <c r="B258" s="112" t="s">
        <v>1042</v>
      </c>
      <c r="C258" s="79" t="s">
        <v>1</v>
      </c>
      <c r="D258" s="1" t="s">
        <v>931</v>
      </c>
      <c r="E258" s="47">
        <f>ROUND(SUMIF('Target Achieved- Input'!$B$185:$B$275,'Incentive Report- Output'!B258,'Target Achieved- Input'!$G$185:$G$275),0)</f>
        <v>0</v>
      </c>
      <c r="F258" s="47">
        <f>ROUND(SUMIF('Target Achieved- Input'!$B$185:$B$275,'Incentive Report- Output'!B258,'Target Achieved- Input'!$H$185:$H$275),0)</f>
        <v>0</v>
      </c>
      <c r="G258" s="47">
        <f>SUMIF('Target Achieved- Input'!$L$185:$L$275,'Incentive Report- Output'!B258,'Target Achieved- Input'!$O$185:$O$275)</f>
        <v>0</v>
      </c>
      <c r="H258" s="39">
        <f>SUMIF('Target Achieved- Input'!$S$185:$S$275,'Incentive Report- Output'!B258,'Target Achieved- Input'!$V$185:$V$275)</f>
        <v>0</v>
      </c>
      <c r="I258" s="48">
        <f>SUMIF('Target Achieved- Input'!$L$185:$L$275,'Incentive Report- Output'!B258,'Target Achieved- Input'!$AC$185:$AC$275)</f>
        <v>0</v>
      </c>
      <c r="J258" s="39">
        <f t="shared" si="514"/>
        <v>0</v>
      </c>
      <c r="K258" s="40">
        <f t="shared" si="515"/>
        <v>0</v>
      </c>
      <c r="L258" s="41">
        <f t="shared" si="516"/>
        <v>0</v>
      </c>
      <c r="M258" s="41">
        <f>SUMIF('Target Achieved- Input'!$L$185:$L$275,'Incentive Report- Output'!B258,'Target Achieved- Input'!$M$185:$M$275)</f>
        <v>0</v>
      </c>
      <c r="N258" s="41">
        <f>SUMIF('Target Achieved- Input'!$S$185:$S$275,'Incentive Report- Output'!B258,'Target Achieved- Input'!$U$185:$U$275)</f>
        <v>0</v>
      </c>
      <c r="O258" s="41">
        <f>SUMIF('Target Achieved- Input'!$L$185:$L$275,'Incentive Report- Output'!B258,'Target Achieved- Input'!$N$185:$N$275)-N258</f>
        <v>0</v>
      </c>
      <c r="P258" s="40">
        <f t="shared" si="517"/>
        <v>0</v>
      </c>
      <c r="Q258" s="40">
        <f t="shared" si="518"/>
        <v>0</v>
      </c>
      <c r="R258" s="40">
        <v>0</v>
      </c>
      <c r="S258" s="49">
        <f>(LOOKUP(Q258,Policy!$L$12:$M$16)+R258)*O258</f>
        <v>0</v>
      </c>
      <c r="T258" s="191"/>
      <c r="U258" s="192"/>
      <c r="V258" s="144"/>
      <c r="W258" s="192"/>
      <c r="X258" s="403"/>
      <c r="Y258" s="403"/>
      <c r="Z258" s="403"/>
      <c r="AA258" s="52">
        <v>0</v>
      </c>
      <c r="AB258" s="52">
        <v>0</v>
      </c>
      <c r="AC258" s="52">
        <v>0</v>
      </c>
      <c r="AD258" s="41">
        <f t="shared" si="519"/>
        <v>0</v>
      </c>
      <c r="AE258" s="41">
        <f t="shared" si="520"/>
        <v>0</v>
      </c>
      <c r="AF258" s="41">
        <f t="shared" si="521"/>
        <v>0</v>
      </c>
      <c r="AG258" s="31"/>
      <c r="AH258" s="419"/>
      <c r="AI258" s="22" t="s">
        <v>1041</v>
      </c>
      <c r="AJ258" s="1" t="s">
        <v>1042</v>
      </c>
      <c r="AK258" s="195" t="s">
        <v>931</v>
      </c>
      <c r="AL258" s="299">
        <v>0</v>
      </c>
      <c r="AM258" s="299">
        <f t="shared" si="522"/>
        <v>0</v>
      </c>
      <c r="AN258" s="300">
        <f t="shared" si="523"/>
        <v>0</v>
      </c>
    </row>
    <row r="259" spans="1:40" ht="15.75" hidden="1" customHeight="1" outlineLevel="1" x14ac:dyDescent="0.2">
      <c r="A259" s="79" t="s">
        <v>304</v>
      </c>
      <c r="B259" s="112" t="s">
        <v>306</v>
      </c>
      <c r="C259" s="79" t="s">
        <v>1</v>
      </c>
      <c r="D259" s="1" t="s">
        <v>931</v>
      </c>
      <c r="E259" s="47">
        <f>ROUND(SUMIF('Target Achieved- Input'!$B$185:$B$275,'Incentive Report- Output'!B259,'Target Achieved- Input'!$G$185:$G$275),0)</f>
        <v>70</v>
      </c>
      <c r="F259" s="47">
        <f>ROUND(SUMIF('Target Achieved- Input'!$B$185:$B$275,'Incentive Report- Output'!B259,'Target Achieved- Input'!$H$185:$H$275),0)</f>
        <v>91</v>
      </c>
      <c r="G259" s="47">
        <f>SUMIF('Target Achieved- Input'!$L$185:$L$275,'Incentive Report- Output'!B259,'Target Achieved- Input'!$O$185:$O$275)</f>
        <v>20</v>
      </c>
      <c r="H259" s="39">
        <f>SUMIF('Target Achieved- Input'!$S$185:$S$275,'Incentive Report- Output'!B259,'Target Achieved- Input'!$V$185:$V$275)</f>
        <v>12</v>
      </c>
      <c r="I259" s="48">
        <f>SUMIF('Target Achieved- Input'!$L$185:$L$275,'Incentive Report- Output'!B259,'Target Achieved- Input'!$AC$185:$AC$275)</f>
        <v>0</v>
      </c>
      <c r="J259" s="39">
        <f t="shared" si="514"/>
        <v>8</v>
      </c>
      <c r="K259" s="40">
        <f t="shared" si="515"/>
        <v>0.11428571428571428</v>
      </c>
      <c r="L259" s="41">
        <f t="shared" si="516"/>
        <v>2310000</v>
      </c>
      <c r="M259" s="41">
        <f>SUMIF('Target Achieved- Input'!$L$185:$L$275,'Incentive Report- Output'!B259,'Target Achieved- Input'!$M$185:$M$275)</f>
        <v>986580</v>
      </c>
      <c r="N259" s="41">
        <f>SUMIF('Target Achieved- Input'!$S$185:$S$275,'Incentive Report- Output'!B259,'Target Achieved- Input'!$U$185:$U$275)</f>
        <v>471684.74576271127</v>
      </c>
      <c r="O259" s="41">
        <f>SUMIF('Target Achieved- Input'!$L$185:$L$275,'Incentive Report- Output'!B259,'Target Achieved- Input'!$N$185:$N$275)-N259</f>
        <v>364399.9999999993</v>
      </c>
      <c r="P259" s="40">
        <f t="shared" si="517"/>
        <v>0.15774891774891744</v>
      </c>
      <c r="Q259" s="40">
        <f t="shared" si="518"/>
        <v>0.15774891774891744</v>
      </c>
      <c r="R259" s="40">
        <v>0</v>
      </c>
      <c r="S259" s="49">
        <f>(LOOKUP(Q259,Policy!$L$12:$M$16)+R259)*O259</f>
        <v>0</v>
      </c>
      <c r="T259" s="191"/>
      <c r="U259" s="192"/>
      <c r="V259" s="144"/>
      <c r="W259" s="192"/>
      <c r="X259" s="403"/>
      <c r="Y259" s="403"/>
      <c r="Z259" s="403"/>
      <c r="AA259" s="52">
        <v>0</v>
      </c>
      <c r="AB259" s="52">
        <v>0</v>
      </c>
      <c r="AC259" s="52">
        <v>0</v>
      </c>
      <c r="AD259" s="41">
        <f t="shared" si="519"/>
        <v>0</v>
      </c>
      <c r="AE259" s="41">
        <f t="shared" si="520"/>
        <v>0</v>
      </c>
      <c r="AF259" s="41">
        <f t="shared" si="521"/>
        <v>0</v>
      </c>
      <c r="AG259" s="31"/>
      <c r="AH259" s="419"/>
      <c r="AI259" s="22" t="s">
        <v>304</v>
      </c>
      <c r="AJ259" s="1" t="s">
        <v>306</v>
      </c>
      <c r="AK259" s="195" t="s">
        <v>931</v>
      </c>
      <c r="AL259" s="299">
        <v>0</v>
      </c>
      <c r="AM259" s="299">
        <f t="shared" si="522"/>
        <v>0</v>
      </c>
      <c r="AN259" s="300">
        <f t="shared" si="523"/>
        <v>0</v>
      </c>
    </row>
    <row r="260" spans="1:40" ht="15.75" hidden="1" customHeight="1" outlineLevel="1" x14ac:dyDescent="0.2">
      <c r="A260" s="79" t="s">
        <v>659</v>
      </c>
      <c r="B260" s="112" t="s">
        <v>660</v>
      </c>
      <c r="C260" s="79" t="s">
        <v>1</v>
      </c>
      <c r="D260" s="1" t="s">
        <v>931</v>
      </c>
      <c r="E260" s="47">
        <f>ROUND(SUMIF('Target Achieved- Input'!$B$185:$B$275,'Incentive Report- Output'!B260,'Target Achieved- Input'!$G$185:$G$275),0)</f>
        <v>70</v>
      </c>
      <c r="F260" s="47">
        <f>ROUND(SUMIF('Target Achieved- Input'!$B$185:$B$275,'Incentive Report- Output'!B260,'Target Achieved- Input'!$H$185:$H$275),0)</f>
        <v>91</v>
      </c>
      <c r="G260" s="47">
        <f>SUMIF('Target Achieved- Input'!$L$185:$L$275,'Incentive Report- Output'!B260,'Target Achieved- Input'!$O$185:$O$275)</f>
        <v>28</v>
      </c>
      <c r="H260" s="39">
        <f>SUMIF('Target Achieved- Input'!$S$185:$S$275,'Incentive Report- Output'!B260,'Target Achieved- Input'!$V$185:$V$275)</f>
        <v>4</v>
      </c>
      <c r="I260" s="48">
        <f>SUMIF('Target Achieved- Input'!$L$185:$L$275,'Incentive Report- Output'!B260,'Target Achieved- Input'!$AC$185:$AC$275)</f>
        <v>0</v>
      </c>
      <c r="J260" s="39">
        <f t="shared" si="514"/>
        <v>24</v>
      </c>
      <c r="K260" s="40">
        <f t="shared" si="515"/>
        <v>0.34285714285714286</v>
      </c>
      <c r="L260" s="41">
        <f t="shared" si="516"/>
        <v>2310000</v>
      </c>
      <c r="M260" s="41">
        <f>SUMIF('Target Achieved- Input'!$L$185:$L$275,'Incentive Report- Output'!B260,'Target Achieved- Input'!$M$185:$M$275)</f>
        <v>1249322</v>
      </c>
      <c r="N260" s="41">
        <f>SUMIF('Target Achieved- Input'!$S$185:$S$275,'Incentive Report- Output'!B260,'Target Achieved- Input'!$U$185:$U$275)</f>
        <v>135166.10169491501</v>
      </c>
      <c r="O260" s="41">
        <f>SUMIF('Target Achieved- Input'!$L$185:$L$275,'Incentive Report- Output'!B260,'Target Achieved- Input'!$N$185:$N$275)-N260</f>
        <v>923581.35593220172</v>
      </c>
      <c r="P260" s="40">
        <f t="shared" si="517"/>
        <v>0.39981876880181894</v>
      </c>
      <c r="Q260" s="40">
        <f t="shared" si="518"/>
        <v>0.39981876880181894</v>
      </c>
      <c r="R260" s="40">
        <v>0</v>
      </c>
      <c r="S260" s="49">
        <f>(LOOKUP(Q260,Policy!$L$12:$M$16)+R260)*O260</f>
        <v>0</v>
      </c>
      <c r="T260" s="185"/>
      <c r="U260" s="156"/>
      <c r="V260" s="51"/>
      <c r="W260" s="156"/>
      <c r="X260" s="403"/>
      <c r="Y260" s="403"/>
      <c r="Z260" s="403"/>
      <c r="AA260" s="52">
        <v>0</v>
      </c>
      <c r="AB260" s="52">
        <v>0</v>
      </c>
      <c r="AC260" s="52">
        <v>0</v>
      </c>
      <c r="AD260" s="41">
        <f t="shared" si="519"/>
        <v>0</v>
      </c>
      <c r="AE260" s="41">
        <f t="shared" si="520"/>
        <v>0</v>
      </c>
      <c r="AF260" s="41">
        <f t="shared" si="521"/>
        <v>0</v>
      </c>
      <c r="AG260" s="31"/>
      <c r="AH260" s="419"/>
      <c r="AI260" s="22" t="s">
        <v>659</v>
      </c>
      <c r="AJ260" s="1" t="s">
        <v>660</v>
      </c>
      <c r="AK260" s="195" t="s">
        <v>931</v>
      </c>
      <c r="AL260" s="299">
        <v>0</v>
      </c>
      <c r="AM260" s="299">
        <f t="shared" si="522"/>
        <v>0</v>
      </c>
      <c r="AN260" s="300">
        <f t="shared" si="523"/>
        <v>0</v>
      </c>
    </row>
    <row r="261" spans="1:40" ht="15.75" hidden="1" customHeight="1" outlineLevel="1" x14ac:dyDescent="0.2">
      <c r="A261" s="79" t="s">
        <v>117</v>
      </c>
      <c r="B261" s="112" t="s">
        <v>196</v>
      </c>
      <c r="C261" s="79" t="s">
        <v>1185</v>
      </c>
      <c r="D261" s="1" t="s">
        <v>931</v>
      </c>
      <c r="E261" s="47">
        <f>ROUND(SUMIF('Target Achieved- Input'!$B$185:$B$275,'Incentive Report- Output'!B261,'Target Achieved- Input'!$G$185:$G$275),0)</f>
        <v>75</v>
      </c>
      <c r="F261" s="47">
        <f>ROUND(SUMIF('Target Achieved- Input'!$B$185:$B$275,'Incentive Report- Output'!B261,'Target Achieved- Input'!$H$185:$H$275),0)</f>
        <v>98</v>
      </c>
      <c r="G261" s="47">
        <f>SUMIF('Target Achieved- Input'!$L$185:$L$275,'Incentive Report- Output'!B261,'Target Achieved- Input'!$O$185:$O$275)</f>
        <v>91</v>
      </c>
      <c r="H261" s="39">
        <f>SUMIF('Target Achieved- Input'!$S$185:$S$275,'Incentive Report- Output'!B261,'Target Achieved- Input'!$V$185:$V$275)</f>
        <v>9</v>
      </c>
      <c r="I261" s="48">
        <f>SUMIF('Target Achieved- Input'!$L$185:$L$275,'Incentive Report- Output'!B261,'Target Achieved- Input'!$AC$185:$AC$275)</f>
        <v>2</v>
      </c>
      <c r="J261" s="39">
        <f t="shared" si="514"/>
        <v>82</v>
      </c>
      <c r="K261" s="40">
        <f t="shared" si="515"/>
        <v>1.0933333333333333</v>
      </c>
      <c r="L261" s="41">
        <f t="shared" si="516"/>
        <v>2475000</v>
      </c>
      <c r="M261" s="41">
        <f>SUMIF('Target Achieved- Input'!$L$185:$L$275,'Incentive Report- Output'!B261,'Target Achieved- Input'!$M$185:$M$275)</f>
        <v>4461959</v>
      </c>
      <c r="N261" s="41">
        <f>SUMIF('Target Achieved- Input'!$S$185:$S$275,'Incentive Report- Output'!B261,'Target Achieved- Input'!$U$185:$U$275)</f>
        <v>336687.28813559265</v>
      </c>
      <c r="O261" s="41">
        <f>SUMIF('Target Achieved- Input'!$L$185:$L$275,'Incentive Report- Output'!B261,'Target Achieved- Input'!$N$185:$N$275)-N261</f>
        <v>3444633.8983050771</v>
      </c>
      <c r="P261" s="40">
        <f t="shared" si="517"/>
        <v>1.3917712720424553</v>
      </c>
      <c r="Q261" s="40">
        <f t="shared" si="518"/>
        <v>1.3917712720424553</v>
      </c>
      <c r="R261" s="40">
        <v>0</v>
      </c>
      <c r="S261" s="49">
        <f>(LOOKUP(Q261,Policy!$L$12:$M$16)+R261)*O261</f>
        <v>103339.01694915231</v>
      </c>
      <c r="T261" s="191">
        <f>L259</f>
        <v>2310000</v>
      </c>
      <c r="U261" s="192">
        <f>O259</f>
        <v>364399.9999999993</v>
      </c>
      <c r="V261" s="51">
        <f>IFERROR(U261/T261,0)</f>
        <v>0.15774891774891744</v>
      </c>
      <c r="W261" s="156">
        <f>LOOKUP(V261,Policy!$L$18:$M$21)*U261</f>
        <v>0</v>
      </c>
      <c r="X261" s="403"/>
      <c r="Y261" s="403"/>
      <c r="Z261" s="403"/>
      <c r="AA261" s="52">
        <v>0</v>
      </c>
      <c r="AB261" s="52">
        <v>0</v>
      </c>
      <c r="AC261" s="52">
        <v>0</v>
      </c>
      <c r="AD261" s="41">
        <f t="shared" si="519"/>
        <v>0</v>
      </c>
      <c r="AE261" s="41">
        <f t="shared" si="520"/>
        <v>103339.01694915231</v>
      </c>
      <c r="AF261" s="41">
        <f t="shared" si="521"/>
        <v>103339.01694915231</v>
      </c>
      <c r="AG261" s="31"/>
      <c r="AH261" s="419"/>
      <c r="AI261" s="22" t="s">
        <v>117</v>
      </c>
      <c r="AJ261" s="1" t="s">
        <v>196</v>
      </c>
      <c r="AK261" s="195" t="s">
        <v>931</v>
      </c>
      <c r="AL261" s="299">
        <v>113439.6355932201</v>
      </c>
      <c r="AM261" s="299">
        <f t="shared" si="522"/>
        <v>103339.01694915231</v>
      </c>
      <c r="AN261" s="300">
        <f t="shared" si="523"/>
        <v>10100.618644067785</v>
      </c>
    </row>
    <row r="262" spans="1:40" ht="15.75" hidden="1" customHeight="1" outlineLevel="1" x14ac:dyDescent="0.2">
      <c r="A262" s="79" t="s">
        <v>1432</v>
      </c>
      <c r="B262" s="112" t="s">
        <v>1431</v>
      </c>
      <c r="C262" s="79" t="s">
        <v>1</v>
      </c>
      <c r="D262" s="1" t="s">
        <v>931</v>
      </c>
      <c r="E262" s="47">
        <f>ROUND(SUMIF('Target Achieved- Input'!$B$185:$B$275,'Incentive Report- Output'!B262,'Target Achieved- Input'!$G$185:$G$275),0)</f>
        <v>50</v>
      </c>
      <c r="F262" s="47">
        <f>ROUND(SUMIF('Target Achieved- Input'!$B$185:$B$275,'Incentive Report- Output'!B262,'Target Achieved- Input'!$H$185:$H$275),0)</f>
        <v>65</v>
      </c>
      <c r="G262" s="47">
        <f>SUMIF('Target Achieved- Input'!$L$185:$L$275,'Incentive Report- Output'!B262,'Target Achieved- Input'!$O$185:$O$275)</f>
        <v>53</v>
      </c>
      <c r="H262" s="39">
        <f>SUMIF('Target Achieved- Input'!$S$185:$S$275,'Incentive Report- Output'!B262,'Target Achieved- Input'!$V$185:$V$275)</f>
        <v>2</v>
      </c>
      <c r="I262" s="48">
        <f>SUMIF('Target Achieved- Input'!$L$185:$L$275,'Incentive Report- Output'!B262,'Target Achieved- Input'!$AC$185:$AC$275)</f>
        <v>1</v>
      </c>
      <c r="J262" s="39">
        <f t="shared" si="514"/>
        <v>51</v>
      </c>
      <c r="K262" s="40">
        <f t="shared" si="515"/>
        <v>1.02</v>
      </c>
      <c r="L262" s="41">
        <f t="shared" si="516"/>
        <v>1650000</v>
      </c>
      <c r="M262" s="41">
        <f>SUMIF('Target Achieved- Input'!$L$185:$L$275,'Incentive Report- Output'!B262,'Target Achieved- Input'!$M$185:$M$275)</f>
        <v>2278647</v>
      </c>
      <c r="N262" s="41">
        <f>SUMIF('Target Achieved- Input'!$S$185:$S$275,'Incentive Report- Output'!B262,'Target Achieved- Input'!$U$185:$U$275)</f>
        <v>58727.118644067697</v>
      </c>
      <c r="O262" s="41">
        <f>SUMIF('Target Achieved- Input'!$L$185:$L$275,'Incentive Report- Output'!B262,'Target Achieved- Input'!$N$185:$N$275)-N262</f>
        <v>1872329.6610169464</v>
      </c>
      <c r="P262" s="40">
        <f t="shared" si="517"/>
        <v>1.1347452491011796</v>
      </c>
      <c r="Q262" s="40">
        <f t="shared" si="518"/>
        <v>1.1347452491011796</v>
      </c>
      <c r="R262" s="40">
        <v>0</v>
      </c>
      <c r="S262" s="49">
        <f>(LOOKUP(Q262,Policy!$L$12:$M$16)+R262)*O262</f>
        <v>42127.417372881297</v>
      </c>
      <c r="T262" s="191"/>
      <c r="U262" s="192"/>
      <c r="V262" s="51"/>
      <c r="W262" s="156"/>
      <c r="X262" s="403"/>
      <c r="Y262" s="403"/>
      <c r="Z262" s="403"/>
      <c r="AA262" s="52">
        <v>0</v>
      </c>
      <c r="AB262" s="52">
        <v>0</v>
      </c>
      <c r="AC262" s="52">
        <v>0</v>
      </c>
      <c r="AD262" s="41">
        <f t="shared" si="519"/>
        <v>0</v>
      </c>
      <c r="AE262" s="41">
        <f t="shared" si="520"/>
        <v>42127.417372881297</v>
      </c>
      <c r="AF262" s="41">
        <f t="shared" si="521"/>
        <v>42127.417372881297</v>
      </c>
      <c r="AG262" s="31"/>
      <c r="AH262" s="419"/>
      <c r="AI262" s="79" t="s">
        <v>1432</v>
      </c>
      <c r="AJ262" s="112" t="s">
        <v>1431</v>
      </c>
      <c r="AK262" s="195" t="s">
        <v>931</v>
      </c>
      <c r="AL262" s="299">
        <v>43448.777542372816</v>
      </c>
      <c r="AM262" s="299">
        <f t="shared" si="522"/>
        <v>42127.417372881297</v>
      </c>
      <c r="AN262" s="300">
        <f t="shared" si="523"/>
        <v>1321.3601694915196</v>
      </c>
    </row>
    <row r="263" spans="1:40" ht="15.75" hidden="1" customHeight="1" outlineLevel="1" x14ac:dyDescent="0.2">
      <c r="A263" s="79" t="s">
        <v>765</v>
      </c>
      <c r="B263" s="112" t="s">
        <v>766</v>
      </c>
      <c r="C263" s="79" t="s">
        <v>1</v>
      </c>
      <c r="D263" s="1" t="s">
        <v>931</v>
      </c>
      <c r="E263" s="47">
        <f>ROUND(SUMIF('Target Achieved- Input'!$B$185:$B$275,'Incentive Report- Output'!B263,'Target Achieved- Input'!$G$185:$G$275),0)</f>
        <v>70</v>
      </c>
      <c r="F263" s="47">
        <f>ROUND(SUMIF('Target Achieved- Input'!$B$185:$B$275,'Incentive Report- Output'!B263,'Target Achieved- Input'!$H$185:$H$275),0)</f>
        <v>91</v>
      </c>
      <c r="G263" s="47">
        <f>SUMIF('Target Achieved- Input'!$L$185:$L$275,'Incentive Report- Output'!B263,'Target Achieved- Input'!$O$185:$O$275)</f>
        <v>77</v>
      </c>
      <c r="H263" s="39">
        <f>SUMIF('Target Achieved- Input'!$S$185:$S$275,'Incentive Report- Output'!B263,'Target Achieved- Input'!$V$185:$V$275)</f>
        <v>2</v>
      </c>
      <c r="I263" s="48">
        <f>SUMIF('Target Achieved- Input'!$L$185:$L$275,'Incentive Report- Output'!B263,'Target Achieved- Input'!$AC$185:$AC$275)</f>
        <v>4</v>
      </c>
      <c r="J263" s="39">
        <f t="shared" si="514"/>
        <v>75</v>
      </c>
      <c r="K263" s="40">
        <f t="shared" si="515"/>
        <v>1.0714285714285714</v>
      </c>
      <c r="L263" s="41">
        <f t="shared" si="516"/>
        <v>2310000</v>
      </c>
      <c r="M263" s="41">
        <f>SUMIF('Target Achieved- Input'!$L$185:$L$275,'Incentive Report- Output'!B263,'Target Achieved- Input'!$M$185:$M$275)</f>
        <v>3217973</v>
      </c>
      <c r="N263" s="41">
        <f>SUMIF('Target Achieved- Input'!$S$185:$S$275,'Incentive Report- Output'!B263,'Target Achieved- Input'!$U$185:$U$275)</f>
        <v>77964.406779660902</v>
      </c>
      <c r="O263" s="41">
        <f>SUMIF('Target Achieved- Input'!$L$185:$L$275,'Incentive Report- Output'!B263,'Target Achieved- Input'!$N$185:$N$275)-N263</f>
        <v>2649131.3559321994</v>
      </c>
      <c r="P263" s="40">
        <f t="shared" si="517"/>
        <v>1.1468101107931599</v>
      </c>
      <c r="Q263" s="40">
        <f t="shared" si="518"/>
        <v>1.1468101107931599</v>
      </c>
      <c r="R263" s="40">
        <v>0</v>
      </c>
      <c r="S263" s="49">
        <f>(LOOKUP(Q263,Policy!$L$12:$M$16)+R263)*O263</f>
        <v>59605.455508474486</v>
      </c>
      <c r="T263" s="185"/>
      <c r="U263" s="156"/>
      <c r="V263" s="51"/>
      <c r="W263" s="156"/>
      <c r="X263" s="404"/>
      <c r="Y263" s="404"/>
      <c r="Z263" s="404"/>
      <c r="AA263" s="52">
        <v>0</v>
      </c>
      <c r="AB263" s="52">
        <v>0</v>
      </c>
      <c r="AC263" s="52">
        <v>0</v>
      </c>
      <c r="AD263" s="41">
        <f t="shared" si="519"/>
        <v>0</v>
      </c>
      <c r="AE263" s="41">
        <f t="shared" si="520"/>
        <v>59605.455508474486</v>
      </c>
      <c r="AF263" s="41">
        <f t="shared" si="521"/>
        <v>59605.455508474486</v>
      </c>
      <c r="AG263" s="31"/>
      <c r="AH263" s="419"/>
      <c r="AI263" s="22" t="s">
        <v>765</v>
      </c>
      <c r="AJ263" s="1" t="s">
        <v>766</v>
      </c>
      <c r="AK263" s="195" t="s">
        <v>931</v>
      </c>
      <c r="AL263" s="299">
        <v>61359.654661016852</v>
      </c>
      <c r="AM263" s="299">
        <f t="shared" si="522"/>
        <v>59605.455508474486</v>
      </c>
      <c r="AN263" s="300">
        <f t="shared" si="523"/>
        <v>1754.1991525423655</v>
      </c>
    </row>
    <row r="264" spans="1:40" ht="15.75" hidden="1" customHeight="1" outlineLevel="1" x14ac:dyDescent="0.2">
      <c r="A264" s="109" t="s">
        <v>6</v>
      </c>
      <c r="B264" s="109"/>
      <c r="C264" s="109"/>
      <c r="D264" s="292" t="s">
        <v>931</v>
      </c>
      <c r="E264" s="102">
        <f>SUM(E257:E263)</f>
        <v>410</v>
      </c>
      <c r="F264" s="102">
        <f t="shared" ref="F264:J264" si="524">SUM(F257:F263)</f>
        <v>534</v>
      </c>
      <c r="G264" s="102">
        <f t="shared" si="524"/>
        <v>341</v>
      </c>
      <c r="H264" s="102">
        <f t="shared" si="524"/>
        <v>35</v>
      </c>
      <c r="I264" s="102">
        <f t="shared" si="524"/>
        <v>8</v>
      </c>
      <c r="J264" s="102">
        <f t="shared" si="524"/>
        <v>306</v>
      </c>
      <c r="K264" s="102"/>
      <c r="L264" s="102">
        <f t="shared" ref="L264:O264" si="525">SUM(L257:L263)</f>
        <v>13530000</v>
      </c>
      <c r="M264" s="102">
        <f t="shared" si="525"/>
        <v>15435559</v>
      </c>
      <c r="N264" s="102">
        <f t="shared" si="525"/>
        <v>1292512.7118644046</v>
      </c>
      <c r="O264" s="102">
        <f t="shared" si="525"/>
        <v>11788469.491525404</v>
      </c>
      <c r="P264" s="45"/>
      <c r="Q264" s="46"/>
      <c r="R264" s="46"/>
      <c r="S264" s="102">
        <f>SUM(S257:S263)</f>
        <v>262095.73728813513</v>
      </c>
      <c r="T264" s="102">
        <f t="shared" ref="T264:W264" si="526">SUM(T257:T263)</f>
        <v>2310000</v>
      </c>
      <c r="U264" s="102">
        <f t="shared" si="526"/>
        <v>364399.9999999993</v>
      </c>
      <c r="V264" s="102">
        <f t="shared" si="526"/>
        <v>0.15774891774891744</v>
      </c>
      <c r="W264" s="102">
        <f t="shared" si="526"/>
        <v>0</v>
      </c>
      <c r="X264" s="102">
        <f>SUM(X258:X263)</f>
        <v>0</v>
      </c>
      <c r="Y264" s="102">
        <f>SUM(Y258:Y263)</f>
        <v>0</v>
      </c>
      <c r="Z264" s="103">
        <f>SUM(Z258:Z263)</f>
        <v>0</v>
      </c>
      <c r="AA264" s="102">
        <f t="shared" ref="AA264:AF264" si="527">SUM(AA257:AA263)</f>
        <v>0</v>
      </c>
      <c r="AB264" s="102">
        <f t="shared" si="527"/>
        <v>0</v>
      </c>
      <c r="AC264" s="102">
        <f t="shared" si="527"/>
        <v>0</v>
      </c>
      <c r="AD264" s="102">
        <f t="shared" si="527"/>
        <v>0</v>
      </c>
      <c r="AE264" s="102">
        <f t="shared" si="527"/>
        <v>262095.73728813513</v>
      </c>
      <c r="AF264" s="102">
        <f t="shared" si="527"/>
        <v>262095.73728813513</v>
      </c>
      <c r="AG264" s="31"/>
      <c r="AH264" s="419"/>
      <c r="AI264" s="43" t="s">
        <v>6</v>
      </c>
      <c r="AJ264" s="43"/>
      <c r="AK264" s="43" t="s">
        <v>931</v>
      </c>
      <c r="AL264" s="303">
        <v>280048.28389830457</v>
      </c>
      <c r="AM264" s="303">
        <f>SUM(AM257:AM263)</f>
        <v>262095.73728813513</v>
      </c>
      <c r="AN264" s="303">
        <f>SUM(AN257:AN263)</f>
        <v>17952.546610169455</v>
      </c>
    </row>
    <row r="265" spans="1:40" ht="15.75" hidden="1" customHeight="1" outlineLevel="1" x14ac:dyDescent="0.2">
      <c r="A265" s="42" t="s">
        <v>240</v>
      </c>
      <c r="B265" s="42" t="s">
        <v>241</v>
      </c>
      <c r="C265" s="79" t="s">
        <v>1</v>
      </c>
      <c r="D265" s="293" t="s">
        <v>1182</v>
      </c>
      <c r="E265" s="47">
        <f>ROUND(SUMIF('Target Achieved- Input'!$B$185:$B$275,'Incentive Report- Output'!B265,'Target Achieved- Input'!$G$185:$G$275),0)</f>
        <v>80</v>
      </c>
      <c r="F265" s="47">
        <f>ROUND(SUMIF('Target Achieved- Input'!$B$185:$B$275,'Incentive Report- Output'!B265,'Target Achieved- Input'!$H$185:$H$275),0)</f>
        <v>104</v>
      </c>
      <c r="G265" s="47">
        <f>SUMIF('Target Achieved- Input'!$L$185:$L$275,'Incentive Report- Output'!B265,'Target Achieved- Input'!$O$185:$O$275)</f>
        <v>58</v>
      </c>
      <c r="H265" s="39">
        <f>SUMIF('Target Achieved- Input'!$S$185:$S$275,'Incentive Report- Output'!B265,'Target Achieved- Input'!$V$185:$V$275)</f>
        <v>9</v>
      </c>
      <c r="I265" s="48">
        <f>SUMIF('Target Achieved- Input'!$L$185:$L$275,'Incentive Report- Output'!B265,'Target Achieved- Input'!$AC$185:$AC$275)</f>
        <v>0</v>
      </c>
      <c r="J265" s="39">
        <f t="shared" ref="J265:J268" si="528">G265-H265</f>
        <v>49</v>
      </c>
      <c r="K265" s="40">
        <f t="shared" ref="K265:K268" si="529">IFERROR(J265/E265,0)</f>
        <v>0.61250000000000004</v>
      </c>
      <c r="L265" s="41">
        <f t="shared" ref="L265:L268" si="530">E265*33000</f>
        <v>2640000</v>
      </c>
      <c r="M265" s="41">
        <f>SUMIF('Target Achieved- Input'!$L$185:$L$275,'Incentive Report- Output'!B265,'Target Achieved- Input'!$M$185:$M$275)</f>
        <v>2601542</v>
      </c>
      <c r="N265" s="41">
        <f>SUMIF('Target Achieved- Input'!$S$185:$S$275,'Incentive Report- Output'!B265,'Target Achieved- Input'!$U$185:$U$275)</f>
        <v>337365.25423728762</v>
      </c>
      <c r="O265" s="41">
        <f>SUMIF('Target Achieved- Input'!$L$185:$L$275,'Incentive Report- Output'!B265,'Target Achieved- Input'!$N$185:$N$275)-N265</f>
        <v>1867331.3559322013</v>
      </c>
      <c r="P265" s="40">
        <f t="shared" ref="P265:P268" si="531">IFERROR(O265/L265,0)</f>
        <v>0.70732248330765202</v>
      </c>
      <c r="Q265" s="40">
        <f t="shared" ref="Q265:Q268" si="532">MAX(P265,K265)</f>
        <v>0.70732248330765202</v>
      </c>
      <c r="R265" s="40">
        <v>0</v>
      </c>
      <c r="S265" s="49">
        <f>(LOOKUP(Q265,Policy!$L$12:$M$16)+R265)*O265</f>
        <v>9336.656779661007</v>
      </c>
      <c r="T265" s="191"/>
      <c r="U265" s="192"/>
      <c r="V265" s="144"/>
      <c r="W265" s="192"/>
      <c r="X265" s="385"/>
      <c r="Y265" s="385"/>
      <c r="Z265" s="385"/>
      <c r="AA265" s="52">
        <v>0</v>
      </c>
      <c r="AB265" s="52">
        <v>0</v>
      </c>
      <c r="AC265" s="52">
        <v>0</v>
      </c>
      <c r="AD265" s="41">
        <f t="shared" ref="AD265:AD268" si="533">IF(AF265&gt;200000,AF265-200000,0)</f>
        <v>0</v>
      </c>
      <c r="AE265" s="41">
        <f t="shared" ref="AE265:AE268" si="534">AF265-AD265</f>
        <v>9336.656779661007</v>
      </c>
      <c r="AF265" s="41">
        <f>S265+W265+AB265+AC265</f>
        <v>9336.656779661007</v>
      </c>
      <c r="AG265" s="32"/>
      <c r="AH265" s="419"/>
      <c r="AI265" s="22" t="s">
        <v>240</v>
      </c>
      <c r="AJ265" s="1" t="s">
        <v>241</v>
      </c>
      <c r="AK265" s="195" t="s">
        <v>1182</v>
      </c>
      <c r="AL265" s="309">
        <v>22046.966101694888</v>
      </c>
      <c r="AM265" s="299">
        <f t="shared" ref="AM265:AM268" si="535">AF265</f>
        <v>9336.656779661007</v>
      </c>
      <c r="AN265" s="300">
        <f t="shared" ref="AN265:AN268" si="536">AL265-AM265</f>
        <v>12710.309322033881</v>
      </c>
    </row>
    <row r="266" spans="1:40" ht="15.75" hidden="1" customHeight="1" outlineLevel="1" x14ac:dyDescent="0.2">
      <c r="A266" s="42" t="s">
        <v>352</v>
      </c>
      <c r="B266" s="42" t="s">
        <v>289</v>
      </c>
      <c r="C266" s="79" t="s">
        <v>1185</v>
      </c>
      <c r="D266" s="293" t="s">
        <v>1182</v>
      </c>
      <c r="E266" s="47">
        <f>ROUND(SUMIF('Target Achieved- Input'!$B$185:$B$275,'Incentive Report- Output'!B266,'Target Achieved- Input'!$G$185:$G$275),0)</f>
        <v>85</v>
      </c>
      <c r="F266" s="47">
        <f>ROUND(SUMIF('Target Achieved- Input'!$B$185:$B$275,'Incentive Report- Output'!B266,'Target Achieved- Input'!$H$185:$H$275),0)</f>
        <v>111</v>
      </c>
      <c r="G266" s="47">
        <f>SUMIF('Target Achieved- Input'!$L$185:$L$275,'Incentive Report- Output'!B266,'Target Achieved- Input'!$O$185:$O$275)</f>
        <v>69</v>
      </c>
      <c r="H266" s="39">
        <f>SUMIF('Target Achieved- Input'!$S$185:$S$275,'Incentive Report- Output'!B266,'Target Achieved- Input'!$V$185:$V$275)</f>
        <v>8</v>
      </c>
      <c r="I266" s="48">
        <f>SUMIF('Target Achieved- Input'!$L$185:$L$275,'Incentive Report- Output'!B266,'Target Achieved- Input'!$AC$185:$AC$275)</f>
        <v>3</v>
      </c>
      <c r="J266" s="39">
        <f t="shared" si="528"/>
        <v>61</v>
      </c>
      <c r="K266" s="40">
        <f t="shared" si="529"/>
        <v>0.71764705882352942</v>
      </c>
      <c r="L266" s="41">
        <f t="shared" si="530"/>
        <v>2805000</v>
      </c>
      <c r="M266" s="41">
        <f>SUMIF('Target Achieved- Input'!$L$185:$L$275,'Incentive Report- Output'!B266,'Target Achieved- Input'!$M$185:$M$275)</f>
        <v>2786981</v>
      </c>
      <c r="N266" s="41">
        <f>SUMIF('Target Achieved- Input'!$S$185:$S$275,'Incentive Report- Output'!B266,'Target Achieved- Input'!$U$185:$U$275)</f>
        <v>286052.54237288079</v>
      </c>
      <c r="O266" s="41">
        <f>SUMIF('Target Achieved- Input'!$L$185:$L$275,'Incentive Report- Output'!B266,'Target Achieved- Input'!$N$185:$N$275)-N266</f>
        <v>2075795.7627118619</v>
      </c>
      <c r="P266" s="40">
        <f t="shared" si="531"/>
        <v>0.74003414000422885</v>
      </c>
      <c r="Q266" s="40">
        <f t="shared" si="532"/>
        <v>0.74003414000422885</v>
      </c>
      <c r="R266" s="40">
        <v>0</v>
      </c>
      <c r="S266" s="49">
        <f>(LOOKUP(Q266,Policy!$L$12:$M$16)+R266)*O266</f>
        <v>10378.97881355931</v>
      </c>
      <c r="T266" s="191"/>
      <c r="U266" s="192"/>
      <c r="V266" s="51"/>
      <c r="W266" s="156"/>
      <c r="X266" s="386"/>
      <c r="Y266" s="386"/>
      <c r="Z266" s="386"/>
      <c r="AA266" s="52">
        <v>0</v>
      </c>
      <c r="AB266" s="52">
        <v>0</v>
      </c>
      <c r="AC266" s="52">
        <v>0</v>
      </c>
      <c r="AD266" s="41">
        <f t="shared" si="533"/>
        <v>0</v>
      </c>
      <c r="AE266" s="41">
        <f t="shared" si="534"/>
        <v>10378.97881355931</v>
      </c>
      <c r="AF266" s="41">
        <f>S266+W266+AB266+AC266</f>
        <v>10378.97881355931</v>
      </c>
      <c r="AG266" s="32"/>
      <c r="AH266" s="419"/>
      <c r="AI266" s="22" t="s">
        <v>352</v>
      </c>
      <c r="AJ266" s="1" t="s">
        <v>289</v>
      </c>
      <c r="AK266" s="195" t="s">
        <v>1182</v>
      </c>
      <c r="AL266" s="309">
        <v>23618.483050847426</v>
      </c>
      <c r="AM266" s="299">
        <f t="shared" si="535"/>
        <v>10378.97881355931</v>
      </c>
      <c r="AN266" s="300">
        <f t="shared" si="536"/>
        <v>13239.504237288116</v>
      </c>
    </row>
    <row r="267" spans="1:40" ht="15.75" hidden="1" customHeight="1" outlineLevel="1" x14ac:dyDescent="0.2">
      <c r="A267" s="42" t="s">
        <v>1186</v>
      </c>
      <c r="B267" s="42" t="s">
        <v>1187</v>
      </c>
      <c r="C267" s="79" t="s">
        <v>1</v>
      </c>
      <c r="D267" s="293" t="s">
        <v>1182</v>
      </c>
      <c r="E267" s="47">
        <f>ROUND(SUMIF('Target Achieved- Input'!$B$185:$B$275,'Incentive Report- Output'!B267,'Target Achieved- Input'!$G$185:$G$275),0)</f>
        <v>0</v>
      </c>
      <c r="F267" s="47">
        <f>ROUND(SUMIF('Target Achieved- Input'!$B$185:$B$275,'Incentive Report- Output'!B267,'Target Achieved- Input'!$H$185:$H$275),0)</f>
        <v>0</v>
      </c>
      <c r="G267" s="47">
        <f>SUMIF('Target Achieved- Input'!$L$185:$L$275,'Incentive Report- Output'!B267,'Target Achieved- Input'!$O$185:$O$275)</f>
        <v>0</v>
      </c>
      <c r="H267" s="39">
        <f>SUMIF('Target Achieved- Input'!$S$185:$S$275,'Incentive Report- Output'!B267,'Target Achieved- Input'!$V$185:$V$275)</f>
        <v>0</v>
      </c>
      <c r="I267" s="48">
        <f>SUMIF('Target Achieved- Input'!$L$185:$L$275,'Incentive Report- Output'!B267,'Target Achieved- Input'!$AC$185:$AC$275)</f>
        <v>0</v>
      </c>
      <c r="J267" s="39">
        <f t="shared" si="528"/>
        <v>0</v>
      </c>
      <c r="K267" s="40">
        <f t="shared" si="529"/>
        <v>0</v>
      </c>
      <c r="L267" s="41">
        <f t="shared" si="530"/>
        <v>0</v>
      </c>
      <c r="M267" s="41">
        <f>SUMIF('Target Achieved- Input'!$L$185:$L$275,'Incentive Report- Output'!B267,'Target Achieved- Input'!$M$185:$M$275)</f>
        <v>0</v>
      </c>
      <c r="N267" s="41">
        <f>SUMIF('Target Achieved- Input'!$S$185:$S$275,'Incentive Report- Output'!B267,'Target Achieved- Input'!$U$185:$U$275)</f>
        <v>0</v>
      </c>
      <c r="O267" s="41">
        <f>SUMIF('Target Achieved- Input'!$L$185:$L$275,'Incentive Report- Output'!B267,'Target Achieved- Input'!$N$185:$N$275)-N267</f>
        <v>0</v>
      </c>
      <c r="P267" s="40">
        <f t="shared" si="531"/>
        <v>0</v>
      </c>
      <c r="Q267" s="40">
        <f t="shared" si="532"/>
        <v>0</v>
      </c>
      <c r="R267" s="40">
        <v>0</v>
      </c>
      <c r="S267" s="49">
        <f>(LOOKUP(Q267,Policy!$L$12:$M$16)+R267)*O267</f>
        <v>0</v>
      </c>
      <c r="T267" s="191"/>
      <c r="U267" s="192"/>
      <c r="V267" s="144"/>
      <c r="W267" s="192"/>
      <c r="X267" s="386"/>
      <c r="Y267" s="386"/>
      <c r="Z267" s="386"/>
      <c r="AA267" s="52">
        <v>0</v>
      </c>
      <c r="AB267" s="52">
        <v>0</v>
      </c>
      <c r="AC267" s="52">
        <v>0</v>
      </c>
      <c r="AD267" s="41">
        <f t="shared" si="533"/>
        <v>0</v>
      </c>
      <c r="AE267" s="41">
        <f t="shared" si="534"/>
        <v>0</v>
      </c>
      <c r="AF267" s="41">
        <f>S267+W267+AB267+AC267</f>
        <v>0</v>
      </c>
      <c r="AG267" s="32"/>
      <c r="AH267" s="419"/>
      <c r="AI267" s="22" t="s">
        <v>1186</v>
      </c>
      <c r="AJ267" s="1" t="s">
        <v>1187</v>
      </c>
      <c r="AK267" s="195" t="s">
        <v>1182</v>
      </c>
      <c r="AL267" s="309">
        <v>0</v>
      </c>
      <c r="AM267" s="299">
        <f t="shared" si="535"/>
        <v>0</v>
      </c>
      <c r="AN267" s="300">
        <f t="shared" si="536"/>
        <v>0</v>
      </c>
    </row>
    <row r="268" spans="1:40" ht="15.75" hidden="1" customHeight="1" outlineLevel="1" x14ac:dyDescent="0.2">
      <c r="A268" s="42" t="s">
        <v>230</v>
      </c>
      <c r="B268" s="42" t="s">
        <v>35</v>
      </c>
      <c r="C268" s="79" t="s">
        <v>1</v>
      </c>
      <c r="D268" s="293" t="s">
        <v>1182</v>
      </c>
      <c r="E268" s="47">
        <f>ROUND(SUMIF('Target Achieved- Input'!$B$185:$B$275,'Incentive Report- Output'!B268,'Target Achieved- Input'!$G$185:$G$275),0)</f>
        <v>80</v>
      </c>
      <c r="F268" s="47">
        <f>ROUND(SUMIF('Target Achieved- Input'!$B$185:$B$275,'Incentive Report- Output'!B268,'Target Achieved- Input'!$H$185:$H$275),0)</f>
        <v>104</v>
      </c>
      <c r="G268" s="47">
        <f>SUMIF('Target Achieved- Input'!$L$185:$L$275,'Incentive Report- Output'!B268,'Target Achieved- Input'!$O$185:$O$275)</f>
        <v>32</v>
      </c>
      <c r="H268" s="39">
        <f>SUMIF('Target Achieved- Input'!$S$185:$S$275,'Incentive Report- Output'!B268,'Target Achieved- Input'!$V$185:$V$275)</f>
        <v>20</v>
      </c>
      <c r="I268" s="48">
        <f>SUMIF('Target Achieved- Input'!$L$185:$L$275,'Incentive Report- Output'!B268,'Target Achieved- Input'!$AC$185:$AC$275)</f>
        <v>0</v>
      </c>
      <c r="J268" s="39">
        <f t="shared" si="528"/>
        <v>12</v>
      </c>
      <c r="K268" s="40">
        <f t="shared" si="529"/>
        <v>0.15</v>
      </c>
      <c r="L268" s="41">
        <f t="shared" si="530"/>
        <v>2640000</v>
      </c>
      <c r="M268" s="41">
        <f>SUMIF('Target Achieved- Input'!$L$185:$L$275,'Incentive Report- Output'!B268,'Target Achieved- Input'!$M$185:$M$275)</f>
        <v>1379568</v>
      </c>
      <c r="N268" s="41">
        <f>SUMIF('Target Achieved- Input'!$S$185:$S$275,'Incentive Report- Output'!B268,'Target Achieved- Input'!$U$185:$U$275)</f>
        <v>740279.66101694782</v>
      </c>
      <c r="O268" s="41">
        <f>SUMIF('Target Achieved- Input'!$L$185:$L$275,'Incentive Report- Output'!B268,'Target Achieved- Input'!$N$185:$N$275)-N268</f>
        <v>428845.76271186373</v>
      </c>
      <c r="P268" s="40">
        <f t="shared" si="531"/>
        <v>0.16244157678479687</v>
      </c>
      <c r="Q268" s="40">
        <f t="shared" si="532"/>
        <v>0.16244157678479687</v>
      </c>
      <c r="R268" s="40">
        <v>0</v>
      </c>
      <c r="S268" s="49">
        <f>(LOOKUP(Q268,Policy!$L$12:$M$16)+R268)*O268</f>
        <v>0</v>
      </c>
      <c r="T268" s="185"/>
      <c r="U268" s="156"/>
      <c r="V268" s="51"/>
      <c r="W268" s="156"/>
      <c r="X268" s="387"/>
      <c r="Y268" s="387"/>
      <c r="Z268" s="387"/>
      <c r="AA268" s="52">
        <v>0</v>
      </c>
      <c r="AB268" s="52">
        <v>0</v>
      </c>
      <c r="AC268" s="52">
        <v>0</v>
      </c>
      <c r="AD268" s="41">
        <f t="shared" si="533"/>
        <v>0</v>
      </c>
      <c r="AE268" s="41">
        <f t="shared" si="534"/>
        <v>0</v>
      </c>
      <c r="AF268" s="41">
        <f>S268+W268+AB268+AC268</f>
        <v>0</v>
      </c>
      <c r="AG268" s="32"/>
      <c r="AH268" s="419"/>
      <c r="AI268" s="22" t="s">
        <v>230</v>
      </c>
      <c r="AJ268" s="1" t="s">
        <v>35</v>
      </c>
      <c r="AK268" s="195" t="s">
        <v>1182</v>
      </c>
      <c r="AL268" s="309">
        <v>0</v>
      </c>
      <c r="AM268" s="299">
        <f t="shared" si="535"/>
        <v>0</v>
      </c>
      <c r="AN268" s="300">
        <f t="shared" si="536"/>
        <v>0</v>
      </c>
    </row>
    <row r="269" spans="1:40" ht="15.75" hidden="1" customHeight="1" outlineLevel="1" x14ac:dyDescent="0.2">
      <c r="A269" s="109" t="s">
        <v>6</v>
      </c>
      <c r="B269" s="109"/>
      <c r="C269" s="109"/>
      <c r="D269" s="292" t="s">
        <v>1182</v>
      </c>
      <c r="E269" s="88">
        <f t="shared" ref="E269:J269" si="537">SUM(E265:E268)</f>
        <v>245</v>
      </c>
      <c r="F269" s="88">
        <f t="shared" si="537"/>
        <v>319</v>
      </c>
      <c r="G269" s="88">
        <f t="shared" si="537"/>
        <v>159</v>
      </c>
      <c r="H269" s="88">
        <f t="shared" si="537"/>
        <v>37</v>
      </c>
      <c r="I269" s="88">
        <f t="shared" si="537"/>
        <v>3</v>
      </c>
      <c r="J269" s="88">
        <f t="shared" si="537"/>
        <v>122</v>
      </c>
      <c r="K269" s="45"/>
      <c r="L269" s="88">
        <f>SUM(L265:L268)</f>
        <v>8085000</v>
      </c>
      <c r="M269" s="88">
        <f>SUM(M265:M268)</f>
        <v>6768091</v>
      </c>
      <c r="N269" s="88">
        <f>SUM(N265:N268)</f>
        <v>1363697.4576271162</v>
      </c>
      <c r="O269" s="88">
        <f>SUM(O265:O268)</f>
        <v>4371972.8813559273</v>
      </c>
      <c r="P269" s="45"/>
      <c r="Q269" s="46"/>
      <c r="R269" s="237"/>
      <c r="S269" s="88">
        <f t="shared" ref="S269:AF269" si="538">SUM(S265:S268)</f>
        <v>19715.635593220315</v>
      </c>
      <c r="T269" s="88">
        <f t="shared" si="538"/>
        <v>0</v>
      </c>
      <c r="U269" s="88">
        <f t="shared" si="538"/>
        <v>0</v>
      </c>
      <c r="V269" s="88">
        <f t="shared" si="538"/>
        <v>0</v>
      </c>
      <c r="W269" s="88">
        <f t="shared" si="538"/>
        <v>0</v>
      </c>
      <c r="X269" s="88">
        <f t="shared" si="538"/>
        <v>0</v>
      </c>
      <c r="Y269" s="88">
        <f t="shared" si="538"/>
        <v>0</v>
      </c>
      <c r="Z269" s="88">
        <f t="shared" si="538"/>
        <v>0</v>
      </c>
      <c r="AA269" s="88">
        <f t="shared" si="538"/>
        <v>0</v>
      </c>
      <c r="AB269" s="88">
        <f t="shared" si="538"/>
        <v>0</v>
      </c>
      <c r="AC269" s="88">
        <f t="shared" si="538"/>
        <v>0</v>
      </c>
      <c r="AD269" s="88">
        <f t="shared" si="538"/>
        <v>0</v>
      </c>
      <c r="AE269" s="88">
        <f t="shared" si="538"/>
        <v>19715.635593220315</v>
      </c>
      <c r="AF269" s="88">
        <f t="shared" si="538"/>
        <v>19715.635593220315</v>
      </c>
      <c r="AG269" s="31"/>
      <c r="AH269" s="419"/>
      <c r="AI269" s="43" t="s">
        <v>6</v>
      </c>
      <c r="AJ269" s="43"/>
      <c r="AK269" s="43" t="s">
        <v>1182</v>
      </c>
      <c r="AL269" s="307">
        <v>45665.449152542315</v>
      </c>
      <c r="AM269" s="307">
        <f>SUM(AM265:AM268)</f>
        <v>19715.635593220315</v>
      </c>
      <c r="AN269" s="307">
        <f>SUM(AN265:AN268)</f>
        <v>25949.813559321999</v>
      </c>
    </row>
    <row r="270" spans="1:40" ht="15.75" hidden="1" customHeight="1" outlineLevel="1" x14ac:dyDescent="0.2">
      <c r="A270" s="42" t="s">
        <v>57</v>
      </c>
      <c r="B270" s="42" t="s">
        <v>58</v>
      </c>
      <c r="C270" s="42" t="s">
        <v>0</v>
      </c>
      <c r="D270" s="293" t="s">
        <v>1183</v>
      </c>
      <c r="E270" s="47">
        <f>ROUND(SUMIF('Target Achieved- Input'!$B$185:$B$275,'Incentive Report- Output'!B270,'Target Achieved- Input'!$G$185:$G$275),0)</f>
        <v>75</v>
      </c>
      <c r="F270" s="47">
        <f>ROUND(SUMIF('Target Achieved- Input'!$B$185:$B$275,'Incentive Report- Output'!B270,'Target Achieved- Input'!$H$185:$H$275),0)</f>
        <v>98</v>
      </c>
      <c r="G270" s="47">
        <f>SUMIF('Target Achieved- Input'!$L$185:$L$275,'Incentive Report- Output'!B270,'Target Achieved- Input'!$O$185:$O$275)</f>
        <v>22</v>
      </c>
      <c r="H270" s="39">
        <f>SUMIF('Target Achieved- Input'!$S$185:$S$275,'Incentive Report- Output'!B270,'Target Achieved- Input'!$V$185:$V$275)</f>
        <v>22</v>
      </c>
      <c r="I270" s="48">
        <f>SUMIF('Target Achieved- Input'!$L$185:$L$275,'Incentive Report- Output'!B270,'Target Achieved- Input'!$AC$185:$AC$275)</f>
        <v>0</v>
      </c>
      <c r="J270" s="39">
        <f t="shared" ref="J270:J275" si="539">G270-H270</f>
        <v>0</v>
      </c>
      <c r="K270" s="40">
        <f t="shared" ref="K270:K275" si="540">IFERROR(J270/E270,0)</f>
        <v>0</v>
      </c>
      <c r="L270" s="41">
        <f t="shared" ref="L270:L275" si="541">E270*33000</f>
        <v>2475000</v>
      </c>
      <c r="M270" s="41">
        <f>SUMIF('Target Achieved- Input'!$L$185:$L$275,'Incentive Report- Output'!B270,'Target Achieved- Input'!$M$185:$M$275)</f>
        <v>940878</v>
      </c>
      <c r="N270" s="41">
        <f>SUMIF('Target Achieved- Input'!$S$185:$S$275,'Incentive Report- Output'!B270,'Target Achieved- Input'!$U$185:$U$275)</f>
        <v>797354.23728813429</v>
      </c>
      <c r="O270" s="41">
        <f>SUMIF('Target Achieved- Input'!$L$185:$L$275,'Incentive Report- Output'!B270,'Target Achieved- Input'!$N$185:$N$275)-N270</f>
        <v>0</v>
      </c>
      <c r="P270" s="40">
        <f t="shared" ref="P270:P275" si="542">IFERROR(O270/L270,0)</f>
        <v>0</v>
      </c>
      <c r="Q270" s="40">
        <f t="shared" ref="Q270:Q275" si="543">MAX(P270,K270)</f>
        <v>0</v>
      </c>
      <c r="R270" s="40">
        <v>0</v>
      </c>
      <c r="S270" s="49">
        <f>(LOOKUP(Q270,Policy!$L$12:$M$16)+R270)*O270</f>
        <v>0</v>
      </c>
      <c r="T270" s="191"/>
      <c r="U270" s="192"/>
      <c r="V270" s="144"/>
      <c r="W270" s="192"/>
      <c r="X270" s="385"/>
      <c r="Y270" s="385"/>
      <c r="Z270" s="385"/>
      <c r="AA270" s="52">
        <v>0</v>
      </c>
      <c r="AB270" s="52">
        <v>0</v>
      </c>
      <c r="AC270" s="52">
        <v>0</v>
      </c>
      <c r="AD270" s="41">
        <f t="shared" ref="AD270:AD275" si="544">IF(AF270&gt;200000,AF270-200000,0)</f>
        <v>0</v>
      </c>
      <c r="AE270" s="41">
        <f t="shared" ref="AE270:AE275" si="545">AF270-AD270</f>
        <v>0</v>
      </c>
      <c r="AF270" s="41">
        <f t="shared" ref="AF270:AF275" si="546">S270+W270+AB270+AC270</f>
        <v>0</v>
      </c>
      <c r="AG270" s="32"/>
      <c r="AH270" s="419"/>
      <c r="AI270" s="289" t="s">
        <v>57</v>
      </c>
      <c r="AJ270" s="289" t="s">
        <v>58</v>
      </c>
      <c r="AK270" s="289" t="s">
        <v>1183</v>
      </c>
      <c r="AL270" s="309">
        <v>0</v>
      </c>
      <c r="AM270" s="299">
        <f t="shared" ref="AM270:AM275" si="547">AF270</f>
        <v>0</v>
      </c>
      <c r="AN270" s="300">
        <f t="shared" ref="AN270:AN275" si="548">AL270-AM270</f>
        <v>0</v>
      </c>
    </row>
    <row r="271" spans="1:40" ht="15.75" hidden="1" customHeight="1" outlineLevel="1" x14ac:dyDescent="0.2">
      <c r="A271" s="42" t="s">
        <v>207</v>
      </c>
      <c r="B271" s="42" t="s">
        <v>201</v>
      </c>
      <c r="C271" s="79" t="s">
        <v>1</v>
      </c>
      <c r="D271" s="293" t="s">
        <v>1183</v>
      </c>
      <c r="E271" s="47">
        <f>ROUND(SUMIF('Target Achieved- Input'!$B$185:$B$275,'Incentive Report- Output'!B271,'Target Achieved- Input'!$G$185:$G$275),0)</f>
        <v>85</v>
      </c>
      <c r="F271" s="47">
        <f>ROUND(SUMIF('Target Achieved- Input'!$B$185:$B$275,'Incentive Report- Output'!B271,'Target Achieved- Input'!$H$185:$H$275),0)</f>
        <v>111</v>
      </c>
      <c r="G271" s="47">
        <f>SUMIF('Target Achieved- Input'!$L$185:$L$275,'Incentive Report- Output'!B271,'Target Achieved- Input'!$O$185:$O$275)</f>
        <v>38</v>
      </c>
      <c r="H271" s="39">
        <f>SUMIF('Target Achieved- Input'!$S$185:$S$275,'Incentive Report- Output'!B271,'Target Achieved- Input'!$V$185:$V$275)</f>
        <v>7</v>
      </c>
      <c r="I271" s="48">
        <f>SUMIF('Target Achieved- Input'!$L$185:$L$275,'Incentive Report- Output'!B271,'Target Achieved- Input'!$AC$185:$AC$275)</f>
        <v>4</v>
      </c>
      <c r="J271" s="39">
        <f t="shared" si="539"/>
        <v>31</v>
      </c>
      <c r="K271" s="40">
        <f t="shared" si="540"/>
        <v>0.36470588235294116</v>
      </c>
      <c r="L271" s="41">
        <f t="shared" si="541"/>
        <v>2805000</v>
      </c>
      <c r="M271" s="41">
        <f>SUMIF('Target Achieved- Input'!$L$185:$L$275,'Incentive Report- Output'!B271,'Target Achieved- Input'!$M$185:$M$275)</f>
        <v>1495562</v>
      </c>
      <c r="N271" s="41">
        <f>SUMIF('Target Achieved- Input'!$S$185:$S$275,'Incentive Report- Output'!B271,'Target Achieved- Input'!$U$185:$U$275)</f>
        <v>232748.3050847454</v>
      </c>
      <c r="O271" s="41">
        <f>SUMIF('Target Achieved- Input'!$L$185:$L$275,'Incentive Report- Output'!B271,'Target Achieved- Input'!$N$185:$N$275)-N271</f>
        <v>1034677.1186440662</v>
      </c>
      <c r="P271" s="40">
        <f t="shared" si="542"/>
        <v>0.36886884800144959</v>
      </c>
      <c r="Q271" s="40">
        <f t="shared" si="543"/>
        <v>0.36886884800144959</v>
      </c>
      <c r="R271" s="40">
        <v>0</v>
      </c>
      <c r="S271" s="49">
        <f>(LOOKUP(Q271,Policy!$L$12:$M$16)+R271)*O271</f>
        <v>0</v>
      </c>
      <c r="T271" s="191"/>
      <c r="U271" s="192"/>
      <c r="V271" s="144"/>
      <c r="W271" s="192"/>
      <c r="X271" s="386"/>
      <c r="Y271" s="386"/>
      <c r="Z271" s="386"/>
      <c r="AA271" s="52">
        <v>0</v>
      </c>
      <c r="AB271" s="52">
        <v>0</v>
      </c>
      <c r="AC271" s="52">
        <v>0</v>
      </c>
      <c r="AD271" s="41">
        <f t="shared" si="544"/>
        <v>0</v>
      </c>
      <c r="AE271" s="41">
        <f t="shared" si="545"/>
        <v>0</v>
      </c>
      <c r="AF271" s="41">
        <f t="shared" si="546"/>
        <v>0</v>
      </c>
      <c r="AG271" s="32"/>
      <c r="AH271" s="419"/>
      <c r="AI271" s="289" t="s">
        <v>207</v>
      </c>
      <c r="AJ271" s="289" t="s">
        <v>201</v>
      </c>
      <c r="AK271" s="289" t="s">
        <v>1183</v>
      </c>
      <c r="AL271" s="309">
        <v>0</v>
      </c>
      <c r="AM271" s="299">
        <f t="shared" si="547"/>
        <v>0</v>
      </c>
      <c r="AN271" s="300">
        <f t="shared" si="548"/>
        <v>0</v>
      </c>
    </row>
    <row r="272" spans="1:40" ht="15.75" hidden="1" customHeight="1" outlineLevel="1" x14ac:dyDescent="0.2">
      <c r="A272" s="42" t="s">
        <v>299</v>
      </c>
      <c r="B272" s="42" t="s">
        <v>290</v>
      </c>
      <c r="C272" s="79" t="s">
        <v>1</v>
      </c>
      <c r="D272" s="293" t="s">
        <v>1183</v>
      </c>
      <c r="E272" s="47">
        <f>ROUND(SUMIF('Target Achieved- Input'!$B$185:$B$275,'Incentive Report- Output'!B272,'Target Achieved- Input'!$G$185:$G$275),0)</f>
        <v>85</v>
      </c>
      <c r="F272" s="47">
        <f>ROUND(SUMIF('Target Achieved- Input'!$B$185:$B$275,'Incentive Report- Output'!B272,'Target Achieved- Input'!$H$185:$H$275),0)</f>
        <v>111</v>
      </c>
      <c r="G272" s="47">
        <f>SUMIF('Target Achieved- Input'!$L$185:$L$275,'Incentive Report- Output'!B272,'Target Achieved- Input'!$O$185:$O$275)</f>
        <v>34</v>
      </c>
      <c r="H272" s="39">
        <f>SUMIF('Target Achieved- Input'!$S$185:$S$275,'Incentive Report- Output'!B272,'Target Achieved- Input'!$V$185:$V$275)</f>
        <v>8</v>
      </c>
      <c r="I272" s="48">
        <f>SUMIF('Target Achieved- Input'!$L$185:$L$275,'Incentive Report- Output'!B272,'Target Achieved- Input'!$AC$185:$AC$275)</f>
        <v>3</v>
      </c>
      <c r="J272" s="39">
        <f t="shared" si="539"/>
        <v>26</v>
      </c>
      <c r="K272" s="40">
        <f t="shared" si="540"/>
        <v>0.30588235294117649</v>
      </c>
      <c r="L272" s="41">
        <f t="shared" si="541"/>
        <v>2805000</v>
      </c>
      <c r="M272" s="41">
        <f>SUMIF('Target Achieved- Input'!$L$185:$L$275,'Incentive Report- Output'!B272,'Target Achieved- Input'!$M$185:$M$275)</f>
        <v>1365566</v>
      </c>
      <c r="N272" s="41">
        <f>SUMIF('Target Achieved- Input'!$S$185:$S$275,'Incentive Report- Output'!B272,'Target Achieved- Input'!$U$185:$U$275)</f>
        <v>309569.49152542325</v>
      </c>
      <c r="O272" s="41">
        <f>SUMIF('Target Achieved- Input'!$L$185:$L$275,'Incentive Report- Output'!B272,'Target Achieved- Input'!$N$185:$N$275)-N272</f>
        <v>847689.83050847286</v>
      </c>
      <c r="P272" s="40">
        <f t="shared" si="542"/>
        <v>0.30220671319375148</v>
      </c>
      <c r="Q272" s="40">
        <f t="shared" si="543"/>
        <v>0.30588235294117649</v>
      </c>
      <c r="R272" s="40">
        <v>0</v>
      </c>
      <c r="S272" s="49">
        <f>(LOOKUP(Q272,Policy!$L$12:$M$16)+R272)*O272</f>
        <v>0</v>
      </c>
      <c r="T272" s="191"/>
      <c r="U272" s="192"/>
      <c r="V272" s="144"/>
      <c r="W272" s="192"/>
      <c r="X272" s="386"/>
      <c r="Y272" s="386"/>
      <c r="Z272" s="386"/>
      <c r="AA272" s="52">
        <v>0</v>
      </c>
      <c r="AB272" s="52">
        <v>0</v>
      </c>
      <c r="AC272" s="52">
        <v>0</v>
      </c>
      <c r="AD272" s="41">
        <f t="shared" si="544"/>
        <v>0</v>
      </c>
      <c r="AE272" s="41">
        <f t="shared" si="545"/>
        <v>0</v>
      </c>
      <c r="AF272" s="41">
        <f t="shared" si="546"/>
        <v>0</v>
      </c>
      <c r="AG272" s="32"/>
      <c r="AH272" s="419"/>
      <c r="AI272" s="289" t="s">
        <v>299</v>
      </c>
      <c r="AJ272" s="289" t="s">
        <v>290</v>
      </c>
      <c r="AK272" s="289" t="s">
        <v>1183</v>
      </c>
      <c r="AL272" s="309">
        <v>0</v>
      </c>
      <c r="AM272" s="299">
        <f t="shared" si="547"/>
        <v>0</v>
      </c>
      <c r="AN272" s="300">
        <f t="shared" si="548"/>
        <v>0</v>
      </c>
    </row>
    <row r="273" spans="1:41" ht="15.75" hidden="1" customHeight="1" outlineLevel="1" x14ac:dyDescent="0.2">
      <c r="A273" s="42" t="s">
        <v>837</v>
      </c>
      <c r="B273" s="42" t="s">
        <v>838</v>
      </c>
      <c r="C273" s="79" t="s">
        <v>1</v>
      </c>
      <c r="D273" s="293" t="s">
        <v>1183</v>
      </c>
      <c r="E273" s="47">
        <f>ROUND(SUMIF('Target Achieved- Input'!$B$185:$B$275,'Incentive Report- Output'!B273,'Target Achieved- Input'!$G$185:$G$275),0)</f>
        <v>75</v>
      </c>
      <c r="F273" s="47">
        <f>ROUND(SUMIF('Target Achieved- Input'!$B$185:$B$275,'Incentive Report- Output'!B273,'Target Achieved- Input'!$H$185:$H$275),0)</f>
        <v>98</v>
      </c>
      <c r="G273" s="47">
        <f>SUMIF('Target Achieved- Input'!$L$185:$L$275,'Incentive Report- Output'!B273,'Target Achieved- Input'!$O$185:$O$275)</f>
        <v>31</v>
      </c>
      <c r="H273" s="39">
        <f>SUMIF('Target Achieved- Input'!$S$185:$S$275,'Incentive Report- Output'!B273,'Target Achieved- Input'!$V$185:$V$275)</f>
        <v>8</v>
      </c>
      <c r="I273" s="48">
        <f>SUMIF('Target Achieved- Input'!$L$185:$L$275,'Incentive Report- Output'!B273,'Target Achieved- Input'!$AC$185:$AC$275)</f>
        <v>0</v>
      </c>
      <c r="J273" s="39">
        <f t="shared" si="539"/>
        <v>23</v>
      </c>
      <c r="K273" s="40">
        <f t="shared" si="540"/>
        <v>0.30666666666666664</v>
      </c>
      <c r="L273" s="41">
        <f t="shared" si="541"/>
        <v>2475000</v>
      </c>
      <c r="M273" s="41">
        <f>SUMIF('Target Achieved- Input'!$L$185:$L$275,'Incentive Report- Output'!B273,'Target Achieved- Input'!$M$185:$M$275)</f>
        <v>1167069</v>
      </c>
      <c r="N273" s="41">
        <f>SUMIF('Target Achieved- Input'!$S$185:$S$275,'Incentive Report- Output'!B273,'Target Achieved- Input'!$U$185:$U$275)</f>
        <v>244061.01694915205</v>
      </c>
      <c r="O273" s="41">
        <f>SUMIF('Target Achieved- Input'!$L$185:$L$275,'Incentive Report- Output'!B273,'Target Achieved- Input'!$N$185:$N$275)-N273</f>
        <v>744980.50847457419</v>
      </c>
      <c r="P273" s="40">
        <f t="shared" si="542"/>
        <v>0.30100222564629259</v>
      </c>
      <c r="Q273" s="40">
        <f>P273</f>
        <v>0.30100222564629259</v>
      </c>
      <c r="R273" s="40">
        <v>0</v>
      </c>
      <c r="S273" s="49">
        <f>(LOOKUP(Q273,Policy!$L$12:$M$16)+R273)*O273</f>
        <v>0</v>
      </c>
      <c r="T273" s="185"/>
      <c r="U273" s="156"/>
      <c r="V273" s="51"/>
      <c r="W273" s="156"/>
      <c r="X273" s="386"/>
      <c r="Y273" s="386"/>
      <c r="Z273" s="386"/>
      <c r="AA273" s="52">
        <v>0</v>
      </c>
      <c r="AB273" s="52">
        <v>0</v>
      </c>
      <c r="AC273" s="52">
        <v>0</v>
      </c>
      <c r="AD273" s="41">
        <f t="shared" si="544"/>
        <v>0</v>
      </c>
      <c r="AE273" s="41">
        <f t="shared" si="545"/>
        <v>0</v>
      </c>
      <c r="AF273" s="41">
        <f t="shared" si="546"/>
        <v>0</v>
      </c>
      <c r="AG273" s="32"/>
      <c r="AH273" s="419"/>
      <c r="AI273" s="289" t="s">
        <v>837</v>
      </c>
      <c r="AJ273" s="289" t="s">
        <v>838</v>
      </c>
      <c r="AK273" s="289" t="s">
        <v>1183</v>
      </c>
      <c r="AL273" s="309">
        <v>0</v>
      </c>
      <c r="AM273" s="299">
        <f t="shared" si="547"/>
        <v>0</v>
      </c>
      <c r="AN273" s="300">
        <f t="shared" si="548"/>
        <v>0</v>
      </c>
    </row>
    <row r="274" spans="1:41" ht="15.75" hidden="1" customHeight="1" outlineLevel="1" x14ac:dyDescent="0.2">
      <c r="A274" s="42" t="s">
        <v>221</v>
      </c>
      <c r="B274" s="42" t="s">
        <v>45</v>
      </c>
      <c r="C274" s="79" t="s">
        <v>1</v>
      </c>
      <c r="D274" s="293" t="s">
        <v>1183</v>
      </c>
      <c r="E274" s="47">
        <f>ROUND(SUMIF('Target Achieved- Input'!$B$185:$B$275,'Incentive Report- Output'!B274,'Target Achieved- Input'!$G$185:$G$275),0)</f>
        <v>85</v>
      </c>
      <c r="F274" s="47">
        <f>ROUND(SUMIF('Target Achieved- Input'!$B$185:$B$275,'Incentive Report- Output'!B274,'Target Achieved- Input'!$H$185:$H$275),0)</f>
        <v>111</v>
      </c>
      <c r="G274" s="47">
        <f>SUMIF('Target Achieved- Input'!$L$185:$L$275,'Incentive Report- Output'!B274,'Target Achieved- Input'!$O$185:$O$275)</f>
        <v>35</v>
      </c>
      <c r="H274" s="39">
        <f>SUMIF('Target Achieved- Input'!$S$185:$S$275,'Incentive Report- Output'!B274,'Target Achieved- Input'!$V$185:$V$275)</f>
        <v>2</v>
      </c>
      <c r="I274" s="48">
        <f>SUMIF('Target Achieved- Input'!$L$185:$L$275,'Incentive Report- Output'!B274,'Target Achieved- Input'!$AC$185:$AC$275)</f>
        <v>0</v>
      </c>
      <c r="J274" s="39">
        <f t="shared" si="539"/>
        <v>33</v>
      </c>
      <c r="K274" s="40">
        <f t="shared" si="540"/>
        <v>0.38823529411764707</v>
      </c>
      <c r="L274" s="41">
        <f t="shared" si="541"/>
        <v>2805000</v>
      </c>
      <c r="M274" s="41">
        <f>SUMIF('Target Achieved- Input'!$L$185:$L$275,'Incentive Report- Output'!B274,'Target Achieved- Input'!$M$185:$M$275)</f>
        <v>1593165</v>
      </c>
      <c r="N274" s="41">
        <f>SUMIF('Target Achieved- Input'!$S$185:$S$275,'Incentive Report- Output'!B274,'Target Achieved- Input'!$U$185:$U$275)</f>
        <v>86735.593220338895</v>
      </c>
      <c r="O274" s="41">
        <f>SUMIF('Target Achieved- Input'!$L$185:$L$275,'Incentive Report- Output'!B274,'Target Achieved- Input'!$N$185:$N$275)-N274</f>
        <v>1263404.2372881342</v>
      </c>
      <c r="P274" s="40">
        <f t="shared" si="542"/>
        <v>0.45041149279434373</v>
      </c>
      <c r="Q274" s="40">
        <f t="shared" si="543"/>
        <v>0.45041149279434373</v>
      </c>
      <c r="R274" s="40">
        <v>0</v>
      </c>
      <c r="S274" s="49">
        <f>(LOOKUP(Q274,Policy!$L$12:$M$16)+R274)*O274</f>
        <v>0</v>
      </c>
      <c r="T274" s="191"/>
      <c r="U274" s="192"/>
      <c r="V274" s="144"/>
      <c r="W274" s="192"/>
      <c r="X274" s="386"/>
      <c r="Y274" s="386"/>
      <c r="Z274" s="386"/>
      <c r="AA274" s="52">
        <v>0</v>
      </c>
      <c r="AB274" s="52">
        <v>0</v>
      </c>
      <c r="AC274" s="52">
        <v>0</v>
      </c>
      <c r="AD274" s="41">
        <f t="shared" si="544"/>
        <v>0</v>
      </c>
      <c r="AE274" s="41">
        <f t="shared" si="545"/>
        <v>0</v>
      </c>
      <c r="AF274" s="41">
        <f t="shared" si="546"/>
        <v>0</v>
      </c>
      <c r="AG274" s="32"/>
      <c r="AH274" s="419"/>
      <c r="AI274" s="289" t="s">
        <v>221</v>
      </c>
      <c r="AJ274" s="289" t="s">
        <v>45</v>
      </c>
      <c r="AK274" s="289" t="s">
        <v>1183</v>
      </c>
      <c r="AL274" s="309">
        <v>0</v>
      </c>
      <c r="AM274" s="299">
        <f t="shared" si="547"/>
        <v>0</v>
      </c>
      <c r="AN274" s="300">
        <f t="shared" si="548"/>
        <v>0</v>
      </c>
    </row>
    <row r="275" spans="1:41" ht="15.75" hidden="1" customHeight="1" outlineLevel="1" x14ac:dyDescent="0.2">
      <c r="A275" s="42" t="s">
        <v>1165</v>
      </c>
      <c r="B275" s="42" t="s">
        <v>1166</v>
      </c>
      <c r="C275" s="79" t="s">
        <v>1</v>
      </c>
      <c r="D275" s="293" t="s">
        <v>1183</v>
      </c>
      <c r="E275" s="47">
        <f>ROUND(SUMIF('Target Achieved- Input'!$B$185:$B$275,'Incentive Report- Output'!B275,'Target Achieved- Input'!$G$185:$G$275),0)</f>
        <v>65</v>
      </c>
      <c r="F275" s="47">
        <f>ROUND(SUMIF('Target Achieved- Input'!$B$185:$B$275,'Incentive Report- Output'!B275,'Target Achieved- Input'!$H$185:$H$275),0)</f>
        <v>85</v>
      </c>
      <c r="G275" s="47">
        <f>SUMIF('Target Achieved- Input'!$L$185:$L$275,'Incentive Report- Output'!B275,'Target Achieved- Input'!$O$185:$O$275)</f>
        <v>35</v>
      </c>
      <c r="H275" s="39">
        <f>SUMIF('Target Achieved- Input'!$S$185:$S$275,'Incentive Report- Output'!B275,'Target Achieved- Input'!$V$185:$V$275)</f>
        <v>1</v>
      </c>
      <c r="I275" s="48">
        <f>SUMIF('Target Achieved- Input'!$L$185:$L$275,'Incentive Report- Output'!B275,'Target Achieved- Input'!$AC$185:$AC$275)</f>
        <v>0</v>
      </c>
      <c r="J275" s="39">
        <f t="shared" si="539"/>
        <v>34</v>
      </c>
      <c r="K275" s="40">
        <f t="shared" si="540"/>
        <v>0.52307692307692311</v>
      </c>
      <c r="L275" s="41">
        <f t="shared" si="541"/>
        <v>2145000</v>
      </c>
      <c r="M275" s="41">
        <f>SUMIF('Target Achieved- Input'!$L$185:$L$275,'Incentive Report- Output'!B275,'Target Achieved- Input'!$M$185:$M$275)</f>
        <v>1612515</v>
      </c>
      <c r="N275" s="41">
        <f>SUMIF('Target Achieved- Input'!$S$185:$S$275,'Incentive Report- Output'!B275,'Target Achieved- Input'!$U$185:$U$275)</f>
        <v>26694.067796610099</v>
      </c>
      <c r="O275" s="41">
        <f>SUMIF('Target Achieved- Input'!$L$185:$L$275,'Incentive Report- Output'!B275,'Target Achieved- Input'!$N$185:$N$275)-N275</f>
        <v>1339844.0677966087</v>
      </c>
      <c r="P275" s="40">
        <f t="shared" si="542"/>
        <v>0.62463592904270804</v>
      </c>
      <c r="Q275" s="40">
        <f t="shared" si="543"/>
        <v>0.62463592904270804</v>
      </c>
      <c r="R275" s="40">
        <v>0</v>
      </c>
      <c r="S275" s="49">
        <f>(LOOKUP(Q275,Policy!$L$12:$M$16)+R275)*O275</f>
        <v>6699.2203389830438</v>
      </c>
      <c r="T275" s="185"/>
      <c r="U275" s="156"/>
      <c r="V275" s="51"/>
      <c r="W275" s="156"/>
      <c r="X275" s="387"/>
      <c r="Y275" s="387"/>
      <c r="Z275" s="387"/>
      <c r="AA275" s="52">
        <v>0</v>
      </c>
      <c r="AB275" s="52">
        <v>0</v>
      </c>
      <c r="AC275" s="52">
        <v>0</v>
      </c>
      <c r="AD275" s="41">
        <f t="shared" si="544"/>
        <v>0</v>
      </c>
      <c r="AE275" s="41">
        <f t="shared" si="545"/>
        <v>6699.2203389830438</v>
      </c>
      <c r="AF275" s="41">
        <f t="shared" si="546"/>
        <v>6699.2203389830438</v>
      </c>
      <c r="AG275" s="32"/>
      <c r="AH275" s="419"/>
      <c r="AI275" s="289" t="s">
        <v>1165</v>
      </c>
      <c r="AJ275" s="289" t="s">
        <v>1166</v>
      </c>
      <c r="AK275" s="289" t="s">
        <v>1183</v>
      </c>
      <c r="AL275" s="309">
        <v>6832.690677966094</v>
      </c>
      <c r="AM275" s="299">
        <f t="shared" si="547"/>
        <v>6699.2203389830438</v>
      </c>
      <c r="AN275" s="300">
        <f t="shared" si="548"/>
        <v>133.47033898305017</v>
      </c>
    </row>
    <row r="276" spans="1:41" ht="15.75" hidden="1" customHeight="1" outlineLevel="1" x14ac:dyDescent="0.2">
      <c r="A276" s="109" t="s">
        <v>6</v>
      </c>
      <c r="B276" s="109"/>
      <c r="C276" s="109"/>
      <c r="D276" s="292" t="s">
        <v>1183</v>
      </c>
      <c r="E276" s="88">
        <f t="shared" ref="E276:J276" si="549">SUM(E270:E275)</f>
        <v>470</v>
      </c>
      <c r="F276" s="88">
        <f t="shared" si="549"/>
        <v>614</v>
      </c>
      <c r="G276" s="88">
        <f t="shared" si="549"/>
        <v>195</v>
      </c>
      <c r="H276" s="88">
        <f t="shared" si="549"/>
        <v>48</v>
      </c>
      <c r="I276" s="88">
        <f t="shared" si="549"/>
        <v>7</v>
      </c>
      <c r="J276" s="88">
        <f t="shared" si="549"/>
        <v>147</v>
      </c>
      <c r="K276" s="88"/>
      <c r="L276" s="88">
        <f>SUM(L270:L275)</f>
        <v>15510000</v>
      </c>
      <c r="M276" s="88">
        <f>SUM(M270:M275)</f>
        <v>8174755</v>
      </c>
      <c r="N276" s="88">
        <f>SUM(N270:N275)</f>
        <v>1697162.7118644039</v>
      </c>
      <c r="O276" s="88">
        <f>SUM(O270:O275)</f>
        <v>5230595.7627118556</v>
      </c>
      <c r="P276" s="88"/>
      <c r="Q276" s="88"/>
      <c r="R276" s="88"/>
      <c r="S276" s="88">
        <f>SUM(S270:S275)</f>
        <v>6699.2203389830438</v>
      </c>
      <c r="T276" s="88">
        <f>SUM(T270:T275)</f>
        <v>0</v>
      </c>
      <c r="U276" s="88">
        <f>SUM(U270:U275)</f>
        <v>0</v>
      </c>
      <c r="V276" s="88">
        <f>SUM(V270:V275)</f>
        <v>0</v>
      </c>
      <c r="W276" s="88">
        <f>SUM(W270:W275)</f>
        <v>0</v>
      </c>
      <c r="X276" s="88">
        <f>SUM(X271:X275)</f>
        <v>0</v>
      </c>
      <c r="Y276" s="88">
        <f>SUM(Y271:Y275)</f>
        <v>0</v>
      </c>
      <c r="Z276" s="88">
        <f>SUM(Z271:Z275)</f>
        <v>0</v>
      </c>
      <c r="AA276" s="88">
        <f t="shared" ref="AA276:AF276" si="550">SUM(AA270:AA275)</f>
        <v>0</v>
      </c>
      <c r="AB276" s="88">
        <f t="shared" si="550"/>
        <v>0</v>
      </c>
      <c r="AC276" s="88">
        <f t="shared" si="550"/>
        <v>0</v>
      </c>
      <c r="AD276" s="88">
        <f t="shared" si="550"/>
        <v>0</v>
      </c>
      <c r="AE276" s="88">
        <f t="shared" si="550"/>
        <v>6699.2203389830438</v>
      </c>
      <c r="AF276" s="88">
        <f t="shared" si="550"/>
        <v>6699.2203389830438</v>
      </c>
      <c r="AG276" s="31"/>
      <c r="AH276" s="419"/>
      <c r="AI276" s="43" t="s">
        <v>6</v>
      </c>
      <c r="AJ276" s="43"/>
      <c r="AK276" s="43" t="s">
        <v>1183</v>
      </c>
      <c r="AL276" s="307">
        <v>6832.690677966094</v>
      </c>
      <c r="AM276" s="307">
        <f>SUM(AM270:AM275)</f>
        <v>6699.2203389830438</v>
      </c>
      <c r="AN276" s="307">
        <f>SUM(AN271:AN275)</f>
        <v>133.47033898305017</v>
      </c>
    </row>
    <row r="277" spans="1:41" ht="15.75" hidden="1" customHeight="1" outlineLevel="1" x14ac:dyDescent="0.2">
      <c r="A277" s="42" t="s">
        <v>216</v>
      </c>
      <c r="B277" s="42" t="s">
        <v>18</v>
      </c>
      <c r="C277" s="42" t="s">
        <v>0</v>
      </c>
      <c r="D277" s="293" t="s">
        <v>1184</v>
      </c>
      <c r="E277" s="47">
        <f>ROUND(SUMIF('Target Achieved- Input'!$B$185:$B$275,'Incentive Report- Output'!B277,'Target Achieved- Input'!$G$185:$G$275),0)</f>
        <v>50</v>
      </c>
      <c r="F277" s="47">
        <f>ROUND(SUMIF('Target Achieved- Input'!$B$185:$B$275,'Incentive Report- Output'!B277,'Target Achieved- Input'!$H$185:$H$275),0)</f>
        <v>65</v>
      </c>
      <c r="G277" s="47">
        <f>SUMIF('Target Achieved- Input'!$L$185:$L$275,'Incentive Report- Output'!B277,'Target Achieved- Input'!$O$185:$O$275)</f>
        <v>33</v>
      </c>
      <c r="H277" s="39">
        <f>SUMIF('Target Achieved- Input'!$S$185:$S$275,'Incentive Report- Output'!B277,'Target Achieved- Input'!$V$185:$V$275)</f>
        <v>8</v>
      </c>
      <c r="I277" s="48">
        <f>SUMIF('Target Achieved- Input'!$L$185:$L$275,'Incentive Report- Output'!B277,'Target Achieved- Input'!$AC$185:$AC$275)</f>
        <v>1</v>
      </c>
      <c r="J277" s="39">
        <f t="shared" ref="J277:J282" si="551">G277-H277</f>
        <v>25</v>
      </c>
      <c r="K277" s="40">
        <f t="shared" ref="K277:K282" si="552">IFERROR(J277/E277,0)</f>
        <v>0.5</v>
      </c>
      <c r="L277" s="41">
        <f t="shared" ref="L277:L282" si="553">E277*33000</f>
        <v>1650000</v>
      </c>
      <c r="M277" s="41">
        <f>SUMIF('Target Achieved- Input'!$L$185:$L$275,'Incentive Report- Output'!B277,'Target Achieved- Input'!$M$185:$M$275)</f>
        <v>1589267</v>
      </c>
      <c r="N277" s="41">
        <f>SUMIF('Target Achieved- Input'!$S$185:$S$275,'Incentive Report- Output'!B277,'Target Achieved- Input'!$U$185:$U$275)</f>
        <v>320332.2033898299</v>
      </c>
      <c r="O277" s="41">
        <f>SUMIF('Target Achieved- Input'!$L$185:$L$275,'Incentive Report- Output'!B277,'Target Achieved- Input'!$N$185:$N$275)-N277</f>
        <v>1026504.2372881337</v>
      </c>
      <c r="P277" s="40">
        <f t="shared" ref="P277:P282" si="554">IFERROR(O277/L277,0)</f>
        <v>0.62212378017462644</v>
      </c>
      <c r="Q277" s="40">
        <f t="shared" ref="Q277:Q282" si="555">MAX(P277,K277)</f>
        <v>0.62212378017462644</v>
      </c>
      <c r="R277" s="40">
        <v>0</v>
      </c>
      <c r="S277" s="49">
        <f>(LOOKUP(Q277,Policy!$L$12:$M$16)+R277)*O277</f>
        <v>5132.5211864406683</v>
      </c>
      <c r="T277" s="191"/>
      <c r="U277" s="192"/>
      <c r="V277" s="144"/>
      <c r="W277" s="192"/>
      <c r="X277" s="385"/>
      <c r="Y277" s="385"/>
      <c r="Z277" s="388"/>
      <c r="AA277" s="52">
        <v>0</v>
      </c>
      <c r="AB277" s="52">
        <v>0</v>
      </c>
      <c r="AC277" s="52">
        <v>0</v>
      </c>
      <c r="AD277" s="41">
        <f t="shared" ref="AD277:AD282" si="556">IF(AF277&gt;200000,AF277-200000,0)</f>
        <v>0</v>
      </c>
      <c r="AE277" s="41">
        <f t="shared" ref="AE277:AE282" si="557">AF277-AD277</f>
        <v>5132.5211864406683</v>
      </c>
      <c r="AF277" s="41">
        <f>S277+W277+AB277+AC277</f>
        <v>5132.5211864406683</v>
      </c>
      <c r="AG277" s="32"/>
      <c r="AH277" s="419"/>
      <c r="AI277" s="289" t="s">
        <v>216</v>
      </c>
      <c r="AJ277" s="289" t="s">
        <v>18</v>
      </c>
      <c r="AK277" s="289" t="s">
        <v>1184</v>
      </c>
      <c r="AL277" s="309">
        <v>13468.364406779638</v>
      </c>
      <c r="AM277" s="299">
        <f t="shared" ref="AM277:AM282" si="558">AF277</f>
        <v>5132.5211864406683</v>
      </c>
      <c r="AN277" s="300">
        <f t="shared" ref="AN277:AN282" si="559">AL277-AM277</f>
        <v>8335.8432203389693</v>
      </c>
    </row>
    <row r="278" spans="1:41" ht="15.75" hidden="1" customHeight="1" outlineLevel="1" x14ac:dyDescent="0.2">
      <c r="A278" s="42" t="s">
        <v>701</v>
      </c>
      <c r="B278" s="42" t="s">
        <v>702</v>
      </c>
      <c r="C278" s="79" t="s">
        <v>1</v>
      </c>
      <c r="D278" s="293" t="s">
        <v>1184</v>
      </c>
      <c r="E278" s="47">
        <f>ROUND(SUMIF('Target Achieved- Input'!$B$185:$B$275,'Incentive Report- Output'!B278,'Target Achieved- Input'!$G$185:$G$275),0)</f>
        <v>50</v>
      </c>
      <c r="F278" s="47">
        <f>ROUND(SUMIF('Target Achieved- Input'!$B$185:$B$275,'Incentive Report- Output'!B278,'Target Achieved- Input'!$H$185:$H$275),0)</f>
        <v>65</v>
      </c>
      <c r="G278" s="47">
        <f>SUMIF('Target Achieved- Input'!$L$185:$L$275,'Incentive Report- Output'!B278,'Target Achieved- Input'!$O$185:$O$275)</f>
        <v>23</v>
      </c>
      <c r="H278" s="39">
        <f>SUMIF('Target Achieved- Input'!$S$185:$S$275,'Incentive Report- Output'!B278,'Target Achieved- Input'!$V$185:$V$275)</f>
        <v>1</v>
      </c>
      <c r="I278" s="48">
        <f>SUMIF('Target Achieved- Input'!$L$185:$L$275,'Incentive Report- Output'!B278,'Target Achieved- Input'!$AC$185:$AC$275)</f>
        <v>0</v>
      </c>
      <c r="J278" s="39">
        <f t="shared" si="551"/>
        <v>22</v>
      </c>
      <c r="K278" s="40">
        <f t="shared" si="552"/>
        <v>0.44</v>
      </c>
      <c r="L278" s="41">
        <f t="shared" si="553"/>
        <v>1650000</v>
      </c>
      <c r="M278" s="41">
        <f>SUMIF('Target Achieved- Input'!$L$185:$L$275,'Incentive Report- Output'!B278,'Target Achieved- Input'!$M$185:$M$275)</f>
        <v>1262277</v>
      </c>
      <c r="N278" s="41">
        <f>SUMIF('Target Achieved- Input'!$S$185:$S$275,'Incentive Report- Output'!B278,'Target Achieved- Input'!$U$185:$U$275)</f>
        <v>28219.491525423698</v>
      </c>
      <c r="O278" s="41">
        <f>SUMIF('Target Achieved- Input'!$L$185:$L$275,'Incentive Report- Output'!B278,'Target Achieved- Input'!$N$185:$N$275)-N278</f>
        <v>1041506.7796610158</v>
      </c>
      <c r="P278" s="40">
        <f t="shared" si="554"/>
        <v>0.63121623009758532</v>
      </c>
      <c r="Q278" s="40">
        <f t="shared" si="555"/>
        <v>0.63121623009758532</v>
      </c>
      <c r="R278" s="40">
        <v>0</v>
      </c>
      <c r="S278" s="49">
        <f>(LOOKUP(Q278,Policy!$L$12:$M$16)+R278)*O278</f>
        <v>5207.5338983050797</v>
      </c>
      <c r="T278" s="191"/>
      <c r="U278" s="192"/>
      <c r="V278" s="144"/>
      <c r="W278" s="192"/>
      <c r="X278" s="386"/>
      <c r="Y278" s="386"/>
      <c r="Z278" s="389"/>
      <c r="AA278" s="52">
        <v>0</v>
      </c>
      <c r="AB278" s="52">
        <v>0</v>
      </c>
      <c r="AC278" s="52">
        <v>0</v>
      </c>
      <c r="AD278" s="41">
        <f t="shared" si="556"/>
        <v>0</v>
      </c>
      <c r="AE278" s="41">
        <f t="shared" si="557"/>
        <v>5207.5338983050797</v>
      </c>
      <c r="AF278" s="41">
        <f>S278+W278+AB278+AC278</f>
        <v>5207.5338983050797</v>
      </c>
      <c r="AG278" s="32"/>
      <c r="AH278" s="419"/>
      <c r="AI278" s="289" t="s">
        <v>701</v>
      </c>
      <c r="AJ278" s="289" t="s">
        <v>702</v>
      </c>
      <c r="AK278" s="289" t="s">
        <v>1184</v>
      </c>
      <c r="AL278" s="309">
        <v>5348.6313559321979</v>
      </c>
      <c r="AM278" s="299">
        <f t="shared" si="558"/>
        <v>5207.5338983050797</v>
      </c>
      <c r="AN278" s="300">
        <f t="shared" si="559"/>
        <v>141.09745762711827</v>
      </c>
    </row>
    <row r="279" spans="1:41" ht="15.75" hidden="1" customHeight="1" outlineLevel="1" x14ac:dyDescent="0.2">
      <c r="A279" s="42" t="s">
        <v>671</v>
      </c>
      <c r="B279" s="42" t="s">
        <v>200</v>
      </c>
      <c r="C279" s="79" t="s">
        <v>1</v>
      </c>
      <c r="D279" s="293" t="s">
        <v>1184</v>
      </c>
      <c r="E279" s="47">
        <f>ROUND(SUMIF('Target Achieved- Input'!$B$185:$B$275,'Incentive Report- Output'!B279,'Target Achieved- Input'!$G$185:$G$275),0)</f>
        <v>50</v>
      </c>
      <c r="F279" s="47">
        <f>ROUND(SUMIF('Target Achieved- Input'!$B$185:$B$275,'Incentive Report- Output'!B279,'Target Achieved- Input'!$H$185:$H$275),0)</f>
        <v>65</v>
      </c>
      <c r="G279" s="47">
        <f>SUMIF('Target Achieved- Input'!$L$185:$L$275,'Incentive Report- Output'!B279,'Target Achieved- Input'!$O$185:$O$275)</f>
        <v>37</v>
      </c>
      <c r="H279" s="39">
        <f>SUMIF('Target Achieved- Input'!$S$185:$S$275,'Incentive Report- Output'!B279,'Target Achieved- Input'!$V$185:$V$275)</f>
        <v>0</v>
      </c>
      <c r="I279" s="48">
        <f>SUMIF('Target Achieved- Input'!$L$185:$L$275,'Incentive Report- Output'!B279,'Target Achieved- Input'!$AC$185:$AC$275)</f>
        <v>0</v>
      </c>
      <c r="J279" s="39">
        <f t="shared" si="551"/>
        <v>37</v>
      </c>
      <c r="K279" s="40">
        <f t="shared" si="552"/>
        <v>0.74</v>
      </c>
      <c r="L279" s="41">
        <f t="shared" si="553"/>
        <v>1650000</v>
      </c>
      <c r="M279" s="41">
        <f>SUMIF('Target Achieved- Input'!$L$185:$L$275,'Incentive Report- Output'!B279,'Target Achieved- Input'!$M$185:$M$275)</f>
        <v>1969513</v>
      </c>
      <c r="N279" s="41">
        <f>SUMIF('Target Achieved- Input'!$S$185:$S$275,'Incentive Report- Output'!B279,'Target Achieved- Input'!$U$185:$U$275)</f>
        <v>0</v>
      </c>
      <c r="O279" s="41">
        <f>SUMIF('Target Achieved- Input'!$L$185:$L$275,'Incentive Report- Output'!B279,'Target Achieved- Input'!$N$185:$N$275)-N279</f>
        <v>1669078.8135593196</v>
      </c>
      <c r="P279" s="40">
        <f t="shared" si="554"/>
        <v>1.0115629173086786</v>
      </c>
      <c r="Q279" s="40">
        <f t="shared" si="555"/>
        <v>1.0115629173086786</v>
      </c>
      <c r="R279" s="40">
        <v>0</v>
      </c>
      <c r="S279" s="49">
        <f>(LOOKUP(Q279,Policy!$L$12:$M$16)+R279)*O279</f>
        <v>37554.273305084687</v>
      </c>
      <c r="T279" s="185"/>
      <c r="U279" s="156"/>
      <c r="V279" s="51"/>
      <c r="W279" s="156"/>
      <c r="X279" s="386"/>
      <c r="Y279" s="386"/>
      <c r="Z279" s="389"/>
      <c r="AA279" s="52">
        <v>0</v>
      </c>
      <c r="AB279" s="52">
        <v>0</v>
      </c>
      <c r="AC279" s="52">
        <v>0</v>
      </c>
      <c r="AD279" s="41">
        <f t="shared" si="556"/>
        <v>0</v>
      </c>
      <c r="AE279" s="41">
        <f t="shared" si="557"/>
        <v>37554.273305084687</v>
      </c>
      <c r="AF279" s="41">
        <f>S279+W279+AB279+AC279</f>
        <v>37554.273305084687</v>
      </c>
      <c r="AG279" s="32"/>
      <c r="AH279" s="419"/>
      <c r="AI279" s="289" t="s">
        <v>671</v>
      </c>
      <c r="AJ279" s="289" t="s">
        <v>200</v>
      </c>
      <c r="AK279" s="289" t="s">
        <v>1184</v>
      </c>
      <c r="AL279" s="309">
        <v>37554.273305084687</v>
      </c>
      <c r="AM279" s="299">
        <f t="shared" si="558"/>
        <v>37554.273305084687</v>
      </c>
      <c r="AN279" s="300">
        <f t="shared" si="559"/>
        <v>0</v>
      </c>
    </row>
    <row r="280" spans="1:41" ht="15.75" hidden="1" customHeight="1" outlineLevel="1" x14ac:dyDescent="0.2">
      <c r="A280" s="42" t="s">
        <v>19</v>
      </c>
      <c r="B280" s="42" t="s">
        <v>205</v>
      </c>
      <c r="C280" s="79" t="s">
        <v>1185</v>
      </c>
      <c r="D280" s="293" t="s">
        <v>1184</v>
      </c>
      <c r="E280" s="47">
        <f>ROUND(SUMIF('Target Achieved- Input'!$B$185:$B$275,'Incentive Report- Output'!B280,'Target Achieved- Input'!$G$185:$G$275),0)</f>
        <v>60</v>
      </c>
      <c r="F280" s="47">
        <f>ROUND(SUMIF('Target Achieved- Input'!$B$185:$B$275,'Incentive Report- Output'!B280,'Target Achieved- Input'!$H$185:$H$275),0)</f>
        <v>78</v>
      </c>
      <c r="G280" s="47">
        <f>SUMIF('Target Achieved- Input'!$L$185:$L$275,'Incentive Report- Output'!B280,'Target Achieved- Input'!$O$185:$O$275)</f>
        <v>60</v>
      </c>
      <c r="H280" s="39">
        <f>SUMIF('Target Achieved- Input'!$S$185:$S$275,'Incentive Report- Output'!B280,'Target Achieved- Input'!$V$185:$V$275)</f>
        <v>0</v>
      </c>
      <c r="I280" s="48">
        <f>SUMIF('Target Achieved- Input'!$L$185:$L$275,'Incentive Report- Output'!B280,'Target Achieved- Input'!$AC$185:$AC$275)</f>
        <v>0</v>
      </c>
      <c r="J280" s="39">
        <f t="shared" si="551"/>
        <v>60</v>
      </c>
      <c r="K280" s="40">
        <f t="shared" si="552"/>
        <v>1</v>
      </c>
      <c r="L280" s="41">
        <f t="shared" si="553"/>
        <v>1980000</v>
      </c>
      <c r="M280" s="41">
        <f>SUMIF('Target Achieved- Input'!$L$185:$L$275,'Incentive Report- Output'!B280,'Target Achieved- Input'!$M$185:$M$275)</f>
        <v>3094590</v>
      </c>
      <c r="N280" s="41">
        <f>SUMIF('Target Achieved- Input'!$S$185:$S$275,'Incentive Report- Output'!B280,'Target Achieved- Input'!$U$185:$U$275)</f>
        <v>0</v>
      </c>
      <c r="O280" s="41">
        <f>SUMIF('Target Achieved- Input'!$L$185:$L$275,'Incentive Report- Output'!B280,'Target Achieved- Input'!$N$185:$N$275)-N280</f>
        <v>2622533.8983050799</v>
      </c>
      <c r="P280" s="40">
        <f t="shared" si="554"/>
        <v>1.3245120698510504</v>
      </c>
      <c r="Q280" s="40">
        <f t="shared" si="555"/>
        <v>1.3245120698510504</v>
      </c>
      <c r="R280" s="40">
        <v>0</v>
      </c>
      <c r="S280" s="49">
        <f>(LOOKUP(Q280,Policy!$L$12:$M$16)+R280)*O280</f>
        <v>78676.016949152399</v>
      </c>
      <c r="T280" s="191">
        <f>L279</f>
        <v>1650000</v>
      </c>
      <c r="U280" s="192">
        <f>O279</f>
        <v>1669078.8135593196</v>
      </c>
      <c r="V280" s="51">
        <f>IFERROR(U280/T280,0)</f>
        <v>1.0115629173086786</v>
      </c>
      <c r="W280" s="156">
        <f>LOOKUP(V280,Policy!$L$18:$M$21)*U280</f>
        <v>2503.6182203389794</v>
      </c>
      <c r="X280" s="386"/>
      <c r="Y280" s="386"/>
      <c r="Z280" s="389"/>
      <c r="AA280" s="52">
        <v>0</v>
      </c>
      <c r="AB280" s="52">
        <v>0</v>
      </c>
      <c r="AC280" s="52">
        <v>0</v>
      </c>
      <c r="AD280" s="41">
        <f t="shared" si="556"/>
        <v>0</v>
      </c>
      <c r="AE280" s="41">
        <f t="shared" si="557"/>
        <v>81179.635169491376</v>
      </c>
      <c r="AF280" s="41">
        <f>S280+W280+AB280+AC280</f>
        <v>81179.635169491376</v>
      </c>
      <c r="AG280" s="32"/>
      <c r="AH280" s="419"/>
      <c r="AI280" s="289" t="s">
        <v>19</v>
      </c>
      <c r="AJ280" s="289" t="s">
        <v>205</v>
      </c>
      <c r="AK280" s="289" t="s">
        <v>1184</v>
      </c>
      <c r="AL280" s="309">
        <v>81179.635169491376</v>
      </c>
      <c r="AM280" s="299">
        <f t="shared" si="558"/>
        <v>81179.635169491376</v>
      </c>
      <c r="AN280" s="300">
        <f t="shared" si="559"/>
        <v>0</v>
      </c>
    </row>
    <row r="281" spans="1:41" ht="15.75" hidden="1" customHeight="1" outlineLevel="1" x14ac:dyDescent="0.2">
      <c r="A281" s="42" t="s">
        <v>2091</v>
      </c>
      <c r="B281" s="42" t="s">
        <v>2092</v>
      </c>
      <c r="C281" s="79" t="s">
        <v>1</v>
      </c>
      <c r="D281" s="293" t="s">
        <v>1184</v>
      </c>
      <c r="E281" s="47">
        <f>ROUND(SUMIF('Target Achieved- Input'!$B$185:$B$275,'Incentive Report- Output'!B281,'Target Achieved- Input'!$G$185:$G$275),0)</f>
        <v>50</v>
      </c>
      <c r="F281" s="47">
        <f>ROUND(SUMIF('Target Achieved- Input'!$B$185:$B$275,'Incentive Report- Output'!B281,'Target Achieved- Input'!$H$185:$H$275),0)</f>
        <v>65</v>
      </c>
      <c r="G281" s="47">
        <f>SUMIF('Target Achieved- Input'!$L$185:$L$275,'Incentive Report- Output'!B281,'Target Achieved- Input'!$O$185:$O$275)</f>
        <v>8</v>
      </c>
      <c r="H281" s="39">
        <f>SUMIF('Target Achieved- Input'!$S$185:$S$275,'Incentive Report- Output'!B281,'Target Achieved- Input'!$V$185:$V$275)</f>
        <v>0</v>
      </c>
      <c r="I281" s="48">
        <f>SUMIF('Target Achieved- Input'!$L$185:$L$275,'Incentive Report- Output'!B281,'Target Achieved- Input'!$AC$185:$AC$275)</f>
        <v>0</v>
      </c>
      <c r="J281" s="39">
        <f t="shared" si="551"/>
        <v>8</v>
      </c>
      <c r="K281" s="40">
        <f t="shared" si="552"/>
        <v>0.16</v>
      </c>
      <c r="L281" s="41">
        <f t="shared" si="553"/>
        <v>1650000</v>
      </c>
      <c r="M281" s="41">
        <f>SUMIF('Target Achieved- Input'!$L$185:$L$275,'Incentive Report- Output'!B281,'Target Achieved- Input'!$M$185:$M$275)</f>
        <v>359292</v>
      </c>
      <c r="N281" s="41">
        <f>SUMIF('Target Achieved- Input'!$S$185:$S$275,'Incentive Report- Output'!B281,'Target Achieved- Input'!$U$185:$U$275)</f>
        <v>0</v>
      </c>
      <c r="O281" s="41">
        <f>SUMIF('Target Achieved- Input'!$L$185:$L$275,'Incentive Report- Output'!B281,'Target Achieved- Input'!$N$185:$N$275)-N281</f>
        <v>304484.74576271133</v>
      </c>
      <c r="P281" s="40">
        <f t="shared" si="554"/>
        <v>0.18453620955315839</v>
      </c>
      <c r="Q281" s="40">
        <f t="shared" si="555"/>
        <v>0.18453620955315839</v>
      </c>
      <c r="R281" s="40">
        <v>0</v>
      </c>
      <c r="S281" s="49">
        <f>(LOOKUP(Q281,Policy!$L$12:$M$16)+R281)*O281</f>
        <v>0</v>
      </c>
      <c r="T281" s="191"/>
      <c r="U281" s="192"/>
      <c r="V281" s="144"/>
      <c r="W281" s="192"/>
      <c r="X281" s="386"/>
      <c r="Y281" s="386"/>
      <c r="Z281" s="389"/>
      <c r="AA281" s="52">
        <v>0</v>
      </c>
      <c r="AB281" s="52">
        <v>0</v>
      </c>
      <c r="AC281" s="52">
        <v>0</v>
      </c>
      <c r="AD281" s="41">
        <f t="shared" si="556"/>
        <v>0</v>
      </c>
      <c r="AE281" s="41">
        <f t="shared" si="557"/>
        <v>0</v>
      </c>
      <c r="AF281" s="41">
        <f t="shared" ref="AF281" si="560">S281+W281+AB281+AC281</f>
        <v>0</v>
      </c>
      <c r="AG281" s="32"/>
      <c r="AH281" s="419"/>
      <c r="AI281" s="289" t="s">
        <v>2091</v>
      </c>
      <c r="AJ281" s="289" t="s">
        <v>2092</v>
      </c>
      <c r="AK281" s="289" t="s">
        <v>1183</v>
      </c>
      <c r="AL281" s="309">
        <v>0</v>
      </c>
      <c r="AM281" s="299">
        <f t="shared" si="558"/>
        <v>0</v>
      </c>
      <c r="AN281" s="300">
        <f t="shared" si="559"/>
        <v>0</v>
      </c>
    </row>
    <row r="282" spans="1:41" ht="15.75" hidden="1" customHeight="1" outlineLevel="1" x14ac:dyDescent="0.2">
      <c r="A282" s="42" t="s">
        <v>333</v>
      </c>
      <c r="B282" s="42" t="s">
        <v>340</v>
      </c>
      <c r="C282" s="79" t="s">
        <v>1</v>
      </c>
      <c r="D282" s="293" t="s">
        <v>1184</v>
      </c>
      <c r="E282" s="47">
        <f>ROUND(SUMIF('Target Achieved- Input'!$B$185:$B$275,'Incentive Report- Output'!B282,'Target Achieved- Input'!$G$185:$G$275),0)</f>
        <v>0</v>
      </c>
      <c r="F282" s="47">
        <f>ROUND(SUMIF('Target Achieved- Input'!$B$185:$B$275,'Incentive Report- Output'!B282,'Target Achieved- Input'!$H$185:$H$275),0)</f>
        <v>0</v>
      </c>
      <c r="G282" s="47">
        <f>SUMIF('Target Achieved- Input'!$L$185:$L$275,'Incentive Report- Output'!B282,'Target Achieved- Input'!$O$185:$O$275)</f>
        <v>0</v>
      </c>
      <c r="H282" s="39">
        <f>SUMIF('Target Achieved- Input'!$S$185:$S$275,'Incentive Report- Output'!B282,'Target Achieved- Input'!$V$185:$V$275)</f>
        <v>0</v>
      </c>
      <c r="I282" s="48">
        <f>SUMIF('Target Achieved- Input'!$L$185:$L$275,'Incentive Report- Output'!B282,'Target Achieved- Input'!$AC$185:$AC$275)</f>
        <v>0</v>
      </c>
      <c r="J282" s="39">
        <f t="shared" si="551"/>
        <v>0</v>
      </c>
      <c r="K282" s="40">
        <f t="shared" si="552"/>
        <v>0</v>
      </c>
      <c r="L282" s="41">
        <f t="shared" si="553"/>
        <v>0</v>
      </c>
      <c r="M282" s="41">
        <f>SUMIF('Target Achieved- Input'!$L$185:$L$275,'Incentive Report- Output'!B282,'Target Achieved- Input'!$M$185:$M$275)</f>
        <v>0</v>
      </c>
      <c r="N282" s="41">
        <f>SUMIF('Target Achieved- Input'!$S$185:$S$275,'Incentive Report- Output'!B282,'Target Achieved- Input'!$U$185:$U$275)</f>
        <v>0</v>
      </c>
      <c r="O282" s="41">
        <f>SUMIF('Target Achieved- Input'!$L$185:$L$275,'Incentive Report- Output'!B282,'Target Achieved- Input'!$N$185:$N$275)-N282</f>
        <v>0</v>
      </c>
      <c r="P282" s="40">
        <f t="shared" si="554"/>
        <v>0</v>
      </c>
      <c r="Q282" s="40">
        <f t="shared" si="555"/>
        <v>0</v>
      </c>
      <c r="R282" s="40">
        <v>0</v>
      </c>
      <c r="S282" s="49">
        <f>(LOOKUP(Q282,Policy!$L$12:$M$16)+R282)*O282</f>
        <v>0</v>
      </c>
      <c r="T282" s="185"/>
      <c r="U282" s="156"/>
      <c r="V282" s="51"/>
      <c r="W282" s="156"/>
      <c r="X282" s="387"/>
      <c r="Y282" s="387"/>
      <c r="Z282" s="390"/>
      <c r="AA282" s="52">
        <v>0</v>
      </c>
      <c r="AB282" s="52">
        <v>0</v>
      </c>
      <c r="AC282" s="52">
        <v>0</v>
      </c>
      <c r="AD282" s="41">
        <f t="shared" si="556"/>
        <v>0</v>
      </c>
      <c r="AE282" s="41">
        <f t="shared" si="557"/>
        <v>0</v>
      </c>
      <c r="AF282" s="41">
        <f>S282+W282+AB282+AC282</f>
        <v>0</v>
      </c>
      <c r="AG282" s="32"/>
      <c r="AH282" s="419"/>
      <c r="AI282" s="289" t="s">
        <v>333</v>
      </c>
      <c r="AJ282" s="289" t="s">
        <v>340</v>
      </c>
      <c r="AK282" s="289" t="s">
        <v>1184</v>
      </c>
      <c r="AL282" s="309">
        <v>0</v>
      </c>
      <c r="AM282" s="299">
        <f t="shared" si="558"/>
        <v>0</v>
      </c>
      <c r="AN282" s="300">
        <f t="shared" si="559"/>
        <v>0</v>
      </c>
    </row>
    <row r="283" spans="1:41" ht="15.75" hidden="1" customHeight="1" outlineLevel="1" x14ac:dyDescent="0.2">
      <c r="A283" s="109" t="s">
        <v>6</v>
      </c>
      <c r="B283" s="109"/>
      <c r="C283" s="109"/>
      <c r="D283" s="292" t="s">
        <v>1184</v>
      </c>
      <c r="E283" s="88">
        <f>SUM(E277:E282)</f>
        <v>260</v>
      </c>
      <c r="F283" s="88">
        <f t="shared" ref="F283:J283" si="561">SUM(F277:F282)</f>
        <v>338</v>
      </c>
      <c r="G283" s="88">
        <f t="shared" si="561"/>
        <v>161</v>
      </c>
      <c r="H283" s="88">
        <f t="shared" si="561"/>
        <v>9</v>
      </c>
      <c r="I283" s="88">
        <f t="shared" si="561"/>
        <v>1</v>
      </c>
      <c r="J283" s="88">
        <f t="shared" si="561"/>
        <v>152</v>
      </c>
      <c r="K283" s="88"/>
      <c r="L283" s="88">
        <f t="shared" ref="L283:O283" si="562">SUM(L277:L282)</f>
        <v>8580000</v>
      </c>
      <c r="M283" s="88">
        <f t="shared" si="562"/>
        <v>8274939</v>
      </c>
      <c r="N283" s="88">
        <f t="shared" si="562"/>
        <v>348551.69491525361</v>
      </c>
      <c r="O283" s="88">
        <f t="shared" si="562"/>
        <v>6664108.4745762609</v>
      </c>
      <c r="P283" s="88"/>
      <c r="Q283" s="88"/>
      <c r="R283" s="88"/>
      <c r="S283" s="88">
        <f t="shared" ref="S283:AF283" si="563">SUM(S277:S282)</f>
        <v>126570.34533898284</v>
      </c>
      <c r="T283" s="88">
        <f t="shared" si="563"/>
        <v>1650000</v>
      </c>
      <c r="U283" s="88">
        <f t="shared" si="563"/>
        <v>1669078.8135593196</v>
      </c>
      <c r="V283" s="88">
        <f t="shared" si="563"/>
        <v>1.0115629173086786</v>
      </c>
      <c r="W283" s="88">
        <f t="shared" si="563"/>
        <v>2503.6182203389794</v>
      </c>
      <c r="X283" s="88">
        <f t="shared" si="563"/>
        <v>0</v>
      </c>
      <c r="Y283" s="88">
        <f t="shared" si="563"/>
        <v>0</v>
      </c>
      <c r="Z283" s="88">
        <f t="shared" si="563"/>
        <v>0</v>
      </c>
      <c r="AA283" s="88">
        <f t="shared" si="563"/>
        <v>0</v>
      </c>
      <c r="AB283" s="88">
        <f t="shared" si="563"/>
        <v>0</v>
      </c>
      <c r="AC283" s="88">
        <f t="shared" si="563"/>
        <v>0</v>
      </c>
      <c r="AD283" s="88">
        <f t="shared" si="563"/>
        <v>0</v>
      </c>
      <c r="AE283" s="88">
        <f t="shared" si="563"/>
        <v>129073.96355932181</v>
      </c>
      <c r="AF283" s="88">
        <f t="shared" si="563"/>
        <v>129073.96355932181</v>
      </c>
      <c r="AG283" s="31"/>
      <c r="AH283" s="419"/>
      <c r="AI283" s="286" t="s">
        <v>6</v>
      </c>
      <c r="AJ283" s="287"/>
      <c r="AK283" s="288" t="s">
        <v>1184</v>
      </c>
      <c r="AL283" s="303">
        <v>137550.9042372879</v>
      </c>
      <c r="AM283" s="303">
        <f>SUM(AM277:AM282)</f>
        <v>129073.96355932181</v>
      </c>
      <c r="AN283" s="307">
        <f>SUM(AN277:AN282)</f>
        <v>8476.9406779660876</v>
      </c>
    </row>
    <row r="284" spans="1:41" ht="15.75" hidden="1" customHeight="1" outlineLevel="1" x14ac:dyDescent="0.2">
      <c r="A284" s="391" t="s">
        <v>101</v>
      </c>
      <c r="B284" s="391"/>
      <c r="C284" s="391"/>
      <c r="D284" s="392"/>
      <c r="E284" s="106">
        <f t="shared" ref="E284:J284" si="564">E199+E204+E213+E217+E226+E234+E239+E244+E248+E256+E264+E269+E276+E283</f>
        <v>5020</v>
      </c>
      <c r="F284" s="106">
        <f t="shared" si="564"/>
        <v>6536</v>
      </c>
      <c r="G284" s="106">
        <f t="shared" si="564"/>
        <v>3486</v>
      </c>
      <c r="H284" s="106">
        <f t="shared" si="564"/>
        <v>371</v>
      </c>
      <c r="I284" s="106">
        <f t="shared" si="564"/>
        <v>78</v>
      </c>
      <c r="J284" s="106">
        <f t="shared" si="564"/>
        <v>3115</v>
      </c>
      <c r="K284" s="107"/>
      <c r="L284" s="106">
        <f>L199+L204+L213+L217+L226+L234+L239+L244+L248+L256+L264+L269+L276+L283</f>
        <v>165660000</v>
      </c>
      <c r="M284" s="106">
        <f>M199+M204+M213+M217+M226+M234+M239+M244+M248+M256+M264+M269+M276+M283</f>
        <v>145583964</v>
      </c>
      <c r="N284" s="106">
        <f>N199+N204+N213+N217+N226+N234+N239+N244+N248+N256+N264+N269+N276+N283</f>
        <v>12938711.016949132</v>
      </c>
      <c r="O284" s="106">
        <f>O199+O204+O213+O217+O226+O234+O239+O244+O248+O256+O264+O269+O276+O283</f>
        <v>110437529.66101678</v>
      </c>
      <c r="P284" s="107"/>
      <c r="Q284" s="108"/>
      <c r="R284" s="238"/>
      <c r="S284" s="106">
        <f>S199+S204+S213+S217+S226+S234+S239+S244+S248+S256+S264+S269+S276+S283</f>
        <v>1516808.1059322006</v>
      </c>
      <c r="T284" s="106">
        <f>T199+T204+T213+T217+T226+T234+T239+T244+T248+T256+T264+T269+T276+T283</f>
        <v>12375000</v>
      </c>
      <c r="U284" s="106">
        <f>U199+U204+U213+U217+U226+U234+U239+U244+U248+U256+U264+U269+U276+U283</f>
        <v>10270900.847457604</v>
      </c>
      <c r="V284" s="106"/>
      <c r="W284" s="106">
        <f>W199+W204+W213+W217+W226+W234+W239+W244+W248+W256+W264+W269+W276+W283</f>
        <v>16741.18389830504</v>
      </c>
      <c r="X284" s="106">
        <f>X199+X204+X213+X217+X226+X234+X239+X244+X248+X256+X264+X269+X276+X283</f>
        <v>2865</v>
      </c>
      <c r="Y284" s="106">
        <f>Y199+Y204+Y213+Y217+Y226+Y234+Y239+Y244+Y248+Y256+Y264+Y269+Y276+Y283</f>
        <v>1871</v>
      </c>
      <c r="Z284" s="173"/>
      <c r="AA284" s="106">
        <f t="shared" ref="AA284:AF284" si="565">AA199+AA204+AA213+AA217+AA226+AA234+AA239+AA244+AA248+AA256+AA264+AA269+AA276+AA283</f>
        <v>0</v>
      </c>
      <c r="AB284" s="106">
        <f t="shared" si="565"/>
        <v>0</v>
      </c>
      <c r="AC284" s="106">
        <f t="shared" si="565"/>
        <v>0</v>
      </c>
      <c r="AD284" s="106">
        <f t="shared" si="565"/>
        <v>0</v>
      </c>
      <c r="AE284" s="106">
        <f t="shared" si="565"/>
        <v>1533549.2898305056</v>
      </c>
      <c r="AF284" s="106">
        <f t="shared" si="565"/>
        <v>1533549.2898305056</v>
      </c>
      <c r="AG284" s="31"/>
      <c r="AH284" s="419"/>
      <c r="AI284" s="393" t="s">
        <v>9</v>
      </c>
      <c r="AJ284" s="394"/>
      <c r="AK284" s="395"/>
      <c r="AL284" s="173">
        <f>AL199+AL204+AL213+AL217+AL226+AL234+AL239+AL244+AL248+AL256+AL264+AL269+AL276+AL283</f>
        <v>1709164.8194915222</v>
      </c>
      <c r="AM284" s="173">
        <f>AM199+AM204+AM213+AM217+AM226+AM234+AM239+AM244+AM248+AM256+AM264+AM269+AM276+AM283</f>
        <v>1533549.2898305056</v>
      </c>
      <c r="AN284" s="173">
        <f>AN199+AN204+AN213+AN217+AN226+AN234+AN239+AN244+AN248+AN256+AN264+AN269+AN276+AN283</f>
        <v>175615.52966101668</v>
      </c>
    </row>
    <row r="285" spans="1:41" ht="15.75" customHeight="1" x14ac:dyDescent="0.2">
      <c r="A285" s="348"/>
      <c r="B285" s="348"/>
      <c r="C285" s="348"/>
      <c r="D285" s="349"/>
      <c r="E285" s="350"/>
      <c r="F285" s="350"/>
      <c r="G285" s="350"/>
      <c r="H285" s="350"/>
      <c r="I285" s="350"/>
      <c r="J285" s="350"/>
      <c r="K285" s="351"/>
      <c r="L285" s="350"/>
      <c r="M285" s="350"/>
      <c r="N285" s="350"/>
      <c r="O285" s="350"/>
      <c r="P285" s="351"/>
      <c r="Q285" s="352"/>
      <c r="R285" s="352"/>
      <c r="S285" s="350"/>
      <c r="T285" s="350"/>
      <c r="U285" s="350"/>
      <c r="V285" s="350"/>
      <c r="W285" s="350"/>
      <c r="X285" s="350"/>
      <c r="Y285" s="350"/>
      <c r="Z285" s="353"/>
      <c r="AA285" s="350"/>
      <c r="AB285" s="350"/>
      <c r="AC285" s="350"/>
      <c r="AD285" s="350"/>
      <c r="AE285" s="350"/>
      <c r="AF285" s="350"/>
      <c r="AG285" s="32"/>
      <c r="AH285" s="354"/>
      <c r="AI285" s="348"/>
      <c r="AJ285" s="348"/>
      <c r="AK285" s="348"/>
      <c r="AL285" s="353"/>
      <c r="AM285" s="353"/>
      <c r="AN285" s="353"/>
      <c r="AO285" s="334"/>
    </row>
    <row r="287" spans="1:41" ht="19" collapsed="1" x14ac:dyDescent="0.2">
      <c r="A287" s="155">
        <v>46204</v>
      </c>
      <c r="B287" s="119"/>
      <c r="C287" s="119"/>
      <c r="D287" s="291"/>
      <c r="E287" s="31"/>
      <c r="F287" s="31"/>
      <c r="G287" s="31"/>
      <c r="H287" s="32"/>
      <c r="I287" s="32"/>
      <c r="J287" s="31"/>
      <c r="K287" s="32"/>
      <c r="L287" s="31"/>
      <c r="M287" s="31"/>
      <c r="N287" s="32"/>
      <c r="O287" s="33"/>
      <c r="P287" s="34"/>
      <c r="Q287" s="35"/>
      <c r="R287" s="35"/>
      <c r="S287" s="35"/>
      <c r="T287" s="194"/>
      <c r="U287" s="194"/>
      <c r="V287" s="31"/>
      <c r="W287" s="194"/>
      <c r="X287" s="35"/>
      <c r="Y287" s="35"/>
      <c r="Z287" s="31"/>
      <c r="AA287" s="36"/>
      <c r="AB287" s="31"/>
      <c r="AC287" s="31"/>
      <c r="AD287" s="31"/>
      <c r="AE287" s="35"/>
      <c r="AF287" s="35"/>
      <c r="AG287" s="31"/>
      <c r="AH287" s="31"/>
      <c r="AI287" s="35"/>
      <c r="AJ287" s="35"/>
      <c r="AK287" s="35"/>
      <c r="AL287" s="295"/>
      <c r="AM287" s="295"/>
      <c r="AN287" s="295"/>
    </row>
    <row r="288" spans="1:41" ht="15.75" hidden="1" customHeight="1" outlineLevel="1" x14ac:dyDescent="0.2">
      <c r="A288" s="409" t="s">
        <v>74</v>
      </c>
      <c r="B288" s="410"/>
      <c r="C288" s="411"/>
      <c r="D288" s="412"/>
      <c r="E288" s="413" t="s">
        <v>1</v>
      </c>
      <c r="F288" s="414"/>
      <c r="G288" s="414"/>
      <c r="H288" s="414"/>
      <c r="I288" s="414"/>
      <c r="J288" s="414"/>
      <c r="K288" s="414"/>
      <c r="L288" s="414"/>
      <c r="M288" s="414"/>
      <c r="N288" s="414"/>
      <c r="O288" s="414"/>
      <c r="P288" s="414"/>
      <c r="Q288" s="414"/>
      <c r="R288" s="414"/>
      <c r="S288" s="414"/>
      <c r="T288" s="415" t="s">
        <v>75</v>
      </c>
      <c r="U288" s="414"/>
      <c r="V288" s="414"/>
      <c r="W288" s="414"/>
      <c r="X288" s="416" t="s">
        <v>76</v>
      </c>
      <c r="Y288" s="414"/>
      <c r="Z288" s="414"/>
      <c r="AA288" s="414"/>
      <c r="AB288" s="56" t="s">
        <v>204</v>
      </c>
      <c r="AC288" s="417" t="s">
        <v>2515</v>
      </c>
      <c r="AD288" s="414"/>
      <c r="AE288" s="414"/>
      <c r="AF288" s="418"/>
      <c r="AG288" s="31"/>
      <c r="AH288" s="419" t="s">
        <v>77</v>
      </c>
      <c r="AI288" s="409" t="s">
        <v>74</v>
      </c>
      <c r="AJ288" s="410"/>
      <c r="AK288" s="418"/>
      <c r="AL288" s="420" t="s">
        <v>78</v>
      </c>
      <c r="AM288" s="421"/>
      <c r="AN288" s="422"/>
    </row>
    <row r="289" spans="1:41" s="294" customFormat="1" ht="45" hidden="1" customHeight="1" outlineLevel="1" x14ac:dyDescent="0.2">
      <c r="A289" s="145" t="s">
        <v>79</v>
      </c>
      <c r="B289" s="146" t="s">
        <v>16</v>
      </c>
      <c r="C289" s="146" t="s">
        <v>2</v>
      </c>
      <c r="D289" s="147" t="s">
        <v>3</v>
      </c>
      <c r="E289" s="148" t="s">
        <v>80</v>
      </c>
      <c r="F289" s="149" t="s">
        <v>81</v>
      </c>
      <c r="G289" s="149" t="s">
        <v>215</v>
      </c>
      <c r="H289" s="149" t="s">
        <v>210</v>
      </c>
      <c r="I289" s="243" t="s">
        <v>949</v>
      </c>
      <c r="J289" s="149" t="s">
        <v>83</v>
      </c>
      <c r="K289" s="149" t="s">
        <v>84</v>
      </c>
      <c r="L289" s="149" t="s">
        <v>4</v>
      </c>
      <c r="M289" s="150" t="s">
        <v>213</v>
      </c>
      <c r="N289" s="150" t="s">
        <v>212</v>
      </c>
      <c r="O289" s="150" t="s">
        <v>211</v>
      </c>
      <c r="P289" s="150" t="s">
        <v>5</v>
      </c>
      <c r="Q289" s="149" t="s">
        <v>88</v>
      </c>
      <c r="R289" s="243" t="s">
        <v>950</v>
      </c>
      <c r="S289" s="150" t="s">
        <v>157</v>
      </c>
      <c r="T289" s="183" t="s">
        <v>255</v>
      </c>
      <c r="U289" s="183" t="s">
        <v>256</v>
      </c>
      <c r="V289" s="151" t="s">
        <v>104</v>
      </c>
      <c r="W289" s="183" t="s">
        <v>105</v>
      </c>
      <c r="X289" s="151" t="s">
        <v>90</v>
      </c>
      <c r="Y289" s="151" t="s">
        <v>91</v>
      </c>
      <c r="Z289" s="151" t="s">
        <v>92</v>
      </c>
      <c r="AA289" s="152" t="s">
        <v>93</v>
      </c>
      <c r="AB289" s="152" t="s">
        <v>202</v>
      </c>
      <c r="AC289" s="152" t="s">
        <v>185</v>
      </c>
      <c r="AD289" s="152" t="s">
        <v>95</v>
      </c>
      <c r="AE289" s="152" t="s">
        <v>96</v>
      </c>
      <c r="AF289" s="152" t="s">
        <v>97</v>
      </c>
      <c r="AG289" s="31"/>
      <c r="AH289" s="419"/>
      <c r="AI289" s="38" t="s">
        <v>79</v>
      </c>
      <c r="AJ289" s="38" t="str">
        <f>B289</f>
        <v>Employee ID</v>
      </c>
      <c r="AK289" s="38" t="s">
        <v>3</v>
      </c>
      <c r="AL289" s="297" t="s">
        <v>98</v>
      </c>
      <c r="AM289" s="297" t="s">
        <v>99</v>
      </c>
      <c r="AN289" s="297" t="s">
        <v>100</v>
      </c>
      <c r="AO289" s="298"/>
    </row>
    <row r="290" spans="1:41" ht="15.75" hidden="1" customHeight="1" outlineLevel="1" x14ac:dyDescent="0.2">
      <c r="A290" s="79" t="s">
        <v>191</v>
      </c>
      <c r="B290" s="161" t="s">
        <v>195</v>
      </c>
      <c r="C290" s="79" t="s">
        <v>0</v>
      </c>
      <c r="D290" s="1" t="s">
        <v>663</v>
      </c>
      <c r="E290" s="47">
        <f>ROUND(SUMIF('Target Achieved- Input'!$B$278:$B$370,'Incentive Report- Output'!B290,'Target Achieved- Input'!$G$278:$G$370),0)</f>
        <v>60</v>
      </c>
      <c r="F290" s="47">
        <f>ROUND(SUMIF('Target Achieved- Input'!$B$278:$B$370,'Incentive Report- Output'!B290,'Target Achieved- Input'!$H$278:$H$370),0)</f>
        <v>78</v>
      </c>
      <c r="G290" s="47">
        <f>SUMIF('Target Achieved- Input'!$L$278:$L$370,'Incentive Report- Output'!B290,'Target Achieved- Input'!$O$278:$O$370)</f>
        <v>26</v>
      </c>
      <c r="H290" s="39">
        <f>SUMIF('Target Achieved- Input'!$S$278:$S$370,'Incentive Report- Output'!B290,'Target Achieved- Input'!$V$278:$V$370)</f>
        <v>21</v>
      </c>
      <c r="I290" s="48">
        <f>SUMIF('Target Achieved- Input'!$L$278:$L$370,'Incentive Report- Output'!B290,'Target Achieved- Input'!$AC$278:$AC$370)</f>
        <v>0</v>
      </c>
      <c r="J290" s="39">
        <f>G290-H290</f>
        <v>5</v>
      </c>
      <c r="K290" s="40">
        <f t="shared" ref="K290" si="566">IFERROR(J290/E290,0)</f>
        <v>8.3333333333333329E-2</v>
      </c>
      <c r="L290" s="41">
        <f t="shared" ref="L290" si="567">E290*33000</f>
        <v>1980000</v>
      </c>
      <c r="M290" s="41">
        <f>SUMIF('Target Achieved- Input'!$L$278:$L$370,'Incentive Report- Output'!B290,'Target Achieved- Input'!$M$278:$M$370)</f>
        <v>1280124</v>
      </c>
      <c r="N290" s="41">
        <f>SUMIF('Target Achieved- Input'!$S$278:$S$370,'Incentive Report- Output'!B290,'Target Achieved- Input'!$U$278:$U$370)</f>
        <v>817058.4744000003</v>
      </c>
      <c r="O290" s="41">
        <f>SUMIF('Target Achieved- Input'!$L$278:$L$370,'Incentive Report- Output'!B290,'Target Achieved- Input'!$N$278:$N$370)-N290</f>
        <v>267792.37299999956</v>
      </c>
      <c r="P290" s="40">
        <f t="shared" ref="P290" si="568">IFERROR(O290/L290,0)</f>
        <v>0.13524867323232301</v>
      </c>
      <c r="Q290" s="40">
        <f t="shared" ref="Q290" si="569">MAX(P290,K290)</f>
        <v>0.13524867323232301</v>
      </c>
      <c r="R290" s="40">
        <v>0</v>
      </c>
      <c r="S290" s="49">
        <f>(LOOKUP(Q290,Policy!$L$12:$M$16)+R290)*O290</f>
        <v>0</v>
      </c>
      <c r="T290" s="184"/>
      <c r="U290" s="184"/>
      <c r="V290" s="115"/>
      <c r="W290" s="184"/>
      <c r="X290" s="423">
        <f>E295</f>
        <v>220</v>
      </c>
      <c r="Y290" s="423">
        <f>J295</f>
        <v>147</v>
      </c>
      <c r="Z290" s="425">
        <f>Y290/X290</f>
        <v>0.66818181818181821</v>
      </c>
      <c r="AA290" s="52">
        <v>0</v>
      </c>
      <c r="AB290" s="41">
        <v>0</v>
      </c>
      <c r="AC290" s="41">
        <v>0</v>
      </c>
      <c r="AD290" s="41">
        <f t="shared" ref="AD290:AD294" si="570">IF(AF290&gt;200000,AF290-200000,0)</f>
        <v>0</v>
      </c>
      <c r="AE290" s="41">
        <f t="shared" ref="AE290:AE294" si="571">AF290-AD290</f>
        <v>0</v>
      </c>
      <c r="AF290" s="41">
        <f>S290+W290+AB290+AC290</f>
        <v>0</v>
      </c>
      <c r="AG290" s="31"/>
      <c r="AH290" s="419"/>
      <c r="AI290" s="22" t="s">
        <v>191</v>
      </c>
      <c r="AJ290" s="19" t="s">
        <v>195</v>
      </c>
      <c r="AK290" s="195" t="s">
        <v>663</v>
      </c>
      <c r="AL290" s="299">
        <v>5424.2542369999992</v>
      </c>
      <c r="AM290" s="299">
        <f t="shared" ref="AM290:AM294" si="572">AF290</f>
        <v>0</v>
      </c>
      <c r="AN290" s="300">
        <f>AL290-AM290</f>
        <v>5424.2542369999992</v>
      </c>
    </row>
    <row r="291" spans="1:41" ht="15.75" hidden="1" customHeight="1" outlineLevel="1" x14ac:dyDescent="0.2">
      <c r="A291" s="79" t="s">
        <v>31</v>
      </c>
      <c r="B291" s="79" t="s">
        <v>32</v>
      </c>
      <c r="C291" s="79" t="s">
        <v>1</v>
      </c>
      <c r="D291" s="1" t="s">
        <v>663</v>
      </c>
      <c r="E291" s="47">
        <f>ROUND(SUMIF('Target Achieved- Input'!$B$278:$B$370,'Incentive Report- Output'!B291,'Target Achieved- Input'!$G$278:$G$370),0)</f>
        <v>50</v>
      </c>
      <c r="F291" s="47">
        <f>ROUND(SUMIF('Target Achieved- Input'!$B$278:$B$370,'Incentive Report- Output'!B291,'Target Achieved- Input'!$H$278:$H$370),0)</f>
        <v>65</v>
      </c>
      <c r="G291" s="47">
        <f>SUMIF('Target Achieved- Input'!$L$278:$L$370,'Incentive Report- Output'!B291,'Target Achieved- Input'!$O$278:$O$370)</f>
        <v>36</v>
      </c>
      <c r="H291" s="39">
        <f>SUMIF('Target Achieved- Input'!$S$278:$S$370,'Incentive Report- Output'!B291,'Target Achieved- Input'!$V$278:$V$370)</f>
        <v>9</v>
      </c>
      <c r="I291" s="48">
        <f>SUMIF('Target Achieved- Input'!$L$278:$L$370,'Incentive Report- Output'!B291,'Target Achieved- Input'!$AC$278:$AC$370)</f>
        <v>2</v>
      </c>
      <c r="J291" s="39">
        <f t="shared" ref="J291:J294" si="573">G291-H291</f>
        <v>27</v>
      </c>
      <c r="K291" s="40">
        <f t="shared" ref="K291:K294" si="574">IFERROR(J291/E291,0)</f>
        <v>0.54</v>
      </c>
      <c r="L291" s="41">
        <f t="shared" ref="L291:L294" si="575">E291*33000</f>
        <v>1650000</v>
      </c>
      <c r="M291" s="41">
        <f>SUMIF('Target Achieved- Input'!$L$278:$L$370,'Incentive Report- Output'!B291,'Target Achieved- Input'!$M$278:$M$370)</f>
        <v>1402164</v>
      </c>
      <c r="N291" s="41">
        <f>SUMIF('Target Achieved- Input'!$S$278:$S$370,'Incentive Report- Output'!B291,'Target Achieved- Input'!$U$278:$U$370)</f>
        <v>324272.03389999998</v>
      </c>
      <c r="O291" s="41">
        <f>SUMIF('Target Achieved- Input'!$L$278:$L$370,'Incentive Report- Output'!B291,'Target Achieved- Input'!$N$278:$N$370)-N291</f>
        <v>864002.54221999994</v>
      </c>
      <c r="P291" s="40">
        <f t="shared" ref="P291:P294" si="576">IFERROR(O291/L291,0)</f>
        <v>0.52363790437575752</v>
      </c>
      <c r="Q291" s="40">
        <f t="shared" ref="Q291:Q294" si="577">MAX(P291,K291)</f>
        <v>0.54</v>
      </c>
      <c r="R291" s="40">
        <v>0</v>
      </c>
      <c r="S291" s="49">
        <f>(LOOKUP(Q291,Policy!$L$12:$M$16)+R291)*O291</f>
        <v>4320.0127111000002</v>
      </c>
      <c r="T291" s="184"/>
      <c r="U291" s="184"/>
      <c r="V291" s="40"/>
      <c r="W291" s="53"/>
      <c r="X291" s="424"/>
      <c r="Y291" s="424"/>
      <c r="Z291" s="426"/>
      <c r="AA291" s="55">
        <v>0</v>
      </c>
      <c r="AB291" s="41">
        <v>0</v>
      </c>
      <c r="AC291" s="41">
        <v>0</v>
      </c>
      <c r="AD291" s="41">
        <f t="shared" si="570"/>
        <v>0</v>
      </c>
      <c r="AE291" s="41">
        <f t="shared" si="571"/>
        <v>4320.0127111000002</v>
      </c>
      <c r="AF291" s="41">
        <f>S291+W291+AB291+AC291</f>
        <v>4320.0127111000002</v>
      </c>
      <c r="AG291" s="31"/>
      <c r="AH291" s="419"/>
      <c r="AI291" s="22" t="s">
        <v>31</v>
      </c>
      <c r="AJ291" s="22" t="s">
        <v>32</v>
      </c>
      <c r="AK291" s="195" t="s">
        <v>663</v>
      </c>
      <c r="AL291" s="299">
        <v>5941.372880599999</v>
      </c>
      <c r="AM291" s="299">
        <f t="shared" si="572"/>
        <v>4320.0127111000002</v>
      </c>
      <c r="AN291" s="300">
        <f t="shared" ref="AN291:AN294" si="578">AL291-AM291</f>
        <v>1621.3601694999988</v>
      </c>
    </row>
    <row r="292" spans="1:41" ht="15.75" hidden="1" customHeight="1" outlineLevel="1" x14ac:dyDescent="0.2">
      <c r="A292" s="79" t="s">
        <v>756</v>
      </c>
      <c r="B292" s="79" t="s">
        <v>757</v>
      </c>
      <c r="C292" s="79" t="s">
        <v>1</v>
      </c>
      <c r="D292" s="1" t="s">
        <v>663</v>
      </c>
      <c r="E292" s="47">
        <f>ROUND(SUMIF('Target Achieved- Input'!$B$278:$B$370,'Incentive Report- Output'!B292,'Target Achieved- Input'!$G$278:$G$370),0)</f>
        <v>30</v>
      </c>
      <c r="F292" s="47">
        <f>ROUND(SUMIF('Target Achieved- Input'!$B$278:$B$370,'Incentive Report- Output'!B292,'Target Achieved- Input'!$H$278:$H$370),0)</f>
        <v>39</v>
      </c>
      <c r="G292" s="47">
        <f>SUMIF('Target Achieved- Input'!$L$278:$L$370,'Incentive Report- Output'!B292,'Target Achieved- Input'!$O$278:$O$370)</f>
        <v>49</v>
      </c>
      <c r="H292" s="39">
        <f>SUMIF('Target Achieved- Input'!$S$278:$S$370,'Incentive Report- Output'!B292,'Target Achieved- Input'!$V$278:$V$370)</f>
        <v>9</v>
      </c>
      <c r="I292" s="48">
        <f>SUMIF('Target Achieved- Input'!$L$278:$L$370,'Incentive Report- Output'!B292,'Target Achieved- Input'!$AC$278:$AC$370)</f>
        <v>1</v>
      </c>
      <c r="J292" s="39">
        <f t="shared" si="573"/>
        <v>40</v>
      </c>
      <c r="K292" s="40">
        <f t="shared" si="574"/>
        <v>1.3333333333333333</v>
      </c>
      <c r="L292" s="41">
        <f t="shared" si="575"/>
        <v>990000</v>
      </c>
      <c r="M292" s="41">
        <f>SUMIF('Target Achieved- Input'!$L$278:$L$370,'Incentive Report- Output'!B292,'Target Achieved- Input'!$M$278:$M$370)</f>
        <v>2411951</v>
      </c>
      <c r="N292" s="41">
        <f>SUMIF('Target Achieved- Input'!$S$278:$S$370,'Incentive Report- Output'!B292,'Target Achieved- Input'!$U$278:$U$370)</f>
        <v>377365.25430000003</v>
      </c>
      <c r="O292" s="41">
        <f>SUMIF('Target Achieved- Input'!$L$278:$L$370,'Incentive Report- Output'!B292,'Target Achieved- Input'!$N$278:$N$370)-N292</f>
        <v>1666661.0162900002</v>
      </c>
      <c r="P292" s="40">
        <f t="shared" si="576"/>
        <v>1.6834959760505053</v>
      </c>
      <c r="Q292" s="40">
        <f t="shared" si="577"/>
        <v>1.6834959760505053</v>
      </c>
      <c r="R292" s="40">
        <v>0</v>
      </c>
      <c r="S292" s="49">
        <f>(LOOKUP(Q292,Policy!$L$12:$M$16)+R292)*O292</f>
        <v>49999.830488700005</v>
      </c>
      <c r="T292" s="184"/>
      <c r="U292" s="184"/>
      <c r="V292" s="40"/>
      <c r="W292" s="53"/>
      <c r="X292" s="424"/>
      <c r="Y292" s="424"/>
      <c r="Z292" s="426"/>
      <c r="AA292" s="55">
        <v>0</v>
      </c>
      <c r="AB292" s="41">
        <v>0</v>
      </c>
      <c r="AC292" s="41">
        <v>0</v>
      </c>
      <c r="AD292" s="41">
        <f t="shared" si="570"/>
        <v>0</v>
      </c>
      <c r="AE292" s="41">
        <f t="shared" si="571"/>
        <v>49999.830488700005</v>
      </c>
      <c r="AF292" s="41">
        <f>S292+W292+AB292+AC292</f>
        <v>49999.830488700005</v>
      </c>
      <c r="AG292" s="31"/>
      <c r="AH292" s="419"/>
      <c r="AI292" s="22" t="s">
        <v>756</v>
      </c>
      <c r="AJ292" s="22" t="s">
        <v>757</v>
      </c>
      <c r="AK292" s="195" t="s">
        <v>663</v>
      </c>
      <c r="AL292" s="299">
        <v>61320.788117700009</v>
      </c>
      <c r="AM292" s="299">
        <f t="shared" si="572"/>
        <v>49999.830488700005</v>
      </c>
      <c r="AN292" s="300">
        <f t="shared" si="578"/>
        <v>11320.957629000004</v>
      </c>
    </row>
    <row r="293" spans="1:41" ht="15.75" hidden="1" customHeight="1" outlineLevel="1" x14ac:dyDescent="0.2">
      <c r="A293" s="79" t="s">
        <v>705</v>
      </c>
      <c r="B293" s="79" t="s">
        <v>686</v>
      </c>
      <c r="C293" s="79" t="s">
        <v>1</v>
      </c>
      <c r="D293" s="1" t="s">
        <v>663</v>
      </c>
      <c r="E293" s="47">
        <f>ROUND(SUMIF('Target Achieved- Input'!$B$278:$B$370,'Incentive Report- Output'!B293,'Target Achieved- Input'!$G$278:$G$370),0)</f>
        <v>30</v>
      </c>
      <c r="F293" s="47">
        <f>ROUND(SUMIF('Target Achieved- Input'!$B$278:$B$370,'Incentive Report- Output'!B293,'Target Achieved- Input'!$H$278:$H$370),0)</f>
        <v>39</v>
      </c>
      <c r="G293" s="47">
        <f>SUMIF('Target Achieved- Input'!$L$278:$L$370,'Incentive Report- Output'!B293,'Target Achieved- Input'!$O$278:$O$370)</f>
        <v>54</v>
      </c>
      <c r="H293" s="39">
        <f>SUMIF('Target Achieved- Input'!$S$278:$S$370,'Incentive Report- Output'!B293,'Target Achieved- Input'!$V$278:$V$370)</f>
        <v>0</v>
      </c>
      <c r="I293" s="48">
        <f>SUMIF('Target Achieved- Input'!$L$278:$L$370,'Incentive Report- Output'!B293,'Target Achieved- Input'!$AC$278:$AC$370)</f>
        <v>0</v>
      </c>
      <c r="J293" s="39">
        <f t="shared" si="573"/>
        <v>54</v>
      </c>
      <c r="K293" s="40">
        <f t="shared" si="574"/>
        <v>1.8</v>
      </c>
      <c r="L293" s="41">
        <f t="shared" si="575"/>
        <v>990000</v>
      </c>
      <c r="M293" s="41">
        <f>SUMIF('Target Achieved- Input'!$L$278:$L$370,'Incentive Report- Output'!B293,'Target Achieved- Input'!$M$278:$M$370)</f>
        <v>2654996</v>
      </c>
      <c r="N293" s="41">
        <f>SUMIF('Target Achieved- Input'!$S$278:$S$370,'Incentive Report- Output'!B293,'Target Achieved- Input'!$U$278:$U$370)</f>
        <v>0</v>
      </c>
      <c r="O293" s="41">
        <f>SUMIF('Target Achieved- Input'!$L$278:$L$370,'Incentive Report- Output'!B293,'Target Achieved- Input'!$N$278:$N$370)-N293</f>
        <v>2249996.6095000012</v>
      </c>
      <c r="P293" s="40">
        <f t="shared" si="576"/>
        <v>2.2727238479797993</v>
      </c>
      <c r="Q293" s="40">
        <f t="shared" si="577"/>
        <v>2.2727238479797993</v>
      </c>
      <c r="R293" s="40">
        <v>0</v>
      </c>
      <c r="S293" s="49">
        <f>(LOOKUP(Q293,Policy!$L$12:$M$16)+R293)*O293</f>
        <v>67499.898285000032</v>
      </c>
      <c r="T293" s="184"/>
      <c r="U293" s="184"/>
      <c r="V293" s="40"/>
      <c r="W293" s="53"/>
      <c r="X293" s="424"/>
      <c r="Y293" s="424"/>
      <c r="Z293" s="426"/>
      <c r="AA293" s="55">
        <v>0</v>
      </c>
      <c r="AB293" s="41">
        <v>0</v>
      </c>
      <c r="AC293" s="41">
        <v>0</v>
      </c>
      <c r="AD293" s="41">
        <f t="shared" si="570"/>
        <v>0</v>
      </c>
      <c r="AE293" s="41">
        <f t="shared" si="571"/>
        <v>67499.898285000032</v>
      </c>
      <c r="AF293" s="41">
        <f>S293+W293+AB293+AC293</f>
        <v>67499.898285000032</v>
      </c>
      <c r="AG293" s="31"/>
      <c r="AH293" s="419"/>
      <c r="AI293" s="22" t="s">
        <v>705</v>
      </c>
      <c r="AJ293" s="22" t="s">
        <v>686</v>
      </c>
      <c r="AK293" s="195" t="s">
        <v>663</v>
      </c>
      <c r="AL293" s="299">
        <v>67499.898285000032</v>
      </c>
      <c r="AM293" s="299">
        <f t="shared" si="572"/>
        <v>67499.898285000032</v>
      </c>
      <c r="AN293" s="300">
        <f t="shared" si="578"/>
        <v>0</v>
      </c>
    </row>
    <row r="294" spans="1:41" ht="15.75" hidden="1" customHeight="1" outlineLevel="1" x14ac:dyDescent="0.2">
      <c r="A294" s="79" t="s">
        <v>248</v>
      </c>
      <c r="B294" s="79" t="s">
        <v>251</v>
      </c>
      <c r="C294" s="79" t="s">
        <v>1</v>
      </c>
      <c r="D294" s="1" t="s">
        <v>663</v>
      </c>
      <c r="E294" s="47">
        <f>ROUND(SUMIF('Target Achieved- Input'!$B$278:$B$370,'Incentive Report- Output'!B294,'Target Achieved- Input'!$G$278:$G$370),0)</f>
        <v>50</v>
      </c>
      <c r="F294" s="47">
        <f>ROUND(SUMIF('Target Achieved- Input'!$B$278:$B$370,'Incentive Report- Output'!B294,'Target Achieved- Input'!$H$278:$H$370),0)</f>
        <v>65</v>
      </c>
      <c r="G294" s="47">
        <f>SUMIF('Target Achieved- Input'!$L$278:$L$370,'Incentive Report- Output'!B294,'Target Achieved- Input'!$O$278:$O$370)</f>
        <v>25</v>
      </c>
      <c r="H294" s="39">
        <f>SUMIF('Target Achieved- Input'!$S$278:$S$370,'Incentive Report- Output'!B294,'Target Achieved- Input'!$V$278:$V$370)</f>
        <v>4</v>
      </c>
      <c r="I294" s="48">
        <f>SUMIF('Target Achieved- Input'!$L$278:$L$370,'Incentive Report- Output'!B294,'Target Achieved- Input'!$AC$278:$AC$370)</f>
        <v>0</v>
      </c>
      <c r="J294" s="39">
        <f t="shared" si="573"/>
        <v>21</v>
      </c>
      <c r="K294" s="40">
        <f t="shared" si="574"/>
        <v>0.42</v>
      </c>
      <c r="L294" s="41">
        <f t="shared" si="575"/>
        <v>1650000</v>
      </c>
      <c r="M294" s="41">
        <f>SUMIF('Target Achieved- Input'!$L$278:$L$370,'Incentive Report- Output'!B294,'Target Achieved- Input'!$M$278:$M$370)</f>
        <v>1130375</v>
      </c>
      <c r="N294" s="41">
        <f>SUMIF('Target Achieved- Input'!$S$278:$S$370,'Incentive Report- Output'!B294,'Target Achieved- Input'!$U$278:$U$370)</f>
        <v>175928.81349999999</v>
      </c>
      <c r="O294" s="41">
        <f>SUMIF('Target Achieved- Input'!$L$278:$L$370,'Incentive Report- Output'!B294,'Target Achieved- Input'!$N$278:$N$370)-N294</f>
        <v>782016.10160000017</v>
      </c>
      <c r="P294" s="40">
        <f t="shared" si="576"/>
        <v>0.47394915248484859</v>
      </c>
      <c r="Q294" s="40">
        <f t="shared" si="577"/>
        <v>0.47394915248484859</v>
      </c>
      <c r="R294" s="40">
        <v>0</v>
      </c>
      <c r="S294" s="49">
        <f>(LOOKUP(Q294,Policy!$L$12:$M$16)+R294)*O294</f>
        <v>0</v>
      </c>
      <c r="T294" s="185"/>
      <c r="U294" s="156"/>
      <c r="V294" s="51"/>
      <c r="W294" s="156"/>
      <c r="X294" s="424"/>
      <c r="Y294" s="424"/>
      <c r="Z294" s="426"/>
      <c r="AA294" s="55">
        <v>0</v>
      </c>
      <c r="AB294" s="41">
        <v>0</v>
      </c>
      <c r="AC294" s="41">
        <v>0</v>
      </c>
      <c r="AD294" s="41">
        <f t="shared" si="570"/>
        <v>0</v>
      </c>
      <c r="AE294" s="41">
        <f t="shared" si="571"/>
        <v>0</v>
      </c>
      <c r="AF294" s="41">
        <f>S294+W294+AB294+AC294</f>
        <v>0</v>
      </c>
      <c r="AG294" s="32"/>
      <c r="AH294" s="419"/>
      <c r="AI294" s="22" t="s">
        <v>248</v>
      </c>
      <c r="AJ294" s="22" t="s">
        <v>251</v>
      </c>
      <c r="AK294" s="195" t="s">
        <v>663</v>
      </c>
      <c r="AL294" s="301">
        <v>4789.7245755000004</v>
      </c>
      <c r="AM294" s="301">
        <f t="shared" si="572"/>
        <v>0</v>
      </c>
      <c r="AN294" s="302">
        <f t="shared" si="578"/>
        <v>4789.7245755000004</v>
      </c>
      <c r="AO294" s="334"/>
    </row>
    <row r="295" spans="1:41" ht="15.75" hidden="1" customHeight="1" outlineLevel="1" x14ac:dyDescent="0.2">
      <c r="A295" s="109" t="s">
        <v>6</v>
      </c>
      <c r="B295" s="109"/>
      <c r="C295" s="109"/>
      <c r="D295" s="292" t="s">
        <v>663</v>
      </c>
      <c r="E295" s="44">
        <f t="shared" ref="E295:J295" si="579">SUM(E290:E294)</f>
        <v>220</v>
      </c>
      <c r="F295" s="44">
        <f t="shared" si="579"/>
        <v>286</v>
      </c>
      <c r="G295" s="44">
        <f t="shared" si="579"/>
        <v>190</v>
      </c>
      <c r="H295" s="44">
        <f t="shared" si="579"/>
        <v>43</v>
      </c>
      <c r="I295" s="44">
        <f t="shared" si="579"/>
        <v>3</v>
      </c>
      <c r="J295" s="44">
        <f t="shared" si="579"/>
        <v>147</v>
      </c>
      <c r="K295" s="44"/>
      <c r="L295" s="44">
        <f>SUM(L290:L294)</f>
        <v>7260000</v>
      </c>
      <c r="M295" s="44">
        <f>SUM(M290:M294)</f>
        <v>8879610</v>
      </c>
      <c r="N295" s="44">
        <f>SUM(N290:N294)</f>
        <v>1694624.5761000004</v>
      </c>
      <c r="O295" s="44">
        <f>SUM(O290:O294)</f>
        <v>5830468.6426100004</v>
      </c>
      <c r="P295" s="45"/>
      <c r="Q295" s="46"/>
      <c r="R295" s="46"/>
      <c r="S295" s="44">
        <f t="shared" ref="S295:AF295" si="580">SUM(S290:S294)</f>
        <v>121819.74148480003</v>
      </c>
      <c r="T295" s="187">
        <f t="shared" si="580"/>
        <v>0</v>
      </c>
      <c r="U295" s="187">
        <f t="shared" si="580"/>
        <v>0</v>
      </c>
      <c r="V295" s="104">
        <f t="shared" si="580"/>
        <v>0</v>
      </c>
      <c r="W295" s="187">
        <f t="shared" si="580"/>
        <v>0</v>
      </c>
      <c r="X295" s="44">
        <f t="shared" si="580"/>
        <v>220</v>
      </c>
      <c r="Y295" s="44">
        <f t="shared" si="580"/>
        <v>147</v>
      </c>
      <c r="Z295" s="54">
        <f t="shared" si="580"/>
        <v>0.66818181818181821</v>
      </c>
      <c r="AA295" s="44">
        <f t="shared" si="580"/>
        <v>0</v>
      </c>
      <c r="AB295" s="44">
        <f t="shared" si="580"/>
        <v>0</v>
      </c>
      <c r="AC295" s="44">
        <f t="shared" si="580"/>
        <v>0</v>
      </c>
      <c r="AD295" s="44">
        <f t="shared" si="580"/>
        <v>0</v>
      </c>
      <c r="AE295" s="44">
        <f t="shared" si="580"/>
        <v>121819.74148480003</v>
      </c>
      <c r="AF295" s="44">
        <f t="shared" si="580"/>
        <v>121819.74148480003</v>
      </c>
      <c r="AG295" s="31"/>
      <c r="AH295" s="419"/>
      <c r="AI295" s="43" t="s">
        <v>6</v>
      </c>
      <c r="AJ295" s="43"/>
      <c r="AK295" s="43" t="s">
        <v>663</v>
      </c>
      <c r="AL295" s="303">
        <v>144976.03809580003</v>
      </c>
      <c r="AM295" s="303">
        <f>SUM(AM290:AM294)</f>
        <v>121819.74148480003</v>
      </c>
      <c r="AN295" s="303">
        <f>SUM(AN290:AN294)</f>
        <v>23156.296611000002</v>
      </c>
    </row>
    <row r="296" spans="1:41" ht="15.75" hidden="1" customHeight="1" outlineLevel="1" x14ac:dyDescent="0.2">
      <c r="A296" s="79" t="s">
        <v>224</v>
      </c>
      <c r="B296" s="161" t="s">
        <v>33</v>
      </c>
      <c r="C296" s="79" t="s">
        <v>0</v>
      </c>
      <c r="D296" s="1" t="s">
        <v>666</v>
      </c>
      <c r="E296" s="47">
        <f>ROUND(SUMIF('Target Achieved- Input'!$B$278:$B$370,'Incentive Report- Output'!B296,'Target Achieved- Input'!$G$278:$G$370),0)</f>
        <v>30</v>
      </c>
      <c r="F296" s="47">
        <f>ROUND(SUMIF('Target Achieved- Input'!$B$278:$B$370,'Incentive Report- Output'!B296,'Target Achieved- Input'!$H$278:$H$370),0)</f>
        <v>39</v>
      </c>
      <c r="G296" s="47">
        <f>SUMIF('Target Achieved- Input'!$L$278:$L$370,'Incentive Report- Output'!B296,'Target Achieved- Input'!$O$278:$O$370)</f>
        <v>69</v>
      </c>
      <c r="H296" s="39">
        <f>SUMIF('Target Achieved- Input'!$S$278:$S$370,'Incentive Report- Output'!B296,'Target Achieved- Input'!$V$278:$V$370)</f>
        <v>1</v>
      </c>
      <c r="I296" s="48">
        <f>SUMIF('Target Achieved- Input'!$L$278:$L$370,'Incentive Report- Output'!B296,'Target Achieved- Input'!$AC$278:$AC$370)</f>
        <v>0</v>
      </c>
      <c r="J296" s="39">
        <f t="shared" ref="J296:J299" si="581">G296-H296</f>
        <v>68</v>
      </c>
      <c r="K296" s="40">
        <f t="shared" ref="K296:K299" si="582">IFERROR(J296/E296,0)</f>
        <v>2.2666666666666666</v>
      </c>
      <c r="L296" s="41">
        <f t="shared" ref="L296:L299" si="583">E296*33000</f>
        <v>990000</v>
      </c>
      <c r="M296" s="41">
        <f>SUMIF('Target Achieved- Input'!$L$278:$L$370,'Incentive Report- Output'!B296,'Target Achieved- Input'!$M$278:$M$370)</f>
        <v>3617531</v>
      </c>
      <c r="N296" s="41">
        <f>SUMIF('Target Achieved- Input'!$S$278:$S$370,'Incentive Report- Output'!B296,'Target Achieved- Input'!$U$278:$U$370)</f>
        <v>28219.4915</v>
      </c>
      <c r="O296" s="41">
        <f>SUMIF('Target Achieved- Input'!$L$278:$L$370,'Incentive Report- Output'!B296,'Target Achieved- Input'!$N$278:$N$370)-N296</f>
        <v>3037484.7443000018</v>
      </c>
      <c r="P296" s="40">
        <f t="shared" ref="P296:P299" si="584">IFERROR(O296/L296,0)</f>
        <v>3.0681664083838402</v>
      </c>
      <c r="Q296" s="40">
        <f t="shared" ref="Q296:Q299" si="585">MAX(P296,K296)</f>
        <v>3.0681664083838402</v>
      </c>
      <c r="R296" s="40">
        <v>0</v>
      </c>
      <c r="S296" s="49">
        <f>(LOOKUP(Q296,Policy!$L$12:$M$16)+R296)*O296</f>
        <v>91124.542329000047</v>
      </c>
      <c r="T296" s="188"/>
      <c r="U296" s="53"/>
      <c r="V296" s="40"/>
      <c r="W296" s="53"/>
      <c r="X296" s="427">
        <f>E300</f>
        <v>160</v>
      </c>
      <c r="Y296" s="397">
        <f>J300</f>
        <v>183</v>
      </c>
      <c r="Z296" s="406">
        <f>Y296/X296</f>
        <v>1.14375</v>
      </c>
      <c r="AA296" s="55">
        <v>0</v>
      </c>
      <c r="AB296" s="41">
        <v>0</v>
      </c>
      <c r="AC296" s="41">
        <v>0</v>
      </c>
      <c r="AD296" s="41">
        <f t="shared" ref="AD296:AD299" si="586">IF(AF296&gt;200000,AF296-200000,0)</f>
        <v>0</v>
      </c>
      <c r="AE296" s="41">
        <f t="shared" ref="AE296:AE299" si="587">AF296-AD296</f>
        <v>91124.542329000047</v>
      </c>
      <c r="AF296" s="41">
        <f>S296+W296+AB296+AC296</f>
        <v>91124.542329000047</v>
      </c>
      <c r="AG296" s="31"/>
      <c r="AH296" s="419"/>
      <c r="AI296" s="22" t="s">
        <v>224</v>
      </c>
      <c r="AJ296" s="19" t="s">
        <v>33</v>
      </c>
      <c r="AK296" s="195" t="s">
        <v>666</v>
      </c>
      <c r="AL296" s="299">
        <v>91971.127074000047</v>
      </c>
      <c r="AM296" s="299">
        <f t="shared" ref="AM296:AM299" si="588">AF296</f>
        <v>91124.542329000047</v>
      </c>
      <c r="AN296" s="300">
        <f t="shared" ref="AN296:AN299" si="589">AL296-AM296</f>
        <v>846.58474500000011</v>
      </c>
    </row>
    <row r="297" spans="1:41" ht="15.75" hidden="1" customHeight="1" outlineLevel="1" x14ac:dyDescent="0.2">
      <c r="A297" s="79" t="s">
        <v>787</v>
      </c>
      <c r="B297" s="161" t="s">
        <v>788</v>
      </c>
      <c r="C297" s="79" t="s">
        <v>1</v>
      </c>
      <c r="D297" s="1" t="s">
        <v>666</v>
      </c>
      <c r="E297" s="47">
        <f>ROUND(SUMIF('Target Achieved- Input'!$B$278:$B$370,'Incentive Report- Output'!B297,'Target Achieved- Input'!$G$278:$G$370),0)</f>
        <v>30</v>
      </c>
      <c r="F297" s="47">
        <f>ROUND(SUMIF('Target Achieved- Input'!$B$278:$B$370,'Incentive Report- Output'!B297,'Target Achieved- Input'!$H$278:$H$370),0)</f>
        <v>39</v>
      </c>
      <c r="G297" s="47">
        <f>SUMIF('Target Achieved- Input'!$L$278:$L$370,'Incentive Report- Output'!B297,'Target Achieved- Input'!$O$278:$O$370)</f>
        <v>44</v>
      </c>
      <c r="H297" s="39">
        <f>SUMIF('Target Achieved- Input'!$S$278:$S$370,'Incentive Report- Output'!B297,'Target Achieved- Input'!$V$278:$V$370)</f>
        <v>3</v>
      </c>
      <c r="I297" s="48">
        <f>SUMIF('Target Achieved- Input'!$L$278:$L$370,'Incentive Report- Output'!B297,'Target Achieved- Input'!$AC$278:$AC$370)</f>
        <v>0</v>
      </c>
      <c r="J297" s="39">
        <f t="shared" si="581"/>
        <v>41</v>
      </c>
      <c r="K297" s="40">
        <f t="shared" si="582"/>
        <v>1.3666666666666667</v>
      </c>
      <c r="L297" s="41">
        <f t="shared" si="583"/>
        <v>990000</v>
      </c>
      <c r="M297" s="41">
        <f>SUMIF('Target Achieved- Input'!$L$278:$L$370,'Incentive Report- Output'!B297,'Target Achieved- Input'!$M$278:$M$370)</f>
        <v>2263956</v>
      </c>
      <c r="N297" s="41">
        <f>SUMIF('Target Achieved- Input'!$S$278:$S$370,'Incentive Report- Output'!B297,'Target Achieved- Input'!$U$278:$U$370)</f>
        <v>91522.881300000008</v>
      </c>
      <c r="O297" s="41">
        <f>SUMIF('Target Achieved- Input'!$L$278:$L$370,'Incentive Report- Output'!B297,'Target Achieved- Input'!$N$278:$N$370)-N297</f>
        <v>1827083.8975999998</v>
      </c>
      <c r="P297" s="40">
        <f t="shared" si="584"/>
        <v>1.8455392905050503</v>
      </c>
      <c r="Q297" s="40">
        <f t="shared" si="585"/>
        <v>1.8455392905050503</v>
      </c>
      <c r="R297" s="40">
        <v>0</v>
      </c>
      <c r="S297" s="49">
        <f>(LOOKUP(Q297,Policy!$L$12:$M$16)+R297)*O297</f>
        <v>54812.51692799999</v>
      </c>
      <c r="T297" s="185"/>
      <c r="U297" s="156"/>
      <c r="V297" s="51"/>
      <c r="W297" s="156"/>
      <c r="X297" s="427"/>
      <c r="Y297" s="397"/>
      <c r="Z297" s="406"/>
      <c r="AA297" s="55">
        <v>0</v>
      </c>
      <c r="AB297" s="41">
        <v>0</v>
      </c>
      <c r="AC297" s="41">
        <v>0</v>
      </c>
      <c r="AD297" s="41">
        <f t="shared" si="586"/>
        <v>0</v>
      </c>
      <c r="AE297" s="41">
        <f t="shared" si="587"/>
        <v>54812.51692799999</v>
      </c>
      <c r="AF297" s="41">
        <f>S297+W297+AB297+AC297</f>
        <v>54812.51692799999</v>
      </c>
      <c r="AG297" s="31"/>
      <c r="AH297" s="419"/>
      <c r="AI297" s="22" t="s">
        <v>787</v>
      </c>
      <c r="AJ297" s="19" t="s">
        <v>788</v>
      </c>
      <c r="AK297" s="195" t="s">
        <v>666</v>
      </c>
      <c r="AL297" s="299">
        <v>57558.203366999995</v>
      </c>
      <c r="AM297" s="299">
        <f t="shared" si="588"/>
        <v>54812.51692799999</v>
      </c>
      <c r="AN297" s="300">
        <f t="shared" si="589"/>
        <v>2745.6864390000046</v>
      </c>
    </row>
    <row r="298" spans="1:41" ht="15.75" hidden="1" customHeight="1" outlineLevel="1" x14ac:dyDescent="0.2">
      <c r="A298" s="79" t="s">
        <v>218</v>
      </c>
      <c r="B298" s="161" t="s">
        <v>219</v>
      </c>
      <c r="C298" s="79" t="s">
        <v>1</v>
      </c>
      <c r="D298" s="1" t="s">
        <v>666</v>
      </c>
      <c r="E298" s="47">
        <f>ROUND(SUMIF('Target Achieved- Input'!$B$278:$B$370,'Incentive Report- Output'!B298,'Target Achieved- Input'!$G$278:$G$370),0)</f>
        <v>50</v>
      </c>
      <c r="F298" s="47">
        <f>ROUND(SUMIF('Target Achieved- Input'!$B$278:$B$370,'Incentive Report- Output'!B298,'Target Achieved- Input'!$H$278:$H$370),0)</f>
        <v>65</v>
      </c>
      <c r="G298" s="47">
        <f>SUMIF('Target Achieved- Input'!$L$278:$L$370,'Incentive Report- Output'!B298,'Target Achieved- Input'!$O$278:$O$370)</f>
        <v>41</v>
      </c>
      <c r="H298" s="39">
        <f>SUMIF('Target Achieved- Input'!$S$278:$S$370,'Incentive Report- Output'!B298,'Target Achieved- Input'!$V$278:$V$370)</f>
        <v>7</v>
      </c>
      <c r="I298" s="48">
        <f>SUMIF('Target Achieved- Input'!$L$278:$L$370,'Incentive Report- Output'!B298,'Target Achieved- Input'!$AC$278:$AC$370)</f>
        <v>0</v>
      </c>
      <c r="J298" s="39">
        <f t="shared" si="581"/>
        <v>34</v>
      </c>
      <c r="K298" s="40">
        <f t="shared" si="582"/>
        <v>0.68</v>
      </c>
      <c r="L298" s="41">
        <f t="shared" si="583"/>
        <v>1650000</v>
      </c>
      <c r="M298" s="41">
        <f>SUMIF('Target Achieved- Input'!$L$278:$L$370,'Incentive Report- Output'!B298,'Target Achieved- Input'!$M$278:$M$370)</f>
        <v>1810109</v>
      </c>
      <c r="N298" s="41">
        <f>SUMIF('Target Achieved- Input'!$S$278:$S$370,'Incentive Report- Output'!B298,'Target Achieved- Input'!$U$278:$U$370)</f>
        <v>257536.44050000003</v>
      </c>
      <c r="O298" s="41">
        <f>SUMIF('Target Achieved- Input'!$L$278:$L$370,'Incentive Report- Output'!B298,'Target Achieved- Input'!$N$278:$N$370)-N298</f>
        <v>1276454.2368999994</v>
      </c>
      <c r="P298" s="40">
        <f t="shared" si="584"/>
        <v>0.77360862842424205</v>
      </c>
      <c r="Q298" s="40">
        <f t="shared" si="585"/>
        <v>0.77360862842424205</v>
      </c>
      <c r="R298" s="40">
        <v>0</v>
      </c>
      <c r="S298" s="49">
        <f>(LOOKUP(Q298,Policy!$L$12:$M$16)+R298)*O298</f>
        <v>6382.2711844999976</v>
      </c>
      <c r="T298" s="188"/>
      <c r="U298" s="53"/>
      <c r="V298" s="40"/>
      <c r="W298" s="53"/>
      <c r="X298" s="427"/>
      <c r="Y298" s="397"/>
      <c r="Z298" s="406"/>
      <c r="AA298" s="55">
        <v>0</v>
      </c>
      <c r="AB298" s="41">
        <v>0</v>
      </c>
      <c r="AC298" s="41">
        <v>0</v>
      </c>
      <c r="AD298" s="41">
        <f t="shared" si="586"/>
        <v>0</v>
      </c>
      <c r="AE298" s="41">
        <f t="shared" si="587"/>
        <v>6382.2711844999976</v>
      </c>
      <c r="AF298" s="41">
        <f>S298+W298+AB298+AC298</f>
        <v>6382.2711844999976</v>
      </c>
      <c r="AG298" s="31"/>
      <c r="AH298" s="419"/>
      <c r="AI298" s="22" t="s">
        <v>218</v>
      </c>
      <c r="AJ298" s="19" t="s">
        <v>219</v>
      </c>
      <c r="AK298" s="195" t="s">
        <v>666</v>
      </c>
      <c r="AL298" s="299">
        <v>15339.906773999995</v>
      </c>
      <c r="AM298" s="299">
        <f t="shared" si="588"/>
        <v>6382.2711844999976</v>
      </c>
      <c r="AN298" s="300">
        <f t="shared" si="589"/>
        <v>8957.6355894999979</v>
      </c>
    </row>
    <row r="299" spans="1:41" ht="15.75" hidden="1" customHeight="1" outlineLevel="1" x14ac:dyDescent="0.2">
      <c r="A299" s="79" t="s">
        <v>780</v>
      </c>
      <c r="B299" s="161" t="s">
        <v>781</v>
      </c>
      <c r="C299" s="79" t="s">
        <v>1</v>
      </c>
      <c r="D299" s="1" t="s">
        <v>666</v>
      </c>
      <c r="E299" s="47">
        <f>ROUND(SUMIF('Target Achieved- Input'!$B$278:$B$370,'Incentive Report- Output'!B299,'Target Achieved- Input'!$G$278:$G$370),0)</f>
        <v>50</v>
      </c>
      <c r="F299" s="47">
        <f>ROUND(SUMIF('Target Achieved- Input'!$B$278:$B$370,'Incentive Report- Output'!B299,'Target Achieved- Input'!$H$278:$H$370),0)</f>
        <v>65</v>
      </c>
      <c r="G299" s="47">
        <f>SUMIF('Target Achieved- Input'!$L$278:$L$370,'Incentive Report- Output'!B299,'Target Achieved- Input'!$O$278:$O$370)</f>
        <v>46</v>
      </c>
      <c r="H299" s="39">
        <f>SUMIF('Target Achieved- Input'!$S$278:$S$370,'Incentive Report- Output'!B299,'Target Achieved- Input'!$V$278:$V$370)</f>
        <v>6</v>
      </c>
      <c r="I299" s="48">
        <f>SUMIF('Target Achieved- Input'!$L$278:$L$370,'Incentive Report- Output'!B299,'Target Achieved- Input'!$AC$278:$AC$370)</f>
        <v>2</v>
      </c>
      <c r="J299" s="39">
        <f t="shared" si="581"/>
        <v>40</v>
      </c>
      <c r="K299" s="40">
        <f t="shared" si="582"/>
        <v>0.8</v>
      </c>
      <c r="L299" s="41">
        <f t="shared" si="583"/>
        <v>1650000</v>
      </c>
      <c r="M299" s="41">
        <f>SUMIF('Target Achieved- Input'!$L$278:$L$370,'Incentive Report- Output'!B299,'Target Achieved- Input'!$M$278:$M$370)</f>
        <v>1986504</v>
      </c>
      <c r="N299" s="41">
        <f>SUMIF('Target Achieved- Input'!$S$278:$S$370,'Incentive Report- Output'!B299,'Target Achieved- Input'!$U$278:$U$370)</f>
        <v>235588.13560000001</v>
      </c>
      <c r="O299" s="41">
        <f>SUMIF('Target Achieved- Input'!$L$278:$L$370,'Incentive Report- Output'!B299,'Target Achieved- Input'!$N$278:$N$370)-N299</f>
        <v>1447889.8301999993</v>
      </c>
      <c r="P299" s="40">
        <f t="shared" si="584"/>
        <v>0.87750898799999955</v>
      </c>
      <c r="Q299" s="40">
        <f t="shared" si="585"/>
        <v>0.87750898799999955</v>
      </c>
      <c r="R299" s="40">
        <v>0</v>
      </c>
      <c r="S299" s="49">
        <f>(LOOKUP(Q299,Policy!$L$12:$M$16)+R299)*O299</f>
        <v>14478.898301999992</v>
      </c>
      <c r="T299" s="185"/>
      <c r="U299" s="156"/>
      <c r="V299" s="51"/>
      <c r="W299" s="156"/>
      <c r="X299" s="427"/>
      <c r="Y299" s="397"/>
      <c r="Z299" s="406"/>
      <c r="AA299" s="55">
        <v>0</v>
      </c>
      <c r="AB299" s="41">
        <v>0</v>
      </c>
      <c r="AC299" s="41">
        <v>0</v>
      </c>
      <c r="AD299" s="41">
        <f t="shared" si="586"/>
        <v>0</v>
      </c>
      <c r="AE299" s="41">
        <f t="shared" si="587"/>
        <v>14478.898301999992</v>
      </c>
      <c r="AF299" s="41">
        <f>S299+W299+AB299+AC299</f>
        <v>14478.898301999992</v>
      </c>
      <c r="AG299" s="31"/>
      <c r="AH299" s="419"/>
      <c r="AI299" s="22" t="s">
        <v>780</v>
      </c>
      <c r="AJ299" s="19" t="s">
        <v>781</v>
      </c>
      <c r="AK299" s="195" t="s">
        <v>666</v>
      </c>
      <c r="AL299" s="299">
        <v>37878.254230499981</v>
      </c>
      <c r="AM299" s="299">
        <f t="shared" si="588"/>
        <v>14478.898301999992</v>
      </c>
      <c r="AN299" s="300">
        <f t="shared" si="589"/>
        <v>23399.355928499986</v>
      </c>
    </row>
    <row r="300" spans="1:41" ht="15.75" hidden="1" customHeight="1" outlineLevel="1" x14ac:dyDescent="0.2">
      <c r="A300" s="109" t="s">
        <v>6</v>
      </c>
      <c r="B300" s="109"/>
      <c r="C300" s="109"/>
      <c r="D300" s="292" t="s">
        <v>666</v>
      </c>
      <c r="E300" s="44">
        <f t="shared" ref="E300:J300" si="590">SUM(E296:E299)</f>
        <v>160</v>
      </c>
      <c r="F300" s="44">
        <f t="shared" si="590"/>
        <v>208</v>
      </c>
      <c r="G300" s="44">
        <f t="shared" si="590"/>
        <v>200</v>
      </c>
      <c r="H300" s="44">
        <f t="shared" si="590"/>
        <v>17</v>
      </c>
      <c r="I300" s="44">
        <f t="shared" si="590"/>
        <v>2</v>
      </c>
      <c r="J300" s="44">
        <f t="shared" si="590"/>
        <v>183</v>
      </c>
      <c r="K300" s="45"/>
      <c r="L300" s="44">
        <f>SUM(L296:L299)</f>
        <v>5280000</v>
      </c>
      <c r="M300" s="44">
        <f>SUM(M296:M299)</f>
        <v>9678100</v>
      </c>
      <c r="N300" s="44">
        <f>SUM(N296:N299)</f>
        <v>612866.94890000008</v>
      </c>
      <c r="O300" s="44">
        <f>SUM(O296:O299)</f>
        <v>7588912.7090000007</v>
      </c>
      <c r="P300" s="45"/>
      <c r="Q300" s="46"/>
      <c r="R300" s="46"/>
      <c r="S300" s="44">
        <f t="shared" ref="S300:AF300" si="591">SUM(S296:S299)</f>
        <v>166798.22874350002</v>
      </c>
      <c r="T300" s="189">
        <f t="shared" si="591"/>
        <v>0</v>
      </c>
      <c r="U300" s="189">
        <f t="shared" si="591"/>
        <v>0</v>
      </c>
      <c r="V300" s="103">
        <f t="shared" si="591"/>
        <v>0</v>
      </c>
      <c r="W300" s="189">
        <f t="shared" si="591"/>
        <v>0</v>
      </c>
      <c r="X300" s="44">
        <f t="shared" si="591"/>
        <v>160</v>
      </c>
      <c r="Y300" s="44">
        <f t="shared" si="591"/>
        <v>183</v>
      </c>
      <c r="Z300" s="54">
        <f t="shared" si="591"/>
        <v>1.14375</v>
      </c>
      <c r="AA300" s="87">
        <f t="shared" si="591"/>
        <v>0</v>
      </c>
      <c r="AB300" s="87">
        <f t="shared" si="591"/>
        <v>0</v>
      </c>
      <c r="AC300" s="87">
        <f t="shared" si="591"/>
        <v>0</v>
      </c>
      <c r="AD300" s="87">
        <f t="shared" si="591"/>
        <v>0</v>
      </c>
      <c r="AE300" s="87">
        <f t="shared" si="591"/>
        <v>166798.22874350002</v>
      </c>
      <c r="AF300" s="87">
        <f t="shared" si="591"/>
        <v>166798.22874350002</v>
      </c>
      <c r="AG300" s="31"/>
      <c r="AH300" s="419"/>
      <c r="AI300" s="43" t="s">
        <v>6</v>
      </c>
      <c r="AJ300" s="43"/>
      <c r="AK300" s="43" t="s">
        <v>666</v>
      </c>
      <c r="AL300" s="304">
        <v>202747.49144550005</v>
      </c>
      <c r="AM300" s="304">
        <f>SUM(AM296:AM299)</f>
        <v>166798.22874350002</v>
      </c>
      <c r="AN300" s="304">
        <f>SUM(AN296:AN299)</f>
        <v>35949.262701999993</v>
      </c>
    </row>
    <row r="301" spans="1:41" ht="15.75" hidden="1" customHeight="1" outlineLevel="1" x14ac:dyDescent="0.2">
      <c r="A301" s="79" t="s">
        <v>298</v>
      </c>
      <c r="B301" s="79" t="s">
        <v>49</v>
      </c>
      <c r="C301" s="79" t="s">
        <v>0</v>
      </c>
      <c r="D301" s="1" t="s">
        <v>667</v>
      </c>
      <c r="E301" s="47">
        <f>ROUND(SUMIF('Target Achieved- Input'!$B$278:$B$370,'Incentive Report- Output'!B301,'Target Achieved- Input'!$G$278:$G$370),0)</f>
        <v>50</v>
      </c>
      <c r="F301" s="47">
        <f>ROUND(SUMIF('Target Achieved- Input'!$B$278:$B$370,'Incentive Report- Output'!B301,'Target Achieved- Input'!$H$278:$H$370),0)</f>
        <v>65</v>
      </c>
      <c r="G301" s="47">
        <f>SUMIF('Target Achieved- Input'!$L$278:$L$370,'Incentive Report- Output'!B301,'Target Achieved- Input'!$O$278:$O$370)</f>
        <v>12</v>
      </c>
      <c r="H301" s="39">
        <f>SUMIF('Target Achieved- Input'!$S$278:$S$370,'Incentive Report- Output'!B301,'Target Achieved- Input'!$V$278:$V$370)</f>
        <v>12</v>
      </c>
      <c r="I301" s="48">
        <f>SUMIF('Target Achieved- Input'!$L$278:$L$370,'Incentive Report- Output'!B301,'Target Achieved- Input'!$AC$278:$AC$370)</f>
        <v>0</v>
      </c>
      <c r="J301" s="39">
        <f t="shared" ref="J301:J308" si="592">G301-H301</f>
        <v>0</v>
      </c>
      <c r="K301" s="40">
        <f t="shared" ref="K301:K308" si="593">IFERROR(J301/E301,0)</f>
        <v>0</v>
      </c>
      <c r="L301" s="41">
        <f t="shared" ref="L301:L308" si="594">E301*33000</f>
        <v>1650000</v>
      </c>
      <c r="M301" s="41">
        <f>SUMIF('Target Achieved- Input'!$L$278:$L$370,'Incentive Report- Output'!B301,'Target Achieved- Input'!$M$278:$M$370)</f>
        <v>528288</v>
      </c>
      <c r="N301" s="41">
        <f>SUMIF('Target Achieved- Input'!$S$278:$S$370,'Incentive Report- Output'!B301,'Target Achieved- Input'!$U$278:$U$370)</f>
        <v>447701.69479999994</v>
      </c>
      <c r="O301" s="41">
        <f>SUMIF('Target Achieved- Input'!$L$278:$L$370,'Incentive Report- Output'!B301,'Target Achieved- Input'!$N$278:$N$370)-N301</f>
        <v>0</v>
      </c>
      <c r="P301" s="40">
        <f t="shared" ref="P301:P308" si="595">IFERROR(O301/L301,0)</f>
        <v>0</v>
      </c>
      <c r="Q301" s="40">
        <f t="shared" ref="Q301:Q308" si="596">MAX(P301,K301)</f>
        <v>0</v>
      </c>
      <c r="R301" s="40">
        <v>0</v>
      </c>
      <c r="S301" s="49">
        <f>(LOOKUP(Q301,Policy!$L$12:$M$16)+R301)*O301</f>
        <v>0</v>
      </c>
      <c r="T301" s="188" t="s">
        <v>1426</v>
      </c>
      <c r="U301" s="53"/>
      <c r="V301" s="40"/>
      <c r="W301" s="53"/>
      <c r="X301" s="428">
        <f>E309</f>
        <v>465</v>
      </c>
      <c r="Y301" s="396">
        <f>J309</f>
        <v>186</v>
      </c>
      <c r="Z301" s="430">
        <f>Y301/X301</f>
        <v>0.4</v>
      </c>
      <c r="AA301" s="55">
        <v>0</v>
      </c>
      <c r="AB301" s="41">
        <v>0</v>
      </c>
      <c r="AC301" s="41">
        <v>0</v>
      </c>
      <c r="AD301" s="41">
        <f t="shared" ref="AD301:AD308" si="597">IF(AF301&gt;200000,AF301-200000,0)</f>
        <v>0</v>
      </c>
      <c r="AE301" s="41">
        <f t="shared" ref="AE301:AE308" si="598">AF301-AD301</f>
        <v>0</v>
      </c>
      <c r="AF301" s="41">
        <f t="shared" ref="AF301:AF308" si="599">S301+W301+AB301+AC301</f>
        <v>0</v>
      </c>
      <c r="AG301" s="31"/>
      <c r="AH301" s="419"/>
      <c r="AI301" s="22" t="s">
        <v>298</v>
      </c>
      <c r="AJ301" s="22" t="s">
        <v>49</v>
      </c>
      <c r="AK301" s="195" t="s">
        <v>667</v>
      </c>
      <c r="AL301" s="299">
        <v>0</v>
      </c>
      <c r="AM301" s="299">
        <f t="shared" ref="AM301:AM308" si="600">AF301</f>
        <v>0</v>
      </c>
      <c r="AN301" s="300">
        <f t="shared" ref="AN301:AN308" si="601">AL301-AM301</f>
        <v>0</v>
      </c>
    </row>
    <row r="302" spans="1:41" ht="15.75" hidden="1" customHeight="1" outlineLevel="1" x14ac:dyDescent="0.2">
      <c r="A302" s="79" t="s">
        <v>1109</v>
      </c>
      <c r="B302" s="79" t="s">
        <v>1110</v>
      </c>
      <c r="C302" s="79" t="s">
        <v>1</v>
      </c>
      <c r="D302" s="1" t="s">
        <v>667</v>
      </c>
      <c r="E302" s="47">
        <f>ROUND(SUMIF('Target Achieved- Input'!$B$278:$B$370,'Incentive Report- Output'!B302,'Target Achieved- Input'!$G$278:$G$370),0)</f>
        <v>50</v>
      </c>
      <c r="F302" s="47">
        <f>ROUND(SUMIF('Target Achieved- Input'!$B$278:$B$370,'Incentive Report- Output'!B302,'Target Achieved- Input'!$H$278:$H$370),0)</f>
        <v>65</v>
      </c>
      <c r="G302" s="47">
        <f>SUMIF('Target Achieved- Input'!$L$278:$L$370,'Incentive Report- Output'!B302,'Target Achieved- Input'!$O$278:$O$370)</f>
        <v>22</v>
      </c>
      <c r="H302" s="39">
        <f>SUMIF('Target Achieved- Input'!$S$278:$S$370,'Incentive Report- Output'!B302,'Target Achieved- Input'!$V$278:$V$370)</f>
        <v>10</v>
      </c>
      <c r="I302" s="48">
        <f>SUMIF('Target Achieved- Input'!$L$278:$L$370,'Incentive Report- Output'!B302,'Target Achieved- Input'!$AC$278:$AC$370)</f>
        <v>0</v>
      </c>
      <c r="J302" s="39">
        <f t="shared" si="592"/>
        <v>12</v>
      </c>
      <c r="K302" s="40">
        <f t="shared" si="593"/>
        <v>0.24</v>
      </c>
      <c r="L302" s="41">
        <f t="shared" si="594"/>
        <v>1650000</v>
      </c>
      <c r="M302" s="41">
        <f>SUMIF('Target Achieved- Input'!$L$278:$L$370,'Incentive Report- Output'!B302,'Target Achieved- Input'!$M$278:$M$370)</f>
        <v>902378</v>
      </c>
      <c r="N302" s="41">
        <f>SUMIF('Target Achieved- Input'!$S$278:$S$370,'Incentive Report- Output'!B302,'Target Achieved- Input'!$U$278:$U$370)</f>
        <v>358381.35580000002</v>
      </c>
      <c r="O302" s="41">
        <f>SUMIF('Target Achieved- Input'!$L$278:$L$370,'Incentive Report- Output'!B302,'Target Achieved- Input'!$N$278:$N$370)-N302</f>
        <v>406345.76260000013</v>
      </c>
      <c r="P302" s="40">
        <f t="shared" si="595"/>
        <v>0.24627015915151523</v>
      </c>
      <c r="Q302" s="40">
        <f t="shared" si="596"/>
        <v>0.24627015915151523</v>
      </c>
      <c r="R302" s="40">
        <v>0</v>
      </c>
      <c r="S302" s="49">
        <f>(LOOKUP(Q302,Policy!$L$12:$M$16)+R302)*O302</f>
        <v>0</v>
      </c>
      <c r="T302" s="188"/>
      <c r="U302" s="53"/>
      <c r="V302" s="40"/>
      <c r="W302" s="53"/>
      <c r="X302" s="427"/>
      <c r="Y302" s="397"/>
      <c r="Z302" s="431"/>
      <c r="AA302" s="55">
        <v>0</v>
      </c>
      <c r="AB302" s="41">
        <v>0</v>
      </c>
      <c r="AC302" s="41">
        <v>0</v>
      </c>
      <c r="AD302" s="41">
        <f t="shared" si="597"/>
        <v>0</v>
      </c>
      <c r="AE302" s="41">
        <f t="shared" si="598"/>
        <v>0</v>
      </c>
      <c r="AF302" s="41">
        <f t="shared" si="599"/>
        <v>0</v>
      </c>
      <c r="AG302" s="31"/>
      <c r="AH302" s="419"/>
      <c r="AI302" s="22" t="s">
        <v>1109</v>
      </c>
      <c r="AJ302" s="22" t="s">
        <v>1110</v>
      </c>
      <c r="AK302" s="195" t="s">
        <v>667</v>
      </c>
      <c r="AL302" s="299">
        <v>0</v>
      </c>
      <c r="AM302" s="299">
        <f t="shared" si="600"/>
        <v>0</v>
      </c>
      <c r="AN302" s="300">
        <f t="shared" si="601"/>
        <v>0</v>
      </c>
    </row>
    <row r="303" spans="1:41" ht="15.75" hidden="1" customHeight="1" outlineLevel="1" x14ac:dyDescent="0.2">
      <c r="A303" s="79" t="s">
        <v>25</v>
      </c>
      <c r="B303" s="79" t="s">
        <v>26</v>
      </c>
      <c r="C303" s="79" t="s">
        <v>1</v>
      </c>
      <c r="D303" s="1" t="s">
        <v>667</v>
      </c>
      <c r="E303" s="47">
        <f>ROUND(SUMIF('Target Achieved- Input'!$B$278:$B$370,'Incentive Report- Output'!B303,'Target Achieved- Input'!$G$278:$G$370),0)</f>
        <v>60</v>
      </c>
      <c r="F303" s="47">
        <f>ROUND(SUMIF('Target Achieved- Input'!$B$278:$B$370,'Incentive Report- Output'!B303,'Target Achieved- Input'!$H$278:$H$370),0)</f>
        <v>78</v>
      </c>
      <c r="G303" s="47">
        <f>SUMIF('Target Achieved- Input'!$L$278:$L$370,'Incentive Report- Output'!B303,'Target Achieved- Input'!$O$278:$O$370)</f>
        <v>42</v>
      </c>
      <c r="H303" s="39">
        <f>SUMIF('Target Achieved- Input'!$S$278:$S$370,'Incentive Report- Output'!B303,'Target Achieved- Input'!$V$278:$V$370)</f>
        <v>3</v>
      </c>
      <c r="I303" s="48">
        <f>SUMIF('Target Achieved- Input'!$L$278:$L$370,'Incentive Report- Output'!B303,'Target Achieved- Input'!$AC$278:$AC$370)</f>
        <v>0</v>
      </c>
      <c r="J303" s="39">
        <f t="shared" si="592"/>
        <v>39</v>
      </c>
      <c r="K303" s="40">
        <f t="shared" si="593"/>
        <v>0.65</v>
      </c>
      <c r="L303" s="41">
        <f t="shared" si="594"/>
        <v>1980000</v>
      </c>
      <c r="M303" s="41">
        <f>SUMIF('Target Achieved- Input'!$L$278:$L$370,'Incentive Report- Output'!B303,'Target Achieved- Input'!$M$278:$M$370)</f>
        <v>2107708</v>
      </c>
      <c r="N303" s="41">
        <f>SUMIF('Target Achieved- Input'!$S$278:$S$370,'Incentive Report- Output'!B303,'Target Achieved- Input'!$U$278:$U$370)</f>
        <v>167794.06770000001</v>
      </c>
      <c r="O303" s="41">
        <f>SUMIF('Target Achieved- Input'!$L$278:$L$370,'Incentive Report- Output'!B303,'Target Achieved- Input'!$N$278:$N$370)-N303</f>
        <v>1618399.1522000004</v>
      </c>
      <c r="P303" s="40">
        <f t="shared" si="595"/>
        <v>0.81737330919191942</v>
      </c>
      <c r="Q303" s="40">
        <f t="shared" si="596"/>
        <v>0.81737330919191942</v>
      </c>
      <c r="R303" s="40">
        <v>0</v>
      </c>
      <c r="S303" s="49">
        <f>(LOOKUP(Q303,Policy!$L$12:$M$16)+R303)*O303</f>
        <v>16183.991522000004</v>
      </c>
      <c r="T303" s="185"/>
      <c r="U303" s="156"/>
      <c r="V303" s="51"/>
      <c r="W303" s="156"/>
      <c r="X303" s="427"/>
      <c r="Y303" s="397"/>
      <c r="Z303" s="431"/>
      <c r="AA303" s="55">
        <v>0</v>
      </c>
      <c r="AB303" s="41">
        <v>0</v>
      </c>
      <c r="AC303" s="41">
        <v>0</v>
      </c>
      <c r="AD303" s="41">
        <f t="shared" si="597"/>
        <v>0</v>
      </c>
      <c r="AE303" s="41">
        <f t="shared" si="598"/>
        <v>16183.991522000004</v>
      </c>
      <c r="AF303" s="41">
        <f t="shared" si="599"/>
        <v>16183.991522000004</v>
      </c>
      <c r="AG303" s="31"/>
      <c r="AH303" s="419"/>
      <c r="AI303" s="22" t="s">
        <v>25</v>
      </c>
      <c r="AJ303" s="22" t="s">
        <v>26</v>
      </c>
      <c r="AK303" s="195" t="s">
        <v>667</v>
      </c>
      <c r="AL303" s="299">
        <v>17861.932199000003</v>
      </c>
      <c r="AM303" s="299">
        <f t="shared" si="600"/>
        <v>16183.991522000004</v>
      </c>
      <c r="AN303" s="300">
        <f t="shared" si="601"/>
        <v>1677.9406769999987</v>
      </c>
    </row>
    <row r="304" spans="1:41" ht="15.75" hidden="1" customHeight="1" outlineLevel="1" x14ac:dyDescent="0.2">
      <c r="A304" s="79" t="s">
        <v>209</v>
      </c>
      <c r="B304" s="79" t="s">
        <v>52</v>
      </c>
      <c r="C304" s="79" t="s">
        <v>1185</v>
      </c>
      <c r="D304" s="1" t="s">
        <v>667</v>
      </c>
      <c r="E304" s="47">
        <f>ROUND(SUMIF('Target Achieved- Input'!$B$278:$B$370,'Incentive Report- Output'!B304,'Target Achieved- Input'!$G$278:$G$370),0)</f>
        <v>60</v>
      </c>
      <c r="F304" s="47">
        <f>ROUND(SUMIF('Target Achieved- Input'!$B$278:$B$370,'Incentive Report- Output'!B304,'Target Achieved- Input'!$H$278:$H$370),0)</f>
        <v>78</v>
      </c>
      <c r="G304" s="47">
        <f>SUMIF('Target Achieved- Input'!$L$278:$L$370,'Incentive Report- Output'!B304,'Target Achieved- Input'!$O$278:$O$370)</f>
        <v>18</v>
      </c>
      <c r="H304" s="39">
        <f>SUMIF('Target Achieved- Input'!$S$278:$S$370,'Incentive Report- Output'!B304,'Target Achieved- Input'!$V$278:$V$370)</f>
        <v>12</v>
      </c>
      <c r="I304" s="48">
        <f>SUMIF('Target Achieved- Input'!$L$278:$L$370,'Incentive Report- Output'!B304,'Target Achieved- Input'!$AC$278:$AC$370)</f>
        <v>0</v>
      </c>
      <c r="J304" s="39">
        <f t="shared" si="592"/>
        <v>6</v>
      </c>
      <c r="K304" s="40">
        <f t="shared" si="593"/>
        <v>0.1</v>
      </c>
      <c r="L304" s="41">
        <f t="shared" si="594"/>
        <v>1980000</v>
      </c>
      <c r="M304" s="41">
        <f>SUMIF('Target Achieved- Input'!$L$278:$L$370,'Incentive Report- Output'!B304,'Target Achieved- Input'!$M$278:$M$370)</f>
        <v>739232</v>
      </c>
      <c r="N304" s="41">
        <f>SUMIF('Target Achieved- Input'!$S$278:$S$370,'Incentive Report- Output'!B304,'Target Achieved- Input'!$U$278:$U$370)</f>
        <v>431261.01689999999</v>
      </c>
      <c r="O304" s="41">
        <f>SUMIF('Target Achieved- Input'!$L$278:$L$370,'Incentive Report- Output'!B304,'Target Achieved- Input'!$N$278:$N$370)-N304</f>
        <v>195206.77960000018</v>
      </c>
      <c r="P304" s="40">
        <f t="shared" si="595"/>
        <v>9.8589282626262723E-2</v>
      </c>
      <c r="Q304" s="40">
        <f t="shared" si="596"/>
        <v>0.1</v>
      </c>
      <c r="R304" s="40">
        <v>0</v>
      </c>
      <c r="S304" s="49">
        <f>(LOOKUP(Q304,Policy!$L$12:$M$16)+R304)*O304</f>
        <v>0</v>
      </c>
      <c r="T304" s="185">
        <f>L305</f>
        <v>1980000</v>
      </c>
      <c r="U304" s="156">
        <f>O305</f>
        <v>861756.77920000046</v>
      </c>
      <c r="V304" s="51">
        <f>IFERROR(U304/T304,0)</f>
        <v>0.43523069656565677</v>
      </c>
      <c r="W304" s="156">
        <f>LOOKUP(V304,Policy!$L$18:$M$21)*U304</f>
        <v>0</v>
      </c>
      <c r="X304" s="427"/>
      <c r="Y304" s="397"/>
      <c r="Z304" s="431"/>
      <c r="AA304" s="55">
        <v>0</v>
      </c>
      <c r="AB304" s="41">
        <v>0</v>
      </c>
      <c r="AC304" s="41">
        <v>0</v>
      </c>
      <c r="AD304" s="41">
        <f t="shared" si="597"/>
        <v>0</v>
      </c>
      <c r="AE304" s="41">
        <f t="shared" si="598"/>
        <v>0</v>
      </c>
      <c r="AF304" s="41">
        <f t="shared" si="599"/>
        <v>0</v>
      </c>
      <c r="AG304" s="31"/>
      <c r="AH304" s="419"/>
      <c r="AI304" s="22" t="s">
        <v>209</v>
      </c>
      <c r="AJ304" s="22" t="s">
        <v>52</v>
      </c>
      <c r="AK304" s="195" t="s">
        <v>667</v>
      </c>
      <c r="AL304" s="299">
        <v>0</v>
      </c>
      <c r="AM304" s="299">
        <f t="shared" si="600"/>
        <v>0</v>
      </c>
      <c r="AN304" s="300">
        <f t="shared" si="601"/>
        <v>0</v>
      </c>
    </row>
    <row r="305" spans="1:42" ht="15.75" hidden="1" customHeight="1" outlineLevel="1" x14ac:dyDescent="0.2">
      <c r="A305" s="79" t="s">
        <v>303</v>
      </c>
      <c r="B305" s="79" t="s">
        <v>305</v>
      </c>
      <c r="C305" s="79" t="s">
        <v>1</v>
      </c>
      <c r="D305" s="1" t="s">
        <v>667</v>
      </c>
      <c r="E305" s="47">
        <f>ROUND(SUMIF('Target Achieved- Input'!$B$278:$B$370,'Incentive Report- Output'!B305,'Target Achieved- Input'!$G$278:$G$370),0)</f>
        <v>60</v>
      </c>
      <c r="F305" s="47">
        <f>ROUND(SUMIF('Target Achieved- Input'!$B$278:$B$370,'Incentive Report- Output'!B305,'Target Achieved- Input'!$H$278:$H$370),0)</f>
        <v>78</v>
      </c>
      <c r="G305" s="47">
        <f>SUMIF('Target Achieved- Input'!$L$278:$L$370,'Incentive Report- Output'!B305,'Target Achieved- Input'!$O$278:$O$370)</f>
        <v>33</v>
      </c>
      <c r="H305" s="39">
        <f>SUMIF('Target Achieved- Input'!$S$278:$S$370,'Incentive Report- Output'!B305,'Target Achieved- Input'!$V$278:$V$370)</f>
        <v>6</v>
      </c>
      <c r="I305" s="48">
        <f>SUMIF('Target Achieved- Input'!$L$278:$L$370,'Incentive Report- Output'!B305,'Target Achieved- Input'!$AC$278:$AC$370)</f>
        <v>0</v>
      </c>
      <c r="J305" s="39">
        <f t="shared" si="592"/>
        <v>27</v>
      </c>
      <c r="K305" s="40">
        <f t="shared" si="593"/>
        <v>0.45</v>
      </c>
      <c r="L305" s="41">
        <f t="shared" si="594"/>
        <v>1980000</v>
      </c>
      <c r="M305" s="41">
        <f>SUMIF('Target Achieved- Input'!$L$278:$L$370,'Incentive Report- Output'!B305,'Target Achieved- Input'!$M$278:$M$370)</f>
        <v>1246167</v>
      </c>
      <c r="N305" s="41">
        <f>SUMIF('Target Achieved- Input'!$S$278:$S$370,'Incentive Report- Output'!B305,'Target Achieved- Input'!$U$278:$U$370)</f>
        <v>194316.94910000003</v>
      </c>
      <c r="O305" s="41">
        <f>SUMIF('Target Achieved- Input'!$L$278:$L$370,'Incentive Report- Output'!B305,'Target Achieved- Input'!$N$278:$N$370)-N305</f>
        <v>861756.77920000046</v>
      </c>
      <c r="P305" s="40">
        <f t="shared" si="595"/>
        <v>0.43523069656565677</v>
      </c>
      <c r="Q305" s="40">
        <f>P305</f>
        <v>0.43523069656565677</v>
      </c>
      <c r="R305" s="40">
        <v>0</v>
      </c>
      <c r="S305" s="49">
        <f>(LOOKUP(Q305,Policy!$L$12:$M$16)+R305)*O305</f>
        <v>0</v>
      </c>
      <c r="T305" s="185"/>
      <c r="U305" s="156"/>
      <c r="V305" s="51"/>
      <c r="W305" s="156"/>
      <c r="X305" s="427"/>
      <c r="Y305" s="397"/>
      <c r="Z305" s="431"/>
      <c r="AA305" s="55">
        <v>0</v>
      </c>
      <c r="AB305" s="41">
        <v>0</v>
      </c>
      <c r="AC305" s="41">
        <v>0</v>
      </c>
      <c r="AD305" s="41">
        <f t="shared" si="597"/>
        <v>0</v>
      </c>
      <c r="AE305" s="41">
        <f t="shared" si="598"/>
        <v>0</v>
      </c>
      <c r="AF305" s="41">
        <f t="shared" si="599"/>
        <v>0</v>
      </c>
      <c r="AG305" s="31"/>
      <c r="AH305" s="419"/>
      <c r="AI305" s="22" t="s">
        <v>303</v>
      </c>
      <c r="AJ305" s="22" t="s">
        <v>305</v>
      </c>
      <c r="AK305" s="195" t="s">
        <v>667</v>
      </c>
      <c r="AL305" s="299">
        <v>5280.3686415000029</v>
      </c>
      <c r="AM305" s="299">
        <f t="shared" si="600"/>
        <v>0</v>
      </c>
      <c r="AN305" s="300">
        <f t="shared" si="601"/>
        <v>5280.3686415000029</v>
      </c>
    </row>
    <row r="306" spans="1:42" ht="15.75" hidden="1" customHeight="1" outlineLevel="1" x14ac:dyDescent="0.2">
      <c r="A306" s="79" t="s">
        <v>285</v>
      </c>
      <c r="B306" s="79" t="s">
        <v>54</v>
      </c>
      <c r="C306" s="79" t="s">
        <v>1</v>
      </c>
      <c r="D306" s="1" t="s">
        <v>667</v>
      </c>
      <c r="E306" s="47">
        <f>ROUND(SUMIF('Target Achieved- Input'!$B$278:$B$370,'Incentive Report- Output'!B306,'Target Achieved- Input'!$G$278:$G$370),0)</f>
        <v>60</v>
      </c>
      <c r="F306" s="47">
        <f>ROUND(SUMIF('Target Achieved- Input'!$B$278:$B$370,'Incentive Report- Output'!B306,'Target Achieved- Input'!$H$278:$H$370),0)</f>
        <v>78</v>
      </c>
      <c r="G306" s="47">
        <f>SUMIF('Target Achieved- Input'!$L$278:$L$370,'Incentive Report- Output'!B306,'Target Achieved- Input'!$O$278:$O$370)</f>
        <v>36</v>
      </c>
      <c r="H306" s="39">
        <f>SUMIF('Target Achieved- Input'!$S$278:$S$370,'Incentive Report- Output'!B306,'Target Achieved- Input'!$V$278:$V$370)</f>
        <v>20</v>
      </c>
      <c r="I306" s="48">
        <f>SUMIF('Target Achieved- Input'!$L$278:$L$370,'Incentive Report- Output'!B306,'Target Achieved- Input'!$AC$278:$AC$370)</f>
        <v>0</v>
      </c>
      <c r="J306" s="39">
        <f t="shared" si="592"/>
        <v>16</v>
      </c>
      <c r="K306" s="40">
        <f t="shared" si="593"/>
        <v>0.26666666666666666</v>
      </c>
      <c r="L306" s="41">
        <f t="shared" si="594"/>
        <v>1980000</v>
      </c>
      <c r="M306" s="41">
        <f>SUMIF('Target Achieved- Input'!$L$278:$L$370,'Incentive Report- Output'!B306,'Target Achieved- Input'!$M$278:$M$370)</f>
        <v>1501564</v>
      </c>
      <c r="N306" s="41">
        <f>SUMIF('Target Achieved- Input'!$S$278:$S$370,'Incentive Report- Output'!B306,'Target Achieved- Input'!$U$278:$U$370)</f>
        <v>739474.57640000025</v>
      </c>
      <c r="O306" s="41">
        <f>SUMIF('Target Achieved- Input'!$L$278:$L$370,'Incentive Report- Output'!B306,'Target Achieved- Input'!$N$278:$N$370)-N306</f>
        <v>533037.28799999983</v>
      </c>
      <c r="P306" s="40">
        <f t="shared" si="595"/>
        <v>0.26921075151515145</v>
      </c>
      <c r="Q306" s="40">
        <f t="shared" si="596"/>
        <v>0.26921075151515145</v>
      </c>
      <c r="R306" s="40">
        <v>0</v>
      </c>
      <c r="S306" s="49">
        <f>(LOOKUP(Q306,Policy!$L$12:$M$16)+R306)*O306</f>
        <v>0</v>
      </c>
      <c r="T306" s="185"/>
      <c r="U306" s="156"/>
      <c r="V306" s="51"/>
      <c r="W306" s="156"/>
      <c r="X306" s="427"/>
      <c r="Y306" s="397"/>
      <c r="Z306" s="431"/>
      <c r="AA306" s="55">
        <v>0</v>
      </c>
      <c r="AB306" s="41">
        <v>0</v>
      </c>
      <c r="AC306" s="41">
        <v>0</v>
      </c>
      <c r="AD306" s="41">
        <f t="shared" si="597"/>
        <v>0</v>
      </c>
      <c r="AE306" s="41">
        <f t="shared" si="598"/>
        <v>0</v>
      </c>
      <c r="AF306" s="41">
        <f t="shared" si="599"/>
        <v>0</v>
      </c>
      <c r="AG306" s="31"/>
      <c r="AH306" s="419"/>
      <c r="AI306" s="22" t="s">
        <v>285</v>
      </c>
      <c r="AJ306" s="22" t="s">
        <v>54</v>
      </c>
      <c r="AK306" s="195" t="s">
        <v>667</v>
      </c>
      <c r="AL306" s="299">
        <v>6362.559322000001</v>
      </c>
      <c r="AM306" s="299">
        <f t="shared" si="600"/>
        <v>0</v>
      </c>
      <c r="AN306" s="300">
        <f t="shared" si="601"/>
        <v>6362.559322000001</v>
      </c>
    </row>
    <row r="307" spans="1:42" ht="15.75" hidden="1" customHeight="1" outlineLevel="1" x14ac:dyDescent="0.2">
      <c r="A307" s="79" t="s">
        <v>246</v>
      </c>
      <c r="B307" s="79" t="s">
        <v>247</v>
      </c>
      <c r="C307" s="79" t="s">
        <v>1</v>
      </c>
      <c r="D307" s="1" t="s">
        <v>667</v>
      </c>
      <c r="E307" s="47">
        <f>ROUND(SUMIF('Target Achieved- Input'!$B$278:$B$370,'Incentive Report- Output'!B307,'Target Achieved- Input'!$G$278:$G$370),0)</f>
        <v>60</v>
      </c>
      <c r="F307" s="47">
        <f>ROUND(SUMIF('Target Achieved- Input'!$B$278:$B$370,'Incentive Report- Output'!B307,'Target Achieved- Input'!$H$278:$H$370),0)</f>
        <v>78</v>
      </c>
      <c r="G307" s="47">
        <f>SUMIF('Target Achieved- Input'!$L$278:$L$370,'Incentive Report- Output'!B307,'Target Achieved- Input'!$O$278:$O$370)</f>
        <v>31</v>
      </c>
      <c r="H307" s="39">
        <f>SUMIF('Target Achieved- Input'!$S$278:$S$370,'Incentive Report- Output'!B307,'Target Achieved- Input'!$V$278:$V$370)</f>
        <v>9</v>
      </c>
      <c r="I307" s="48">
        <f>SUMIF('Target Achieved- Input'!$L$278:$L$370,'Incentive Report- Output'!B307,'Target Achieved- Input'!$AC$278:$AC$370)</f>
        <v>0</v>
      </c>
      <c r="J307" s="39">
        <f t="shared" si="592"/>
        <v>22</v>
      </c>
      <c r="K307" s="40">
        <f t="shared" si="593"/>
        <v>0.36666666666666664</v>
      </c>
      <c r="L307" s="41">
        <f t="shared" si="594"/>
        <v>1980000</v>
      </c>
      <c r="M307" s="41">
        <f>SUMIF('Target Achieved- Input'!$L$278:$L$370,'Incentive Report- Output'!B307,'Target Achieved- Input'!$M$278:$M$370)</f>
        <v>1295719</v>
      </c>
      <c r="N307" s="41">
        <f>SUMIF('Target Achieved- Input'!$S$278:$S$370,'Incentive Report- Output'!B307,'Target Achieved- Input'!$U$278:$U$370)</f>
        <v>359822.8812</v>
      </c>
      <c r="O307" s="41">
        <f>SUMIF('Target Achieved- Input'!$L$278:$L$370,'Incentive Report- Output'!B307,'Target Achieved- Input'!$N$278:$N$370)-N307</f>
        <v>738244.06760000018</v>
      </c>
      <c r="P307" s="40">
        <f t="shared" si="595"/>
        <v>0.37285053919191929</v>
      </c>
      <c r="Q307" s="40">
        <f t="shared" si="596"/>
        <v>0.37285053919191929</v>
      </c>
      <c r="R307" s="40">
        <v>0</v>
      </c>
      <c r="S307" s="49">
        <f>(LOOKUP(Q307,Policy!$L$12:$M$16)+R307)*O307</f>
        <v>0</v>
      </c>
      <c r="T307" s="185"/>
      <c r="U307" s="156"/>
      <c r="V307" s="51"/>
      <c r="W307" s="156"/>
      <c r="X307" s="427"/>
      <c r="Y307" s="397"/>
      <c r="Z307" s="431"/>
      <c r="AA307" s="55">
        <v>0</v>
      </c>
      <c r="AB307" s="41">
        <v>0</v>
      </c>
      <c r="AC307" s="41">
        <v>0</v>
      </c>
      <c r="AD307" s="41">
        <f t="shared" si="597"/>
        <v>0</v>
      </c>
      <c r="AE307" s="41">
        <f t="shared" si="598"/>
        <v>0</v>
      </c>
      <c r="AF307" s="41">
        <f t="shared" si="599"/>
        <v>0</v>
      </c>
      <c r="AG307" s="31"/>
      <c r="AH307" s="419"/>
      <c r="AI307" s="22" t="s">
        <v>246</v>
      </c>
      <c r="AJ307" s="22" t="s">
        <v>247</v>
      </c>
      <c r="AK307" s="195" t="s">
        <v>667</v>
      </c>
      <c r="AL307" s="299">
        <v>5490.3347440000007</v>
      </c>
      <c r="AM307" s="299">
        <f t="shared" si="600"/>
        <v>0</v>
      </c>
      <c r="AN307" s="300">
        <f t="shared" si="601"/>
        <v>5490.3347440000007</v>
      </c>
    </row>
    <row r="308" spans="1:42" ht="15.75" hidden="1" customHeight="1" outlineLevel="1" x14ac:dyDescent="0.2">
      <c r="A308" s="79" t="s">
        <v>334</v>
      </c>
      <c r="B308" s="79" t="s">
        <v>341</v>
      </c>
      <c r="C308" s="79" t="s">
        <v>1</v>
      </c>
      <c r="D308" s="1" t="s">
        <v>667</v>
      </c>
      <c r="E308" s="47">
        <f>ROUND(SUMIF('Target Achieved- Input'!$B$278:$B$370,'Incentive Report- Output'!B308,'Target Achieved- Input'!$G$278:$G$370),0)</f>
        <v>65</v>
      </c>
      <c r="F308" s="47">
        <f>ROUND(SUMIF('Target Achieved- Input'!$B$278:$B$370,'Incentive Report- Output'!B308,'Target Achieved- Input'!$H$278:$H$370),0)</f>
        <v>85</v>
      </c>
      <c r="G308" s="47">
        <f>SUMIF('Target Achieved- Input'!$L$278:$L$370,'Incentive Report- Output'!B308,'Target Achieved- Input'!$O$278:$O$370)</f>
        <v>65</v>
      </c>
      <c r="H308" s="39">
        <f>SUMIF('Target Achieved- Input'!$S$278:$S$370,'Incentive Report- Output'!B308,'Target Achieved- Input'!$V$278:$V$370)</f>
        <v>1</v>
      </c>
      <c r="I308" s="48">
        <f>SUMIF('Target Achieved- Input'!$L$278:$L$370,'Incentive Report- Output'!B308,'Target Achieved- Input'!$AC$278:$AC$370)</f>
        <v>0</v>
      </c>
      <c r="J308" s="39">
        <f t="shared" si="592"/>
        <v>64</v>
      </c>
      <c r="K308" s="40">
        <f t="shared" si="593"/>
        <v>0.98461538461538467</v>
      </c>
      <c r="L308" s="41">
        <f t="shared" si="594"/>
        <v>2145000</v>
      </c>
      <c r="M308" s="41">
        <f>SUMIF('Target Achieved- Input'!$L$278:$L$370,'Incentive Report- Output'!B308,'Target Achieved- Input'!$M$278:$M$370)</f>
        <v>2794885</v>
      </c>
      <c r="N308" s="41">
        <f>SUMIF('Target Achieved- Input'!$S$278:$S$370,'Incentive Report- Output'!B308,'Target Achieved- Input'!$U$278:$U$370)</f>
        <v>28219.4915</v>
      </c>
      <c r="O308" s="41">
        <f>SUMIF('Target Achieved- Input'!$L$278:$L$370,'Incentive Report- Output'!B308,'Target Achieved- Input'!$N$278:$N$370)-N308</f>
        <v>2340327.1184999999</v>
      </c>
      <c r="P308" s="40">
        <f t="shared" si="595"/>
        <v>1.0910615937062937</v>
      </c>
      <c r="Q308" s="40">
        <f t="shared" si="596"/>
        <v>1.0910615937062937</v>
      </c>
      <c r="R308" s="40">
        <v>0</v>
      </c>
      <c r="S308" s="49">
        <f>(LOOKUP(Q308,Policy!$L$12:$M$16)+R308)*O308</f>
        <v>52657.360166249993</v>
      </c>
      <c r="T308" s="185"/>
      <c r="U308" s="156"/>
      <c r="V308" s="51"/>
      <c r="W308" s="156"/>
      <c r="X308" s="429"/>
      <c r="Y308" s="398"/>
      <c r="Z308" s="432"/>
      <c r="AA308" s="55">
        <v>0</v>
      </c>
      <c r="AB308" s="41">
        <v>0</v>
      </c>
      <c r="AC308" s="41">
        <v>0</v>
      </c>
      <c r="AD308" s="41">
        <f t="shared" si="597"/>
        <v>0</v>
      </c>
      <c r="AE308" s="41">
        <f t="shared" si="598"/>
        <v>52657.360166249993</v>
      </c>
      <c r="AF308" s="41">
        <f t="shared" si="599"/>
        <v>52657.360166249993</v>
      </c>
      <c r="AG308" s="31"/>
      <c r="AH308" s="419"/>
      <c r="AI308" s="22" t="s">
        <v>334</v>
      </c>
      <c r="AJ308" s="22" t="s">
        <v>341</v>
      </c>
      <c r="AK308" s="195" t="s">
        <v>667</v>
      </c>
      <c r="AL308" s="299">
        <v>53292.298724999993</v>
      </c>
      <c r="AM308" s="299">
        <f t="shared" si="600"/>
        <v>52657.360166249993</v>
      </c>
      <c r="AN308" s="300">
        <f t="shared" si="601"/>
        <v>634.93855875000008</v>
      </c>
    </row>
    <row r="309" spans="1:42" ht="15.75" hidden="1" customHeight="1" outlineLevel="1" x14ac:dyDescent="0.2">
      <c r="A309" s="109" t="s">
        <v>6</v>
      </c>
      <c r="B309" s="109"/>
      <c r="C309" s="109"/>
      <c r="D309" s="292" t="s">
        <v>667</v>
      </c>
      <c r="E309" s="44">
        <f>SUM(E301:E308)</f>
        <v>465</v>
      </c>
      <c r="F309" s="44">
        <f t="shared" ref="F309:J309" si="602">SUM(F301:F308)</f>
        <v>605</v>
      </c>
      <c r="G309" s="44">
        <f t="shared" si="602"/>
        <v>259</v>
      </c>
      <c r="H309" s="44">
        <f t="shared" si="602"/>
        <v>73</v>
      </c>
      <c r="I309" s="44">
        <f t="shared" si="602"/>
        <v>0</v>
      </c>
      <c r="J309" s="44">
        <f t="shared" si="602"/>
        <v>186</v>
      </c>
      <c r="K309" s="45"/>
      <c r="L309" s="44">
        <f t="shared" ref="L309:O309" si="603">SUM(L301:L308)</f>
        <v>15345000</v>
      </c>
      <c r="M309" s="44">
        <f t="shared" si="603"/>
        <v>11115941</v>
      </c>
      <c r="N309" s="44">
        <f t="shared" si="603"/>
        <v>2726972.0334000005</v>
      </c>
      <c r="O309" s="44">
        <f t="shared" si="603"/>
        <v>6693316.9477000013</v>
      </c>
      <c r="P309" s="45"/>
      <c r="Q309" s="46"/>
      <c r="R309" s="46"/>
      <c r="S309" s="44">
        <f t="shared" ref="S309:AF309" si="604">SUM(S301:S308)</f>
        <v>68841.351688249997</v>
      </c>
      <c r="T309" s="44">
        <f t="shared" si="604"/>
        <v>1980000</v>
      </c>
      <c r="U309" s="44">
        <f t="shared" si="604"/>
        <v>861756.77920000046</v>
      </c>
      <c r="V309" s="44">
        <f t="shared" si="604"/>
        <v>0.43523069656565677</v>
      </c>
      <c r="W309" s="44">
        <f t="shared" si="604"/>
        <v>0</v>
      </c>
      <c r="X309" s="44">
        <f t="shared" si="604"/>
        <v>465</v>
      </c>
      <c r="Y309" s="44">
        <f t="shared" si="604"/>
        <v>186</v>
      </c>
      <c r="Z309" s="44">
        <f t="shared" si="604"/>
        <v>0.4</v>
      </c>
      <c r="AA309" s="44">
        <f t="shared" si="604"/>
        <v>0</v>
      </c>
      <c r="AB309" s="44">
        <f t="shared" si="604"/>
        <v>0</v>
      </c>
      <c r="AC309" s="44">
        <f t="shared" si="604"/>
        <v>0</v>
      </c>
      <c r="AD309" s="44">
        <f t="shared" si="604"/>
        <v>0</v>
      </c>
      <c r="AE309" s="44">
        <f t="shared" si="604"/>
        <v>68841.351688249997</v>
      </c>
      <c r="AF309" s="44">
        <f t="shared" si="604"/>
        <v>68841.351688249997</v>
      </c>
      <c r="AG309" s="31"/>
      <c r="AH309" s="419"/>
      <c r="AI309" s="43" t="s">
        <v>6</v>
      </c>
      <c r="AJ309" s="43"/>
      <c r="AK309" s="43" t="s">
        <v>667</v>
      </c>
      <c r="AL309" s="304">
        <v>88287.493631499994</v>
      </c>
      <c r="AM309" s="304">
        <f>SUM(AM301:AM308)</f>
        <v>68841.351688249997</v>
      </c>
      <c r="AN309" s="304">
        <f>SUM(AN301:AN308)</f>
        <v>19446.141943250004</v>
      </c>
    </row>
    <row r="310" spans="1:42" ht="15.75" hidden="1" customHeight="1" outlineLevel="1" x14ac:dyDescent="0.2">
      <c r="A310" s="79" t="s">
        <v>61</v>
      </c>
      <c r="B310" s="79" t="s">
        <v>62</v>
      </c>
      <c r="C310" s="79" t="s">
        <v>0</v>
      </c>
      <c r="D310" s="1" t="s">
        <v>668</v>
      </c>
      <c r="E310" s="47">
        <f>ROUND(SUMIF('Target Achieved- Input'!$B$278:$B$370,'Incentive Report- Output'!B310,'Target Achieved- Input'!$G$278:$G$370),0)</f>
        <v>50</v>
      </c>
      <c r="F310" s="47">
        <f>ROUND(SUMIF('Target Achieved- Input'!$B$278:$B$370,'Incentive Report- Output'!B310,'Target Achieved- Input'!$H$278:$H$370),0)</f>
        <v>65</v>
      </c>
      <c r="G310" s="47">
        <f>SUMIF('Target Achieved- Input'!$L$278:$L$370,'Incentive Report- Output'!B310,'Target Achieved- Input'!$O$278:$O$370)</f>
        <v>27</v>
      </c>
      <c r="H310" s="39">
        <f>SUMIF('Target Achieved- Input'!$S$278:$S$370,'Incentive Report- Output'!B310,'Target Achieved- Input'!$V$278:$V$370)</f>
        <v>4</v>
      </c>
      <c r="I310" s="48">
        <f>SUMIF('Target Achieved- Input'!$L$278:$L$370,'Incentive Report- Output'!B310,'Target Achieved- Input'!$AC$278:$AC$370)</f>
        <v>0</v>
      </c>
      <c r="J310" s="39">
        <f t="shared" ref="J310:J312" si="605">G310-H310</f>
        <v>23</v>
      </c>
      <c r="K310" s="40">
        <f t="shared" ref="K310:K312" si="606">IFERROR(J310/E310,0)</f>
        <v>0.46</v>
      </c>
      <c r="L310" s="41">
        <f t="shared" ref="L310:L312" si="607">E310*33000</f>
        <v>1650000</v>
      </c>
      <c r="M310" s="41">
        <f>SUMIF('Target Achieved- Input'!$L$278:$L$370,'Incentive Report- Output'!B310,'Target Achieved- Input'!$M$278:$M$370)</f>
        <v>1242873</v>
      </c>
      <c r="N310" s="41">
        <f>SUMIF('Target Achieved- Input'!$S$278:$S$370,'Incentive Report- Output'!B310,'Target Achieved- Input'!$U$278:$U$370)</f>
        <v>149149.15250000003</v>
      </c>
      <c r="O310" s="41">
        <f>SUMIF('Target Achieved- Input'!$L$278:$L$370,'Incentive Report- Output'!B310,'Target Achieved- Input'!$N$278:$N$370)-N310</f>
        <v>904133.05080000008</v>
      </c>
      <c r="P310" s="40">
        <f t="shared" ref="P310:P312" si="608">IFERROR(O310/L310,0)</f>
        <v>0.54795942472727277</v>
      </c>
      <c r="Q310" s="40">
        <f t="shared" ref="Q310:Q312" si="609">MAX(P310,K310)</f>
        <v>0.54795942472727277</v>
      </c>
      <c r="R310" s="40">
        <v>0</v>
      </c>
      <c r="S310" s="49">
        <f>(LOOKUP(Q310,Policy!$L$12:$M$16)+R310)*O310</f>
        <v>4520.6652540000005</v>
      </c>
      <c r="T310" s="188"/>
      <c r="U310" s="53"/>
      <c r="V310" s="40"/>
      <c r="W310" s="53"/>
      <c r="X310" s="433">
        <f>E313</f>
        <v>150</v>
      </c>
      <c r="Y310" s="433">
        <f>J313</f>
        <v>47</v>
      </c>
      <c r="Z310" s="435">
        <f>Y310/X310</f>
        <v>0.31333333333333335</v>
      </c>
      <c r="AA310" s="55">
        <v>0</v>
      </c>
      <c r="AB310" s="41">
        <v>0</v>
      </c>
      <c r="AC310" s="41">
        <v>0</v>
      </c>
      <c r="AD310" s="41">
        <f t="shared" ref="AD310:AD312" si="610">IF(AF310&gt;200000,AF310-200000,0)</f>
        <v>0</v>
      </c>
      <c r="AE310" s="41">
        <f t="shared" ref="AE310:AE312" si="611">AF310-AD310+AC310</f>
        <v>4520.6652540000005</v>
      </c>
      <c r="AF310" s="41">
        <f>S310+W310+AB310+AC310</f>
        <v>4520.6652540000005</v>
      </c>
      <c r="AG310" s="31"/>
      <c r="AH310" s="419"/>
      <c r="AI310" s="22" t="s">
        <v>61</v>
      </c>
      <c r="AJ310" s="22" t="s">
        <v>62</v>
      </c>
      <c r="AK310" s="195" t="s">
        <v>668</v>
      </c>
      <c r="AL310" s="299">
        <v>5266.4110165000011</v>
      </c>
      <c r="AM310" s="299">
        <f t="shared" ref="AM310:AM312" si="612">AF310</f>
        <v>4520.6652540000005</v>
      </c>
      <c r="AN310" s="300">
        <f t="shared" ref="AN310:AN312" si="613">AL310-AM310</f>
        <v>745.74576250000064</v>
      </c>
      <c r="AP310" s="172"/>
    </row>
    <row r="311" spans="1:42" ht="15.75" hidden="1" customHeight="1" outlineLevel="1" x14ac:dyDescent="0.2">
      <c r="A311" s="79" t="s">
        <v>689</v>
      </c>
      <c r="B311" s="79" t="s">
        <v>690</v>
      </c>
      <c r="C311" s="79" t="s">
        <v>1</v>
      </c>
      <c r="D311" s="1" t="s">
        <v>668</v>
      </c>
      <c r="E311" s="47">
        <f>ROUND(SUMIF('Target Achieved- Input'!$B$278:$B$370,'Incentive Report- Output'!B311,'Target Achieved- Input'!$G$278:$G$370),0)</f>
        <v>50</v>
      </c>
      <c r="F311" s="47">
        <f>ROUND(SUMIF('Target Achieved- Input'!$B$278:$B$370,'Incentive Report- Output'!B311,'Target Achieved- Input'!$H$278:$H$370),0)</f>
        <v>65</v>
      </c>
      <c r="G311" s="47">
        <f>SUMIF('Target Achieved- Input'!$L$278:$L$370,'Incentive Report- Output'!B311,'Target Achieved- Input'!$O$278:$O$370)</f>
        <v>16</v>
      </c>
      <c r="H311" s="39">
        <f>SUMIF('Target Achieved- Input'!$S$278:$S$370,'Incentive Report- Output'!B311,'Target Achieved- Input'!$V$278:$V$370)</f>
        <v>6</v>
      </c>
      <c r="I311" s="48">
        <f>SUMIF('Target Achieved- Input'!$L$278:$L$370,'Incentive Report- Output'!B311,'Target Achieved- Input'!$AC$278:$AC$370)</f>
        <v>0</v>
      </c>
      <c r="J311" s="39">
        <f t="shared" si="605"/>
        <v>10</v>
      </c>
      <c r="K311" s="40">
        <f t="shared" si="606"/>
        <v>0.2</v>
      </c>
      <c r="L311" s="41">
        <f t="shared" si="607"/>
        <v>1650000</v>
      </c>
      <c r="M311" s="41">
        <f>SUMIF('Target Achieved- Input'!$L$278:$L$370,'Incentive Report- Output'!B311,'Target Achieved- Input'!$M$278:$M$370)</f>
        <v>654184</v>
      </c>
      <c r="N311" s="41">
        <f>SUMIF('Target Achieved- Input'!$S$278:$S$370,'Incentive Report- Output'!B311,'Target Achieved- Input'!$U$278:$U$370)</f>
        <v>246859.32210000002</v>
      </c>
      <c r="O311" s="41">
        <f>SUMIF('Target Achieved- Input'!$L$278:$L$370,'Incentive Report- Output'!B311,'Target Achieved- Input'!$N$278:$N$370)-N311</f>
        <v>307533.89819999994</v>
      </c>
      <c r="P311" s="40">
        <f t="shared" si="608"/>
        <v>0.1863841807272727</v>
      </c>
      <c r="Q311" s="40">
        <f t="shared" si="609"/>
        <v>0.2</v>
      </c>
      <c r="R311" s="40">
        <v>0</v>
      </c>
      <c r="S311" s="49">
        <f>(LOOKUP(Q311,Policy!$L$12:$M$16)+R311)*O311</f>
        <v>0</v>
      </c>
      <c r="T311" s="188"/>
      <c r="U311" s="53"/>
      <c r="V311" s="40"/>
      <c r="W311" s="53"/>
      <c r="X311" s="405"/>
      <c r="Y311" s="405"/>
      <c r="Z311" s="436"/>
      <c r="AA311" s="55">
        <v>0</v>
      </c>
      <c r="AB311" s="41">
        <v>0</v>
      </c>
      <c r="AC311" s="41">
        <v>0</v>
      </c>
      <c r="AD311" s="41">
        <f t="shared" si="610"/>
        <v>0</v>
      </c>
      <c r="AE311" s="41">
        <f t="shared" si="611"/>
        <v>0</v>
      </c>
      <c r="AF311" s="41">
        <f>S311+W311+AB311+AC311</f>
        <v>0</v>
      </c>
      <c r="AG311" s="32"/>
      <c r="AH311" s="419"/>
      <c r="AI311" s="22" t="s">
        <v>689</v>
      </c>
      <c r="AJ311" s="22" t="s">
        <v>690</v>
      </c>
      <c r="AK311" s="195" t="s">
        <v>668</v>
      </c>
      <c r="AL311" s="301">
        <v>0</v>
      </c>
      <c r="AM311" s="301">
        <f t="shared" si="612"/>
        <v>0</v>
      </c>
      <c r="AN311" s="302">
        <f t="shared" si="613"/>
        <v>0</v>
      </c>
      <c r="AO311" s="334"/>
      <c r="AP311" s="172"/>
    </row>
    <row r="312" spans="1:42" ht="15.75" hidden="1" customHeight="1" outlineLevel="1" x14ac:dyDescent="0.2">
      <c r="A312" s="79" t="s">
        <v>706</v>
      </c>
      <c r="B312" s="79" t="s">
        <v>688</v>
      </c>
      <c r="C312" s="79" t="s">
        <v>1</v>
      </c>
      <c r="D312" s="1" t="s">
        <v>668</v>
      </c>
      <c r="E312" s="47">
        <f>ROUND(SUMIF('Target Achieved- Input'!$B$278:$B$370,'Incentive Report- Output'!B312,'Target Achieved- Input'!$G$278:$G$370),0)</f>
        <v>50</v>
      </c>
      <c r="F312" s="47">
        <f>ROUND(SUMIF('Target Achieved- Input'!$B$278:$B$370,'Incentive Report- Output'!B312,'Target Achieved- Input'!$H$278:$H$370),0)</f>
        <v>65</v>
      </c>
      <c r="G312" s="47">
        <f>SUMIF('Target Achieved- Input'!$L$278:$L$370,'Incentive Report- Output'!B312,'Target Achieved- Input'!$O$278:$O$370)</f>
        <v>21</v>
      </c>
      <c r="H312" s="39">
        <f>SUMIF('Target Achieved- Input'!$S$278:$S$370,'Incentive Report- Output'!B312,'Target Achieved- Input'!$V$278:$V$370)</f>
        <v>7</v>
      </c>
      <c r="I312" s="48">
        <f>SUMIF('Target Achieved- Input'!$L$278:$L$370,'Incentive Report- Output'!B312,'Target Achieved- Input'!$AC$278:$AC$370)</f>
        <v>0</v>
      </c>
      <c r="J312" s="39">
        <f t="shared" si="605"/>
        <v>14</v>
      </c>
      <c r="K312" s="40">
        <f t="shared" si="606"/>
        <v>0.28000000000000003</v>
      </c>
      <c r="L312" s="41">
        <f t="shared" si="607"/>
        <v>1650000</v>
      </c>
      <c r="M312" s="41">
        <f>SUMIF('Target Achieved- Input'!$L$278:$L$370,'Incentive Report- Output'!B312,'Target Achieved- Input'!$M$278:$M$370)</f>
        <v>1044629</v>
      </c>
      <c r="N312" s="41">
        <f>SUMIF('Target Achieved- Input'!$S$278:$S$370,'Incentive Report- Output'!B312,'Target Achieved- Input'!$U$278:$U$370)</f>
        <v>315544.91519999999</v>
      </c>
      <c r="O312" s="41">
        <f>SUMIF('Target Achieved- Input'!$L$278:$L$370,'Incentive Report- Output'!B312,'Target Achieved- Input'!$N$278:$N$370)-N312</f>
        <v>569733.89850000013</v>
      </c>
      <c r="P312" s="40">
        <f t="shared" si="608"/>
        <v>0.34529327181818187</v>
      </c>
      <c r="Q312" s="40">
        <f t="shared" si="609"/>
        <v>0.34529327181818187</v>
      </c>
      <c r="R312" s="40">
        <v>0</v>
      </c>
      <c r="S312" s="49">
        <f>(LOOKUP(Q312,Policy!$L$12:$M$16)+R312)*O312</f>
        <v>0</v>
      </c>
      <c r="T312" s="185"/>
      <c r="U312" s="156"/>
      <c r="V312" s="51"/>
      <c r="W312" s="156"/>
      <c r="X312" s="434"/>
      <c r="Y312" s="434"/>
      <c r="Z312" s="437"/>
      <c r="AA312" s="55">
        <v>0</v>
      </c>
      <c r="AB312" s="41">
        <v>0</v>
      </c>
      <c r="AC312" s="41">
        <v>0</v>
      </c>
      <c r="AD312" s="41">
        <f t="shared" si="610"/>
        <v>0</v>
      </c>
      <c r="AE312" s="41">
        <f t="shared" si="611"/>
        <v>0</v>
      </c>
      <c r="AF312" s="41">
        <f>S312+W312+AB312+AC312</f>
        <v>0</v>
      </c>
      <c r="AG312" s="31"/>
      <c r="AH312" s="419"/>
      <c r="AI312" s="22" t="s">
        <v>706</v>
      </c>
      <c r="AJ312" s="22" t="s">
        <v>688</v>
      </c>
      <c r="AK312" s="195" t="s">
        <v>668</v>
      </c>
      <c r="AL312" s="301">
        <v>4426.3940685000007</v>
      </c>
      <c r="AM312" s="301">
        <f t="shared" si="612"/>
        <v>0</v>
      </c>
      <c r="AN312" s="302">
        <f t="shared" si="613"/>
        <v>4426.3940685000007</v>
      </c>
      <c r="AP312" s="172"/>
    </row>
    <row r="313" spans="1:42" ht="15.75" hidden="1" customHeight="1" outlineLevel="1" x14ac:dyDescent="0.2">
      <c r="A313" s="109" t="s">
        <v>6</v>
      </c>
      <c r="B313" s="109"/>
      <c r="C313" s="109"/>
      <c r="D313" s="292" t="s">
        <v>668</v>
      </c>
      <c r="E313" s="44">
        <f>SUM(E310:E312)</f>
        <v>150</v>
      </c>
      <c r="F313" s="44">
        <f t="shared" ref="F313:J313" si="614">SUM(F310:F312)</f>
        <v>195</v>
      </c>
      <c r="G313" s="44">
        <f t="shared" si="614"/>
        <v>64</v>
      </c>
      <c r="H313" s="44">
        <f t="shared" si="614"/>
        <v>17</v>
      </c>
      <c r="I313" s="44">
        <f t="shared" si="614"/>
        <v>0</v>
      </c>
      <c r="J313" s="44">
        <f t="shared" si="614"/>
        <v>47</v>
      </c>
      <c r="K313" s="45"/>
      <c r="L313" s="44">
        <f t="shared" ref="L313:O313" si="615">SUM(L310:L312)</f>
        <v>4950000</v>
      </c>
      <c r="M313" s="44">
        <f t="shared" si="615"/>
        <v>2941686</v>
      </c>
      <c r="N313" s="44">
        <f t="shared" si="615"/>
        <v>711553.3898</v>
      </c>
      <c r="O313" s="44">
        <f t="shared" si="615"/>
        <v>1781400.8475000001</v>
      </c>
      <c r="P313" s="45"/>
      <c r="Q313" s="46"/>
      <c r="R313" s="46"/>
      <c r="S313" s="44">
        <f t="shared" ref="S313:AF313" si="616">SUM(S310:S312)</f>
        <v>4520.6652540000005</v>
      </c>
      <c r="T313" s="44">
        <f t="shared" si="616"/>
        <v>0</v>
      </c>
      <c r="U313" s="44">
        <f t="shared" si="616"/>
        <v>0</v>
      </c>
      <c r="V313" s="44">
        <f t="shared" si="616"/>
        <v>0</v>
      </c>
      <c r="W313" s="44">
        <f t="shared" si="616"/>
        <v>0</v>
      </c>
      <c r="X313" s="44">
        <f t="shared" si="616"/>
        <v>150</v>
      </c>
      <c r="Y313" s="44">
        <f t="shared" si="616"/>
        <v>47</v>
      </c>
      <c r="Z313" s="44">
        <f t="shared" si="616"/>
        <v>0.31333333333333335</v>
      </c>
      <c r="AA313" s="44">
        <f t="shared" si="616"/>
        <v>0</v>
      </c>
      <c r="AB313" s="44">
        <f t="shared" si="616"/>
        <v>0</v>
      </c>
      <c r="AC313" s="44">
        <f t="shared" si="616"/>
        <v>0</v>
      </c>
      <c r="AD313" s="44">
        <f t="shared" si="616"/>
        <v>0</v>
      </c>
      <c r="AE313" s="44">
        <f t="shared" si="616"/>
        <v>4520.6652540000005</v>
      </c>
      <c r="AF313" s="44">
        <f t="shared" si="616"/>
        <v>4520.6652540000005</v>
      </c>
      <c r="AG313" s="31"/>
      <c r="AH313" s="419"/>
      <c r="AI313" s="43" t="s">
        <v>6</v>
      </c>
      <c r="AJ313" s="43"/>
      <c r="AK313" s="43" t="s">
        <v>668</v>
      </c>
      <c r="AL313" s="305">
        <v>9692.8050850000018</v>
      </c>
      <c r="AM313" s="305">
        <f>SUM(AM310:AM312)</f>
        <v>4520.6652540000005</v>
      </c>
      <c r="AN313" s="305">
        <f>SUM(AN310:AN312)</f>
        <v>5172.1398310000013</v>
      </c>
    </row>
    <row r="314" spans="1:42" ht="15.75" hidden="1" customHeight="1" outlineLevel="1" x14ac:dyDescent="0.2">
      <c r="A314" s="79" t="s">
        <v>249</v>
      </c>
      <c r="B314" s="79" t="s">
        <v>250</v>
      </c>
      <c r="C314" s="79" t="s">
        <v>0</v>
      </c>
      <c r="D314" s="1" t="s">
        <v>669</v>
      </c>
      <c r="E314" s="47">
        <f>ROUND(SUMIF('Target Achieved- Input'!$B$278:$B$370,'Incentive Report- Output'!B314,'Target Achieved- Input'!$G$278:$G$370),0)</f>
        <v>70</v>
      </c>
      <c r="F314" s="47">
        <f>ROUND(SUMIF('Target Achieved- Input'!$B$278:$B$370,'Incentive Report- Output'!B314,'Target Achieved- Input'!$H$278:$H$370),0)</f>
        <v>91</v>
      </c>
      <c r="G314" s="47">
        <f>SUMIF('Target Achieved- Input'!$L$278:$L$370,'Incentive Report- Output'!B314,'Target Achieved- Input'!$O$278:$O$370)</f>
        <v>104</v>
      </c>
      <c r="H314" s="39">
        <f>SUMIF('Target Achieved- Input'!$S$278:$S$370,'Incentive Report- Output'!B314,'Target Achieved- Input'!$V$278:$V$370)</f>
        <v>2</v>
      </c>
      <c r="I314" s="48">
        <f>SUMIF('Target Achieved- Input'!$L$278:$L$370,'Incentive Report- Output'!B314,'Target Achieved- Input'!$AC$278:$AC$370)</f>
        <v>5</v>
      </c>
      <c r="J314" s="39">
        <f t="shared" ref="J314:J321" si="617">G314-H314</f>
        <v>102</v>
      </c>
      <c r="K314" s="40">
        <f t="shared" ref="K314:K321" si="618">IFERROR(J314/E314,0)</f>
        <v>1.4571428571428571</v>
      </c>
      <c r="L314" s="41">
        <f t="shared" ref="L314:L321" si="619">E314*33000</f>
        <v>2310000</v>
      </c>
      <c r="M314" s="41">
        <f>SUMIF('Target Achieved- Input'!$L$278:$L$370,'Incentive Report- Output'!B314,'Target Achieved- Input'!$M$278:$M$370)</f>
        <v>3813146</v>
      </c>
      <c r="N314" s="41">
        <f>SUMIF('Target Achieved- Input'!$S$278:$S$370,'Incentive Report- Output'!B314,'Target Achieved- Input'!$U$278:$U$370)</f>
        <v>35845.762690000003</v>
      </c>
      <c r="O314" s="41">
        <f>SUMIF('Target Achieved- Input'!$L$278:$L$370,'Incentive Report- Output'!B314,'Target Achieved- Input'!$N$278:$N$370)-N314</f>
        <v>3195633.8976300023</v>
      </c>
      <c r="P314" s="40">
        <f t="shared" ref="P314:P321" si="620">IFERROR(O314/L314,0)</f>
        <v>1.3833912976753258</v>
      </c>
      <c r="Q314" s="40">
        <f t="shared" ref="Q314:Q315" si="621">P314</f>
        <v>1.3833912976753258</v>
      </c>
      <c r="R314" s="40">
        <v>0</v>
      </c>
      <c r="S314" s="49">
        <f>(LOOKUP(Q314,Policy!$L$12:$M$16)+R314)*O314</f>
        <v>95869.016928900062</v>
      </c>
      <c r="T314" s="185"/>
      <c r="U314" s="156"/>
      <c r="V314" s="51"/>
      <c r="W314" s="156"/>
      <c r="X314" s="396">
        <f>E322</f>
        <v>465</v>
      </c>
      <c r="Y314" s="428">
        <f>J322</f>
        <v>403</v>
      </c>
      <c r="Z314" s="407">
        <f>Y314/X314</f>
        <v>0.8666666666666667</v>
      </c>
      <c r="AA314" s="55">
        <v>0</v>
      </c>
      <c r="AB314" s="41">
        <v>0</v>
      </c>
      <c r="AC314" s="41">
        <v>0</v>
      </c>
      <c r="AD314" s="41">
        <f t="shared" ref="AD314:AD321" si="622">IF(AF314&gt;200000,AF314-200000,0)</f>
        <v>0</v>
      </c>
      <c r="AE314" s="41">
        <f t="shared" ref="AE314:AE321" si="623">AF314-AD314</f>
        <v>95869.016928900062</v>
      </c>
      <c r="AF314" s="41">
        <f t="shared" ref="AF314:AF321" si="624">S314+W314+AB314+AC314</f>
        <v>95869.016928900062</v>
      </c>
      <c r="AG314" s="31"/>
      <c r="AH314" s="419"/>
      <c r="AI314" s="22" t="s">
        <v>249</v>
      </c>
      <c r="AJ314" s="22" t="s">
        <v>250</v>
      </c>
      <c r="AK314" s="195" t="s">
        <v>669</v>
      </c>
      <c r="AL314" s="301">
        <v>96944.389809600063</v>
      </c>
      <c r="AM314" s="301">
        <f t="shared" ref="AM314" si="625">AF314</f>
        <v>95869.016928900062</v>
      </c>
      <c r="AN314" s="302">
        <f t="shared" ref="AN314:AN321" si="626">AL314-AM314</f>
        <v>1075.3728807000007</v>
      </c>
    </row>
    <row r="315" spans="1:42" ht="15.75" hidden="1" customHeight="1" outlineLevel="1" x14ac:dyDescent="0.2">
      <c r="A315" s="79" t="s">
        <v>194</v>
      </c>
      <c r="B315" s="79" t="s">
        <v>199</v>
      </c>
      <c r="C315" s="79" t="s">
        <v>1185</v>
      </c>
      <c r="D315" s="1" t="s">
        <v>669</v>
      </c>
      <c r="E315" s="47">
        <f>ROUND(SUMIF('Target Achieved- Input'!$B$278:$B$370,'Incentive Report- Output'!B315,'Target Achieved- Input'!$G$278:$G$370),0)</f>
        <v>70</v>
      </c>
      <c r="F315" s="47">
        <f>ROUND(SUMIF('Target Achieved- Input'!$B$278:$B$370,'Incentive Report- Output'!B315,'Target Achieved- Input'!$H$278:$H$370),0)</f>
        <v>91</v>
      </c>
      <c r="G315" s="47">
        <f>SUMIF('Target Achieved- Input'!$L$278:$L$370,'Incentive Report- Output'!B315,'Target Achieved- Input'!$O$278:$O$370)</f>
        <v>69</v>
      </c>
      <c r="H315" s="39">
        <f>SUMIF('Target Achieved- Input'!$S$278:$S$370,'Incentive Report- Output'!B315,'Target Achieved- Input'!$V$278:$V$370)</f>
        <v>2</v>
      </c>
      <c r="I315" s="48">
        <f>SUMIF('Target Achieved- Input'!$L$278:$L$370,'Incentive Report- Output'!B315,'Target Achieved- Input'!$AC$278:$AC$370)</f>
        <v>3</v>
      </c>
      <c r="J315" s="39">
        <f t="shared" si="617"/>
        <v>67</v>
      </c>
      <c r="K315" s="40">
        <f t="shared" si="618"/>
        <v>0.95714285714285718</v>
      </c>
      <c r="L315" s="41">
        <f t="shared" si="619"/>
        <v>2310000</v>
      </c>
      <c r="M315" s="41">
        <f>SUMIF('Target Achieved- Input'!$L$278:$L$370,'Incentive Report- Output'!B315,'Target Achieved- Input'!$M$278:$M$370)</f>
        <v>2541231</v>
      </c>
      <c r="N315" s="41">
        <f>SUMIF('Target Achieved- Input'!$S$278:$S$370,'Incentive Report- Output'!B315,'Target Achieved- Input'!$U$278:$U$370)</f>
        <v>58727.118600000002</v>
      </c>
      <c r="O315" s="41">
        <f>SUMIF('Target Achieved- Input'!$L$278:$L$370,'Incentive Report- Output'!B315,'Target Achieved- Input'!$N$278:$N$370)-N315</f>
        <v>2094858.4741299993</v>
      </c>
      <c r="P315" s="40">
        <f t="shared" si="620"/>
        <v>0.90686514031601706</v>
      </c>
      <c r="Q315" s="40">
        <f t="shared" si="621"/>
        <v>0.90686514031601706</v>
      </c>
      <c r="R315" s="40">
        <v>0</v>
      </c>
      <c r="S315" s="49">
        <f>(LOOKUP(Q315,Policy!$L$12:$M$16)+R315)*O315</f>
        <v>20948.584741299994</v>
      </c>
      <c r="T315" s="185">
        <f>L317+L321</f>
        <v>3795000</v>
      </c>
      <c r="U315" s="156">
        <f>O317+O321</f>
        <v>3318386.4395000008</v>
      </c>
      <c r="V315" s="51">
        <f>IFERROR(U315/T315,0)</f>
        <v>0.87441012898550741</v>
      </c>
      <c r="W315" s="156">
        <f>LOOKUP(V315,Policy!$L$18:$M$21)*U315</f>
        <v>3318.386439500001</v>
      </c>
      <c r="X315" s="397"/>
      <c r="Y315" s="427"/>
      <c r="Z315" s="406"/>
      <c r="AA315" s="55">
        <v>0</v>
      </c>
      <c r="AB315" s="41">
        <v>0</v>
      </c>
      <c r="AC315" s="41">
        <v>0</v>
      </c>
      <c r="AD315" s="41">
        <f t="shared" si="622"/>
        <v>0</v>
      </c>
      <c r="AE315" s="41">
        <f t="shared" si="623"/>
        <v>24266.971180799996</v>
      </c>
      <c r="AF315" s="41">
        <f t="shared" si="624"/>
        <v>24266.971180799996</v>
      </c>
      <c r="AG315" s="31"/>
      <c r="AH315" s="419"/>
      <c r="AI315" s="22" t="s">
        <v>194</v>
      </c>
      <c r="AJ315" s="22" t="s">
        <v>199</v>
      </c>
      <c r="AK315" s="195" t="s">
        <v>669</v>
      </c>
      <c r="AL315" s="299">
        <v>25258.554230999995</v>
      </c>
      <c r="AM315" s="299">
        <f>AF315</f>
        <v>24266.971180799996</v>
      </c>
      <c r="AN315" s="300">
        <f t="shared" si="626"/>
        <v>991.58305019999898</v>
      </c>
      <c r="AP315" s="172"/>
    </row>
    <row r="316" spans="1:42" ht="15.75" hidden="1" customHeight="1" outlineLevel="1" x14ac:dyDescent="0.2">
      <c r="A316" s="79" t="s">
        <v>1107</v>
      </c>
      <c r="B316" s="79" t="s">
        <v>1108</v>
      </c>
      <c r="C316" s="79" t="s">
        <v>1</v>
      </c>
      <c r="D316" s="1" t="s">
        <v>669</v>
      </c>
      <c r="E316" s="47">
        <f>ROUND(SUMIF('Target Achieved- Input'!$B$278:$B$370,'Incentive Report- Output'!B316,'Target Achieved- Input'!$G$278:$G$370),0)</f>
        <v>30</v>
      </c>
      <c r="F316" s="47">
        <f>ROUND(SUMIF('Target Achieved- Input'!$B$278:$B$370,'Incentive Report- Output'!B316,'Target Achieved- Input'!$H$278:$H$370),0)</f>
        <v>39</v>
      </c>
      <c r="G316" s="47">
        <f>SUMIF('Target Achieved- Input'!$L$278:$L$370,'Incentive Report- Output'!B316,'Target Achieved- Input'!$O$278:$O$370)</f>
        <v>4</v>
      </c>
      <c r="H316" s="39">
        <f>SUMIF('Target Achieved- Input'!$S$278:$S$370,'Incentive Report- Output'!B316,'Target Achieved- Input'!$V$278:$V$370)</f>
        <v>4</v>
      </c>
      <c r="I316" s="48">
        <f>SUMIF('Target Achieved- Input'!$L$278:$L$370,'Incentive Report- Output'!B316,'Target Achieved- Input'!$AC$278:$AC$370)</f>
        <v>0</v>
      </c>
      <c r="J316" s="39">
        <f t="shared" si="617"/>
        <v>0</v>
      </c>
      <c r="K316" s="40">
        <f t="shared" si="618"/>
        <v>0</v>
      </c>
      <c r="L316" s="41">
        <f t="shared" si="619"/>
        <v>990000</v>
      </c>
      <c r="M316" s="41">
        <f>SUMIF('Target Achieved- Input'!$L$278:$L$370,'Incentive Report- Output'!B316,'Target Achieved- Input'!$M$278:$M$370)</f>
        <v>201496</v>
      </c>
      <c r="N316" s="41">
        <f>SUMIF('Target Achieved- Input'!$S$278:$S$370,'Incentive Report- Output'!B316,'Target Achieved- Input'!$U$278:$U$370)</f>
        <v>170759.32209999999</v>
      </c>
      <c r="O316" s="41">
        <f>SUMIF('Target Achieved- Input'!$L$278:$L$370,'Incentive Report- Output'!B316,'Target Achieved- Input'!$N$278:$N$370)-N316</f>
        <v>0</v>
      </c>
      <c r="P316" s="40">
        <f t="shared" si="620"/>
        <v>0</v>
      </c>
      <c r="Q316" s="40">
        <f t="shared" ref="Q316:Q320" si="627">MAX(P316,K316)</f>
        <v>0</v>
      </c>
      <c r="R316" s="40">
        <v>0</v>
      </c>
      <c r="S316" s="49">
        <f>(LOOKUP(Q316,Policy!$L$12:$M$16)+R316)*O316</f>
        <v>0</v>
      </c>
      <c r="T316" s="185"/>
      <c r="U316" s="156"/>
      <c r="V316" s="50"/>
      <c r="W316" s="156"/>
      <c r="X316" s="397"/>
      <c r="Y316" s="427"/>
      <c r="Z316" s="406"/>
      <c r="AA316" s="55">
        <v>0</v>
      </c>
      <c r="AB316" s="41">
        <v>0</v>
      </c>
      <c r="AC316" s="41">
        <v>0</v>
      </c>
      <c r="AD316" s="41">
        <f t="shared" si="622"/>
        <v>0</v>
      </c>
      <c r="AE316" s="41">
        <f t="shared" si="623"/>
        <v>0</v>
      </c>
      <c r="AF316" s="41">
        <f t="shared" si="624"/>
        <v>0</v>
      </c>
      <c r="AG316" s="32"/>
      <c r="AH316" s="419"/>
      <c r="AI316" s="22" t="s">
        <v>1107</v>
      </c>
      <c r="AJ316" s="22" t="s">
        <v>1108</v>
      </c>
      <c r="AK316" s="195" t="s">
        <v>669</v>
      </c>
      <c r="AL316" s="301">
        <v>0</v>
      </c>
      <c r="AM316" s="301">
        <f>AF316</f>
        <v>0</v>
      </c>
      <c r="AN316" s="302">
        <f t="shared" si="626"/>
        <v>0</v>
      </c>
      <c r="AO316" s="334"/>
    </row>
    <row r="317" spans="1:42" ht="15.75" hidden="1" customHeight="1" outlineLevel="1" x14ac:dyDescent="0.2">
      <c r="A317" s="79" t="s">
        <v>707</v>
      </c>
      <c r="B317" s="79" t="s">
        <v>696</v>
      </c>
      <c r="C317" s="79" t="s">
        <v>1</v>
      </c>
      <c r="D317" s="1" t="s">
        <v>669</v>
      </c>
      <c r="E317" s="47">
        <f>ROUND(SUMIF('Target Achieved- Input'!$B$278:$B$370,'Incentive Report- Output'!B317,'Target Achieved- Input'!$G$278:$G$370),0)</f>
        <v>70</v>
      </c>
      <c r="F317" s="47">
        <f>ROUND(SUMIF('Target Achieved- Input'!$B$278:$B$370,'Incentive Report- Output'!B317,'Target Achieved- Input'!$H$278:$H$370),0)</f>
        <v>91</v>
      </c>
      <c r="G317" s="47">
        <f>SUMIF('Target Achieved- Input'!$L$278:$L$370,'Incentive Report- Output'!B317,'Target Achieved- Input'!$O$278:$O$370)</f>
        <v>78</v>
      </c>
      <c r="H317" s="39">
        <f>SUMIF('Target Achieved- Input'!$S$278:$S$370,'Incentive Report- Output'!B317,'Target Achieved- Input'!$V$278:$V$370)</f>
        <v>0</v>
      </c>
      <c r="I317" s="48">
        <f>SUMIF('Target Achieved- Input'!$L$278:$L$370,'Incentive Report- Output'!B317,'Target Achieved- Input'!$AC$278:$AC$370)</f>
        <v>0</v>
      </c>
      <c r="J317" s="39">
        <f t="shared" si="617"/>
        <v>78</v>
      </c>
      <c r="K317" s="40">
        <f t="shared" si="618"/>
        <v>1.1142857142857143</v>
      </c>
      <c r="L317" s="41">
        <f t="shared" si="619"/>
        <v>2310000</v>
      </c>
      <c r="M317" s="41">
        <f>SUMIF('Target Achieved- Input'!$L$278:$L$370,'Incentive Report- Output'!B317,'Target Achieved- Input'!$M$278:$M$370)</f>
        <v>2991422</v>
      </c>
      <c r="N317" s="41">
        <f>SUMIF('Target Achieved- Input'!$S$278:$S$370,'Incentive Report- Output'!B317,'Target Achieved- Input'!$U$278:$U$370)</f>
        <v>0</v>
      </c>
      <c r="O317" s="41">
        <f>SUMIF('Target Achieved- Input'!$L$278:$L$370,'Incentive Report- Output'!B317,'Target Achieved- Input'!$N$278:$N$370)-N317</f>
        <v>2535103.3891000007</v>
      </c>
      <c r="P317" s="40">
        <f t="shared" si="620"/>
        <v>1.0974473545887449</v>
      </c>
      <c r="Q317" s="40">
        <f>P317</f>
        <v>1.0974473545887449</v>
      </c>
      <c r="R317" s="40">
        <v>0</v>
      </c>
      <c r="S317" s="49">
        <f>(LOOKUP(Q317,Policy!$L$12:$M$16)+R317)*O317</f>
        <v>57039.826254750013</v>
      </c>
      <c r="T317" s="185"/>
      <c r="U317" s="156"/>
      <c r="V317" s="50"/>
      <c r="W317" s="156"/>
      <c r="X317" s="397"/>
      <c r="Y317" s="427"/>
      <c r="Z317" s="406"/>
      <c r="AA317" s="55">
        <v>0</v>
      </c>
      <c r="AB317" s="41">
        <v>0</v>
      </c>
      <c r="AC317" s="41">
        <v>0</v>
      </c>
      <c r="AD317" s="41">
        <f t="shared" si="622"/>
        <v>0</v>
      </c>
      <c r="AE317" s="41">
        <f t="shared" si="623"/>
        <v>57039.826254750013</v>
      </c>
      <c r="AF317" s="41">
        <f t="shared" si="624"/>
        <v>57039.826254750013</v>
      </c>
      <c r="AG317" s="31"/>
      <c r="AH317" s="419"/>
      <c r="AI317" s="22" t="s">
        <v>707</v>
      </c>
      <c r="AJ317" s="22" t="s">
        <v>696</v>
      </c>
      <c r="AK317" s="195" t="s">
        <v>669</v>
      </c>
      <c r="AL317" s="301">
        <v>57039.826254750013</v>
      </c>
      <c r="AM317" s="301">
        <f>AF317</f>
        <v>57039.826254750013</v>
      </c>
      <c r="AN317" s="302">
        <f t="shared" si="626"/>
        <v>0</v>
      </c>
    </row>
    <row r="318" spans="1:42" ht="15.75" hidden="1" customHeight="1" outlineLevel="1" x14ac:dyDescent="0.2">
      <c r="A318" s="79" t="s">
        <v>804</v>
      </c>
      <c r="B318" s="79" t="s">
        <v>805</v>
      </c>
      <c r="C318" s="79" t="s">
        <v>1</v>
      </c>
      <c r="D318" s="1" t="s">
        <v>669</v>
      </c>
      <c r="E318" s="47">
        <f>ROUND(SUMIF('Target Achieved- Input'!$B$278:$B$370,'Incentive Report- Output'!B318,'Target Achieved- Input'!$G$278:$G$370),0)</f>
        <v>40</v>
      </c>
      <c r="F318" s="47">
        <f>ROUND(SUMIF('Target Achieved- Input'!$B$278:$B$370,'Incentive Report- Output'!B318,'Target Achieved- Input'!$H$278:$H$370),0)</f>
        <v>52</v>
      </c>
      <c r="G318" s="47">
        <f>SUMIF('Target Achieved- Input'!$L$278:$L$370,'Incentive Report- Output'!B318,'Target Achieved- Input'!$O$278:$O$370)</f>
        <v>27</v>
      </c>
      <c r="H318" s="39">
        <f>SUMIF('Target Achieved- Input'!$S$278:$S$370,'Incentive Report- Output'!B318,'Target Achieved- Input'!$V$278:$V$370)</f>
        <v>2</v>
      </c>
      <c r="I318" s="48">
        <f>SUMIF('Target Achieved- Input'!$L$278:$L$370,'Incentive Report- Output'!B318,'Target Achieved- Input'!$AC$278:$AC$370)</f>
        <v>0</v>
      </c>
      <c r="J318" s="39">
        <f t="shared" si="617"/>
        <v>25</v>
      </c>
      <c r="K318" s="40">
        <f t="shared" si="618"/>
        <v>0.625</v>
      </c>
      <c r="L318" s="41">
        <f t="shared" si="619"/>
        <v>1320000</v>
      </c>
      <c r="M318" s="41">
        <f>SUMIF('Target Achieved- Input'!$L$278:$L$370,'Incentive Report- Output'!B318,'Target Achieved- Input'!$M$278:$M$370)</f>
        <v>1142223</v>
      </c>
      <c r="N318" s="41">
        <f>SUMIF('Target Achieved- Input'!$S$278:$S$370,'Incentive Report- Output'!B318,'Target Achieved- Input'!$U$278:$U$370)</f>
        <v>73176.271200000003</v>
      </c>
      <c r="O318" s="41">
        <f>SUMIF('Target Achieved- Input'!$L$278:$L$370,'Incentive Report- Output'!B318,'Target Achieved- Input'!$N$278:$N$370)-N318</f>
        <v>894809.3217000002</v>
      </c>
      <c r="P318" s="40">
        <f t="shared" si="620"/>
        <v>0.67788584977272748</v>
      </c>
      <c r="Q318" s="40">
        <f t="shared" si="627"/>
        <v>0.67788584977272748</v>
      </c>
      <c r="R318" s="40">
        <v>0</v>
      </c>
      <c r="S318" s="49">
        <f>(LOOKUP(Q318,Policy!$L$12:$M$16)+R318)*O318</f>
        <v>4474.0466085000007</v>
      </c>
      <c r="T318" s="185"/>
      <c r="U318" s="156"/>
      <c r="V318" s="50"/>
      <c r="W318" s="156"/>
      <c r="X318" s="397"/>
      <c r="Y318" s="427"/>
      <c r="Z318" s="406"/>
      <c r="AA318" s="55">
        <v>0</v>
      </c>
      <c r="AB318" s="41">
        <v>0</v>
      </c>
      <c r="AC318" s="41">
        <v>0</v>
      </c>
      <c r="AD318" s="41">
        <f t="shared" si="622"/>
        <v>0</v>
      </c>
      <c r="AE318" s="41">
        <f t="shared" si="623"/>
        <v>4474.0466085000007</v>
      </c>
      <c r="AF318" s="41">
        <f t="shared" si="624"/>
        <v>4474.0466085000007</v>
      </c>
      <c r="AG318" s="31"/>
      <c r="AH318" s="419"/>
      <c r="AI318" s="22" t="s">
        <v>804</v>
      </c>
      <c r="AJ318" s="22" t="s">
        <v>805</v>
      </c>
      <c r="AK318" s="195" t="s">
        <v>669</v>
      </c>
      <c r="AL318" s="301">
        <v>4839.9279645000006</v>
      </c>
      <c r="AM318" s="301">
        <f t="shared" ref="AM318:AM320" si="628">AF318</f>
        <v>4474.0466085000007</v>
      </c>
      <c r="AN318" s="302">
        <f t="shared" si="626"/>
        <v>365.88135599999987</v>
      </c>
    </row>
    <row r="319" spans="1:42" ht="15.75" hidden="1" customHeight="1" outlineLevel="1" x14ac:dyDescent="0.2">
      <c r="A319" s="79" t="s">
        <v>313</v>
      </c>
      <c r="B319" s="79" t="s">
        <v>314</v>
      </c>
      <c r="C319" s="79" t="s">
        <v>1</v>
      </c>
      <c r="D319" s="1" t="s">
        <v>669</v>
      </c>
      <c r="E319" s="47">
        <f>ROUND(SUMIF('Target Achieved- Input'!$B$278:$B$370,'Incentive Report- Output'!B319,'Target Achieved- Input'!$G$278:$G$370),0)</f>
        <v>70</v>
      </c>
      <c r="F319" s="47">
        <f>ROUND(SUMIF('Target Achieved- Input'!$B$278:$B$370,'Incentive Report- Output'!B319,'Target Achieved- Input'!$H$278:$H$370),0)</f>
        <v>91</v>
      </c>
      <c r="G319" s="47">
        <f>SUMIF('Target Achieved- Input'!$L$278:$L$370,'Incentive Report- Output'!B319,'Target Achieved- Input'!$O$278:$O$370)</f>
        <v>65</v>
      </c>
      <c r="H319" s="39">
        <f>SUMIF('Target Achieved- Input'!$S$278:$S$370,'Incentive Report- Output'!B319,'Target Achieved- Input'!$V$278:$V$370)</f>
        <v>0</v>
      </c>
      <c r="I319" s="48">
        <f>SUMIF('Target Achieved- Input'!$L$278:$L$370,'Incentive Report- Output'!B319,'Target Achieved- Input'!$AC$278:$AC$370)</f>
        <v>1</v>
      </c>
      <c r="J319" s="39">
        <f t="shared" si="617"/>
        <v>65</v>
      </c>
      <c r="K319" s="40">
        <f t="shared" si="618"/>
        <v>0.9285714285714286</v>
      </c>
      <c r="L319" s="41">
        <f t="shared" si="619"/>
        <v>2310000</v>
      </c>
      <c r="M319" s="41">
        <f>SUMIF('Target Achieved- Input'!$L$278:$L$370,'Incentive Report- Output'!B319,'Target Achieved- Input'!$M$278:$M$370)</f>
        <v>2479585</v>
      </c>
      <c r="N319" s="41">
        <f>SUMIF('Target Achieved- Input'!$S$278:$S$370,'Incentive Report- Output'!B319,'Target Achieved- Input'!$U$278:$U$370)</f>
        <v>0</v>
      </c>
      <c r="O319" s="41">
        <f>SUMIF('Target Achieved- Input'!$L$278:$L$370,'Incentive Report- Output'!B319,'Target Achieved- Input'!$N$278:$N$370)-N319</f>
        <v>2101343.2198899984</v>
      </c>
      <c r="P319" s="40">
        <f t="shared" si="620"/>
        <v>0.90967238956276986</v>
      </c>
      <c r="Q319" s="40">
        <f>P319</f>
        <v>0.90967238956276986</v>
      </c>
      <c r="R319" s="40">
        <v>0</v>
      </c>
      <c r="S319" s="49">
        <f>(LOOKUP(Q319,Policy!$L$12:$M$16)+R319)*O319</f>
        <v>21013.432198899984</v>
      </c>
      <c r="T319" s="185"/>
      <c r="U319" s="156"/>
      <c r="V319" s="50"/>
      <c r="W319" s="156"/>
      <c r="X319" s="397"/>
      <c r="Y319" s="427"/>
      <c r="Z319" s="406"/>
      <c r="AA319" s="55">
        <v>0</v>
      </c>
      <c r="AB319" s="41">
        <v>0</v>
      </c>
      <c r="AC319" s="41">
        <v>0</v>
      </c>
      <c r="AD319" s="41">
        <f t="shared" si="622"/>
        <v>0</v>
      </c>
      <c r="AE319" s="41">
        <f t="shared" si="623"/>
        <v>21013.432198899984</v>
      </c>
      <c r="AF319" s="41">
        <f t="shared" si="624"/>
        <v>21013.432198899984</v>
      </c>
      <c r="AG319" s="31"/>
      <c r="AH319" s="419"/>
      <c r="AI319" s="22" t="s">
        <v>313</v>
      </c>
      <c r="AJ319" s="22" t="s">
        <v>314</v>
      </c>
      <c r="AK319" s="195" t="s">
        <v>669</v>
      </c>
      <c r="AL319" s="299">
        <v>21013.432198899984</v>
      </c>
      <c r="AM319" s="299">
        <f t="shared" si="628"/>
        <v>21013.432198899984</v>
      </c>
      <c r="AN319" s="300">
        <f t="shared" si="626"/>
        <v>0</v>
      </c>
    </row>
    <row r="320" spans="1:42" ht="15.75" hidden="1" customHeight="1" outlineLevel="1" x14ac:dyDescent="0.2">
      <c r="A320" s="79" t="s">
        <v>23</v>
      </c>
      <c r="B320" s="79" t="s">
        <v>24</v>
      </c>
      <c r="C320" s="79" t="s">
        <v>1185</v>
      </c>
      <c r="D320" s="1" t="s">
        <v>669</v>
      </c>
      <c r="E320" s="47">
        <f>ROUND(SUMIF('Target Achieved- Input'!$B$278:$B$370,'Incentive Report- Output'!B320,'Target Achieved- Input'!$G$278:$G$370),0)</f>
        <v>70</v>
      </c>
      <c r="F320" s="47">
        <f>ROUND(SUMIF('Target Achieved- Input'!$B$278:$B$370,'Incentive Report- Output'!B320,'Target Achieved- Input'!$H$278:$H$370),0)</f>
        <v>91</v>
      </c>
      <c r="G320" s="47">
        <f>SUMIF('Target Achieved- Input'!$L$278:$L$370,'Incentive Report- Output'!B320,'Target Achieved- Input'!$O$278:$O$370)</f>
        <v>40</v>
      </c>
      <c r="H320" s="39">
        <f>SUMIF('Target Achieved- Input'!$S$278:$S$370,'Incentive Report- Output'!B320,'Target Achieved- Input'!$V$278:$V$370)</f>
        <v>0</v>
      </c>
      <c r="I320" s="48">
        <f>SUMIF('Target Achieved- Input'!$L$278:$L$370,'Incentive Report- Output'!B320,'Target Achieved- Input'!$AC$278:$AC$370)</f>
        <v>0</v>
      </c>
      <c r="J320" s="39">
        <f t="shared" si="617"/>
        <v>40</v>
      </c>
      <c r="K320" s="40">
        <f t="shared" si="618"/>
        <v>0.5714285714285714</v>
      </c>
      <c r="L320" s="41">
        <f t="shared" si="619"/>
        <v>2310000</v>
      </c>
      <c r="M320" s="41">
        <f>SUMIF('Target Achieved- Input'!$L$278:$L$370,'Incentive Report- Output'!B320,'Target Achieved- Input'!$M$278:$M$370)</f>
        <v>1735910</v>
      </c>
      <c r="N320" s="41">
        <f>SUMIF('Target Achieved- Input'!$S$278:$S$370,'Incentive Report- Output'!B320,'Target Achieved- Input'!$U$278:$U$370)</f>
        <v>0</v>
      </c>
      <c r="O320" s="41">
        <f>SUMIF('Target Achieved- Input'!$L$278:$L$370,'Incentive Report- Output'!B320,'Target Achieved- Input'!$N$278:$N$370)-N320</f>
        <v>1471110.1693999998</v>
      </c>
      <c r="P320" s="40">
        <f t="shared" si="620"/>
        <v>0.63684422917748906</v>
      </c>
      <c r="Q320" s="40">
        <f t="shared" si="627"/>
        <v>0.63684422917748906</v>
      </c>
      <c r="R320" s="40">
        <v>0</v>
      </c>
      <c r="S320" s="49">
        <f>(LOOKUP(Q320,Policy!$L$12:$M$16)+R320)*O320</f>
        <v>7355.5508469999986</v>
      </c>
      <c r="T320" s="185">
        <f>L318</f>
        <v>1320000</v>
      </c>
      <c r="U320" s="156">
        <f>O318</f>
        <v>894809.3217000002</v>
      </c>
      <c r="V320" s="51">
        <f>IFERROR(U320/T320,0)</f>
        <v>0.67788584977272748</v>
      </c>
      <c r="W320" s="156">
        <f>LOOKUP(V320,Policy!$L$18:$M$21)*U320</f>
        <v>0</v>
      </c>
      <c r="X320" s="397"/>
      <c r="Y320" s="427"/>
      <c r="Z320" s="406"/>
      <c r="AA320" s="55">
        <v>0</v>
      </c>
      <c r="AB320" s="41">
        <v>0</v>
      </c>
      <c r="AC320" s="41">
        <v>0</v>
      </c>
      <c r="AD320" s="41">
        <f t="shared" si="622"/>
        <v>0</v>
      </c>
      <c r="AE320" s="41">
        <f t="shared" si="623"/>
        <v>7355.5508469999986</v>
      </c>
      <c r="AF320" s="41">
        <f t="shared" si="624"/>
        <v>7355.5508469999986</v>
      </c>
      <c r="AG320" s="31"/>
      <c r="AH320" s="419"/>
      <c r="AI320" s="22" t="s">
        <v>23</v>
      </c>
      <c r="AJ320" s="22" t="s">
        <v>24</v>
      </c>
      <c r="AK320" s="195" t="s">
        <v>669</v>
      </c>
      <c r="AL320" s="299">
        <v>7355.5508469999986</v>
      </c>
      <c r="AM320" s="299">
        <f t="shared" si="628"/>
        <v>7355.5508469999986</v>
      </c>
      <c r="AN320" s="300">
        <f t="shared" si="626"/>
        <v>0</v>
      </c>
    </row>
    <row r="321" spans="1:43" ht="15.75" hidden="1" customHeight="1" outlineLevel="1" x14ac:dyDescent="0.2">
      <c r="A321" s="79" t="s">
        <v>1145</v>
      </c>
      <c r="B321" s="79" t="s">
        <v>1146</v>
      </c>
      <c r="C321" s="79" t="s">
        <v>1</v>
      </c>
      <c r="D321" s="1" t="s">
        <v>669</v>
      </c>
      <c r="E321" s="47">
        <f>ROUND(SUMIF('Target Achieved- Input'!$B$278:$B$370,'Incentive Report- Output'!B321,'Target Achieved- Input'!$G$278:$G$370),0)</f>
        <v>45</v>
      </c>
      <c r="F321" s="47">
        <f>ROUND(SUMIF('Target Achieved- Input'!$B$278:$B$370,'Incentive Report- Output'!B321,'Target Achieved- Input'!$H$278:$H$370),0)</f>
        <v>59</v>
      </c>
      <c r="G321" s="47">
        <f>SUMIF('Target Achieved- Input'!$L$278:$L$370,'Incentive Report- Output'!B321,'Target Achieved- Input'!$O$278:$O$370)</f>
        <v>38</v>
      </c>
      <c r="H321" s="39">
        <f>SUMIF('Target Achieved- Input'!$S$278:$S$370,'Incentive Report- Output'!B321,'Target Achieved- Input'!$V$278:$V$370)</f>
        <v>12</v>
      </c>
      <c r="I321" s="48">
        <f>SUMIF('Target Achieved- Input'!$L$278:$L$370,'Incentive Report- Output'!B321,'Target Achieved- Input'!$AC$278:$AC$370)</f>
        <v>0</v>
      </c>
      <c r="J321" s="39">
        <f t="shared" si="617"/>
        <v>26</v>
      </c>
      <c r="K321" s="40">
        <f t="shared" si="618"/>
        <v>0.57777777777777772</v>
      </c>
      <c r="L321" s="41">
        <f t="shared" si="619"/>
        <v>1485000</v>
      </c>
      <c r="M321" s="41">
        <f>SUMIF('Target Achieved- Input'!$L$278:$L$370,'Incentive Report- Output'!B321,'Target Achieved- Input'!$M$278:$M$370)</f>
        <v>1401362</v>
      </c>
      <c r="N321" s="41">
        <f>SUMIF('Target Achieved- Input'!$S$278:$S$370,'Incentive Report- Output'!B321,'Target Achieved- Input'!$U$278:$U$370)</f>
        <v>404311.86420000001</v>
      </c>
      <c r="O321" s="41">
        <f>SUMIF('Target Achieved- Input'!$L$278:$L$370,'Incentive Report- Output'!B321,'Target Achieved- Input'!$N$278:$N$370)-N321</f>
        <v>783283.05040000007</v>
      </c>
      <c r="P321" s="40">
        <f t="shared" si="620"/>
        <v>0.5274633336026936</v>
      </c>
      <c r="Q321" s="40">
        <f>P321</f>
        <v>0.5274633336026936</v>
      </c>
      <c r="R321" s="40">
        <v>0</v>
      </c>
      <c r="S321" s="49">
        <f>(LOOKUP(Q321,Policy!$L$12:$M$16)+R321)*O321</f>
        <v>3916.4152520000002</v>
      </c>
      <c r="T321" s="185"/>
      <c r="U321" s="156"/>
      <c r="V321" s="51"/>
      <c r="W321" s="156"/>
      <c r="X321" s="398"/>
      <c r="Y321" s="429"/>
      <c r="Z321" s="408"/>
      <c r="AA321" s="55">
        <v>0</v>
      </c>
      <c r="AB321" s="41">
        <v>0</v>
      </c>
      <c r="AC321" s="41">
        <v>0</v>
      </c>
      <c r="AD321" s="41">
        <f t="shared" si="622"/>
        <v>0</v>
      </c>
      <c r="AE321" s="41">
        <f t="shared" si="623"/>
        <v>3916.4152520000002</v>
      </c>
      <c r="AF321" s="41">
        <f t="shared" si="624"/>
        <v>3916.4152520000002</v>
      </c>
      <c r="AG321" s="31"/>
      <c r="AH321" s="419"/>
      <c r="AI321" s="22" t="s">
        <v>1145</v>
      </c>
      <c r="AJ321" s="22" t="s">
        <v>1146</v>
      </c>
      <c r="AK321" s="195" t="s">
        <v>669</v>
      </c>
      <c r="AL321" s="299">
        <v>11875.949146000001</v>
      </c>
      <c r="AM321" s="299">
        <f>AF321</f>
        <v>3916.4152520000002</v>
      </c>
      <c r="AN321" s="300">
        <f t="shared" si="626"/>
        <v>7959.5338940000001</v>
      </c>
    </row>
    <row r="322" spans="1:43" ht="15.75" hidden="1" customHeight="1" outlineLevel="1" x14ac:dyDescent="0.2">
      <c r="A322" s="109" t="s">
        <v>6</v>
      </c>
      <c r="B322" s="109"/>
      <c r="C322" s="109"/>
      <c r="D322" s="292" t="s">
        <v>669</v>
      </c>
      <c r="E322" s="44">
        <f>SUM(E314:E321)</f>
        <v>465</v>
      </c>
      <c r="F322" s="44">
        <f t="shared" ref="F322:J322" si="629">SUM(F314:F321)</f>
        <v>605</v>
      </c>
      <c r="G322" s="44">
        <f t="shared" si="629"/>
        <v>425</v>
      </c>
      <c r="H322" s="44">
        <f t="shared" si="629"/>
        <v>22</v>
      </c>
      <c r="I322" s="44">
        <f t="shared" si="629"/>
        <v>9</v>
      </c>
      <c r="J322" s="44">
        <f t="shared" si="629"/>
        <v>403</v>
      </c>
      <c r="K322" s="44"/>
      <c r="L322" s="44">
        <f t="shared" ref="L322:O322" si="630">SUM(L314:L321)</f>
        <v>15345000</v>
      </c>
      <c r="M322" s="44">
        <f t="shared" si="630"/>
        <v>16306375</v>
      </c>
      <c r="N322" s="44">
        <f t="shared" si="630"/>
        <v>742820.33878999995</v>
      </c>
      <c r="O322" s="44">
        <f t="shared" si="630"/>
        <v>13076141.52225</v>
      </c>
      <c r="P322" s="44"/>
      <c r="Q322" s="44"/>
      <c r="R322" s="44"/>
      <c r="S322" s="44">
        <f t="shared" ref="S322:AF322" si="631">SUM(S314:S321)</f>
        <v>210616.87283135008</v>
      </c>
      <c r="T322" s="44">
        <f t="shared" si="631"/>
        <v>5115000</v>
      </c>
      <c r="U322" s="44">
        <f t="shared" si="631"/>
        <v>4213195.7612000015</v>
      </c>
      <c r="V322" s="44">
        <f t="shared" si="631"/>
        <v>1.5522959787582349</v>
      </c>
      <c r="W322" s="44">
        <f t="shared" si="631"/>
        <v>3318.386439500001</v>
      </c>
      <c r="X322" s="44">
        <f t="shared" si="631"/>
        <v>465</v>
      </c>
      <c r="Y322" s="44">
        <f t="shared" si="631"/>
        <v>403</v>
      </c>
      <c r="Z322" s="44">
        <f t="shared" si="631"/>
        <v>0.8666666666666667</v>
      </c>
      <c r="AA322" s="44">
        <f t="shared" si="631"/>
        <v>0</v>
      </c>
      <c r="AB322" s="44">
        <f t="shared" si="631"/>
        <v>0</v>
      </c>
      <c r="AC322" s="44">
        <f t="shared" si="631"/>
        <v>0</v>
      </c>
      <c r="AD322" s="44">
        <f t="shared" si="631"/>
        <v>0</v>
      </c>
      <c r="AE322" s="44">
        <f t="shared" si="631"/>
        <v>213935.25927085007</v>
      </c>
      <c r="AF322" s="44">
        <f t="shared" si="631"/>
        <v>213935.25927085007</v>
      </c>
      <c r="AG322" s="31"/>
      <c r="AH322" s="419"/>
      <c r="AI322" s="43" t="s">
        <v>6</v>
      </c>
      <c r="AJ322" s="43"/>
      <c r="AK322" s="43" t="s">
        <v>669</v>
      </c>
      <c r="AL322" s="306">
        <v>224327.63045175007</v>
      </c>
      <c r="AM322" s="306">
        <f>SUM(AM314:AM321)</f>
        <v>213935.25927085007</v>
      </c>
      <c r="AN322" s="306">
        <f>SUM(AN314:AN321)</f>
        <v>10392.3711809</v>
      </c>
    </row>
    <row r="323" spans="1:43" ht="15.75" hidden="1" customHeight="1" outlineLevel="1" x14ac:dyDescent="0.2">
      <c r="A323" s="111" t="s">
        <v>225</v>
      </c>
      <c r="B323" s="79" t="s">
        <v>27</v>
      </c>
      <c r="C323" s="79" t="s">
        <v>1</v>
      </c>
      <c r="D323" s="1" t="s">
        <v>670</v>
      </c>
      <c r="E323" s="47">
        <f>ROUND(SUMIF('Target Achieved- Input'!$B$278:$B$370,'Incentive Report- Output'!B323,'Target Achieved- Input'!$G$278:$G$370),0)</f>
        <v>60</v>
      </c>
      <c r="F323" s="47">
        <f>ROUND(SUMIF('Target Achieved- Input'!$B$278:$B$370,'Incentive Report- Output'!B323,'Target Achieved- Input'!$H$278:$H$370),0)</f>
        <v>78</v>
      </c>
      <c r="G323" s="47">
        <f>SUMIF('Target Achieved- Input'!$L$278:$L$370,'Incentive Report- Output'!B323,'Target Achieved- Input'!$O$278:$O$370)</f>
        <v>60</v>
      </c>
      <c r="H323" s="39">
        <f>SUMIF('Target Achieved- Input'!$S$278:$S$370,'Incentive Report- Output'!B323,'Target Achieved- Input'!$V$278:$V$370)</f>
        <v>6</v>
      </c>
      <c r="I323" s="48">
        <f>SUMIF('Target Achieved- Input'!$L$278:$L$370,'Incentive Report- Output'!B323,'Target Achieved- Input'!$AC$278:$AC$370)</f>
        <v>0</v>
      </c>
      <c r="J323" s="39">
        <f t="shared" ref="J323:J329" si="632">G323-H323</f>
        <v>54</v>
      </c>
      <c r="K323" s="40">
        <f t="shared" ref="K323:K329" si="633">IFERROR(J323/E323,0)</f>
        <v>0.9</v>
      </c>
      <c r="L323" s="41">
        <f t="shared" ref="L323:L329" si="634">E323*33000</f>
        <v>1980000</v>
      </c>
      <c r="M323" s="41">
        <f>SUMIF('Target Achieved- Input'!$L$278:$L$370,'Incentive Report- Output'!B323,'Target Achieved- Input'!$M$278:$M$370)</f>
        <v>2320990</v>
      </c>
      <c r="N323" s="41">
        <f>SUMIF('Target Achieved- Input'!$S$278:$S$370,'Incentive Report- Output'!B323,'Target Achieved- Input'!$U$278:$U$370)</f>
        <v>180757.62700000001</v>
      </c>
      <c r="O323" s="41">
        <f>SUMIF('Target Achieved- Input'!$L$278:$L$370,'Incentive Report- Output'!B323,'Target Achieved- Input'!$N$278:$N$370)-N323</f>
        <v>1786183.0506999991</v>
      </c>
      <c r="P323" s="40">
        <f t="shared" ref="P323:P329" si="635">IFERROR(O323/L323,0)</f>
        <v>0.90211265186868639</v>
      </c>
      <c r="Q323" s="40">
        <f>P323</f>
        <v>0.90211265186868639</v>
      </c>
      <c r="R323" s="40">
        <v>0</v>
      </c>
      <c r="S323" s="49">
        <f>(LOOKUP(Q323,Policy!$L$12:$M$16)+R323)*O323</f>
        <v>17861.830506999991</v>
      </c>
      <c r="T323" s="185"/>
      <c r="U323" s="156"/>
      <c r="V323" s="51"/>
      <c r="W323" s="156"/>
      <c r="X323" s="405"/>
      <c r="Y323" s="405"/>
      <c r="Z323" s="406"/>
      <c r="AA323" s="55">
        <v>0</v>
      </c>
      <c r="AB323" s="41">
        <v>0</v>
      </c>
      <c r="AC323" s="41">
        <v>0</v>
      </c>
      <c r="AD323" s="41">
        <f t="shared" ref="AD323:AD329" si="636">IF(AF323&gt;200000,AF323-200000,0)</f>
        <v>0</v>
      </c>
      <c r="AE323" s="41">
        <f t="shared" ref="AE323:AE329" si="637">AF323-AD323</f>
        <v>17861.830506999991</v>
      </c>
      <c r="AF323" s="41">
        <f t="shared" ref="AF323:AF329" si="638">S323+W323+AB323+AC323</f>
        <v>17861.830506999991</v>
      </c>
      <c r="AG323" s="31"/>
      <c r="AH323" s="419"/>
      <c r="AI323" s="111" t="s">
        <v>225</v>
      </c>
      <c r="AJ323" s="22" t="s">
        <v>27</v>
      </c>
      <c r="AK323" s="195" t="s">
        <v>670</v>
      </c>
      <c r="AL323" s="299">
        <v>44256.165248249978</v>
      </c>
      <c r="AM323" s="299">
        <f t="shared" ref="AM323:AM329" si="639">AF323</f>
        <v>17861.830506999991</v>
      </c>
      <c r="AN323" s="300">
        <f t="shared" ref="AN323:AN329" si="640">AL323-AM323</f>
        <v>26394.334741249986</v>
      </c>
    </row>
    <row r="324" spans="1:43" ht="15.75" hidden="1" customHeight="1" outlineLevel="1" x14ac:dyDescent="0.2">
      <c r="A324" s="111" t="s">
        <v>29</v>
      </c>
      <c r="B324" s="79" t="s">
        <v>30</v>
      </c>
      <c r="C324" s="79" t="s">
        <v>1</v>
      </c>
      <c r="D324" s="1" t="s">
        <v>670</v>
      </c>
      <c r="E324" s="47">
        <f>ROUND(SUMIF('Target Achieved- Input'!$B$278:$B$370,'Incentive Report- Output'!B324,'Target Achieved- Input'!$G$278:$G$370),0)</f>
        <v>45</v>
      </c>
      <c r="F324" s="47">
        <f>ROUND(SUMIF('Target Achieved- Input'!$B$278:$B$370,'Incentive Report- Output'!B324,'Target Achieved- Input'!$H$278:$H$370),0)</f>
        <v>59</v>
      </c>
      <c r="G324" s="47">
        <f>SUMIF('Target Achieved- Input'!$L$278:$L$370,'Incentive Report- Output'!B324,'Target Achieved- Input'!$O$278:$O$370)</f>
        <v>64</v>
      </c>
      <c r="H324" s="39">
        <f>SUMIF('Target Achieved- Input'!$S$278:$S$370,'Incentive Report- Output'!B324,'Target Achieved- Input'!$V$278:$V$370)</f>
        <v>11</v>
      </c>
      <c r="I324" s="48">
        <f>SUMIF('Target Achieved- Input'!$L$278:$L$370,'Incentive Report- Output'!B324,'Target Achieved- Input'!$AC$278:$AC$370)</f>
        <v>0</v>
      </c>
      <c r="J324" s="39">
        <f t="shared" si="632"/>
        <v>53</v>
      </c>
      <c r="K324" s="40">
        <f t="shared" si="633"/>
        <v>1.1777777777777778</v>
      </c>
      <c r="L324" s="41">
        <f t="shared" si="634"/>
        <v>1485000</v>
      </c>
      <c r="M324" s="41">
        <f>SUMIF('Target Achieved- Input'!$L$278:$L$370,'Incentive Report- Output'!B324,'Target Achieved- Input'!$M$278:$M$370)</f>
        <v>2954486</v>
      </c>
      <c r="N324" s="41">
        <f>SUMIF('Target Achieved- Input'!$S$278:$S$370,'Incentive Report- Output'!B324,'Target Achieved- Input'!$U$278:$U$370)</f>
        <v>384439.83039999998</v>
      </c>
      <c r="O324" s="41">
        <f>SUMIF('Target Achieved- Input'!$L$278:$L$370,'Incentive Report- Output'!B324,'Target Achieved- Input'!$N$278:$N$370)-N324</f>
        <v>2119361.8643000014</v>
      </c>
      <c r="P324" s="40">
        <f t="shared" si="635"/>
        <v>1.4271797065993275</v>
      </c>
      <c r="Q324" s="40">
        <f t="shared" ref="Q324:Q329" si="641">MAX(P324,K324)</f>
        <v>1.4271797065993275</v>
      </c>
      <c r="R324" s="40">
        <v>0</v>
      </c>
      <c r="S324" s="49">
        <f>(LOOKUP(Q324,Policy!$L$12:$M$16)+R324)*O324</f>
        <v>63580.855929000041</v>
      </c>
      <c r="T324" s="185"/>
      <c r="U324" s="156"/>
      <c r="V324" s="51"/>
      <c r="W324" s="156"/>
      <c r="X324" s="405"/>
      <c r="Y324" s="405"/>
      <c r="Z324" s="406"/>
      <c r="AA324" s="55">
        <v>0</v>
      </c>
      <c r="AB324" s="41">
        <v>0</v>
      </c>
      <c r="AC324" s="41">
        <v>0</v>
      </c>
      <c r="AD324" s="41">
        <f t="shared" si="636"/>
        <v>0</v>
      </c>
      <c r="AE324" s="41">
        <f t="shared" si="637"/>
        <v>63580.855929000041</v>
      </c>
      <c r="AF324" s="41">
        <f t="shared" si="638"/>
        <v>63580.855929000041</v>
      </c>
      <c r="AG324" s="31"/>
      <c r="AH324" s="419"/>
      <c r="AI324" s="111" t="s">
        <v>29</v>
      </c>
      <c r="AJ324" s="22" t="s">
        <v>30</v>
      </c>
      <c r="AK324" s="195" t="s">
        <v>670</v>
      </c>
      <c r="AL324" s="299">
        <v>75114.050841000033</v>
      </c>
      <c r="AM324" s="299">
        <f t="shared" si="639"/>
        <v>63580.855929000041</v>
      </c>
      <c r="AN324" s="300">
        <f t="shared" si="640"/>
        <v>11533.194911999992</v>
      </c>
    </row>
    <row r="325" spans="1:43" ht="15.75" hidden="1" customHeight="1" outlineLevel="1" x14ac:dyDescent="0.2">
      <c r="A325" s="111" t="s">
        <v>244</v>
      </c>
      <c r="B325" s="79" t="s">
        <v>245</v>
      </c>
      <c r="C325" s="79" t="s">
        <v>1</v>
      </c>
      <c r="D325" s="1" t="s">
        <v>670</v>
      </c>
      <c r="E325" s="47">
        <f>ROUND(SUMIF('Target Achieved- Input'!$B$278:$B$370,'Incentive Report- Output'!B325,'Target Achieved- Input'!$G$278:$G$370),0)</f>
        <v>50</v>
      </c>
      <c r="F325" s="47">
        <f>ROUND(SUMIF('Target Achieved- Input'!$B$278:$B$370,'Incentive Report- Output'!B325,'Target Achieved- Input'!$H$278:$H$370),0)</f>
        <v>65</v>
      </c>
      <c r="G325" s="47">
        <f>SUMIF('Target Achieved- Input'!$L$278:$L$370,'Incentive Report- Output'!B325,'Target Achieved- Input'!$O$278:$O$370)</f>
        <v>40</v>
      </c>
      <c r="H325" s="39">
        <f>SUMIF('Target Achieved- Input'!$S$278:$S$370,'Incentive Report- Output'!B325,'Target Achieved- Input'!$V$278:$V$370)</f>
        <v>10</v>
      </c>
      <c r="I325" s="48">
        <f>SUMIF('Target Achieved- Input'!$L$278:$L$370,'Incentive Report- Output'!B325,'Target Achieved- Input'!$AC$278:$AC$370)</f>
        <v>0</v>
      </c>
      <c r="J325" s="39">
        <f t="shared" si="632"/>
        <v>30</v>
      </c>
      <c r="K325" s="40">
        <f t="shared" si="633"/>
        <v>0.6</v>
      </c>
      <c r="L325" s="41">
        <f t="shared" si="634"/>
        <v>1650000</v>
      </c>
      <c r="M325" s="41">
        <f>SUMIF('Target Achieved- Input'!$L$278:$L$370,'Incentive Report- Output'!B325,'Target Achieved- Input'!$M$278:$M$370)</f>
        <v>1593310</v>
      </c>
      <c r="N325" s="41">
        <f>SUMIF('Target Achieved- Input'!$S$278:$S$370,'Incentive Report- Output'!B325,'Target Achieved- Input'!$U$278:$U$370)</f>
        <v>328423.72870000004</v>
      </c>
      <c r="O325" s="41">
        <f>SUMIF('Target Achieved- Input'!$L$278:$L$370,'Incentive Report- Output'!B325,'Target Achieved- Input'!$N$278:$N$370)-N325</f>
        <v>1021838.9828999997</v>
      </c>
      <c r="P325" s="40">
        <f t="shared" si="635"/>
        <v>0.61929635327272714</v>
      </c>
      <c r="Q325" s="40">
        <f t="shared" si="641"/>
        <v>0.61929635327272714</v>
      </c>
      <c r="R325" s="40">
        <v>0</v>
      </c>
      <c r="S325" s="49">
        <f>(LOOKUP(Q325,Policy!$L$12:$M$16)+R325)*O325</f>
        <v>5109.194914499999</v>
      </c>
      <c r="T325" s="185"/>
      <c r="U325" s="156"/>
      <c r="V325" s="51"/>
      <c r="W325" s="156"/>
      <c r="X325" s="405"/>
      <c r="Y325" s="405"/>
      <c r="Z325" s="406"/>
      <c r="AA325" s="55">
        <v>0</v>
      </c>
      <c r="AB325" s="41">
        <v>0</v>
      </c>
      <c r="AC325" s="41">
        <v>0</v>
      </c>
      <c r="AD325" s="41">
        <f t="shared" si="636"/>
        <v>0</v>
      </c>
      <c r="AE325" s="41">
        <f t="shared" si="637"/>
        <v>5109.194914499999</v>
      </c>
      <c r="AF325" s="41">
        <f t="shared" si="638"/>
        <v>5109.194914499999</v>
      </c>
      <c r="AG325" s="31"/>
      <c r="AH325" s="419"/>
      <c r="AI325" s="111" t="s">
        <v>244</v>
      </c>
      <c r="AJ325" s="22" t="s">
        <v>245</v>
      </c>
      <c r="AK325" s="195" t="s">
        <v>670</v>
      </c>
      <c r="AL325" s="299">
        <v>13502.627115999998</v>
      </c>
      <c r="AM325" s="299">
        <f t="shared" si="639"/>
        <v>5109.194914499999</v>
      </c>
      <c r="AN325" s="300">
        <f t="shared" si="640"/>
        <v>8393.4322014999998</v>
      </c>
    </row>
    <row r="326" spans="1:43" ht="15.75" hidden="1" customHeight="1" outlineLevel="1" x14ac:dyDescent="0.2">
      <c r="A326" s="111" t="s">
        <v>20</v>
      </c>
      <c r="B326" s="79" t="s">
        <v>21</v>
      </c>
      <c r="C326" s="79" t="s">
        <v>1</v>
      </c>
      <c r="D326" s="1" t="s">
        <v>670</v>
      </c>
      <c r="E326" s="47">
        <f>ROUND(SUMIF('Target Achieved- Input'!$B$278:$B$370,'Incentive Report- Output'!B326,'Target Achieved- Input'!$G$278:$G$370),0)</f>
        <v>70</v>
      </c>
      <c r="F326" s="47">
        <f>ROUND(SUMIF('Target Achieved- Input'!$B$278:$B$370,'Incentive Report- Output'!B326,'Target Achieved- Input'!$H$278:$H$370),0)</f>
        <v>91</v>
      </c>
      <c r="G326" s="47">
        <f>SUMIF('Target Achieved- Input'!$L$278:$L$370,'Incentive Report- Output'!B326,'Target Achieved- Input'!$O$278:$O$370)</f>
        <v>70</v>
      </c>
      <c r="H326" s="39">
        <f>SUMIF('Target Achieved- Input'!$S$278:$S$370,'Incentive Report- Output'!B326,'Target Achieved- Input'!$V$278:$V$370)</f>
        <v>0</v>
      </c>
      <c r="I326" s="48">
        <f>SUMIF('Target Achieved- Input'!$L$278:$L$370,'Incentive Report- Output'!B326,'Target Achieved- Input'!$AC$278:$AC$370)</f>
        <v>3</v>
      </c>
      <c r="J326" s="39">
        <f t="shared" si="632"/>
        <v>70</v>
      </c>
      <c r="K326" s="40">
        <f t="shared" si="633"/>
        <v>1</v>
      </c>
      <c r="L326" s="41">
        <f t="shared" si="634"/>
        <v>2310000</v>
      </c>
      <c r="M326" s="41">
        <f>SUMIF('Target Achieved- Input'!$L$278:$L$370,'Incentive Report- Output'!B326,'Target Achieved- Input'!$M$278:$M$370)</f>
        <v>2874130</v>
      </c>
      <c r="N326" s="41">
        <f>SUMIF('Target Achieved- Input'!$S$278:$S$370,'Incentive Report- Output'!B326,'Target Achieved- Input'!$U$278:$U$370)</f>
        <v>0</v>
      </c>
      <c r="O326" s="41">
        <f>SUMIF('Target Achieved- Input'!$L$278:$L$370,'Incentive Report- Output'!B326,'Target Achieved- Input'!$N$278:$N$370)-N326</f>
        <v>2435703.3898100001</v>
      </c>
      <c r="P326" s="40">
        <f t="shared" si="635"/>
        <v>1.0544170518658009</v>
      </c>
      <c r="Q326" s="40">
        <f t="shared" si="641"/>
        <v>1.0544170518658009</v>
      </c>
      <c r="R326" s="40">
        <v>0</v>
      </c>
      <c r="S326" s="49">
        <f>(LOOKUP(Q326,Policy!$L$12:$M$16)+R326)*O326</f>
        <v>54803.326270725003</v>
      </c>
      <c r="T326" s="185"/>
      <c r="U326" s="156"/>
      <c r="V326" s="51"/>
      <c r="W326" s="156"/>
      <c r="X326" s="405"/>
      <c r="Y326" s="405"/>
      <c r="Z326" s="406"/>
      <c r="AA326" s="55">
        <v>0</v>
      </c>
      <c r="AB326" s="41">
        <v>0</v>
      </c>
      <c r="AC326" s="41">
        <v>0</v>
      </c>
      <c r="AD326" s="41">
        <f t="shared" si="636"/>
        <v>0</v>
      </c>
      <c r="AE326" s="41">
        <f t="shared" si="637"/>
        <v>54803.326270725003</v>
      </c>
      <c r="AF326" s="41">
        <f t="shared" si="638"/>
        <v>54803.326270725003</v>
      </c>
      <c r="AG326" s="31"/>
      <c r="AH326" s="419"/>
      <c r="AI326" s="111" t="s">
        <v>20</v>
      </c>
      <c r="AJ326" s="22" t="s">
        <v>21</v>
      </c>
      <c r="AK326" s="195" t="s">
        <v>670</v>
      </c>
      <c r="AL326" s="299">
        <v>54803.326270725003</v>
      </c>
      <c r="AM326" s="299">
        <f t="shared" si="639"/>
        <v>54803.326270725003</v>
      </c>
      <c r="AN326" s="300">
        <f t="shared" si="640"/>
        <v>0</v>
      </c>
    </row>
    <row r="327" spans="1:43" ht="15.75" hidden="1" customHeight="1" outlineLevel="1" x14ac:dyDescent="0.2">
      <c r="A327" s="111" t="s">
        <v>699</v>
      </c>
      <c r="B327" s="79" t="s">
        <v>700</v>
      </c>
      <c r="C327" s="79" t="s">
        <v>1</v>
      </c>
      <c r="D327" s="1" t="s">
        <v>670</v>
      </c>
      <c r="E327" s="47">
        <f>ROUND(SUMIF('Target Achieved- Input'!$B$278:$B$370,'Incentive Report- Output'!B327,'Target Achieved- Input'!$G$278:$G$370),0)</f>
        <v>70</v>
      </c>
      <c r="F327" s="47">
        <f>ROUND(SUMIF('Target Achieved- Input'!$B$278:$B$370,'Incentive Report- Output'!B327,'Target Achieved- Input'!$H$278:$H$370),0)</f>
        <v>91</v>
      </c>
      <c r="G327" s="47">
        <f>SUMIF('Target Achieved- Input'!$L$278:$L$370,'Incentive Report- Output'!B327,'Target Achieved- Input'!$O$278:$O$370)</f>
        <v>57</v>
      </c>
      <c r="H327" s="39">
        <f>SUMIF('Target Achieved- Input'!$S$278:$S$370,'Incentive Report- Output'!B327,'Target Achieved- Input'!$V$278:$V$370)</f>
        <v>4</v>
      </c>
      <c r="I327" s="48">
        <f>SUMIF('Target Achieved- Input'!$L$278:$L$370,'Incentive Report- Output'!B327,'Target Achieved- Input'!$AC$278:$AC$370)</f>
        <v>3</v>
      </c>
      <c r="J327" s="39">
        <f t="shared" si="632"/>
        <v>53</v>
      </c>
      <c r="K327" s="40">
        <f t="shared" si="633"/>
        <v>0.75714285714285712</v>
      </c>
      <c r="L327" s="41">
        <f t="shared" si="634"/>
        <v>2310000</v>
      </c>
      <c r="M327" s="41">
        <f>SUMIF('Target Achieved- Input'!$L$278:$L$370,'Incentive Report- Output'!B327,'Target Achieved- Input'!$M$278:$M$370)</f>
        <v>2512893</v>
      </c>
      <c r="N327" s="41">
        <f>SUMIF('Target Achieved- Input'!$S$278:$S$370,'Incentive Report- Output'!B327,'Target Achieved- Input'!$U$278:$U$370)</f>
        <v>131903.3898</v>
      </c>
      <c r="O327" s="41">
        <f>SUMIF('Target Achieved- Input'!$L$278:$L$370,'Incentive Report- Output'!B327,'Target Achieved- Input'!$N$278:$N$370)-N327</f>
        <v>1997666.9486899991</v>
      </c>
      <c r="P327" s="40">
        <f t="shared" si="635"/>
        <v>0.86479088687878747</v>
      </c>
      <c r="Q327" s="40">
        <f t="shared" si="641"/>
        <v>0.86479088687878747</v>
      </c>
      <c r="R327" s="40">
        <v>0</v>
      </c>
      <c r="S327" s="49">
        <f>(LOOKUP(Q327,Policy!$L$12:$M$16)+R327)*O327</f>
        <v>19976.669486899991</v>
      </c>
      <c r="T327" s="185"/>
      <c r="U327" s="156"/>
      <c r="V327" s="51"/>
      <c r="W327" s="156"/>
      <c r="X327" s="405"/>
      <c r="Y327" s="405"/>
      <c r="Z327" s="406"/>
      <c r="AA327" s="55">
        <v>0</v>
      </c>
      <c r="AB327" s="41">
        <v>0</v>
      </c>
      <c r="AC327" s="41">
        <v>0</v>
      </c>
      <c r="AD327" s="41">
        <f t="shared" si="636"/>
        <v>0</v>
      </c>
      <c r="AE327" s="41">
        <f t="shared" si="637"/>
        <v>19976.669486899991</v>
      </c>
      <c r="AF327" s="41">
        <f t="shared" si="638"/>
        <v>19976.669486899991</v>
      </c>
      <c r="AG327" s="31"/>
      <c r="AH327" s="419"/>
      <c r="AI327" s="111" t="s">
        <v>699</v>
      </c>
      <c r="AJ327" s="22" t="s">
        <v>700</v>
      </c>
      <c r="AK327" s="195" t="s">
        <v>670</v>
      </c>
      <c r="AL327" s="299">
        <v>21295.703384899993</v>
      </c>
      <c r="AM327" s="299">
        <f t="shared" si="639"/>
        <v>19976.669486899991</v>
      </c>
      <c r="AN327" s="300">
        <f t="shared" si="640"/>
        <v>1319.0338980000015</v>
      </c>
    </row>
    <row r="328" spans="1:43" ht="15.75" hidden="1" customHeight="1" outlineLevel="1" x14ac:dyDescent="0.2">
      <c r="A328" s="111" t="s">
        <v>222</v>
      </c>
      <c r="B328" s="79" t="s">
        <v>223</v>
      </c>
      <c r="C328" s="79" t="s">
        <v>1</v>
      </c>
      <c r="D328" s="1" t="s">
        <v>670</v>
      </c>
      <c r="E328" s="47">
        <f>ROUND(SUMIF('Target Achieved- Input'!$B$278:$B$370,'Incentive Report- Output'!B328,'Target Achieved- Input'!$G$278:$G$370),0)</f>
        <v>70</v>
      </c>
      <c r="F328" s="47">
        <f>ROUND(SUMIF('Target Achieved- Input'!$B$278:$B$370,'Incentive Report- Output'!B328,'Target Achieved- Input'!$H$278:$H$370),0)</f>
        <v>91</v>
      </c>
      <c r="G328" s="47">
        <f>SUMIF('Target Achieved- Input'!$L$278:$L$370,'Incentive Report- Output'!B328,'Target Achieved- Input'!$O$278:$O$370)</f>
        <v>54</v>
      </c>
      <c r="H328" s="39">
        <f>SUMIF('Target Achieved- Input'!$S$278:$S$370,'Incentive Report- Output'!B328,'Target Achieved- Input'!$V$278:$V$370)</f>
        <v>2</v>
      </c>
      <c r="I328" s="48">
        <f>SUMIF('Target Achieved- Input'!$L$278:$L$370,'Incentive Report- Output'!B328,'Target Achieved- Input'!$AC$278:$AC$370)</f>
        <v>0</v>
      </c>
      <c r="J328" s="39">
        <f t="shared" si="632"/>
        <v>52</v>
      </c>
      <c r="K328" s="40">
        <f t="shared" si="633"/>
        <v>0.74285714285714288</v>
      </c>
      <c r="L328" s="41">
        <f t="shared" si="634"/>
        <v>2310000</v>
      </c>
      <c r="M328" s="41">
        <f>SUMIF('Target Achieved- Input'!$L$278:$L$370,'Incentive Report- Output'!B328,'Target Achieved- Input'!$M$278:$M$370)</f>
        <v>2287446</v>
      </c>
      <c r="N328" s="41">
        <f>SUMIF('Target Achieved- Input'!$S$278:$S$370,'Incentive Report- Output'!B328,'Target Achieved- Input'!$U$278:$U$370)</f>
        <v>56438.983</v>
      </c>
      <c r="O328" s="41">
        <f>SUMIF('Target Achieved- Input'!$L$278:$L$370,'Incentive Report- Output'!B328,'Target Achieved- Input'!$N$278:$N$370)-N328</f>
        <v>1882074.5761999995</v>
      </c>
      <c r="P328" s="40">
        <f t="shared" si="635"/>
        <v>0.81475089878787854</v>
      </c>
      <c r="Q328" s="40">
        <f t="shared" si="641"/>
        <v>0.81475089878787854</v>
      </c>
      <c r="R328" s="40">
        <v>0</v>
      </c>
      <c r="S328" s="49">
        <f>(LOOKUP(Q328,Policy!$L$12:$M$16)+R328)*O328</f>
        <v>18820.745761999995</v>
      </c>
      <c r="T328" s="185"/>
      <c r="U328" s="156"/>
      <c r="V328" s="51"/>
      <c r="W328" s="156"/>
      <c r="X328" s="405"/>
      <c r="Y328" s="405"/>
      <c r="Z328" s="406"/>
      <c r="AA328" s="55">
        <v>0</v>
      </c>
      <c r="AB328" s="41">
        <v>0</v>
      </c>
      <c r="AC328" s="41">
        <v>0</v>
      </c>
      <c r="AD328" s="41">
        <f t="shared" si="636"/>
        <v>0</v>
      </c>
      <c r="AE328" s="41">
        <f t="shared" si="637"/>
        <v>18820.745761999995</v>
      </c>
      <c r="AF328" s="41">
        <f t="shared" si="638"/>
        <v>18820.745761999995</v>
      </c>
      <c r="AG328" s="31"/>
      <c r="AH328" s="419"/>
      <c r="AI328" s="111" t="s">
        <v>222</v>
      </c>
      <c r="AJ328" s="22" t="s">
        <v>223</v>
      </c>
      <c r="AK328" s="195" t="s">
        <v>670</v>
      </c>
      <c r="AL328" s="301">
        <v>19385.135591999995</v>
      </c>
      <c r="AM328" s="301">
        <f t="shared" si="639"/>
        <v>18820.745761999995</v>
      </c>
      <c r="AN328" s="302">
        <f t="shared" si="640"/>
        <v>564.38983000000007</v>
      </c>
    </row>
    <row r="329" spans="1:43" ht="15.75" hidden="1" customHeight="1" outlineLevel="1" x14ac:dyDescent="0.2">
      <c r="A329" s="111" t="s">
        <v>70</v>
      </c>
      <c r="B329" s="79" t="s">
        <v>34</v>
      </c>
      <c r="C329" s="79" t="s">
        <v>1</v>
      </c>
      <c r="D329" s="1" t="s">
        <v>670</v>
      </c>
      <c r="E329" s="47">
        <f>ROUND(SUMIF('Target Achieved- Input'!$B$278:$B$370,'Incentive Report- Output'!B329,'Target Achieved- Input'!$G$278:$G$370),0)</f>
        <v>45</v>
      </c>
      <c r="F329" s="47">
        <f>ROUND(SUMIF('Target Achieved- Input'!$B$278:$B$370,'Incentive Report- Output'!B329,'Target Achieved- Input'!$H$278:$H$370),0)</f>
        <v>59</v>
      </c>
      <c r="G329" s="47">
        <f>SUMIF('Target Achieved- Input'!$L$278:$L$370,'Incentive Report- Output'!B329,'Target Achieved- Input'!$O$278:$O$370)</f>
        <v>38</v>
      </c>
      <c r="H329" s="39">
        <f>SUMIF('Target Achieved- Input'!$S$278:$S$370,'Incentive Report- Output'!B329,'Target Achieved- Input'!$V$278:$V$370)</f>
        <v>14</v>
      </c>
      <c r="I329" s="48">
        <f>SUMIF('Target Achieved- Input'!$L$278:$L$370,'Incentive Report- Output'!B329,'Target Achieved- Input'!$AC$278:$AC$370)</f>
        <v>1</v>
      </c>
      <c r="J329" s="39">
        <f t="shared" si="632"/>
        <v>24</v>
      </c>
      <c r="K329" s="40">
        <f t="shared" si="633"/>
        <v>0.53333333333333333</v>
      </c>
      <c r="L329" s="41">
        <f t="shared" si="634"/>
        <v>1485000</v>
      </c>
      <c r="M329" s="41">
        <f>SUMIF('Target Achieved- Input'!$L$278:$L$370,'Incentive Report- Output'!B329,'Target Achieved- Input'!$M$278:$M$370)</f>
        <v>1534812</v>
      </c>
      <c r="N329" s="41">
        <f>SUMIF('Target Achieved- Input'!$S$278:$S$370,'Incentive Report- Output'!B329,'Target Achieved- Input'!$U$278:$U$370)</f>
        <v>493505.08480000007</v>
      </c>
      <c r="O329" s="41">
        <f>SUMIF('Target Achieved- Input'!$L$278:$L$370,'Incentive Report- Output'!B329,'Target Achieved- Input'!$N$278:$N$370)-N329</f>
        <v>807183.05052999966</v>
      </c>
      <c r="P329" s="40">
        <f t="shared" si="635"/>
        <v>0.54355760978451151</v>
      </c>
      <c r="Q329" s="40">
        <f t="shared" si="641"/>
        <v>0.54355760978451151</v>
      </c>
      <c r="R329" s="40">
        <v>0</v>
      </c>
      <c r="S329" s="49">
        <f>(LOOKUP(Q329,Policy!$L$12:$M$16)+R329)*O329</f>
        <v>4035.9152526499984</v>
      </c>
      <c r="T329" s="185"/>
      <c r="U329" s="156"/>
      <c r="V329" s="51"/>
      <c r="W329" s="156"/>
      <c r="X329" s="405"/>
      <c r="Y329" s="405"/>
      <c r="Z329" s="406"/>
      <c r="AA329" s="55">
        <v>0</v>
      </c>
      <c r="AB329" s="41">
        <v>0</v>
      </c>
      <c r="AC329" s="41">
        <v>0</v>
      </c>
      <c r="AD329" s="41">
        <f t="shared" si="636"/>
        <v>0</v>
      </c>
      <c r="AE329" s="41">
        <f t="shared" si="637"/>
        <v>4035.9152526499984</v>
      </c>
      <c r="AF329" s="41">
        <f t="shared" si="638"/>
        <v>4035.9152526499984</v>
      </c>
      <c r="AG329" s="31"/>
      <c r="AH329" s="419"/>
      <c r="AI329" s="111" t="s">
        <v>70</v>
      </c>
      <c r="AJ329" s="22" t="s">
        <v>34</v>
      </c>
      <c r="AK329" s="195" t="s">
        <v>670</v>
      </c>
      <c r="AL329" s="299">
        <v>13006.881353299997</v>
      </c>
      <c r="AM329" s="299">
        <f t="shared" si="639"/>
        <v>4035.9152526499984</v>
      </c>
      <c r="AN329" s="300">
        <f t="shared" si="640"/>
        <v>8970.9661006499991</v>
      </c>
    </row>
    <row r="330" spans="1:43" ht="15.75" hidden="1" customHeight="1" outlineLevel="1" x14ac:dyDescent="0.2">
      <c r="A330" s="109" t="s">
        <v>6</v>
      </c>
      <c r="B330" s="109"/>
      <c r="C330" s="109"/>
      <c r="D330" s="292" t="s">
        <v>670</v>
      </c>
      <c r="E330" s="44">
        <f t="shared" ref="E330:J330" si="642">SUM(E323:E329)</f>
        <v>410</v>
      </c>
      <c r="F330" s="44">
        <f t="shared" si="642"/>
        <v>534</v>
      </c>
      <c r="G330" s="44">
        <f t="shared" si="642"/>
        <v>383</v>
      </c>
      <c r="H330" s="44">
        <f t="shared" si="642"/>
        <v>47</v>
      </c>
      <c r="I330" s="44">
        <f t="shared" si="642"/>
        <v>7</v>
      </c>
      <c r="J330" s="44">
        <f t="shared" si="642"/>
        <v>336</v>
      </c>
      <c r="K330" s="45"/>
      <c r="L330" s="44">
        <f>SUM(L323:L329)</f>
        <v>13530000</v>
      </c>
      <c r="M330" s="44">
        <f>SUM(M323:M329)</f>
        <v>16078067</v>
      </c>
      <c r="N330" s="44">
        <f>SUM(N323:N329)</f>
        <v>1575468.6437000001</v>
      </c>
      <c r="O330" s="44">
        <f>SUM(O323:O329)</f>
        <v>12050011.863129998</v>
      </c>
      <c r="P330" s="46"/>
      <c r="Q330" s="45"/>
      <c r="R330" s="45"/>
      <c r="S330" s="44">
        <f t="shared" ref="S330:AF330" si="643">SUM(S323:S329)</f>
        <v>184188.53812277503</v>
      </c>
      <c r="T330" s="190">
        <f t="shared" si="643"/>
        <v>0</v>
      </c>
      <c r="U330" s="190">
        <f t="shared" si="643"/>
        <v>0</v>
      </c>
      <c r="V330" s="88">
        <f t="shared" si="643"/>
        <v>0</v>
      </c>
      <c r="W330" s="190">
        <f t="shared" si="643"/>
        <v>0</v>
      </c>
      <c r="X330" s="88">
        <f t="shared" si="643"/>
        <v>0</v>
      </c>
      <c r="Y330" s="88">
        <f t="shared" si="643"/>
        <v>0</v>
      </c>
      <c r="Z330" s="54">
        <f t="shared" si="643"/>
        <v>0</v>
      </c>
      <c r="AA330" s="88">
        <f t="shared" si="643"/>
        <v>0</v>
      </c>
      <c r="AB330" s="88">
        <f t="shared" si="643"/>
        <v>0</v>
      </c>
      <c r="AC330" s="88">
        <f t="shared" si="643"/>
        <v>0</v>
      </c>
      <c r="AD330" s="88">
        <f t="shared" si="643"/>
        <v>0</v>
      </c>
      <c r="AE330" s="88">
        <f t="shared" si="643"/>
        <v>184188.53812277503</v>
      </c>
      <c r="AF330" s="88">
        <f t="shared" si="643"/>
        <v>184188.53812277503</v>
      </c>
      <c r="AG330" s="31"/>
      <c r="AH330" s="419"/>
      <c r="AI330" s="43" t="s">
        <v>6</v>
      </c>
      <c r="AJ330" s="43"/>
      <c r="AK330" s="43" t="s">
        <v>670</v>
      </c>
      <c r="AL330" s="307">
        <v>241363.88980617502</v>
      </c>
      <c r="AM330" s="307">
        <f>SUM(AM323:AM329)</f>
        <v>184188.53812277503</v>
      </c>
      <c r="AN330" s="307">
        <f>SUM(AN323:AN329)</f>
        <v>57175.351683399975</v>
      </c>
    </row>
    <row r="331" spans="1:43" ht="15.75" hidden="1" customHeight="1" outlineLevel="1" x14ac:dyDescent="0.2">
      <c r="A331" s="112" t="s">
        <v>63</v>
      </c>
      <c r="B331" s="112" t="s">
        <v>64</v>
      </c>
      <c r="C331" s="79" t="s">
        <v>0</v>
      </c>
      <c r="D331" s="1" t="s">
        <v>672</v>
      </c>
      <c r="E331" s="47">
        <f>ROUND(SUMIF('Target Achieved- Input'!$B$278:$B$370,'Incentive Report- Output'!B331,'Target Achieved- Input'!$G$278:$G$370),0)</f>
        <v>60</v>
      </c>
      <c r="F331" s="47">
        <f>ROUND(SUMIF('Target Achieved- Input'!$B$278:$B$370,'Incentive Report- Output'!B331,'Target Achieved- Input'!$H$278:$H$370),0)</f>
        <v>78</v>
      </c>
      <c r="G331" s="47">
        <f>SUMIF('Target Achieved- Input'!$L$278:$L$370,'Incentive Report- Output'!B331,'Target Achieved- Input'!$O$278:$O$370)</f>
        <v>30</v>
      </c>
      <c r="H331" s="39">
        <f>SUMIF('Target Achieved- Input'!$S$278:$S$370,'Incentive Report- Output'!B331,'Target Achieved- Input'!$V$278:$V$370)</f>
        <v>30</v>
      </c>
      <c r="I331" s="48">
        <f>SUMIF('Target Achieved- Input'!$L$278:$L$370,'Incentive Report- Output'!B331,'Target Achieved- Input'!$AC$278:$AC$370)</f>
        <v>0</v>
      </c>
      <c r="J331" s="39">
        <f t="shared" ref="J331:J334" si="644">G331-H331</f>
        <v>0</v>
      </c>
      <c r="K331" s="40">
        <f t="shared" ref="K331:K334" si="645">IFERROR(J331/E331,0)</f>
        <v>0</v>
      </c>
      <c r="L331" s="41">
        <f t="shared" ref="L331:L334" si="646">E331*33000</f>
        <v>1980000</v>
      </c>
      <c r="M331" s="41">
        <f>SUMIF('Target Achieved- Input'!$L$278:$L$370,'Incentive Report- Output'!B331,'Target Achieved- Input'!$M$278:$M$370)</f>
        <v>1292870</v>
      </c>
      <c r="N331" s="41">
        <f>SUMIF('Target Achieved- Input'!$S$278:$S$370,'Incentive Report- Output'!B331,'Target Achieved- Input'!$U$278:$U$370)</f>
        <v>1095652.5421999998</v>
      </c>
      <c r="O331" s="41">
        <f>SUMIF('Target Achieved- Input'!$L$278:$L$370,'Incentive Report- Output'!B331,'Target Achieved- Input'!$N$278:$N$370)-N331</f>
        <v>0</v>
      </c>
      <c r="P331" s="40">
        <f t="shared" ref="P331:P334" si="647">IFERROR(O331/L331,0)</f>
        <v>0</v>
      </c>
      <c r="Q331" s="40">
        <f t="shared" ref="Q331:Q334" si="648">MAX(P331,K331)</f>
        <v>0</v>
      </c>
      <c r="R331" s="40">
        <v>0</v>
      </c>
      <c r="S331" s="49">
        <f>(LOOKUP(Q331,Policy!$L$12:$M$16)+R331)*O331</f>
        <v>0</v>
      </c>
      <c r="T331" s="188"/>
      <c r="U331" s="53"/>
      <c r="V331" s="40"/>
      <c r="W331" s="53"/>
      <c r="X331" s="396">
        <f>E335</f>
        <v>215</v>
      </c>
      <c r="Y331" s="396">
        <f>J335</f>
        <v>63</v>
      </c>
      <c r="Z331" s="407">
        <f>Y331/X331</f>
        <v>0.2930232558139535</v>
      </c>
      <c r="AA331" s="55">
        <v>0</v>
      </c>
      <c r="AB331" s="41">
        <v>0</v>
      </c>
      <c r="AC331" s="41">
        <v>0</v>
      </c>
      <c r="AD331" s="41">
        <f t="shared" ref="AD331:AD334" si="649">IF(AF331&gt;200000,AF331-200000,0)</f>
        <v>0</v>
      </c>
      <c r="AE331" s="41">
        <f t="shared" ref="AE331:AE334" si="650">AF331-AD331</f>
        <v>0</v>
      </c>
      <c r="AF331" s="41">
        <f>S331+W331+AB331+AC331</f>
        <v>0</v>
      </c>
      <c r="AG331" s="31"/>
      <c r="AH331" s="419"/>
      <c r="AI331" s="1" t="s">
        <v>63</v>
      </c>
      <c r="AJ331" s="1" t="s">
        <v>64</v>
      </c>
      <c r="AK331" s="195" t="s">
        <v>672</v>
      </c>
      <c r="AL331" s="299">
        <v>5478.2627110000012</v>
      </c>
      <c r="AM331" s="299">
        <f t="shared" ref="AM331:AM334" si="651">AF331</f>
        <v>0</v>
      </c>
      <c r="AN331" s="300">
        <f t="shared" ref="AN331:AN334" si="652">AL331-AM331</f>
        <v>5478.2627110000012</v>
      </c>
      <c r="AQ331" s="172"/>
    </row>
    <row r="332" spans="1:43" ht="15.75" hidden="1" customHeight="1" outlineLevel="1" x14ac:dyDescent="0.2">
      <c r="A332" s="79" t="s">
        <v>806</v>
      </c>
      <c r="B332" s="79" t="s">
        <v>807</v>
      </c>
      <c r="C332" s="79" t="s">
        <v>1</v>
      </c>
      <c r="D332" s="1" t="s">
        <v>672</v>
      </c>
      <c r="E332" s="47">
        <f>ROUND(SUMIF('Target Achieved- Input'!$B$278:$B$370,'Incentive Report- Output'!B332,'Target Achieved- Input'!$G$278:$G$370),0)</f>
        <v>55</v>
      </c>
      <c r="F332" s="47">
        <f>ROUND(SUMIF('Target Achieved- Input'!$B$278:$B$370,'Incentive Report- Output'!B332,'Target Achieved- Input'!$H$278:$H$370),0)</f>
        <v>72</v>
      </c>
      <c r="G332" s="47">
        <f>SUMIF('Target Achieved- Input'!$L$278:$L$370,'Incentive Report- Output'!B332,'Target Achieved- Input'!$O$278:$O$370)</f>
        <v>46</v>
      </c>
      <c r="H332" s="39">
        <f>SUMIF('Target Achieved- Input'!$S$278:$S$370,'Incentive Report- Output'!B332,'Target Achieved- Input'!$V$278:$V$370)</f>
        <v>5</v>
      </c>
      <c r="I332" s="48">
        <f>SUMIF('Target Achieved- Input'!$L$278:$L$370,'Incentive Report- Output'!B332,'Target Achieved- Input'!$AC$278:$AC$370)</f>
        <v>0</v>
      </c>
      <c r="J332" s="39">
        <f t="shared" si="644"/>
        <v>41</v>
      </c>
      <c r="K332" s="40">
        <f t="shared" si="645"/>
        <v>0.74545454545454548</v>
      </c>
      <c r="L332" s="41">
        <f t="shared" si="646"/>
        <v>1815000</v>
      </c>
      <c r="M332" s="41">
        <f>SUMIF('Target Achieved- Input'!$L$278:$L$370,'Incentive Report- Output'!B332,'Target Achieved- Input'!$M$278:$M$370)</f>
        <v>2121854</v>
      </c>
      <c r="N332" s="41">
        <f>SUMIF('Target Achieved- Input'!$S$278:$S$370,'Incentive Report- Output'!B332,'Target Achieved- Input'!$U$278:$U$370)</f>
        <v>199911.01689999999</v>
      </c>
      <c r="O332" s="41">
        <f>SUMIF('Target Achieved- Input'!$L$278:$L$370,'Incentive Report- Output'!B332,'Target Achieved- Input'!$N$278:$N$370)-N332</f>
        <v>1598270.3384999991</v>
      </c>
      <c r="P332" s="40">
        <f t="shared" si="647"/>
        <v>0.88058971818181775</v>
      </c>
      <c r="Q332" s="40">
        <f t="shared" si="648"/>
        <v>0.88058971818181775</v>
      </c>
      <c r="R332" s="40">
        <v>0</v>
      </c>
      <c r="S332" s="49">
        <f>(LOOKUP(Q332,Policy!$L$12:$M$16)+R332)*O332</f>
        <v>15982.703384999992</v>
      </c>
      <c r="T332" s="188"/>
      <c r="U332" s="53"/>
      <c r="V332" s="40"/>
      <c r="W332" s="53"/>
      <c r="X332" s="397"/>
      <c r="Y332" s="397"/>
      <c r="Z332" s="406"/>
      <c r="AA332" s="55">
        <v>0</v>
      </c>
      <c r="AB332" s="41">
        <v>0</v>
      </c>
      <c r="AC332" s="41">
        <v>0</v>
      </c>
      <c r="AD332" s="41">
        <f t="shared" si="649"/>
        <v>0</v>
      </c>
      <c r="AE332" s="41">
        <f t="shared" si="650"/>
        <v>15982.703384999992</v>
      </c>
      <c r="AF332" s="41">
        <f>S332+W332+AB332+AC332</f>
        <v>15982.703384999992</v>
      </c>
      <c r="AG332" s="31"/>
      <c r="AH332" s="419"/>
      <c r="AI332" s="22" t="s">
        <v>806</v>
      </c>
      <c r="AJ332" s="22" t="s">
        <v>807</v>
      </c>
      <c r="AK332" s="195" t="s">
        <v>672</v>
      </c>
      <c r="AL332" s="299">
        <v>17981.813553999989</v>
      </c>
      <c r="AM332" s="299">
        <f t="shared" si="651"/>
        <v>15982.703384999992</v>
      </c>
      <c r="AN332" s="300">
        <f t="shared" si="652"/>
        <v>1999.1101689999978</v>
      </c>
    </row>
    <row r="333" spans="1:43" ht="15.75" hidden="1" customHeight="1" outlineLevel="1" x14ac:dyDescent="0.2">
      <c r="A333" s="112" t="s">
        <v>301</v>
      </c>
      <c r="B333" s="112" t="s">
        <v>302</v>
      </c>
      <c r="C333" s="79" t="s">
        <v>1</v>
      </c>
      <c r="D333" s="1" t="s">
        <v>672</v>
      </c>
      <c r="E333" s="47">
        <f>ROUND(SUMIF('Target Achieved- Input'!$B$278:$B$370,'Incentive Report- Output'!B333,'Target Achieved- Input'!$G$278:$G$370),0)</f>
        <v>60</v>
      </c>
      <c r="F333" s="47">
        <f>ROUND(SUMIF('Target Achieved- Input'!$B$278:$B$370,'Incentive Report- Output'!B333,'Target Achieved- Input'!$H$278:$H$370),0)</f>
        <v>78</v>
      </c>
      <c r="G333" s="47">
        <f>SUMIF('Target Achieved- Input'!$L$278:$L$370,'Incentive Report- Output'!B333,'Target Achieved- Input'!$O$278:$O$370)</f>
        <v>30</v>
      </c>
      <c r="H333" s="39">
        <f>SUMIF('Target Achieved- Input'!$S$278:$S$370,'Incentive Report- Output'!B333,'Target Achieved- Input'!$V$278:$V$370)</f>
        <v>22</v>
      </c>
      <c r="I333" s="48">
        <f>SUMIF('Target Achieved- Input'!$L$278:$L$370,'Incentive Report- Output'!B333,'Target Achieved- Input'!$AC$278:$AC$370)</f>
        <v>0</v>
      </c>
      <c r="J333" s="39">
        <f t="shared" si="644"/>
        <v>8</v>
      </c>
      <c r="K333" s="40">
        <f t="shared" si="645"/>
        <v>0.13333333333333333</v>
      </c>
      <c r="L333" s="41">
        <f t="shared" si="646"/>
        <v>1980000</v>
      </c>
      <c r="M333" s="41">
        <f>SUMIF('Target Achieved- Input'!$L$278:$L$370,'Incentive Report- Output'!B333,'Target Achieved- Input'!$M$278:$M$370)</f>
        <v>1232820</v>
      </c>
      <c r="N333" s="41">
        <f>SUMIF('Target Achieved- Input'!$S$278:$S$370,'Incentive Report- Output'!B333,'Target Achieved- Input'!$U$278:$U$370)</f>
        <v>722735.59300000011</v>
      </c>
      <c r="O333" s="41">
        <f>SUMIF('Target Achieved- Input'!$L$278:$L$370,'Incentive Report- Output'!B333,'Target Achieved- Input'!$N$278:$N$370)-N333</f>
        <v>322027.11860000039</v>
      </c>
      <c r="P333" s="40">
        <f t="shared" si="647"/>
        <v>0.16263995888888907</v>
      </c>
      <c r="Q333" s="40">
        <f t="shared" si="648"/>
        <v>0.16263995888888907</v>
      </c>
      <c r="R333" s="40">
        <v>0</v>
      </c>
      <c r="S333" s="49">
        <f>(LOOKUP(Q333,Policy!$L$12:$M$16)+R333)*O333</f>
        <v>0</v>
      </c>
      <c r="T333" s="188"/>
      <c r="U333" s="188"/>
      <c r="V333" s="40"/>
      <c r="W333" s="53"/>
      <c r="X333" s="397"/>
      <c r="Y333" s="397"/>
      <c r="Z333" s="406"/>
      <c r="AA333" s="55">
        <v>0</v>
      </c>
      <c r="AB333" s="41">
        <v>0</v>
      </c>
      <c r="AC333" s="41">
        <v>0</v>
      </c>
      <c r="AD333" s="41">
        <f t="shared" si="649"/>
        <v>0</v>
      </c>
      <c r="AE333" s="41">
        <f t="shared" si="650"/>
        <v>0</v>
      </c>
      <c r="AF333" s="41">
        <f>S333+W333+AB333+AC333</f>
        <v>0</v>
      </c>
      <c r="AG333" s="31"/>
      <c r="AH333" s="419"/>
      <c r="AI333" s="1" t="s">
        <v>301</v>
      </c>
      <c r="AJ333" s="1" t="s">
        <v>302</v>
      </c>
      <c r="AK333" s="195" t="s">
        <v>672</v>
      </c>
      <c r="AL333" s="299">
        <v>5223.8135580000026</v>
      </c>
      <c r="AM333" s="299">
        <f t="shared" si="651"/>
        <v>0</v>
      </c>
      <c r="AN333" s="300">
        <f t="shared" si="652"/>
        <v>5223.8135580000026</v>
      </c>
    </row>
    <row r="334" spans="1:43" ht="15.75" hidden="1" customHeight="1" outlineLevel="1" x14ac:dyDescent="0.2">
      <c r="A334" s="112" t="s">
        <v>1150</v>
      </c>
      <c r="B334" s="112" t="s">
        <v>1151</v>
      </c>
      <c r="C334" s="79" t="s">
        <v>1</v>
      </c>
      <c r="D334" s="1" t="s">
        <v>672</v>
      </c>
      <c r="E334" s="47">
        <f>ROUND(SUMIF('Target Achieved- Input'!$B$278:$B$370,'Incentive Report- Output'!B334,'Target Achieved- Input'!$G$278:$G$370),0)</f>
        <v>40</v>
      </c>
      <c r="F334" s="47">
        <f>ROUND(SUMIF('Target Achieved- Input'!$B$278:$B$370,'Incentive Report- Output'!B334,'Target Achieved- Input'!$H$278:$H$370),0)</f>
        <v>52</v>
      </c>
      <c r="G334" s="47">
        <f>SUMIF('Target Achieved- Input'!$L$278:$L$370,'Incentive Report- Output'!B334,'Target Achieved- Input'!$O$278:$O$370)</f>
        <v>26</v>
      </c>
      <c r="H334" s="39">
        <f>SUMIF('Target Achieved- Input'!$S$278:$S$370,'Incentive Report- Output'!B334,'Target Achieved- Input'!$V$278:$V$370)</f>
        <v>12</v>
      </c>
      <c r="I334" s="48">
        <f>SUMIF('Target Achieved- Input'!$L$278:$L$370,'Incentive Report- Output'!B334,'Target Achieved- Input'!$AC$278:$AC$370)</f>
        <v>0</v>
      </c>
      <c r="J334" s="39">
        <f t="shared" si="644"/>
        <v>14</v>
      </c>
      <c r="K334" s="40">
        <f t="shared" si="645"/>
        <v>0.35</v>
      </c>
      <c r="L334" s="41">
        <f t="shared" si="646"/>
        <v>1320000</v>
      </c>
      <c r="M334" s="41">
        <f>SUMIF('Target Achieved- Input'!$L$278:$L$370,'Incentive Report- Output'!B334,'Target Achieved- Input'!$M$278:$M$370)</f>
        <v>1146024</v>
      </c>
      <c r="N334" s="41">
        <f>SUMIF('Target Achieved- Input'!$S$278:$S$370,'Incentive Report- Output'!B334,'Target Achieved- Input'!$U$278:$U$370)</f>
        <v>416176.27110000001</v>
      </c>
      <c r="O334" s="41">
        <f>SUMIF('Target Achieved- Input'!$L$278:$L$370,'Incentive Report- Output'!B334,'Target Achieved- Input'!$N$278:$N$370)-N334</f>
        <v>555030.50860000041</v>
      </c>
      <c r="P334" s="40">
        <f t="shared" si="647"/>
        <v>0.42047765803030335</v>
      </c>
      <c r="Q334" s="40">
        <f t="shared" si="648"/>
        <v>0.42047765803030335</v>
      </c>
      <c r="R334" s="40">
        <v>0</v>
      </c>
      <c r="S334" s="49">
        <f>(LOOKUP(Q334,Policy!$L$12:$M$16)+R334)*O334</f>
        <v>0</v>
      </c>
      <c r="T334" s="186"/>
      <c r="U334" s="186"/>
      <c r="V334" s="51"/>
      <c r="W334" s="156"/>
      <c r="X334" s="398"/>
      <c r="Y334" s="398"/>
      <c r="Z334" s="408"/>
      <c r="AA334" s="55">
        <v>0</v>
      </c>
      <c r="AB334" s="41">
        <v>0</v>
      </c>
      <c r="AC334" s="41">
        <v>0</v>
      </c>
      <c r="AD334" s="41">
        <f t="shared" si="649"/>
        <v>0</v>
      </c>
      <c r="AE334" s="41">
        <f t="shared" si="650"/>
        <v>0</v>
      </c>
      <c r="AF334" s="41">
        <f>S334+W334+AB334+AC334</f>
        <v>0</v>
      </c>
      <c r="AG334" s="31"/>
      <c r="AH334" s="419"/>
      <c r="AI334" s="1" t="s">
        <v>1150</v>
      </c>
      <c r="AJ334" s="1" t="s">
        <v>1151</v>
      </c>
      <c r="AK334" s="195" t="s">
        <v>672</v>
      </c>
      <c r="AL334" s="299">
        <v>4856.0338985000026</v>
      </c>
      <c r="AM334" s="299">
        <f t="shared" si="651"/>
        <v>0</v>
      </c>
      <c r="AN334" s="300">
        <f t="shared" si="652"/>
        <v>4856.0338985000026</v>
      </c>
    </row>
    <row r="335" spans="1:43" ht="15.75" hidden="1" customHeight="1" outlineLevel="1" x14ac:dyDescent="0.2">
      <c r="A335" s="109" t="s">
        <v>6</v>
      </c>
      <c r="B335" s="109"/>
      <c r="C335" s="109"/>
      <c r="D335" s="292" t="s">
        <v>672</v>
      </c>
      <c r="E335" s="44">
        <f>SUM(E331:E334)</f>
        <v>215</v>
      </c>
      <c r="F335" s="44">
        <f t="shared" ref="F335:J335" si="653">SUM(F331:F334)</f>
        <v>280</v>
      </c>
      <c r="G335" s="44">
        <f t="shared" si="653"/>
        <v>132</v>
      </c>
      <c r="H335" s="44">
        <f t="shared" si="653"/>
        <v>69</v>
      </c>
      <c r="I335" s="44">
        <f t="shared" si="653"/>
        <v>0</v>
      </c>
      <c r="J335" s="44">
        <f t="shared" si="653"/>
        <v>63</v>
      </c>
      <c r="K335" s="44"/>
      <c r="L335" s="44">
        <f t="shared" ref="L335:O335" si="654">SUM(L331:L334)</f>
        <v>7095000</v>
      </c>
      <c r="M335" s="44">
        <f t="shared" si="654"/>
        <v>5793568</v>
      </c>
      <c r="N335" s="44">
        <f t="shared" si="654"/>
        <v>2434475.4232000001</v>
      </c>
      <c r="O335" s="44">
        <f t="shared" si="654"/>
        <v>2475327.9657000001</v>
      </c>
      <c r="P335" s="45"/>
      <c r="Q335" s="46"/>
      <c r="R335" s="46"/>
      <c r="S335" s="44">
        <f t="shared" ref="S335:AF335" si="655">SUM(S331:S334)</f>
        <v>15982.703384999992</v>
      </c>
      <c r="T335" s="44">
        <f t="shared" si="655"/>
        <v>0</v>
      </c>
      <c r="U335" s="44">
        <f t="shared" si="655"/>
        <v>0</v>
      </c>
      <c r="V335" s="44">
        <f t="shared" si="655"/>
        <v>0</v>
      </c>
      <c r="W335" s="44">
        <f t="shared" si="655"/>
        <v>0</v>
      </c>
      <c r="X335" s="44">
        <f t="shared" si="655"/>
        <v>215</v>
      </c>
      <c r="Y335" s="44">
        <f t="shared" si="655"/>
        <v>63</v>
      </c>
      <c r="Z335" s="44">
        <f t="shared" si="655"/>
        <v>0.2930232558139535</v>
      </c>
      <c r="AA335" s="44">
        <f t="shared" si="655"/>
        <v>0</v>
      </c>
      <c r="AB335" s="44">
        <f t="shared" si="655"/>
        <v>0</v>
      </c>
      <c r="AC335" s="44">
        <f t="shared" si="655"/>
        <v>0</v>
      </c>
      <c r="AD335" s="44">
        <f t="shared" si="655"/>
        <v>0</v>
      </c>
      <c r="AE335" s="44">
        <f t="shared" si="655"/>
        <v>15982.703384999992</v>
      </c>
      <c r="AF335" s="44">
        <f t="shared" si="655"/>
        <v>15982.703384999992</v>
      </c>
      <c r="AG335" s="31"/>
      <c r="AH335" s="419"/>
      <c r="AI335" s="43" t="s">
        <v>6</v>
      </c>
      <c r="AJ335" s="43"/>
      <c r="AK335" s="43" t="s">
        <v>672</v>
      </c>
      <c r="AL335" s="304">
        <v>33539.923721499996</v>
      </c>
      <c r="AM335" s="304">
        <f>SUM(AM331:AM334)</f>
        <v>15982.703384999992</v>
      </c>
      <c r="AN335" s="304">
        <f>SUM(AN331:AN334)</f>
        <v>17557.220336500002</v>
      </c>
    </row>
    <row r="336" spans="1:43" ht="15.75" hidden="1" customHeight="1" outlineLevel="1" x14ac:dyDescent="0.2">
      <c r="A336" s="79" t="s">
        <v>307</v>
      </c>
      <c r="B336" s="112" t="s">
        <v>308</v>
      </c>
      <c r="C336" s="79" t="s">
        <v>0</v>
      </c>
      <c r="D336" s="1" t="s">
        <v>673</v>
      </c>
      <c r="E336" s="47">
        <f>ROUND(SUMIF('Target Achieved- Input'!$B$278:$B$370,'Incentive Report- Output'!B336,'Target Achieved- Input'!$G$278:$G$370),0)</f>
        <v>65</v>
      </c>
      <c r="F336" s="47">
        <f>ROUND(SUMIF('Target Achieved- Input'!$B$278:$B$370,'Incentive Report- Output'!B336,'Target Achieved- Input'!$H$278:$H$370),0)</f>
        <v>85</v>
      </c>
      <c r="G336" s="47">
        <f>SUMIF('Target Achieved- Input'!$L$278:$L$370,'Incentive Report- Output'!B336,'Target Achieved- Input'!$O$278:$O$370)</f>
        <v>48</v>
      </c>
      <c r="H336" s="39">
        <f>SUMIF('Target Achieved- Input'!$S$278:$S$370,'Incentive Report- Output'!B336,'Target Achieved- Input'!$V$278:$V$370)</f>
        <v>33</v>
      </c>
      <c r="I336" s="48">
        <f>SUMIF('Target Achieved- Input'!$L$278:$L$370,'Incentive Report- Output'!B336,'Target Achieved- Input'!$AC$278:$AC$370)</f>
        <v>0</v>
      </c>
      <c r="J336" s="39">
        <f t="shared" ref="J336:J339" si="656">G336-H336</f>
        <v>15</v>
      </c>
      <c r="K336" s="40">
        <f t="shared" ref="K336:K339" si="657">IFERROR(J336/E336,0)</f>
        <v>0.23076923076923078</v>
      </c>
      <c r="L336" s="41">
        <f t="shared" ref="L336:L339" si="658">E336*33000</f>
        <v>2145000</v>
      </c>
      <c r="M336" s="41">
        <f>SUMIF('Target Achieved- Input'!$L$278:$L$370,'Incentive Report- Output'!B336,'Target Achieved- Input'!$M$278:$M$370)</f>
        <v>2198852</v>
      </c>
      <c r="N336" s="41">
        <f>SUMIF('Target Achieved- Input'!$S$278:$S$370,'Incentive Report- Output'!B336,'Target Achieved- Input'!$U$278:$U$370)</f>
        <v>1287641.5257099997</v>
      </c>
      <c r="O336" s="41">
        <f>SUMIF('Target Achieved- Input'!$L$278:$L$370,'Incentive Report- Output'!B336,'Target Achieved- Input'!$N$278:$N$370)-N336</f>
        <v>575792.37299999944</v>
      </c>
      <c r="P336" s="40">
        <f t="shared" ref="P336:P339" si="659">IFERROR(O336/L336,0)</f>
        <v>0.26843467272727245</v>
      </c>
      <c r="Q336" s="40">
        <f t="shared" ref="Q336:Q339" si="660">MAX(P336,K336)</f>
        <v>0.26843467272727245</v>
      </c>
      <c r="R336" s="40">
        <v>0</v>
      </c>
      <c r="S336" s="49">
        <f>(LOOKUP(Q336,Policy!$L$12:$M$16)+R336)*O336</f>
        <v>0</v>
      </c>
      <c r="T336" s="185"/>
      <c r="U336" s="185"/>
      <c r="V336" s="51"/>
      <c r="W336" s="156"/>
      <c r="X336" s="397"/>
      <c r="Y336" s="397"/>
      <c r="Z336" s="400"/>
      <c r="AA336" s="55">
        <v>0</v>
      </c>
      <c r="AB336" s="41">
        <v>0</v>
      </c>
      <c r="AC336" s="41">
        <v>0</v>
      </c>
      <c r="AD336" s="41">
        <f t="shared" ref="AD336:AD339" si="661">IF(AF336&gt;200000,AF336-200000,0)</f>
        <v>0</v>
      </c>
      <c r="AE336" s="41">
        <f t="shared" ref="AE336:AE339" si="662">AF336-AD336</f>
        <v>0</v>
      </c>
      <c r="AF336" s="41">
        <f>S336+W336+AB336+AC336</f>
        <v>0</v>
      </c>
      <c r="AG336" s="31"/>
      <c r="AH336" s="419"/>
      <c r="AI336" s="22" t="s">
        <v>307</v>
      </c>
      <c r="AJ336" s="1" t="s">
        <v>308</v>
      </c>
      <c r="AK336" s="195" t="s">
        <v>673</v>
      </c>
      <c r="AL336" s="299">
        <v>18634.338987099993</v>
      </c>
      <c r="AM336" s="299">
        <f t="shared" ref="AM336:AM339" si="663">AF336</f>
        <v>0</v>
      </c>
      <c r="AN336" s="300">
        <f t="shared" ref="AN336:AN339" si="664">AL336-AM336</f>
        <v>18634.338987099993</v>
      </c>
    </row>
    <row r="337" spans="1:42" ht="15.75" hidden="1" customHeight="1" outlineLevel="1" x14ac:dyDescent="0.2">
      <c r="A337" s="79" t="s">
        <v>217</v>
      </c>
      <c r="B337" s="112" t="s">
        <v>197</v>
      </c>
      <c r="C337" s="79" t="s">
        <v>1</v>
      </c>
      <c r="D337" s="1" t="s">
        <v>673</v>
      </c>
      <c r="E337" s="47">
        <f>ROUND(SUMIF('Target Achieved- Input'!$B$278:$B$370,'Incentive Report- Output'!B337,'Target Achieved- Input'!$G$278:$G$370),0)</f>
        <v>65</v>
      </c>
      <c r="F337" s="47">
        <f>ROUND(SUMIF('Target Achieved- Input'!$B$278:$B$370,'Incentive Report- Output'!B337,'Target Achieved- Input'!$H$278:$H$370),0)</f>
        <v>85</v>
      </c>
      <c r="G337" s="47">
        <f>SUMIF('Target Achieved- Input'!$L$278:$L$370,'Incentive Report- Output'!B337,'Target Achieved- Input'!$O$278:$O$370)</f>
        <v>27</v>
      </c>
      <c r="H337" s="39">
        <f>SUMIF('Target Achieved- Input'!$S$278:$S$370,'Incentive Report- Output'!B337,'Target Achieved- Input'!$V$278:$V$370)</f>
        <v>27</v>
      </c>
      <c r="I337" s="48">
        <f>SUMIF('Target Achieved- Input'!$L$278:$L$370,'Incentive Report- Output'!B337,'Target Achieved- Input'!$AC$278:$AC$370)</f>
        <v>0</v>
      </c>
      <c r="J337" s="39">
        <f t="shared" si="656"/>
        <v>0</v>
      </c>
      <c r="K337" s="40">
        <f t="shared" si="657"/>
        <v>0</v>
      </c>
      <c r="L337" s="41">
        <f t="shared" si="658"/>
        <v>2145000</v>
      </c>
      <c r="M337" s="41">
        <f>SUMIF('Target Achieved- Input'!$L$278:$L$370,'Incentive Report- Output'!B337,'Target Achieved- Input'!$M$278:$M$370)</f>
        <v>1299823</v>
      </c>
      <c r="N337" s="41">
        <f>SUMIF('Target Achieved- Input'!$S$278:$S$370,'Incentive Report- Output'!B337,'Target Achieved- Input'!$U$278:$U$370)</f>
        <v>1101544.9152000002</v>
      </c>
      <c r="O337" s="41">
        <f>SUMIF('Target Achieved- Input'!$L$278:$L$370,'Incentive Report- Output'!B337,'Target Achieved- Input'!$N$278:$N$370)-N337</f>
        <v>0</v>
      </c>
      <c r="P337" s="40">
        <f t="shared" si="659"/>
        <v>0</v>
      </c>
      <c r="Q337" s="40">
        <f t="shared" si="660"/>
        <v>0</v>
      </c>
      <c r="R337" s="40">
        <v>0</v>
      </c>
      <c r="S337" s="49">
        <f>(LOOKUP(Q337,Policy!$L$12:$M$16)+R337)*O337</f>
        <v>0</v>
      </c>
      <c r="T337" s="185"/>
      <c r="U337" s="156"/>
      <c r="V337" s="51"/>
      <c r="W337" s="156"/>
      <c r="X337" s="397"/>
      <c r="Y337" s="397"/>
      <c r="Z337" s="400"/>
      <c r="AA337" s="55">
        <v>0</v>
      </c>
      <c r="AB337" s="41">
        <v>0</v>
      </c>
      <c r="AC337" s="41">
        <v>0</v>
      </c>
      <c r="AD337" s="41">
        <f t="shared" si="661"/>
        <v>0</v>
      </c>
      <c r="AE337" s="41">
        <f t="shared" si="662"/>
        <v>0</v>
      </c>
      <c r="AF337" s="41">
        <f>S337+W337+AB337+AC337</f>
        <v>0</v>
      </c>
      <c r="AG337" s="31"/>
      <c r="AH337" s="419"/>
      <c r="AI337" s="22" t="s">
        <v>217</v>
      </c>
      <c r="AJ337" s="1" t="s">
        <v>197</v>
      </c>
      <c r="AK337" s="195" t="s">
        <v>673</v>
      </c>
      <c r="AL337" s="299">
        <v>5507.7245759999996</v>
      </c>
      <c r="AM337" s="299">
        <f t="shared" si="663"/>
        <v>0</v>
      </c>
      <c r="AN337" s="300">
        <f t="shared" si="664"/>
        <v>5507.7245759999996</v>
      </c>
    </row>
    <row r="338" spans="1:42" ht="15.75" hidden="1" customHeight="1" outlineLevel="1" x14ac:dyDescent="0.2">
      <c r="A338" s="79" t="s">
        <v>1152</v>
      </c>
      <c r="B338" s="112" t="s">
        <v>1153</v>
      </c>
      <c r="C338" s="79" t="s">
        <v>1</v>
      </c>
      <c r="D338" s="1" t="s">
        <v>673</v>
      </c>
      <c r="E338" s="47">
        <f>ROUND(SUMIF('Target Achieved- Input'!$B$278:$B$370,'Incentive Report- Output'!B338,'Target Achieved- Input'!$G$278:$G$370),0)</f>
        <v>50</v>
      </c>
      <c r="F338" s="47">
        <f>ROUND(SUMIF('Target Achieved- Input'!$B$278:$B$370,'Incentive Report- Output'!B338,'Target Achieved- Input'!$H$278:$H$370),0)</f>
        <v>65</v>
      </c>
      <c r="G338" s="47">
        <f>SUMIF('Target Achieved- Input'!$L$278:$L$370,'Incentive Report- Output'!B338,'Target Achieved- Input'!$O$278:$O$370)</f>
        <v>20</v>
      </c>
      <c r="H338" s="39">
        <f>SUMIF('Target Achieved- Input'!$S$278:$S$370,'Incentive Report- Output'!B338,'Target Achieved- Input'!$V$278:$V$370)</f>
        <v>20</v>
      </c>
      <c r="I338" s="48">
        <f>SUMIF('Target Achieved- Input'!$L$278:$L$370,'Incentive Report- Output'!B338,'Target Achieved- Input'!$AC$278:$AC$370)</f>
        <v>0</v>
      </c>
      <c r="J338" s="39">
        <f t="shared" si="656"/>
        <v>0</v>
      </c>
      <c r="K338" s="40">
        <f t="shared" si="657"/>
        <v>0</v>
      </c>
      <c r="L338" s="41">
        <f t="shared" si="658"/>
        <v>1650000</v>
      </c>
      <c r="M338" s="41">
        <f>SUMIF('Target Achieved- Input'!$L$278:$L$370,'Incentive Report- Output'!B338,'Target Achieved- Input'!$M$278:$M$370)</f>
        <v>989630</v>
      </c>
      <c r="N338" s="41">
        <f>SUMIF('Target Achieved- Input'!$S$278:$S$370,'Incentive Report- Output'!B338,'Target Achieved- Input'!$U$278:$U$370)</f>
        <v>838669.49160000007</v>
      </c>
      <c r="O338" s="41">
        <f>SUMIF('Target Achieved- Input'!$L$278:$L$370,'Incentive Report- Output'!B338,'Target Achieved- Input'!$N$278:$N$370)-N338</f>
        <v>0</v>
      </c>
      <c r="P338" s="40">
        <f t="shared" si="659"/>
        <v>0</v>
      </c>
      <c r="Q338" s="40">
        <f t="shared" si="660"/>
        <v>0</v>
      </c>
      <c r="R338" s="40">
        <v>0</v>
      </c>
      <c r="S338" s="49">
        <f>(LOOKUP(Q338,Policy!$L$12:$M$16)+R338)*O338</f>
        <v>0</v>
      </c>
      <c r="T338" s="185"/>
      <c r="U338" s="156"/>
      <c r="V338" s="51"/>
      <c r="W338" s="156"/>
      <c r="X338" s="397"/>
      <c r="Y338" s="397"/>
      <c r="Z338" s="400"/>
      <c r="AA338" s="55">
        <v>0</v>
      </c>
      <c r="AB338" s="41">
        <v>0</v>
      </c>
      <c r="AC338" s="41">
        <v>0</v>
      </c>
      <c r="AD338" s="41">
        <f t="shared" si="661"/>
        <v>0</v>
      </c>
      <c r="AE338" s="41">
        <f t="shared" si="662"/>
        <v>0</v>
      </c>
      <c r="AF338" s="41">
        <f>S338+W338+AB338+AC338</f>
        <v>0</v>
      </c>
      <c r="AG338" s="31"/>
      <c r="AH338" s="419"/>
      <c r="AI338" s="22" t="s">
        <v>1152</v>
      </c>
      <c r="AJ338" s="1" t="s">
        <v>1153</v>
      </c>
      <c r="AK338" s="195" t="s">
        <v>673</v>
      </c>
      <c r="AL338" s="299">
        <v>4193.3474580000011</v>
      </c>
      <c r="AM338" s="299">
        <f t="shared" si="663"/>
        <v>0</v>
      </c>
      <c r="AN338" s="300">
        <f t="shared" si="664"/>
        <v>4193.3474580000011</v>
      </c>
    </row>
    <row r="339" spans="1:42" ht="15.75" hidden="1" customHeight="1" outlineLevel="1" x14ac:dyDescent="0.2">
      <c r="A339" s="79" t="s">
        <v>335</v>
      </c>
      <c r="B339" s="112" t="s">
        <v>342</v>
      </c>
      <c r="C339" s="79" t="s">
        <v>1</v>
      </c>
      <c r="D339" s="1" t="s">
        <v>673</v>
      </c>
      <c r="E339" s="47">
        <f>ROUND(SUMIF('Target Achieved- Input'!$B$278:$B$370,'Incentive Report- Output'!B339,'Target Achieved- Input'!$G$278:$G$370),0)</f>
        <v>65</v>
      </c>
      <c r="F339" s="47">
        <f>ROUND(SUMIF('Target Achieved- Input'!$B$278:$B$370,'Incentive Report- Output'!B339,'Target Achieved- Input'!$H$278:$H$370),0)</f>
        <v>85</v>
      </c>
      <c r="G339" s="47">
        <f>SUMIF('Target Achieved- Input'!$L$278:$L$370,'Incentive Report- Output'!B339,'Target Achieved- Input'!$O$278:$O$370)</f>
        <v>26</v>
      </c>
      <c r="H339" s="39">
        <f>SUMIF('Target Achieved- Input'!$S$278:$S$370,'Incentive Report- Output'!B339,'Target Achieved- Input'!$V$278:$V$370)</f>
        <v>13</v>
      </c>
      <c r="I339" s="48">
        <f>SUMIF('Target Achieved- Input'!$L$278:$L$370,'Incentive Report- Output'!B339,'Target Achieved- Input'!$AC$278:$AC$370)</f>
        <v>0</v>
      </c>
      <c r="J339" s="39">
        <f t="shared" si="656"/>
        <v>13</v>
      </c>
      <c r="K339" s="40">
        <f t="shared" si="657"/>
        <v>0.2</v>
      </c>
      <c r="L339" s="41">
        <f t="shared" si="658"/>
        <v>2145000</v>
      </c>
      <c r="M339" s="41">
        <f>SUMIF('Target Achieved- Input'!$L$278:$L$370,'Incentive Report- Output'!B339,'Target Achieved- Input'!$M$278:$M$370)</f>
        <v>1164174</v>
      </c>
      <c r="N339" s="41">
        <f>SUMIF('Target Achieved- Input'!$S$278:$S$370,'Incentive Report- Output'!B339,'Target Achieved- Input'!$U$278:$U$370)</f>
        <v>502404.23710000009</v>
      </c>
      <c r="O339" s="41">
        <f>SUMIF('Target Achieved- Input'!$L$278:$L$370,'Incentive Report- Output'!B339,'Target Achieved- Input'!$N$278:$N$370)-N339</f>
        <v>484183.89830000006</v>
      </c>
      <c r="P339" s="40">
        <f t="shared" si="659"/>
        <v>0.22572675911421913</v>
      </c>
      <c r="Q339" s="40">
        <f t="shared" si="660"/>
        <v>0.22572675911421913</v>
      </c>
      <c r="R339" s="40">
        <v>0</v>
      </c>
      <c r="S339" s="49">
        <f>(LOOKUP(Q339,Policy!$L$12:$M$16)+R339)*O339</f>
        <v>0</v>
      </c>
      <c r="T339" s="185"/>
      <c r="U339" s="156"/>
      <c r="V339" s="51"/>
      <c r="W339" s="156"/>
      <c r="X339" s="397"/>
      <c r="Y339" s="397"/>
      <c r="Z339" s="400"/>
      <c r="AA339" s="55">
        <v>0</v>
      </c>
      <c r="AB339" s="41">
        <v>0</v>
      </c>
      <c r="AC339" s="41">
        <v>0</v>
      </c>
      <c r="AD339" s="41">
        <f t="shared" si="661"/>
        <v>0</v>
      </c>
      <c r="AE339" s="41">
        <f t="shared" si="662"/>
        <v>0</v>
      </c>
      <c r="AF339" s="41">
        <f>S339+W339+AB339+AC339</f>
        <v>0</v>
      </c>
      <c r="AG339" s="31"/>
      <c r="AH339" s="419"/>
      <c r="AI339" s="22" t="s">
        <v>335</v>
      </c>
      <c r="AJ339" s="1" t="s">
        <v>342</v>
      </c>
      <c r="AK339" s="195" t="s">
        <v>673</v>
      </c>
      <c r="AL339" s="299">
        <v>0</v>
      </c>
      <c r="AM339" s="299">
        <f t="shared" si="663"/>
        <v>0</v>
      </c>
      <c r="AN339" s="300">
        <f t="shared" si="664"/>
        <v>0</v>
      </c>
    </row>
    <row r="340" spans="1:42" ht="15.75" hidden="1" customHeight="1" outlineLevel="1" x14ac:dyDescent="0.2">
      <c r="A340" s="109" t="s">
        <v>6</v>
      </c>
      <c r="B340" s="109"/>
      <c r="C340" s="109"/>
      <c r="D340" s="292" t="s">
        <v>673</v>
      </c>
      <c r="E340" s="44">
        <f t="shared" ref="E340:J340" si="665">SUM(E336:E339)</f>
        <v>245</v>
      </c>
      <c r="F340" s="44">
        <f t="shared" si="665"/>
        <v>320</v>
      </c>
      <c r="G340" s="44">
        <f t="shared" si="665"/>
        <v>121</v>
      </c>
      <c r="H340" s="44">
        <f t="shared" si="665"/>
        <v>93</v>
      </c>
      <c r="I340" s="44">
        <f t="shared" si="665"/>
        <v>0</v>
      </c>
      <c r="J340" s="44">
        <f t="shared" si="665"/>
        <v>28</v>
      </c>
      <c r="K340" s="45"/>
      <c r="L340" s="44">
        <f>SUM(L336:L339)</f>
        <v>8085000</v>
      </c>
      <c r="M340" s="44">
        <f>SUM(M336:M339)</f>
        <v>5652479</v>
      </c>
      <c r="N340" s="44">
        <f>SUM(N336:N339)</f>
        <v>3730260.1696099997</v>
      </c>
      <c r="O340" s="44">
        <f>SUM(O336:O339)</f>
        <v>1059976.2712999994</v>
      </c>
      <c r="P340" s="45"/>
      <c r="Q340" s="46"/>
      <c r="R340" s="46"/>
      <c r="S340" s="44">
        <f t="shared" ref="S340:AF340" si="666">SUM(S336:S339)</f>
        <v>0</v>
      </c>
      <c r="T340" s="189">
        <f t="shared" si="666"/>
        <v>0</v>
      </c>
      <c r="U340" s="189">
        <f t="shared" si="666"/>
        <v>0</v>
      </c>
      <c r="V340" s="86">
        <f t="shared" si="666"/>
        <v>0</v>
      </c>
      <c r="W340" s="189">
        <f t="shared" si="666"/>
        <v>0</v>
      </c>
      <c r="X340" s="86">
        <f t="shared" si="666"/>
        <v>0</v>
      </c>
      <c r="Y340" s="86">
        <f t="shared" si="666"/>
        <v>0</v>
      </c>
      <c r="Z340" s="54">
        <f t="shared" si="666"/>
        <v>0</v>
      </c>
      <c r="AA340" s="86">
        <f t="shared" si="666"/>
        <v>0</v>
      </c>
      <c r="AB340" s="86">
        <f t="shared" si="666"/>
        <v>0</v>
      </c>
      <c r="AC340" s="86">
        <f t="shared" si="666"/>
        <v>0</v>
      </c>
      <c r="AD340" s="86">
        <f t="shared" si="666"/>
        <v>0</v>
      </c>
      <c r="AE340" s="102">
        <f t="shared" si="666"/>
        <v>0</v>
      </c>
      <c r="AF340" s="102">
        <f t="shared" si="666"/>
        <v>0</v>
      </c>
      <c r="AG340" s="31"/>
      <c r="AH340" s="419"/>
      <c r="AI340" s="43" t="s">
        <v>6</v>
      </c>
      <c r="AJ340" s="43"/>
      <c r="AK340" s="43" t="s">
        <v>673</v>
      </c>
      <c r="AL340" s="304">
        <v>28335.411021099993</v>
      </c>
      <c r="AM340" s="304">
        <f>SUM(AM336:AM339)</f>
        <v>0</v>
      </c>
      <c r="AN340" s="304">
        <f>SUM(AN336:AN339)</f>
        <v>28335.411021099993</v>
      </c>
    </row>
    <row r="341" spans="1:42" ht="15.75" hidden="1" customHeight="1" outlineLevel="1" x14ac:dyDescent="0.2">
      <c r="A341" s="79" t="s">
        <v>286</v>
      </c>
      <c r="B341" s="112" t="s">
        <v>37</v>
      </c>
      <c r="C341" s="79" t="s">
        <v>0</v>
      </c>
      <c r="D341" s="1" t="s">
        <v>674</v>
      </c>
      <c r="E341" s="47">
        <f>ROUND(SUMIF('Target Achieved- Input'!$B$278:$B$370,'Incentive Report- Output'!B341,'Target Achieved- Input'!$G$278:$G$370),0)</f>
        <v>60</v>
      </c>
      <c r="F341" s="47">
        <f>ROUND(SUMIF('Target Achieved- Input'!$B$278:$B$370,'Incentive Report- Output'!B341,'Target Achieved- Input'!$H$278:$H$370),0)</f>
        <v>78</v>
      </c>
      <c r="G341" s="47">
        <f>SUMIF('Target Achieved- Input'!$L$278:$L$370,'Incentive Report- Output'!B341,'Target Achieved- Input'!$O$278:$O$370)</f>
        <v>52</v>
      </c>
      <c r="H341" s="39">
        <f>SUMIF('Target Achieved- Input'!$S$278:$S$370,'Incentive Report- Output'!B341,'Target Achieved- Input'!$V$278:$V$370)</f>
        <v>1</v>
      </c>
      <c r="I341" s="48">
        <f>SUMIF('Target Achieved- Input'!$L$278:$L$370,'Incentive Report- Output'!B341,'Target Achieved- Input'!$AC$278:$AC$370)</f>
        <v>0</v>
      </c>
      <c r="J341" s="39">
        <f t="shared" ref="J341:J343" si="667">G341-H341</f>
        <v>51</v>
      </c>
      <c r="K341" s="40">
        <f t="shared" ref="K341:K343" si="668">IFERROR(J341/E341,0)</f>
        <v>0.85</v>
      </c>
      <c r="L341" s="41">
        <f t="shared" ref="L341:L343" si="669">E341*33000</f>
        <v>1980000</v>
      </c>
      <c r="M341" s="41">
        <f>SUMIF('Target Achieved- Input'!$L$278:$L$370,'Incentive Report- Output'!B341,'Target Achieved- Input'!$M$278:$M$370)</f>
        <v>2389598</v>
      </c>
      <c r="N341" s="41">
        <f>SUMIF('Target Achieved- Input'!$S$278:$S$370,'Incentive Report- Output'!B341,'Target Achieved- Input'!$U$278:$U$370)</f>
        <v>30507.627100000002</v>
      </c>
      <c r="O341" s="41">
        <f>SUMIF('Target Achieved- Input'!$L$278:$L$370,'Incentive Report- Output'!B341,'Target Achieved- Input'!$N$278:$N$370)-N341</f>
        <v>1994575.4231999996</v>
      </c>
      <c r="P341" s="40">
        <f t="shared" ref="P341:P343" si="670">IFERROR(O341/L341,0)</f>
        <v>1.0073613248484847</v>
      </c>
      <c r="Q341" s="40">
        <f t="shared" ref="Q341:Q343" si="671">MAX(P341,K341)</f>
        <v>1.0073613248484847</v>
      </c>
      <c r="R341" s="40">
        <v>0</v>
      </c>
      <c r="S341" s="49">
        <f>(LOOKUP(Q341,Policy!$L$12:$M$16)+R341)*O341</f>
        <v>44877.947021999993</v>
      </c>
      <c r="T341" s="188"/>
      <c r="U341" s="188"/>
      <c r="V341" s="40"/>
      <c r="W341" s="53"/>
      <c r="X341" s="396">
        <f>E344</f>
        <v>155</v>
      </c>
      <c r="Y341" s="396">
        <f>J344</f>
        <v>120</v>
      </c>
      <c r="Z341" s="399">
        <f>Y341/X341</f>
        <v>0.77419354838709675</v>
      </c>
      <c r="AA341" s="55">
        <v>0</v>
      </c>
      <c r="AB341" s="41">
        <v>0</v>
      </c>
      <c r="AC341" s="41">
        <v>0</v>
      </c>
      <c r="AD341" s="41">
        <f t="shared" ref="AD341:AD343" si="672">IF(AF341&gt;200000,AF341-200000,0)</f>
        <v>0</v>
      </c>
      <c r="AE341" s="41">
        <f t="shared" ref="AE341:AE343" si="673">AF341-AD341</f>
        <v>44877.947021999993</v>
      </c>
      <c r="AF341" s="41">
        <f>S341+W341+AB341+AC341</f>
        <v>44877.947021999993</v>
      </c>
      <c r="AG341" s="31"/>
      <c r="AH341" s="419"/>
      <c r="AI341" s="22" t="s">
        <v>286</v>
      </c>
      <c r="AJ341" s="1" t="s">
        <v>37</v>
      </c>
      <c r="AK341" s="195" t="s">
        <v>674</v>
      </c>
      <c r="AL341" s="299">
        <v>45564.368631749989</v>
      </c>
      <c r="AM341" s="299">
        <f t="shared" ref="AM341:AM343" si="674">AF341</f>
        <v>44877.947021999993</v>
      </c>
      <c r="AN341" s="300">
        <f t="shared" ref="AN341:AN343" si="675">AL341-AM341</f>
        <v>686.4216097499957</v>
      </c>
    </row>
    <row r="342" spans="1:42" ht="15.75" hidden="1" customHeight="1" outlineLevel="1" x14ac:dyDescent="0.2">
      <c r="A342" s="42" t="s">
        <v>657</v>
      </c>
      <c r="B342" s="112" t="s">
        <v>39</v>
      </c>
      <c r="C342" s="79" t="s">
        <v>1</v>
      </c>
      <c r="D342" s="1" t="s">
        <v>674</v>
      </c>
      <c r="E342" s="47">
        <f>ROUND(SUMIF('Target Achieved- Input'!$B$278:$B$370,'Incentive Report- Output'!B342,'Target Achieved- Input'!$G$278:$G$370),0)</f>
        <v>35</v>
      </c>
      <c r="F342" s="47">
        <f>ROUND(SUMIF('Target Achieved- Input'!$B$278:$B$370,'Incentive Report- Output'!B342,'Target Achieved- Input'!$H$278:$H$370),0)</f>
        <v>46</v>
      </c>
      <c r="G342" s="47">
        <f>SUMIF('Target Achieved- Input'!$L$278:$L$370,'Incentive Report- Output'!B342,'Target Achieved- Input'!$O$278:$O$370)</f>
        <v>63</v>
      </c>
      <c r="H342" s="39">
        <f>SUMIF('Target Achieved- Input'!$S$278:$S$370,'Incentive Report- Output'!B342,'Target Achieved- Input'!$V$278:$V$370)</f>
        <v>12</v>
      </c>
      <c r="I342" s="48">
        <f>SUMIF('Target Achieved- Input'!$L$278:$L$370,'Incentive Report- Output'!B342,'Target Achieved- Input'!$AC$278:$AC$370)</f>
        <v>1</v>
      </c>
      <c r="J342" s="39">
        <f t="shared" si="667"/>
        <v>51</v>
      </c>
      <c r="K342" s="40">
        <f t="shared" si="668"/>
        <v>1.4571428571428571</v>
      </c>
      <c r="L342" s="41">
        <f t="shared" si="669"/>
        <v>1155000</v>
      </c>
      <c r="M342" s="41">
        <f>SUMIF('Target Achieved- Input'!$L$278:$L$370,'Incentive Report- Output'!B342,'Target Achieved- Input'!$M$278:$M$370)</f>
        <v>2757737</v>
      </c>
      <c r="N342" s="41">
        <f>SUMIF('Target Achieved- Input'!$S$278:$S$370,'Incentive Report- Output'!B342,'Target Achieved- Input'!$U$278:$U$370)</f>
        <v>427744.06780000008</v>
      </c>
      <c r="O342" s="41">
        <f>SUMIF('Target Achieved- Input'!$L$278:$L$370,'Incentive Report- Output'!B342,'Target Achieved- Input'!$N$278:$N$370)-N342</f>
        <v>1909321.1870100002</v>
      </c>
      <c r="P342" s="40">
        <f t="shared" si="670"/>
        <v>1.6530919368051951</v>
      </c>
      <c r="Q342" s="40">
        <f t="shared" si="671"/>
        <v>1.6530919368051951</v>
      </c>
      <c r="R342" s="40">
        <v>0</v>
      </c>
      <c r="S342" s="49">
        <f>(LOOKUP(Q342,Policy!$L$12:$M$16)+R342)*O342</f>
        <v>57279.635610300007</v>
      </c>
      <c r="T342" s="188"/>
      <c r="U342" s="53"/>
      <c r="V342" s="40"/>
      <c r="W342" s="53"/>
      <c r="X342" s="397"/>
      <c r="Y342" s="397"/>
      <c r="Z342" s="400"/>
      <c r="AA342" s="55">
        <v>0</v>
      </c>
      <c r="AB342" s="41">
        <v>0</v>
      </c>
      <c r="AC342" s="41">
        <v>0</v>
      </c>
      <c r="AD342" s="41">
        <f t="shared" si="672"/>
        <v>0</v>
      </c>
      <c r="AE342" s="41">
        <f t="shared" si="673"/>
        <v>57279.635610300007</v>
      </c>
      <c r="AF342" s="41">
        <f>S342+W342+AB342+AC342</f>
        <v>57279.635610300007</v>
      </c>
      <c r="AG342" s="31"/>
      <c r="AH342" s="419"/>
      <c r="AI342" s="42" t="s">
        <v>657</v>
      </c>
      <c r="AJ342" s="1" t="s">
        <v>39</v>
      </c>
      <c r="AK342" s="195" t="s">
        <v>674</v>
      </c>
      <c r="AL342" s="299">
        <v>70111.957644300011</v>
      </c>
      <c r="AM342" s="299">
        <f t="shared" si="674"/>
        <v>57279.635610300007</v>
      </c>
      <c r="AN342" s="300">
        <f t="shared" si="675"/>
        <v>12832.322034000004</v>
      </c>
    </row>
    <row r="343" spans="1:42" ht="15.75" hidden="1" customHeight="1" outlineLevel="1" x14ac:dyDescent="0.2">
      <c r="A343" s="79" t="s">
        <v>1156</v>
      </c>
      <c r="B343" s="112" t="s">
        <v>1157</v>
      </c>
      <c r="C343" s="79" t="s">
        <v>1</v>
      </c>
      <c r="D343" s="1" t="s">
        <v>674</v>
      </c>
      <c r="E343" s="47">
        <f>ROUND(SUMIF('Target Achieved- Input'!$B$278:$B$370,'Incentive Report- Output'!B343,'Target Achieved- Input'!$G$278:$G$370),0)</f>
        <v>60</v>
      </c>
      <c r="F343" s="47">
        <f>ROUND(SUMIF('Target Achieved- Input'!$B$278:$B$370,'Incentive Report- Output'!B343,'Target Achieved- Input'!$H$278:$H$370),0)</f>
        <v>78</v>
      </c>
      <c r="G343" s="47">
        <f>SUMIF('Target Achieved- Input'!$L$278:$L$370,'Incentive Report- Output'!B343,'Target Achieved- Input'!$O$278:$O$370)</f>
        <v>29</v>
      </c>
      <c r="H343" s="39">
        <f>SUMIF('Target Achieved- Input'!$S$278:$S$370,'Incentive Report- Output'!B343,'Target Achieved- Input'!$V$278:$V$370)</f>
        <v>11</v>
      </c>
      <c r="I343" s="48">
        <f>SUMIF('Target Achieved- Input'!$L$278:$L$370,'Incentive Report- Output'!B343,'Target Achieved- Input'!$AC$278:$AC$370)</f>
        <v>0</v>
      </c>
      <c r="J343" s="39">
        <f t="shared" si="667"/>
        <v>18</v>
      </c>
      <c r="K343" s="40">
        <f t="shared" si="668"/>
        <v>0.3</v>
      </c>
      <c r="L343" s="41">
        <f t="shared" si="669"/>
        <v>1980000</v>
      </c>
      <c r="M343" s="41">
        <f>SUMIF('Target Achieved- Input'!$L$278:$L$370,'Incentive Report- Output'!B343,'Target Achieved- Input'!$M$278:$M$370)</f>
        <v>1379921</v>
      </c>
      <c r="N343" s="41">
        <f>SUMIF('Target Achieved- Input'!$S$278:$S$370,'Incentive Report- Output'!B343,'Target Achieved- Input'!$U$278:$U$370)</f>
        <v>439524.57640000002</v>
      </c>
      <c r="O343" s="41">
        <f>SUMIF('Target Achieved- Input'!$L$278:$L$370,'Incentive Report- Output'!B343,'Target Achieved- Input'!$N$278:$N$370)-N343</f>
        <v>729899.99999999988</v>
      </c>
      <c r="P343" s="40">
        <f t="shared" si="670"/>
        <v>0.3686363636363636</v>
      </c>
      <c r="Q343" s="40">
        <f t="shared" si="671"/>
        <v>0.3686363636363636</v>
      </c>
      <c r="R343" s="40">
        <v>0</v>
      </c>
      <c r="S343" s="49">
        <f>(LOOKUP(Q343,Policy!$L$12:$M$16)+R343)*O343</f>
        <v>0</v>
      </c>
      <c r="T343" s="188"/>
      <c r="U343" s="188"/>
      <c r="V343" s="40"/>
      <c r="W343" s="53"/>
      <c r="X343" s="398"/>
      <c r="Y343" s="398"/>
      <c r="Z343" s="401"/>
      <c r="AA343" s="55">
        <v>0</v>
      </c>
      <c r="AB343" s="41">
        <v>0</v>
      </c>
      <c r="AC343" s="41">
        <v>0</v>
      </c>
      <c r="AD343" s="41">
        <f t="shared" si="672"/>
        <v>0</v>
      </c>
      <c r="AE343" s="41">
        <f t="shared" si="673"/>
        <v>0</v>
      </c>
      <c r="AF343" s="41">
        <f>S343+W343+AB343+AC343</f>
        <v>0</v>
      </c>
      <c r="AG343" s="31"/>
      <c r="AH343" s="419"/>
      <c r="AI343" s="22" t="s">
        <v>1156</v>
      </c>
      <c r="AJ343" s="1" t="s">
        <v>1157</v>
      </c>
      <c r="AK343" s="195" t="s">
        <v>674</v>
      </c>
      <c r="AL343" s="299">
        <v>5847.1228819999997</v>
      </c>
      <c r="AM343" s="299">
        <f t="shared" si="674"/>
        <v>0</v>
      </c>
      <c r="AN343" s="300">
        <f t="shared" si="675"/>
        <v>5847.1228819999997</v>
      </c>
    </row>
    <row r="344" spans="1:42" ht="15.75" hidden="1" customHeight="1" outlineLevel="1" x14ac:dyDescent="0.2">
      <c r="A344" s="109" t="s">
        <v>6</v>
      </c>
      <c r="B344" s="109"/>
      <c r="C344" s="109"/>
      <c r="D344" s="292" t="s">
        <v>674</v>
      </c>
      <c r="E344" s="44">
        <f>SUM(E341:E343)</f>
        <v>155</v>
      </c>
      <c r="F344" s="44">
        <f t="shared" ref="F344:J344" si="676">SUM(F341:F343)</f>
        <v>202</v>
      </c>
      <c r="G344" s="44">
        <f t="shared" si="676"/>
        <v>144</v>
      </c>
      <c r="H344" s="44">
        <f t="shared" si="676"/>
        <v>24</v>
      </c>
      <c r="I344" s="44">
        <f t="shared" si="676"/>
        <v>1</v>
      </c>
      <c r="J344" s="44">
        <f t="shared" si="676"/>
        <v>120</v>
      </c>
      <c r="K344" s="44"/>
      <c r="L344" s="44">
        <f t="shared" ref="L344:O344" si="677">SUM(L341:L343)</f>
        <v>5115000</v>
      </c>
      <c r="M344" s="44">
        <f t="shared" si="677"/>
        <v>6527256</v>
      </c>
      <c r="N344" s="44">
        <f t="shared" si="677"/>
        <v>897776.27130000014</v>
      </c>
      <c r="O344" s="44">
        <f t="shared" si="677"/>
        <v>4633796.6102099996</v>
      </c>
      <c r="P344" s="45"/>
      <c r="Q344" s="46"/>
      <c r="R344" s="46"/>
      <c r="S344" s="44">
        <f t="shared" ref="S344:AF344" si="678">SUM(S341:S343)</f>
        <v>102157.58263230001</v>
      </c>
      <c r="T344" s="44">
        <f t="shared" si="678"/>
        <v>0</v>
      </c>
      <c r="U344" s="44">
        <f t="shared" si="678"/>
        <v>0</v>
      </c>
      <c r="V344" s="44">
        <f t="shared" si="678"/>
        <v>0</v>
      </c>
      <c r="W344" s="44">
        <f t="shared" si="678"/>
        <v>0</v>
      </c>
      <c r="X344" s="44">
        <f t="shared" si="678"/>
        <v>155</v>
      </c>
      <c r="Y344" s="44">
        <f t="shared" si="678"/>
        <v>120</v>
      </c>
      <c r="Z344" s="44">
        <f t="shared" si="678"/>
        <v>0.77419354838709675</v>
      </c>
      <c r="AA344" s="44">
        <f t="shared" si="678"/>
        <v>0</v>
      </c>
      <c r="AB344" s="44">
        <f t="shared" si="678"/>
        <v>0</v>
      </c>
      <c r="AC344" s="44">
        <f t="shared" si="678"/>
        <v>0</v>
      </c>
      <c r="AD344" s="44">
        <f t="shared" si="678"/>
        <v>0</v>
      </c>
      <c r="AE344" s="44">
        <f t="shared" si="678"/>
        <v>102157.58263230001</v>
      </c>
      <c r="AF344" s="44">
        <f t="shared" si="678"/>
        <v>102157.58263230001</v>
      </c>
      <c r="AG344" s="31"/>
      <c r="AH344" s="419"/>
      <c r="AI344" s="43" t="s">
        <v>6</v>
      </c>
      <c r="AJ344" s="43"/>
      <c r="AK344" s="43" t="s">
        <v>674</v>
      </c>
      <c r="AL344" s="308">
        <v>121523.44915805</v>
      </c>
      <c r="AM344" s="308">
        <f>SUM(AM341:AM343)</f>
        <v>102157.58263230001</v>
      </c>
      <c r="AN344" s="308">
        <f>SUM(AN341:AN343)</f>
        <v>19365.86652575</v>
      </c>
    </row>
    <row r="345" spans="1:42" ht="15.75" hidden="1" customHeight="1" outlineLevel="1" x14ac:dyDescent="0.2">
      <c r="A345" s="79" t="s">
        <v>72</v>
      </c>
      <c r="B345" s="112" t="s">
        <v>43</v>
      </c>
      <c r="C345" s="79" t="s">
        <v>0</v>
      </c>
      <c r="D345" s="1" t="s">
        <v>675</v>
      </c>
      <c r="E345" s="47">
        <f>ROUND(SUMIF('Target Achieved- Input'!$B$278:$B$370,'Incentive Report- Output'!B345,'Target Achieved- Input'!$G$278:$G$370),0)</f>
        <v>30</v>
      </c>
      <c r="F345" s="47">
        <f>ROUND(SUMIF('Target Achieved- Input'!$B$278:$B$370,'Incentive Report- Output'!B345,'Target Achieved- Input'!$H$278:$H$370),0)</f>
        <v>39</v>
      </c>
      <c r="G345" s="47">
        <f>SUMIF('Target Achieved- Input'!$L$278:$L$370,'Incentive Report- Output'!B345,'Target Achieved- Input'!$O$278:$O$370)</f>
        <v>45</v>
      </c>
      <c r="H345" s="39">
        <f>SUMIF('Target Achieved- Input'!$S$278:$S$370,'Incentive Report- Output'!B345,'Target Achieved- Input'!$V$278:$V$370)</f>
        <v>0</v>
      </c>
      <c r="I345" s="48">
        <f>SUMIF('Target Achieved- Input'!$L$278:$L$370,'Incentive Report- Output'!B345,'Target Achieved- Input'!$AC$278:$AC$370)</f>
        <v>1</v>
      </c>
      <c r="J345" s="39">
        <f t="shared" ref="J345:J352" si="679">G345-H345</f>
        <v>45</v>
      </c>
      <c r="K345" s="40">
        <f t="shared" ref="K345:K352" si="680">IFERROR(J345/E345,0)</f>
        <v>1.5</v>
      </c>
      <c r="L345" s="41">
        <f t="shared" ref="L345:L352" si="681">E345*33000</f>
        <v>990000</v>
      </c>
      <c r="M345" s="41">
        <f>SUMIF('Target Achieved- Input'!$L$278:$L$370,'Incentive Report- Output'!B345,'Target Achieved- Input'!$M$278:$M$370)</f>
        <v>2255205</v>
      </c>
      <c r="N345" s="41">
        <f>SUMIF('Target Achieved- Input'!$S$278:$S$370,'Incentive Report- Output'!B345,'Target Achieved- Input'!$U$278:$U$370)</f>
        <v>0</v>
      </c>
      <c r="O345" s="41">
        <f>SUMIF('Target Achieved- Input'!$L$278:$L$370,'Incentive Report- Output'!B345,'Target Achieved- Input'!$N$278:$N$370)-N345</f>
        <v>1911190.6783099999</v>
      </c>
      <c r="P345" s="40">
        <f t="shared" ref="P345:P352" si="682">IFERROR(O345/L345,0)</f>
        <v>1.9304956346565656</v>
      </c>
      <c r="Q345" s="40">
        <f t="shared" ref="Q345:Q352" si="683">MAX(P345,K345)</f>
        <v>1.9304956346565656</v>
      </c>
      <c r="R345" s="40">
        <v>0</v>
      </c>
      <c r="S345" s="49">
        <f>(LOOKUP(Q345,Policy!$L$12:$M$16)+R345)*O345</f>
        <v>57335.720349299991</v>
      </c>
      <c r="T345" s="185"/>
      <c r="U345" s="156"/>
      <c r="V345" s="51"/>
      <c r="W345" s="156"/>
      <c r="X345" s="396">
        <f>E353</f>
        <v>325</v>
      </c>
      <c r="Y345" s="396">
        <f>J353</f>
        <v>149</v>
      </c>
      <c r="Z345" s="399">
        <f>Y345/X345</f>
        <v>0.45846153846153848</v>
      </c>
      <c r="AA345" s="55">
        <v>0</v>
      </c>
      <c r="AB345" s="41">
        <v>0</v>
      </c>
      <c r="AC345" s="41">
        <v>0</v>
      </c>
      <c r="AD345" s="41">
        <f t="shared" ref="AD345:AD352" si="684">IF(AF345&gt;200000,AF345-200000,0)</f>
        <v>0</v>
      </c>
      <c r="AE345" s="41">
        <f t="shared" ref="AE345:AE352" si="685">AF345-AD345</f>
        <v>57335.720349299991</v>
      </c>
      <c r="AF345" s="41">
        <f t="shared" ref="AF345:AF352" si="686">S345+W345+AB345+AC345</f>
        <v>57335.720349299991</v>
      </c>
      <c r="AG345" s="31"/>
      <c r="AH345" s="419"/>
      <c r="AI345" s="22" t="s">
        <v>72</v>
      </c>
      <c r="AJ345" s="1" t="s">
        <v>43</v>
      </c>
      <c r="AK345" s="195" t="s">
        <v>675</v>
      </c>
      <c r="AL345" s="299">
        <v>57335.720349299991</v>
      </c>
      <c r="AM345" s="299">
        <f t="shared" ref="AM345:AM352" si="687">AF345</f>
        <v>57335.720349299991</v>
      </c>
      <c r="AN345" s="300">
        <f t="shared" ref="AN345:AN352" si="688">AL345-AM345</f>
        <v>0</v>
      </c>
    </row>
    <row r="346" spans="1:42" ht="15.75" hidden="1" customHeight="1" outlineLevel="1" x14ac:dyDescent="0.2">
      <c r="A346" s="79" t="s">
        <v>726</v>
      </c>
      <c r="B346" s="112" t="s">
        <v>727</v>
      </c>
      <c r="C346" s="79" t="s">
        <v>1</v>
      </c>
      <c r="D346" s="1" t="s">
        <v>675</v>
      </c>
      <c r="E346" s="47">
        <f>ROUND(SUMIF('Target Achieved- Input'!$B$278:$B$370,'Incentive Report- Output'!B346,'Target Achieved- Input'!$G$278:$G$370),0)</f>
        <v>50</v>
      </c>
      <c r="F346" s="47">
        <f>ROUND(SUMIF('Target Achieved- Input'!$B$278:$B$370,'Incentive Report- Output'!B346,'Target Achieved- Input'!$H$278:$H$370),0)</f>
        <v>65</v>
      </c>
      <c r="G346" s="47">
        <f>SUMIF('Target Achieved- Input'!$L$278:$L$370,'Incentive Report- Output'!B346,'Target Achieved- Input'!$O$278:$O$370)</f>
        <v>24</v>
      </c>
      <c r="H346" s="39">
        <f>SUMIF('Target Achieved- Input'!$S$278:$S$370,'Incentive Report- Output'!B346,'Target Achieved- Input'!$V$278:$V$370)</f>
        <v>2</v>
      </c>
      <c r="I346" s="48">
        <f>SUMIF('Target Achieved- Input'!$L$278:$L$370,'Incentive Report- Output'!B346,'Target Achieved- Input'!$AC$278:$AC$370)</f>
        <v>0</v>
      </c>
      <c r="J346" s="39">
        <f t="shared" si="679"/>
        <v>22</v>
      </c>
      <c r="K346" s="40">
        <f t="shared" si="680"/>
        <v>0.44</v>
      </c>
      <c r="L346" s="41">
        <f t="shared" si="681"/>
        <v>1650000</v>
      </c>
      <c r="M346" s="41">
        <f>SUMIF('Target Achieved- Input'!$L$278:$L$370,'Incentive Report- Output'!B346,'Target Achieved- Input'!$M$278:$M$370)</f>
        <v>1209926</v>
      </c>
      <c r="N346" s="41">
        <f>SUMIF('Target Achieved- Input'!$S$278:$S$370,'Incentive Report- Output'!B346,'Target Achieved- Input'!$U$278:$U$370)</f>
        <v>69193.220399999991</v>
      </c>
      <c r="O346" s="41">
        <f>SUMIF('Target Achieved- Input'!$L$278:$L$370,'Incentive Report- Output'!B346,'Target Achieved- Input'!$N$278:$N$370)-N346</f>
        <v>956167.79680000024</v>
      </c>
      <c r="P346" s="40">
        <f t="shared" si="682"/>
        <v>0.57949563442424257</v>
      </c>
      <c r="Q346" s="40">
        <f t="shared" si="683"/>
        <v>0.57949563442424257</v>
      </c>
      <c r="R346" s="40">
        <v>0</v>
      </c>
      <c r="S346" s="49">
        <f>(LOOKUP(Q346,Policy!$L$12:$M$16)+R346)*O346</f>
        <v>4780.8389840000009</v>
      </c>
      <c r="T346" s="188"/>
      <c r="U346" s="53"/>
      <c r="V346" s="40"/>
      <c r="W346" s="53"/>
      <c r="X346" s="397"/>
      <c r="Y346" s="397"/>
      <c r="Z346" s="400"/>
      <c r="AA346" s="55">
        <v>0</v>
      </c>
      <c r="AB346" s="41">
        <v>0</v>
      </c>
      <c r="AC346" s="41">
        <v>0</v>
      </c>
      <c r="AD346" s="41">
        <f t="shared" si="684"/>
        <v>0</v>
      </c>
      <c r="AE346" s="41">
        <f t="shared" si="685"/>
        <v>4780.8389840000009</v>
      </c>
      <c r="AF346" s="41">
        <f t="shared" si="686"/>
        <v>4780.8389840000009</v>
      </c>
      <c r="AG346" s="31"/>
      <c r="AH346" s="419"/>
      <c r="AI346" s="22" t="s">
        <v>726</v>
      </c>
      <c r="AJ346" s="1" t="s">
        <v>727</v>
      </c>
      <c r="AK346" s="195" t="s">
        <v>675</v>
      </c>
      <c r="AL346" s="299">
        <v>5126.8050860000012</v>
      </c>
      <c r="AM346" s="299">
        <f t="shared" si="687"/>
        <v>4780.8389840000009</v>
      </c>
      <c r="AN346" s="300">
        <f t="shared" si="688"/>
        <v>345.96610200000032</v>
      </c>
    </row>
    <row r="347" spans="1:42" ht="15.75" hidden="1" customHeight="1" outlineLevel="1" x14ac:dyDescent="0.2">
      <c r="A347" s="79" t="s">
        <v>291</v>
      </c>
      <c r="B347" s="112" t="s">
        <v>40</v>
      </c>
      <c r="C347" s="79" t="s">
        <v>1</v>
      </c>
      <c r="D347" s="1" t="s">
        <v>675</v>
      </c>
      <c r="E347" s="47">
        <f>ROUND(SUMIF('Target Achieved- Input'!$B$278:$B$370,'Incentive Report- Output'!B347,'Target Achieved- Input'!$G$278:$G$370),0)</f>
        <v>50</v>
      </c>
      <c r="F347" s="47">
        <f>ROUND(SUMIF('Target Achieved- Input'!$B$278:$B$370,'Incentive Report- Output'!B347,'Target Achieved- Input'!$H$278:$H$370),0)</f>
        <v>65</v>
      </c>
      <c r="G347" s="47">
        <f>SUMIF('Target Achieved- Input'!$L$278:$L$370,'Incentive Report- Output'!B347,'Target Achieved- Input'!$O$278:$O$370)</f>
        <v>14</v>
      </c>
      <c r="H347" s="39">
        <f>SUMIF('Target Achieved- Input'!$S$278:$S$370,'Incentive Report- Output'!B347,'Target Achieved- Input'!$V$278:$V$370)</f>
        <v>1</v>
      </c>
      <c r="I347" s="48">
        <f>SUMIF('Target Achieved- Input'!$L$278:$L$370,'Incentive Report- Output'!B347,'Target Achieved- Input'!$AC$278:$AC$370)</f>
        <v>0</v>
      </c>
      <c r="J347" s="39">
        <f t="shared" si="679"/>
        <v>13</v>
      </c>
      <c r="K347" s="40">
        <f t="shared" si="680"/>
        <v>0.26</v>
      </c>
      <c r="L347" s="41">
        <f t="shared" si="681"/>
        <v>1650000</v>
      </c>
      <c r="M347" s="41">
        <f>SUMIF('Target Achieved- Input'!$L$278:$L$370,'Incentive Report- Output'!B347,'Target Achieved- Input'!$M$278:$M$370)</f>
        <v>697936</v>
      </c>
      <c r="N347" s="41">
        <f>SUMIF('Target Achieved- Input'!$S$278:$S$370,'Incentive Report- Output'!B347,'Target Achieved- Input'!$U$278:$U$370)</f>
        <v>57626.271200000003</v>
      </c>
      <c r="O347" s="41">
        <f>SUMIF('Target Achieved- Input'!$L$278:$L$370,'Incentive Report- Output'!B347,'Target Achieved- Input'!$N$278:$N$370)-N347</f>
        <v>533844.91540000006</v>
      </c>
      <c r="P347" s="40">
        <f t="shared" si="682"/>
        <v>0.32354237296969701</v>
      </c>
      <c r="Q347" s="40">
        <f t="shared" si="683"/>
        <v>0.32354237296969701</v>
      </c>
      <c r="R347" s="40">
        <v>0</v>
      </c>
      <c r="S347" s="49">
        <f>(LOOKUP(Q347,Policy!$L$12:$M$16)+R347)*O347</f>
        <v>0</v>
      </c>
      <c r="T347" s="188"/>
      <c r="U347" s="188"/>
      <c r="V347" s="40"/>
      <c r="W347" s="53"/>
      <c r="X347" s="397"/>
      <c r="Y347" s="397"/>
      <c r="Z347" s="400"/>
      <c r="AA347" s="55">
        <v>0</v>
      </c>
      <c r="AB347" s="41">
        <v>0</v>
      </c>
      <c r="AC347" s="41">
        <v>0</v>
      </c>
      <c r="AD347" s="41">
        <f t="shared" si="684"/>
        <v>0</v>
      </c>
      <c r="AE347" s="41">
        <f t="shared" si="685"/>
        <v>0</v>
      </c>
      <c r="AF347" s="41">
        <f t="shared" si="686"/>
        <v>0</v>
      </c>
      <c r="AG347" s="31"/>
      <c r="AH347" s="419"/>
      <c r="AI347" s="22" t="s">
        <v>291</v>
      </c>
      <c r="AJ347" s="1" t="s">
        <v>40</v>
      </c>
      <c r="AK347" s="195" t="s">
        <v>675</v>
      </c>
      <c r="AL347" s="299">
        <v>0</v>
      </c>
      <c r="AM347" s="299">
        <f t="shared" si="687"/>
        <v>0</v>
      </c>
      <c r="AN347" s="300">
        <f t="shared" si="688"/>
        <v>0</v>
      </c>
    </row>
    <row r="348" spans="1:42" ht="15.75" hidden="1" customHeight="1" outlineLevel="1" x14ac:dyDescent="0.2">
      <c r="A348" s="79" t="s">
        <v>1073</v>
      </c>
      <c r="B348" s="161" t="s">
        <v>1074</v>
      </c>
      <c r="C348" s="79" t="s">
        <v>1</v>
      </c>
      <c r="D348" s="1" t="s">
        <v>675</v>
      </c>
      <c r="E348" s="47">
        <f>ROUND(SUMIF('Target Achieved- Input'!$B$278:$B$370,'Incentive Report- Output'!B348,'Target Achieved- Input'!$G$278:$G$370),0)</f>
        <v>0</v>
      </c>
      <c r="F348" s="47">
        <f>ROUND(SUMIF('Target Achieved- Input'!$B$278:$B$370,'Incentive Report- Output'!B348,'Target Achieved- Input'!$H$278:$H$370),0)</f>
        <v>0</v>
      </c>
      <c r="G348" s="47">
        <f>SUMIF('Target Achieved- Input'!$L$278:$L$370,'Incentive Report- Output'!B348,'Target Achieved- Input'!$O$278:$O$370)</f>
        <v>0</v>
      </c>
      <c r="H348" s="39">
        <f>SUMIF('Target Achieved- Input'!$S$278:$S$370,'Incentive Report- Output'!B348,'Target Achieved- Input'!$V$278:$V$370)</f>
        <v>0</v>
      </c>
      <c r="I348" s="48">
        <f>SUMIF('Target Achieved- Input'!$L$278:$L$370,'Incentive Report- Output'!B348,'Target Achieved- Input'!$AC$278:$AC$370)</f>
        <v>0</v>
      </c>
      <c r="J348" s="39">
        <f t="shared" si="679"/>
        <v>0</v>
      </c>
      <c r="K348" s="40">
        <f t="shared" si="680"/>
        <v>0</v>
      </c>
      <c r="L348" s="41">
        <f t="shared" si="681"/>
        <v>0</v>
      </c>
      <c r="M348" s="41">
        <f>SUMIF('Target Achieved- Input'!$L$278:$L$370,'Incentive Report- Output'!B348,'Target Achieved- Input'!$M$278:$M$370)</f>
        <v>0</v>
      </c>
      <c r="N348" s="41">
        <f>SUMIF('Target Achieved- Input'!$S$278:$S$370,'Incentive Report- Output'!B348,'Target Achieved- Input'!$U$278:$U$370)</f>
        <v>0</v>
      </c>
      <c r="O348" s="41">
        <f>SUMIF('Target Achieved- Input'!$L$278:$L$370,'Incentive Report- Output'!B348,'Target Achieved- Input'!$N$278:$N$370)-N348</f>
        <v>0</v>
      </c>
      <c r="P348" s="40">
        <f t="shared" si="682"/>
        <v>0</v>
      </c>
      <c r="Q348" s="40">
        <f t="shared" si="683"/>
        <v>0</v>
      </c>
      <c r="R348" s="40">
        <v>0</v>
      </c>
      <c r="S348" s="49">
        <f>(LOOKUP(Q348,Policy!$L$12:$M$16)+R348)*O348</f>
        <v>0</v>
      </c>
      <c r="T348" s="185"/>
      <c r="U348" s="156"/>
      <c r="V348" s="51"/>
      <c r="W348" s="156"/>
      <c r="X348" s="397"/>
      <c r="Y348" s="397"/>
      <c r="Z348" s="400"/>
      <c r="AA348" s="55">
        <v>0</v>
      </c>
      <c r="AB348" s="41">
        <v>0</v>
      </c>
      <c r="AC348" s="41">
        <v>0</v>
      </c>
      <c r="AD348" s="41">
        <f t="shared" si="684"/>
        <v>0</v>
      </c>
      <c r="AE348" s="41">
        <f t="shared" si="685"/>
        <v>0</v>
      </c>
      <c r="AF348" s="41">
        <f t="shared" si="686"/>
        <v>0</v>
      </c>
      <c r="AG348" s="31"/>
      <c r="AH348" s="419"/>
      <c r="AI348" s="22" t="s">
        <v>1073</v>
      </c>
      <c r="AJ348" s="19" t="s">
        <v>1074</v>
      </c>
      <c r="AK348" s="195" t="s">
        <v>675</v>
      </c>
      <c r="AL348" s="299">
        <v>0</v>
      </c>
      <c r="AM348" s="299">
        <f t="shared" si="687"/>
        <v>0</v>
      </c>
      <c r="AN348" s="300">
        <f t="shared" si="688"/>
        <v>0</v>
      </c>
    </row>
    <row r="349" spans="1:42" ht="15.75" hidden="1" customHeight="1" outlineLevel="1" x14ac:dyDescent="0.2">
      <c r="A349" s="79" t="s">
        <v>925</v>
      </c>
      <c r="B349" s="112" t="s">
        <v>764</v>
      </c>
      <c r="C349" s="79" t="s">
        <v>1</v>
      </c>
      <c r="D349" s="1" t="s">
        <v>675</v>
      </c>
      <c r="E349" s="47">
        <f>ROUND(SUMIF('Target Achieved- Input'!$B$278:$B$370,'Incentive Report- Output'!B349,'Target Achieved- Input'!$G$278:$G$370),0)</f>
        <v>60</v>
      </c>
      <c r="F349" s="47">
        <f>ROUND(SUMIF('Target Achieved- Input'!$B$278:$B$370,'Incentive Report- Output'!B349,'Target Achieved- Input'!$H$278:$H$370),0)</f>
        <v>78</v>
      </c>
      <c r="G349" s="47">
        <f>SUMIF('Target Achieved- Input'!$L$278:$L$370,'Incentive Report- Output'!B349,'Target Achieved- Input'!$O$278:$O$370)</f>
        <v>39</v>
      </c>
      <c r="H349" s="39">
        <f>SUMIF('Target Achieved- Input'!$S$278:$S$370,'Incentive Report- Output'!B349,'Target Achieved- Input'!$V$278:$V$370)</f>
        <v>10</v>
      </c>
      <c r="I349" s="48">
        <f>SUMIF('Target Achieved- Input'!$L$278:$L$370,'Incentive Report- Output'!B349,'Target Achieved- Input'!$AC$278:$AC$370)</f>
        <v>0</v>
      </c>
      <c r="J349" s="39">
        <f t="shared" si="679"/>
        <v>29</v>
      </c>
      <c r="K349" s="40">
        <f t="shared" si="680"/>
        <v>0.48333333333333334</v>
      </c>
      <c r="L349" s="41">
        <f t="shared" si="681"/>
        <v>1980000</v>
      </c>
      <c r="M349" s="41">
        <f>SUMIF('Target Achieved- Input'!$L$278:$L$370,'Incentive Report- Output'!B349,'Target Achieved- Input'!$M$278:$M$370)</f>
        <v>1673611</v>
      </c>
      <c r="N349" s="41">
        <f>SUMIF('Target Achieved- Input'!$S$278:$S$370,'Incentive Report- Output'!B349,'Target Achieved- Input'!$U$278:$U$370)</f>
        <v>327322.03380000003</v>
      </c>
      <c r="O349" s="41">
        <f>SUMIF('Target Achieved- Input'!$L$278:$L$370,'Incentive Report- Output'!B349,'Target Achieved- Input'!$N$278:$N$370)-N349</f>
        <v>1090992.3728999998</v>
      </c>
      <c r="P349" s="40">
        <f t="shared" si="682"/>
        <v>0.55100624893939387</v>
      </c>
      <c r="Q349" s="40">
        <f t="shared" si="683"/>
        <v>0.55100624893939387</v>
      </c>
      <c r="R349" s="40">
        <v>0</v>
      </c>
      <c r="S349" s="49">
        <f>(LOOKUP(Q349,Policy!$L$12:$M$16)+R349)*O349</f>
        <v>5454.9618644999991</v>
      </c>
      <c r="T349" s="185"/>
      <c r="U349" s="156"/>
      <c r="V349" s="51"/>
      <c r="W349" s="156"/>
      <c r="X349" s="397"/>
      <c r="Y349" s="397"/>
      <c r="Z349" s="400"/>
      <c r="AA349" s="55">
        <v>0</v>
      </c>
      <c r="AB349" s="41">
        <v>0</v>
      </c>
      <c r="AC349" s="41">
        <v>0</v>
      </c>
      <c r="AD349" s="41">
        <f t="shared" si="684"/>
        <v>0</v>
      </c>
      <c r="AE349" s="41">
        <f t="shared" si="685"/>
        <v>5454.9618644999991</v>
      </c>
      <c r="AF349" s="41">
        <f t="shared" si="686"/>
        <v>5454.9618644999991</v>
      </c>
      <c r="AG349" s="31"/>
      <c r="AH349" s="419"/>
      <c r="AI349" s="22" t="s">
        <v>925</v>
      </c>
      <c r="AJ349" s="1" t="s">
        <v>764</v>
      </c>
      <c r="AK349" s="195" t="s">
        <v>675</v>
      </c>
      <c r="AL349" s="299">
        <v>7091.5720334999996</v>
      </c>
      <c r="AM349" s="299">
        <f t="shared" si="687"/>
        <v>5454.9618644999991</v>
      </c>
      <c r="AN349" s="300">
        <f t="shared" si="688"/>
        <v>1636.6101690000005</v>
      </c>
      <c r="AP349" s="172"/>
    </row>
    <row r="350" spans="1:42" ht="15.75" hidden="1" customHeight="1" outlineLevel="1" x14ac:dyDescent="0.2">
      <c r="A350" s="79" t="s">
        <v>928</v>
      </c>
      <c r="B350" s="112" t="s">
        <v>759</v>
      </c>
      <c r="C350" s="79" t="s">
        <v>1</v>
      </c>
      <c r="D350" s="1" t="s">
        <v>675</v>
      </c>
      <c r="E350" s="47">
        <f>ROUND(SUMIF('Target Achieved- Input'!$B$278:$B$370,'Incentive Report- Output'!B350,'Target Achieved- Input'!$G$278:$G$370),0)</f>
        <v>50</v>
      </c>
      <c r="F350" s="47">
        <f>ROUND(SUMIF('Target Achieved- Input'!$B$278:$B$370,'Incentive Report- Output'!B350,'Target Achieved- Input'!$H$278:$H$370),0)</f>
        <v>65</v>
      </c>
      <c r="G350" s="47">
        <f>SUMIF('Target Achieved- Input'!$L$278:$L$370,'Incentive Report- Output'!B350,'Target Achieved- Input'!$O$278:$O$370)</f>
        <v>4</v>
      </c>
      <c r="H350" s="39">
        <f>SUMIF('Target Achieved- Input'!$S$278:$S$370,'Incentive Report- Output'!B350,'Target Achieved- Input'!$V$278:$V$370)</f>
        <v>4</v>
      </c>
      <c r="I350" s="48">
        <f>SUMIF('Target Achieved- Input'!$L$278:$L$370,'Incentive Report- Output'!B350,'Target Achieved- Input'!$AC$278:$AC$370)</f>
        <v>0</v>
      </c>
      <c r="J350" s="39">
        <f t="shared" si="679"/>
        <v>0</v>
      </c>
      <c r="K350" s="40">
        <f t="shared" si="680"/>
        <v>0</v>
      </c>
      <c r="L350" s="41">
        <f t="shared" si="681"/>
        <v>1650000</v>
      </c>
      <c r="M350" s="41">
        <f>SUMIF('Target Achieved- Input'!$L$278:$L$370,'Incentive Report- Output'!B350,'Target Achieved- Input'!$M$278:$M$370)</f>
        <v>210346</v>
      </c>
      <c r="N350" s="41">
        <f>SUMIF('Target Achieved- Input'!$S$278:$S$370,'Incentive Report- Output'!B350,'Target Achieved- Input'!$U$278:$U$370)</f>
        <v>178259.32209999999</v>
      </c>
      <c r="O350" s="41">
        <f>SUMIF('Target Achieved- Input'!$L$278:$L$370,'Incentive Report- Output'!B350,'Target Achieved- Input'!$N$278:$N$370)-N350</f>
        <v>0</v>
      </c>
      <c r="P350" s="40">
        <f t="shared" si="682"/>
        <v>0</v>
      </c>
      <c r="Q350" s="40">
        <f t="shared" si="683"/>
        <v>0</v>
      </c>
      <c r="R350" s="40">
        <v>0</v>
      </c>
      <c r="S350" s="49">
        <f>(LOOKUP(Q350,Policy!$L$12:$M$16)+R350)*O350</f>
        <v>0</v>
      </c>
      <c r="T350" s="185"/>
      <c r="U350" s="156"/>
      <c r="V350" s="51"/>
      <c r="W350" s="156"/>
      <c r="X350" s="397"/>
      <c r="Y350" s="397"/>
      <c r="Z350" s="400"/>
      <c r="AA350" s="55">
        <v>0</v>
      </c>
      <c r="AB350" s="41">
        <v>0</v>
      </c>
      <c r="AC350" s="41">
        <v>0</v>
      </c>
      <c r="AD350" s="41">
        <f t="shared" si="684"/>
        <v>0</v>
      </c>
      <c r="AE350" s="41">
        <f t="shared" si="685"/>
        <v>0</v>
      </c>
      <c r="AF350" s="41">
        <f t="shared" si="686"/>
        <v>0</v>
      </c>
      <c r="AG350" s="31"/>
      <c r="AH350" s="419"/>
      <c r="AI350" s="22" t="s">
        <v>928</v>
      </c>
      <c r="AJ350" s="1" t="s">
        <v>759</v>
      </c>
      <c r="AK350" s="195" t="s">
        <v>675</v>
      </c>
      <c r="AL350" s="299">
        <v>0</v>
      </c>
      <c r="AM350" s="299">
        <f t="shared" si="687"/>
        <v>0</v>
      </c>
      <c r="AN350" s="300">
        <f t="shared" si="688"/>
        <v>0</v>
      </c>
      <c r="AP350" s="172"/>
    </row>
    <row r="351" spans="1:42" ht="15.75" hidden="1" customHeight="1" outlineLevel="1" x14ac:dyDescent="0.2">
      <c r="A351" s="79" t="s">
        <v>2524</v>
      </c>
      <c r="B351" s="112" t="s">
        <v>2523</v>
      </c>
      <c r="C351" s="79" t="s">
        <v>1</v>
      </c>
      <c r="D351" s="1" t="s">
        <v>675</v>
      </c>
      <c r="E351" s="47">
        <f>ROUND(SUMIF('Target Achieved- Input'!$B$278:$B$370,'Incentive Report- Output'!B351,'Target Achieved- Input'!$G$278:$G$370),0)</f>
        <v>35</v>
      </c>
      <c r="F351" s="47">
        <f>ROUND(SUMIF('Target Achieved- Input'!$B$278:$B$370,'Incentive Report- Output'!B351,'Target Achieved- Input'!$H$278:$H$370),0)</f>
        <v>46</v>
      </c>
      <c r="G351" s="47">
        <f>SUMIF('Target Achieved- Input'!$L$278:$L$370,'Incentive Report- Output'!B351,'Target Achieved- Input'!$O$278:$O$370)</f>
        <v>27</v>
      </c>
      <c r="H351" s="39">
        <f>SUMIF('Target Achieved- Input'!$S$278:$S$370,'Incentive Report- Output'!B351,'Target Achieved- Input'!$V$278:$V$370)</f>
        <v>0</v>
      </c>
      <c r="I351" s="48">
        <f>SUMIF('Target Achieved- Input'!$L$278:$L$370,'Incentive Report- Output'!B351,'Target Achieved- Input'!$AC$278:$AC$370)</f>
        <v>0</v>
      </c>
      <c r="J351" s="39">
        <f t="shared" si="679"/>
        <v>27</v>
      </c>
      <c r="K351" s="40">
        <f t="shared" si="680"/>
        <v>0.77142857142857146</v>
      </c>
      <c r="L351" s="41">
        <f t="shared" si="681"/>
        <v>1155000</v>
      </c>
      <c r="M351" s="41">
        <f>SUMIF('Target Achieved- Input'!$L$278:$L$370,'Incentive Report- Output'!B351,'Target Achieved- Input'!$M$278:$M$370)</f>
        <v>1198323</v>
      </c>
      <c r="N351" s="41">
        <f>SUMIF('Target Achieved- Input'!$S$278:$S$370,'Incentive Report- Output'!B351,'Target Achieved- Input'!$U$278:$U$370)</f>
        <v>0</v>
      </c>
      <c r="O351" s="41">
        <f>SUMIF('Target Achieved- Input'!$L$278:$L$370,'Incentive Report- Output'!B351,'Target Achieved- Input'!$N$278:$N$370)-N351</f>
        <v>1015527.9662</v>
      </c>
      <c r="P351" s="40">
        <f t="shared" si="682"/>
        <v>0.87924499238095244</v>
      </c>
      <c r="Q351" s="40">
        <f t="shared" si="683"/>
        <v>0.87924499238095244</v>
      </c>
      <c r="R351" s="40">
        <v>0</v>
      </c>
      <c r="S351" s="49">
        <f>(LOOKUP(Q351,Policy!$L$12:$M$16)+R351)*O351</f>
        <v>10155.279662000001</v>
      </c>
      <c r="T351" s="185"/>
      <c r="U351" s="156"/>
      <c r="V351" s="51"/>
      <c r="W351" s="156"/>
      <c r="X351" s="397"/>
      <c r="Y351" s="397"/>
      <c r="Z351" s="400"/>
      <c r="AA351" s="55">
        <v>0</v>
      </c>
      <c r="AB351" s="41">
        <v>0</v>
      </c>
      <c r="AC351" s="41">
        <v>0</v>
      </c>
      <c r="AD351" s="41">
        <f t="shared" ref="AD351" si="689">IF(AF351&gt;200000,AF351-200000,0)</f>
        <v>0</v>
      </c>
      <c r="AE351" s="41">
        <f t="shared" ref="AE351" si="690">AF351-AD351</f>
        <v>10155.279662000001</v>
      </c>
      <c r="AF351" s="41">
        <f t="shared" si="686"/>
        <v>10155.279662000001</v>
      </c>
      <c r="AG351" s="31"/>
      <c r="AH351" s="419"/>
      <c r="AI351" s="22" t="s">
        <v>2524</v>
      </c>
      <c r="AJ351" s="1" t="s">
        <v>2523</v>
      </c>
      <c r="AK351" s="195" t="s">
        <v>675</v>
      </c>
      <c r="AL351" s="299">
        <v>10155.279662000001</v>
      </c>
      <c r="AM351" s="299">
        <f t="shared" si="687"/>
        <v>10155.279662000001</v>
      </c>
      <c r="AN351" s="300">
        <f t="shared" si="688"/>
        <v>0</v>
      </c>
      <c r="AP351" s="172"/>
    </row>
    <row r="352" spans="1:42" ht="15.75" hidden="1" customHeight="1" outlineLevel="1" x14ac:dyDescent="0.2">
      <c r="A352" s="79" t="s">
        <v>1040</v>
      </c>
      <c r="B352" s="112" t="s">
        <v>1043</v>
      </c>
      <c r="C352" s="79" t="s">
        <v>1</v>
      </c>
      <c r="D352" s="1" t="s">
        <v>675</v>
      </c>
      <c r="E352" s="47">
        <f>ROUND(SUMIF('Target Achieved- Input'!$B$278:$B$370,'Incentive Report- Output'!B352,'Target Achieved- Input'!$G$278:$G$370),0)</f>
        <v>50</v>
      </c>
      <c r="F352" s="47">
        <f>ROUND(SUMIF('Target Achieved- Input'!$B$278:$B$370,'Incentive Report- Output'!B352,'Target Achieved- Input'!$H$278:$H$370),0)</f>
        <v>65</v>
      </c>
      <c r="G352" s="47">
        <f>SUMIF('Target Achieved- Input'!$L$278:$L$370,'Incentive Report- Output'!B352,'Target Achieved- Input'!$O$278:$O$370)</f>
        <v>17</v>
      </c>
      <c r="H352" s="39">
        <f>SUMIF('Target Achieved- Input'!$S$278:$S$370,'Incentive Report- Output'!B352,'Target Achieved- Input'!$V$278:$V$370)</f>
        <v>4</v>
      </c>
      <c r="I352" s="48">
        <f>SUMIF('Target Achieved- Input'!$L$278:$L$370,'Incentive Report- Output'!B352,'Target Achieved- Input'!$AC$278:$AC$370)</f>
        <v>1</v>
      </c>
      <c r="J352" s="39">
        <f t="shared" si="679"/>
        <v>13</v>
      </c>
      <c r="K352" s="40">
        <f t="shared" si="680"/>
        <v>0.26</v>
      </c>
      <c r="L352" s="41">
        <f t="shared" si="681"/>
        <v>1650000</v>
      </c>
      <c r="M352" s="41">
        <f>SUMIF('Target Achieved- Input'!$L$278:$L$370,'Incentive Report- Output'!B352,'Target Achieved- Input'!$M$278:$M$370)</f>
        <v>789233</v>
      </c>
      <c r="N352" s="41">
        <f>SUMIF('Target Achieved- Input'!$S$278:$S$370,'Incentive Report- Output'!B352,'Target Achieved- Input'!$U$278:$U$370)</f>
        <v>144064.4068</v>
      </c>
      <c r="O352" s="41">
        <f>SUMIF('Target Achieved- Input'!$L$278:$L$370,'Incentive Report- Output'!B352,'Target Achieved- Input'!$N$278:$N$370)-N352</f>
        <v>524777.11871000007</v>
      </c>
      <c r="P352" s="40">
        <f t="shared" si="682"/>
        <v>0.31804673861212124</v>
      </c>
      <c r="Q352" s="40">
        <f t="shared" si="683"/>
        <v>0.31804673861212124</v>
      </c>
      <c r="R352" s="40">
        <v>0</v>
      </c>
      <c r="S352" s="49">
        <f>(LOOKUP(Q352,Policy!$L$12:$M$16)+R352)*O352</f>
        <v>0</v>
      </c>
      <c r="T352" s="185"/>
      <c r="U352" s="156"/>
      <c r="V352" s="51"/>
      <c r="W352" s="156"/>
      <c r="X352" s="398"/>
      <c r="Y352" s="398"/>
      <c r="Z352" s="401"/>
      <c r="AA352" s="55">
        <v>0</v>
      </c>
      <c r="AB352" s="41">
        <v>0</v>
      </c>
      <c r="AC352" s="41">
        <v>0</v>
      </c>
      <c r="AD352" s="41">
        <f t="shared" si="684"/>
        <v>0</v>
      </c>
      <c r="AE352" s="41">
        <f t="shared" si="685"/>
        <v>0</v>
      </c>
      <c r="AF352" s="41">
        <f t="shared" si="686"/>
        <v>0</v>
      </c>
      <c r="AG352" s="31"/>
      <c r="AH352" s="419"/>
      <c r="AI352" s="22" t="s">
        <v>1040</v>
      </c>
      <c r="AJ352" s="1" t="s">
        <v>1043</v>
      </c>
      <c r="AK352" s="195" t="s">
        <v>675</v>
      </c>
      <c r="AL352" s="299">
        <v>0</v>
      </c>
      <c r="AM352" s="299">
        <f t="shared" si="687"/>
        <v>0</v>
      </c>
      <c r="AN352" s="300">
        <f t="shared" si="688"/>
        <v>0</v>
      </c>
    </row>
    <row r="353" spans="1:40" ht="15.75" hidden="1" customHeight="1" outlineLevel="1" x14ac:dyDescent="0.2">
      <c r="A353" s="109" t="s">
        <v>6</v>
      </c>
      <c r="B353" s="109"/>
      <c r="C353" s="109"/>
      <c r="D353" s="292" t="s">
        <v>675</v>
      </c>
      <c r="E353" s="44">
        <f>SUM(E345:E352)</f>
        <v>325</v>
      </c>
      <c r="F353" s="44">
        <f t="shared" ref="F353:J353" si="691">SUM(F345:F352)</f>
        <v>423</v>
      </c>
      <c r="G353" s="44">
        <f t="shared" si="691"/>
        <v>170</v>
      </c>
      <c r="H353" s="44">
        <f t="shared" si="691"/>
        <v>21</v>
      </c>
      <c r="I353" s="44">
        <f t="shared" si="691"/>
        <v>2</v>
      </c>
      <c r="J353" s="44">
        <f t="shared" si="691"/>
        <v>149</v>
      </c>
      <c r="K353" s="44"/>
      <c r="L353" s="44">
        <f t="shared" ref="L353:O353" si="692">SUM(L345:L352)</f>
        <v>10725000</v>
      </c>
      <c r="M353" s="44">
        <f t="shared" si="692"/>
        <v>8034580</v>
      </c>
      <c r="N353" s="44">
        <f t="shared" si="692"/>
        <v>776465.25430000003</v>
      </c>
      <c r="O353" s="44">
        <f t="shared" si="692"/>
        <v>6032500.8483199999</v>
      </c>
      <c r="P353" s="45"/>
      <c r="Q353" s="46"/>
      <c r="R353" s="46"/>
      <c r="S353" s="44">
        <f t="shared" ref="S353:AF353" si="693">SUM(S345:S352)</f>
        <v>77726.800859799987</v>
      </c>
      <c r="T353" s="44">
        <f t="shared" si="693"/>
        <v>0</v>
      </c>
      <c r="U353" s="44">
        <f t="shared" si="693"/>
        <v>0</v>
      </c>
      <c r="V353" s="44">
        <f t="shared" si="693"/>
        <v>0</v>
      </c>
      <c r="W353" s="44">
        <f t="shared" si="693"/>
        <v>0</v>
      </c>
      <c r="X353" s="44">
        <f t="shared" si="693"/>
        <v>325</v>
      </c>
      <c r="Y353" s="44">
        <f t="shared" si="693"/>
        <v>149</v>
      </c>
      <c r="Z353" s="44">
        <f t="shared" si="693"/>
        <v>0.45846153846153848</v>
      </c>
      <c r="AA353" s="44">
        <f t="shared" si="693"/>
        <v>0</v>
      </c>
      <c r="AB353" s="44">
        <f t="shared" si="693"/>
        <v>0</v>
      </c>
      <c r="AC353" s="44">
        <f t="shared" si="693"/>
        <v>0</v>
      </c>
      <c r="AD353" s="44">
        <f t="shared" si="693"/>
        <v>0</v>
      </c>
      <c r="AE353" s="44">
        <f t="shared" si="693"/>
        <v>77726.800859799987</v>
      </c>
      <c r="AF353" s="44">
        <f t="shared" si="693"/>
        <v>77726.800859799987</v>
      </c>
      <c r="AG353" s="31"/>
      <c r="AH353" s="419"/>
      <c r="AI353" s="43" t="s">
        <v>6</v>
      </c>
      <c r="AJ353" s="43"/>
      <c r="AK353" s="43" t="s">
        <v>675</v>
      </c>
      <c r="AL353" s="308">
        <v>79709.377130799985</v>
      </c>
      <c r="AM353" s="308">
        <f>SUM(AM345:AM352)</f>
        <v>77726.800859799987</v>
      </c>
      <c r="AN353" s="308">
        <f>SUM(AN345:AN352)</f>
        <v>1982.5762710000008</v>
      </c>
    </row>
    <row r="354" spans="1:40" ht="15.75" hidden="1" customHeight="1" outlineLevel="1" x14ac:dyDescent="0.2">
      <c r="A354" s="79" t="s">
        <v>41</v>
      </c>
      <c r="B354" s="112" t="s">
        <v>42</v>
      </c>
      <c r="C354" s="79" t="s">
        <v>0</v>
      </c>
      <c r="D354" s="1" t="s">
        <v>931</v>
      </c>
      <c r="E354" s="47">
        <f>ROUND(SUMIF('Target Achieved- Input'!$B$278:$B$370,'Incentive Report- Output'!B354,'Target Achieved- Input'!$G$278:$G$370),0)</f>
        <v>55</v>
      </c>
      <c r="F354" s="47">
        <f>ROUND(SUMIF('Target Achieved- Input'!$B$278:$B$370,'Incentive Report- Output'!B354,'Target Achieved- Input'!$H$278:$H$370),0)</f>
        <v>72</v>
      </c>
      <c r="G354" s="47">
        <f>SUMIF('Target Achieved- Input'!$L$278:$L$370,'Incentive Report- Output'!B354,'Target Achieved- Input'!$O$278:$O$370)</f>
        <v>51</v>
      </c>
      <c r="H354" s="39">
        <f>SUMIF('Target Achieved- Input'!$S$278:$S$370,'Incentive Report- Output'!B354,'Target Achieved- Input'!$V$278:$V$370)</f>
        <v>17</v>
      </c>
      <c r="I354" s="48">
        <f>SUMIF('Target Achieved- Input'!$L$278:$L$370,'Incentive Report- Output'!B354,'Target Achieved- Input'!$AC$278:$AC$370)</f>
        <v>0</v>
      </c>
      <c r="J354" s="39">
        <f t="shared" ref="J354:J361" si="694">G354-H354</f>
        <v>34</v>
      </c>
      <c r="K354" s="40">
        <f t="shared" ref="K354:K361" si="695">IFERROR(J354/E354,0)</f>
        <v>0.61818181818181817</v>
      </c>
      <c r="L354" s="41">
        <f t="shared" ref="L354:L361" si="696">E354*33000</f>
        <v>1815000</v>
      </c>
      <c r="M354" s="41">
        <f>SUMIF('Target Achieved- Input'!$L$278:$L$370,'Incentive Report- Output'!B354,'Target Achieved- Input'!$M$278:$M$370)</f>
        <v>2262799</v>
      </c>
      <c r="N354" s="41">
        <f>SUMIF('Target Achieved- Input'!$S$278:$S$370,'Incentive Report- Output'!B354,'Target Achieved- Input'!$U$278:$U$370)</f>
        <v>645155.0845</v>
      </c>
      <c r="O354" s="41">
        <f>SUMIF('Target Achieved- Input'!$L$278:$L$370,'Incentive Report- Output'!B354,'Target Achieved- Input'!$N$278:$N$370)-N354</f>
        <v>1272471.1866999995</v>
      </c>
      <c r="P354" s="40">
        <f t="shared" ref="P354:P361" si="697">IFERROR(O354/L354,0)</f>
        <v>0.70108605327823659</v>
      </c>
      <c r="Q354" s="40">
        <f t="shared" ref="Q354:Q361" si="698">MAX(P354,K354)</f>
        <v>0.70108605327823659</v>
      </c>
      <c r="R354" s="40">
        <v>0</v>
      </c>
      <c r="S354" s="49">
        <f>(LOOKUP(Q354,Policy!$L$12:$M$16)+R354)*O354</f>
        <v>6362.3559334999973</v>
      </c>
      <c r="T354" s="191"/>
      <c r="U354" s="192"/>
      <c r="V354" s="144"/>
      <c r="W354" s="192"/>
      <c r="X354" s="402"/>
      <c r="Y354" s="402"/>
      <c r="Z354" s="402"/>
      <c r="AA354" s="52">
        <v>0</v>
      </c>
      <c r="AB354" s="52">
        <v>0</v>
      </c>
      <c r="AC354" s="52">
        <v>0</v>
      </c>
      <c r="AD354" s="41">
        <f t="shared" ref="AD354:AD361" si="699">IF(AF354&gt;200000,AF354-200000,0)</f>
        <v>0</v>
      </c>
      <c r="AE354" s="41">
        <f t="shared" ref="AE354:AE361" si="700">AF354-AD354</f>
        <v>6362.3559334999973</v>
      </c>
      <c r="AF354" s="41">
        <f t="shared" ref="AF354:AF361" si="701">S354+W354+AB354+AC354</f>
        <v>6362.3559334999973</v>
      </c>
      <c r="AG354" s="31"/>
      <c r="AH354" s="419"/>
      <c r="AI354" s="22" t="s">
        <v>41</v>
      </c>
      <c r="AJ354" s="1" t="s">
        <v>42</v>
      </c>
      <c r="AK354" s="195" t="s">
        <v>931</v>
      </c>
      <c r="AL354" s="299">
        <v>43146.591101999984</v>
      </c>
      <c r="AM354" s="299">
        <f t="shared" ref="AM354:AM361" si="702">AF354</f>
        <v>6362.3559334999973</v>
      </c>
      <c r="AN354" s="300">
        <f t="shared" ref="AN354:AN361" si="703">AL354-AM354</f>
        <v>36784.235168499989</v>
      </c>
    </row>
    <row r="355" spans="1:40" ht="15.75" hidden="1" customHeight="1" outlineLevel="1" x14ac:dyDescent="0.2">
      <c r="A355" s="79" t="s">
        <v>1041</v>
      </c>
      <c r="B355" s="112" t="s">
        <v>1042</v>
      </c>
      <c r="C355" s="79" t="s">
        <v>1</v>
      </c>
      <c r="D355" s="1" t="s">
        <v>931</v>
      </c>
      <c r="E355" s="47">
        <f>ROUND(SUMIF('Target Achieved- Input'!$B$278:$B$370,'Incentive Report- Output'!B355,'Target Achieved- Input'!$G$278:$G$370),0)</f>
        <v>0</v>
      </c>
      <c r="F355" s="47">
        <f>ROUND(SUMIF('Target Achieved- Input'!$B$278:$B$370,'Incentive Report- Output'!B355,'Target Achieved- Input'!$H$278:$H$370),0)</f>
        <v>0</v>
      </c>
      <c r="G355" s="47">
        <f>SUMIF('Target Achieved- Input'!$L$278:$L$370,'Incentive Report- Output'!B355,'Target Achieved- Input'!$O$278:$O$370)</f>
        <v>0</v>
      </c>
      <c r="H355" s="39">
        <f>SUMIF('Target Achieved- Input'!$S$278:$S$370,'Incentive Report- Output'!B355,'Target Achieved- Input'!$V$278:$V$370)</f>
        <v>0</v>
      </c>
      <c r="I355" s="48">
        <f>SUMIF('Target Achieved- Input'!$L$278:$L$370,'Incentive Report- Output'!B355,'Target Achieved- Input'!$AC$278:$AC$370)</f>
        <v>0</v>
      </c>
      <c r="J355" s="39">
        <f t="shared" si="694"/>
        <v>0</v>
      </c>
      <c r="K355" s="40">
        <f t="shared" si="695"/>
        <v>0</v>
      </c>
      <c r="L355" s="41">
        <f t="shared" si="696"/>
        <v>0</v>
      </c>
      <c r="M355" s="41">
        <f>SUMIF('Target Achieved- Input'!$L$278:$L$370,'Incentive Report- Output'!B355,'Target Achieved- Input'!$M$278:$M$370)</f>
        <v>0</v>
      </c>
      <c r="N355" s="41">
        <f>SUMIF('Target Achieved- Input'!$S$278:$S$370,'Incentive Report- Output'!B355,'Target Achieved- Input'!$U$278:$U$370)</f>
        <v>0</v>
      </c>
      <c r="O355" s="41">
        <f>SUMIF('Target Achieved- Input'!$L$278:$L$370,'Incentive Report- Output'!B355,'Target Achieved- Input'!$N$278:$N$370)-N355</f>
        <v>0</v>
      </c>
      <c r="P355" s="40">
        <f t="shared" si="697"/>
        <v>0</v>
      </c>
      <c r="Q355" s="40">
        <f t="shared" si="698"/>
        <v>0</v>
      </c>
      <c r="R355" s="40">
        <v>0</v>
      </c>
      <c r="S355" s="49">
        <f>(LOOKUP(Q355,Policy!$L$12:$M$16)+R355)*O355</f>
        <v>0</v>
      </c>
      <c r="T355" s="191"/>
      <c r="U355" s="192"/>
      <c r="V355" s="144"/>
      <c r="W355" s="192"/>
      <c r="X355" s="403"/>
      <c r="Y355" s="403"/>
      <c r="Z355" s="403"/>
      <c r="AA355" s="52">
        <v>0</v>
      </c>
      <c r="AB355" s="52">
        <v>0</v>
      </c>
      <c r="AC355" s="52">
        <v>0</v>
      </c>
      <c r="AD355" s="41">
        <f t="shared" si="699"/>
        <v>0</v>
      </c>
      <c r="AE355" s="41">
        <f t="shared" si="700"/>
        <v>0</v>
      </c>
      <c r="AF355" s="41">
        <f t="shared" si="701"/>
        <v>0</v>
      </c>
      <c r="AG355" s="31"/>
      <c r="AH355" s="419"/>
      <c r="AI355" s="22" t="s">
        <v>1041</v>
      </c>
      <c r="AJ355" s="1" t="s">
        <v>1042</v>
      </c>
      <c r="AK355" s="195" t="s">
        <v>931</v>
      </c>
      <c r="AL355" s="299">
        <v>0</v>
      </c>
      <c r="AM355" s="299">
        <f t="shared" si="702"/>
        <v>0</v>
      </c>
      <c r="AN355" s="300">
        <f t="shared" si="703"/>
        <v>0</v>
      </c>
    </row>
    <row r="356" spans="1:40" ht="15.75" hidden="1" customHeight="1" outlineLevel="1" x14ac:dyDescent="0.2">
      <c r="A356" s="79" t="s">
        <v>304</v>
      </c>
      <c r="B356" s="112" t="s">
        <v>306</v>
      </c>
      <c r="C356" s="79" t="s">
        <v>1</v>
      </c>
      <c r="D356" s="1" t="s">
        <v>931</v>
      </c>
      <c r="E356" s="47">
        <f>ROUND(SUMIF('Target Achieved- Input'!$B$278:$B$370,'Incentive Report- Output'!B356,'Target Achieved- Input'!$G$278:$G$370),0)</f>
        <v>0</v>
      </c>
      <c r="F356" s="47">
        <f>ROUND(SUMIF('Target Achieved- Input'!$B$278:$B$370,'Incentive Report- Output'!B356,'Target Achieved- Input'!$H$278:$H$370),0)</f>
        <v>0</v>
      </c>
      <c r="G356" s="47">
        <f>SUMIF('Target Achieved- Input'!$L$278:$L$370,'Incentive Report- Output'!B356,'Target Achieved- Input'!$O$278:$O$370)</f>
        <v>0</v>
      </c>
      <c r="H356" s="39">
        <f>SUMIF('Target Achieved- Input'!$S$278:$S$370,'Incentive Report- Output'!B356,'Target Achieved- Input'!$V$278:$V$370)</f>
        <v>0</v>
      </c>
      <c r="I356" s="48">
        <f>SUMIF('Target Achieved- Input'!$L$278:$L$370,'Incentive Report- Output'!B356,'Target Achieved- Input'!$AC$278:$AC$370)</f>
        <v>0</v>
      </c>
      <c r="J356" s="39">
        <f t="shared" si="694"/>
        <v>0</v>
      </c>
      <c r="K356" s="40">
        <f t="shared" si="695"/>
        <v>0</v>
      </c>
      <c r="L356" s="41">
        <f t="shared" si="696"/>
        <v>0</v>
      </c>
      <c r="M356" s="41">
        <f>SUMIF('Target Achieved- Input'!$L$278:$L$370,'Incentive Report- Output'!B356,'Target Achieved- Input'!$M$278:$M$370)</f>
        <v>0</v>
      </c>
      <c r="N356" s="41">
        <f>SUMIF('Target Achieved- Input'!$S$278:$S$370,'Incentive Report- Output'!B356,'Target Achieved- Input'!$U$278:$U$370)</f>
        <v>0</v>
      </c>
      <c r="O356" s="41">
        <f>SUMIF('Target Achieved- Input'!$L$278:$L$370,'Incentive Report- Output'!B356,'Target Achieved- Input'!$N$278:$N$370)-N356</f>
        <v>0</v>
      </c>
      <c r="P356" s="40">
        <f t="shared" si="697"/>
        <v>0</v>
      </c>
      <c r="Q356" s="40">
        <f t="shared" si="698"/>
        <v>0</v>
      </c>
      <c r="R356" s="40">
        <v>0</v>
      </c>
      <c r="S356" s="49">
        <f>(LOOKUP(Q356,Policy!$L$12:$M$16)+R356)*O356</f>
        <v>0</v>
      </c>
      <c r="T356" s="191"/>
      <c r="U356" s="192"/>
      <c r="V356" s="144"/>
      <c r="W356" s="192"/>
      <c r="X356" s="403"/>
      <c r="Y356" s="403"/>
      <c r="Z356" s="403"/>
      <c r="AA356" s="52">
        <v>0</v>
      </c>
      <c r="AB356" s="52">
        <v>0</v>
      </c>
      <c r="AC356" s="52">
        <v>0</v>
      </c>
      <c r="AD356" s="41">
        <f t="shared" si="699"/>
        <v>0</v>
      </c>
      <c r="AE356" s="41">
        <f t="shared" si="700"/>
        <v>0</v>
      </c>
      <c r="AF356" s="41">
        <f t="shared" si="701"/>
        <v>0</v>
      </c>
      <c r="AG356" s="31"/>
      <c r="AH356" s="419"/>
      <c r="AI356" s="22" t="s">
        <v>304</v>
      </c>
      <c r="AJ356" s="1" t="s">
        <v>306</v>
      </c>
      <c r="AK356" s="195" t="s">
        <v>931</v>
      </c>
      <c r="AL356" s="299">
        <v>0</v>
      </c>
      <c r="AM356" s="299">
        <f t="shared" si="702"/>
        <v>0</v>
      </c>
      <c r="AN356" s="300">
        <f t="shared" si="703"/>
        <v>0</v>
      </c>
    </row>
    <row r="357" spans="1:40" ht="15.75" hidden="1" customHeight="1" outlineLevel="1" x14ac:dyDescent="0.2">
      <c r="A357" s="79" t="s">
        <v>659</v>
      </c>
      <c r="B357" s="112" t="s">
        <v>660</v>
      </c>
      <c r="C357" s="79" t="s">
        <v>1</v>
      </c>
      <c r="D357" s="1" t="s">
        <v>931</v>
      </c>
      <c r="E357" s="47">
        <f>ROUND(SUMIF('Target Achieved- Input'!$B$278:$B$370,'Incentive Report- Output'!B357,'Target Achieved- Input'!$G$278:$G$370),0)</f>
        <v>50</v>
      </c>
      <c r="F357" s="47">
        <f>ROUND(SUMIF('Target Achieved- Input'!$B$278:$B$370,'Incentive Report- Output'!B357,'Target Achieved- Input'!$H$278:$H$370),0)</f>
        <v>65</v>
      </c>
      <c r="G357" s="47">
        <f>SUMIF('Target Achieved- Input'!$L$278:$L$370,'Incentive Report- Output'!B357,'Target Achieved- Input'!$O$278:$O$370)</f>
        <v>22</v>
      </c>
      <c r="H357" s="39">
        <f>SUMIF('Target Achieved- Input'!$S$278:$S$370,'Incentive Report- Output'!B357,'Target Achieved- Input'!$V$278:$V$370)</f>
        <v>7</v>
      </c>
      <c r="I357" s="48">
        <f>SUMIF('Target Achieved- Input'!$L$278:$L$370,'Incentive Report- Output'!B357,'Target Achieved- Input'!$AC$278:$AC$370)</f>
        <v>0</v>
      </c>
      <c r="J357" s="39">
        <f t="shared" si="694"/>
        <v>15</v>
      </c>
      <c r="K357" s="40">
        <f t="shared" si="695"/>
        <v>0.3</v>
      </c>
      <c r="L357" s="41">
        <f t="shared" si="696"/>
        <v>1650000</v>
      </c>
      <c r="M357" s="41">
        <f>SUMIF('Target Achieved- Input'!$L$278:$L$370,'Incentive Report- Output'!B357,'Target Achieved- Input'!$M$278:$M$370)</f>
        <v>1094478</v>
      </c>
      <c r="N357" s="41">
        <f>SUMIF('Target Achieved- Input'!$S$278:$S$370,'Incentive Report- Output'!B357,'Target Achieved- Input'!$U$278:$U$370)</f>
        <v>299443.22029999999</v>
      </c>
      <c r="O357" s="41">
        <f>SUMIF('Target Achieved- Input'!$L$278:$L$370,'Incentive Report- Output'!B357,'Target Achieved- Input'!$N$278:$N$370)-N357</f>
        <v>628080.50860000006</v>
      </c>
      <c r="P357" s="40">
        <f t="shared" si="697"/>
        <v>0.38065485369696972</v>
      </c>
      <c r="Q357" s="40">
        <f t="shared" si="698"/>
        <v>0.38065485369696972</v>
      </c>
      <c r="R357" s="40">
        <v>0</v>
      </c>
      <c r="S357" s="49">
        <f>(LOOKUP(Q357,Policy!$L$12:$M$16)+R357)*O357</f>
        <v>0</v>
      </c>
      <c r="T357" s="185"/>
      <c r="U357" s="156"/>
      <c r="V357" s="51"/>
      <c r="W357" s="156"/>
      <c r="X357" s="403"/>
      <c r="Y357" s="403"/>
      <c r="Z357" s="403"/>
      <c r="AA357" s="52">
        <v>0</v>
      </c>
      <c r="AB357" s="52">
        <v>0</v>
      </c>
      <c r="AC357" s="52">
        <v>0</v>
      </c>
      <c r="AD357" s="41">
        <f t="shared" si="699"/>
        <v>0</v>
      </c>
      <c r="AE357" s="41">
        <f t="shared" si="700"/>
        <v>0</v>
      </c>
      <c r="AF357" s="41">
        <f t="shared" si="701"/>
        <v>0</v>
      </c>
      <c r="AG357" s="31"/>
      <c r="AH357" s="419"/>
      <c r="AI357" s="22" t="s">
        <v>659</v>
      </c>
      <c r="AJ357" s="1" t="s">
        <v>660</v>
      </c>
      <c r="AK357" s="195" t="s">
        <v>931</v>
      </c>
      <c r="AL357" s="299">
        <v>4637.6186445000003</v>
      </c>
      <c r="AM357" s="299">
        <f t="shared" si="702"/>
        <v>0</v>
      </c>
      <c r="AN357" s="300">
        <f t="shared" si="703"/>
        <v>4637.6186445000003</v>
      </c>
    </row>
    <row r="358" spans="1:40" ht="15.75" hidden="1" customHeight="1" outlineLevel="1" x14ac:dyDescent="0.2">
      <c r="A358" s="79" t="s">
        <v>117</v>
      </c>
      <c r="B358" s="112" t="s">
        <v>196</v>
      </c>
      <c r="C358" s="79" t="s">
        <v>1185</v>
      </c>
      <c r="D358" s="1" t="s">
        <v>931</v>
      </c>
      <c r="E358" s="47">
        <f>ROUND(SUMIF('Target Achieved- Input'!$B$278:$B$370,'Incentive Report- Output'!B358,'Target Achieved- Input'!$G$278:$G$370),0)</f>
        <v>30</v>
      </c>
      <c r="F358" s="47">
        <f>ROUND(SUMIF('Target Achieved- Input'!$B$278:$B$370,'Incentive Report- Output'!B358,'Target Achieved- Input'!$H$278:$H$370),0)</f>
        <v>39</v>
      </c>
      <c r="G358" s="47">
        <f>SUMIF('Target Achieved- Input'!$L$278:$L$370,'Incentive Report- Output'!B358,'Target Achieved- Input'!$O$278:$O$370)</f>
        <v>41</v>
      </c>
      <c r="H358" s="39">
        <f>SUMIF('Target Achieved- Input'!$S$278:$S$370,'Incentive Report- Output'!B358,'Target Achieved- Input'!$V$278:$V$370)</f>
        <v>4</v>
      </c>
      <c r="I358" s="48">
        <f>SUMIF('Target Achieved- Input'!$L$278:$L$370,'Incentive Report- Output'!B358,'Target Achieved- Input'!$AC$278:$AC$370)</f>
        <v>0</v>
      </c>
      <c r="J358" s="39">
        <f t="shared" si="694"/>
        <v>37</v>
      </c>
      <c r="K358" s="40">
        <f t="shared" si="695"/>
        <v>1.2333333333333334</v>
      </c>
      <c r="L358" s="41">
        <f t="shared" si="696"/>
        <v>990000</v>
      </c>
      <c r="M358" s="41">
        <f>SUMIF('Target Achieved- Input'!$L$278:$L$370,'Incentive Report- Output'!B358,'Target Achieved- Input'!$M$278:$M$370)</f>
        <v>2083859</v>
      </c>
      <c r="N358" s="41">
        <f>SUMIF('Target Achieved- Input'!$S$278:$S$370,'Incentive Report- Output'!B358,'Target Achieved- Input'!$U$278:$U$370)</f>
        <v>117454.2372</v>
      </c>
      <c r="O358" s="41">
        <f>SUMIF('Target Achieved- Input'!$L$278:$L$370,'Incentive Report- Output'!B358,'Target Achieved- Input'!$N$278:$N$370)-N358</f>
        <v>1648527.966299999</v>
      </c>
      <c r="P358" s="40">
        <f t="shared" si="697"/>
        <v>1.665179763939393</v>
      </c>
      <c r="Q358" s="40">
        <f t="shared" si="698"/>
        <v>1.665179763939393</v>
      </c>
      <c r="R358" s="40">
        <v>0</v>
      </c>
      <c r="S358" s="49">
        <f>(LOOKUP(Q358,Policy!$L$12:$M$16)+R358)*O358</f>
        <v>49455.838988999967</v>
      </c>
      <c r="T358" s="191">
        <f>L356</f>
        <v>0</v>
      </c>
      <c r="U358" s="192">
        <f>O356</f>
        <v>0</v>
      </c>
      <c r="V358" s="51">
        <f>IFERROR(U358/T358,0)</f>
        <v>0</v>
      </c>
      <c r="W358" s="156">
        <f>LOOKUP(V358,Policy!$L$18:$M$21)*U358</f>
        <v>0</v>
      </c>
      <c r="X358" s="403"/>
      <c r="Y358" s="403"/>
      <c r="Z358" s="403"/>
      <c r="AA358" s="52">
        <v>0</v>
      </c>
      <c r="AB358" s="52">
        <v>0</v>
      </c>
      <c r="AC358" s="52">
        <v>0</v>
      </c>
      <c r="AD358" s="41">
        <f t="shared" si="699"/>
        <v>0</v>
      </c>
      <c r="AE358" s="41">
        <f t="shared" si="700"/>
        <v>49455.838988999967</v>
      </c>
      <c r="AF358" s="41">
        <f t="shared" si="701"/>
        <v>49455.838988999967</v>
      </c>
      <c r="AG358" s="31"/>
      <c r="AH358" s="419"/>
      <c r="AI358" s="22" t="s">
        <v>117</v>
      </c>
      <c r="AJ358" s="1" t="s">
        <v>196</v>
      </c>
      <c r="AK358" s="195" t="s">
        <v>931</v>
      </c>
      <c r="AL358" s="299">
        <v>52979.46610499997</v>
      </c>
      <c r="AM358" s="299">
        <f t="shared" si="702"/>
        <v>49455.838988999967</v>
      </c>
      <c r="AN358" s="300">
        <f t="shared" si="703"/>
        <v>3523.6271160000033</v>
      </c>
    </row>
    <row r="359" spans="1:40" ht="15.75" hidden="1" customHeight="1" outlineLevel="1" x14ac:dyDescent="0.2">
      <c r="A359" s="79" t="s">
        <v>1432</v>
      </c>
      <c r="B359" s="112" t="s">
        <v>1431</v>
      </c>
      <c r="C359" s="79" t="s">
        <v>1</v>
      </c>
      <c r="D359" s="1" t="s">
        <v>931</v>
      </c>
      <c r="E359" s="47">
        <f>ROUND(SUMIF('Target Achieved- Input'!$B$278:$B$370,'Incentive Report- Output'!B359,'Target Achieved- Input'!$G$278:$G$370),0)</f>
        <v>40</v>
      </c>
      <c r="F359" s="47">
        <f>ROUND(SUMIF('Target Achieved- Input'!$B$278:$B$370,'Incentive Report- Output'!B359,'Target Achieved- Input'!$H$278:$H$370),0)</f>
        <v>52</v>
      </c>
      <c r="G359" s="47">
        <f>SUMIF('Target Achieved- Input'!$L$278:$L$370,'Incentive Report- Output'!B359,'Target Achieved- Input'!$O$278:$O$370)</f>
        <v>50</v>
      </c>
      <c r="H359" s="39">
        <f>SUMIF('Target Achieved- Input'!$S$278:$S$370,'Incentive Report- Output'!B359,'Target Achieved- Input'!$V$278:$V$370)</f>
        <v>5</v>
      </c>
      <c r="I359" s="48">
        <f>SUMIF('Target Achieved- Input'!$L$278:$L$370,'Incentive Report- Output'!B359,'Target Achieved- Input'!$AC$278:$AC$370)</f>
        <v>0</v>
      </c>
      <c r="J359" s="39">
        <f t="shared" si="694"/>
        <v>45</v>
      </c>
      <c r="K359" s="40">
        <f t="shared" si="695"/>
        <v>1.125</v>
      </c>
      <c r="L359" s="41">
        <f t="shared" si="696"/>
        <v>1320000</v>
      </c>
      <c r="M359" s="41">
        <f>SUMIF('Target Achieved- Input'!$L$278:$L$370,'Incentive Report- Output'!B359,'Target Achieved- Input'!$M$278:$M$370)</f>
        <v>2380350</v>
      </c>
      <c r="N359" s="41">
        <f>SUMIF('Target Achieved- Input'!$S$278:$S$370,'Incentive Report- Output'!B359,'Target Achieved- Input'!$U$278:$U$370)</f>
        <v>215165.2543</v>
      </c>
      <c r="O359" s="41">
        <f>SUMIF('Target Achieved- Input'!$L$278:$L$370,'Incentive Report- Output'!B359,'Target Achieved- Input'!$N$278:$N$370)-N359</f>
        <v>1802080.5091999993</v>
      </c>
      <c r="P359" s="40">
        <f t="shared" si="697"/>
        <v>1.3652125069696963</v>
      </c>
      <c r="Q359" s="40">
        <f t="shared" si="698"/>
        <v>1.3652125069696963</v>
      </c>
      <c r="R359" s="40">
        <v>0</v>
      </c>
      <c r="S359" s="49">
        <f>(LOOKUP(Q359,Policy!$L$12:$M$16)+R359)*O359</f>
        <v>54062.415275999978</v>
      </c>
      <c r="T359" s="191"/>
      <c r="U359" s="192"/>
      <c r="V359" s="51"/>
      <c r="W359" s="156"/>
      <c r="X359" s="403"/>
      <c r="Y359" s="403"/>
      <c r="Z359" s="403"/>
      <c r="AA359" s="52">
        <v>0</v>
      </c>
      <c r="AB359" s="52">
        <v>0</v>
      </c>
      <c r="AC359" s="52">
        <v>0</v>
      </c>
      <c r="AD359" s="41">
        <f t="shared" si="699"/>
        <v>0</v>
      </c>
      <c r="AE359" s="41">
        <f t="shared" si="700"/>
        <v>54062.415275999978</v>
      </c>
      <c r="AF359" s="41">
        <f t="shared" si="701"/>
        <v>54062.415275999978</v>
      </c>
      <c r="AG359" s="31"/>
      <c r="AH359" s="419"/>
      <c r="AI359" s="79" t="s">
        <v>1432</v>
      </c>
      <c r="AJ359" s="112" t="s">
        <v>1431</v>
      </c>
      <c r="AK359" s="195" t="s">
        <v>931</v>
      </c>
      <c r="AL359" s="299">
        <v>60517.372904999975</v>
      </c>
      <c r="AM359" s="299">
        <f t="shared" si="702"/>
        <v>54062.415275999978</v>
      </c>
      <c r="AN359" s="300">
        <f t="shared" si="703"/>
        <v>6454.9576289999968</v>
      </c>
    </row>
    <row r="360" spans="1:40" ht="15.75" hidden="1" customHeight="1" outlineLevel="1" x14ac:dyDescent="0.2">
      <c r="A360" s="79" t="s">
        <v>2520</v>
      </c>
      <c r="B360" s="112" t="s">
        <v>2521</v>
      </c>
      <c r="C360" s="79" t="s">
        <v>1</v>
      </c>
      <c r="D360" s="1" t="s">
        <v>931</v>
      </c>
      <c r="E360" s="47">
        <f>ROUND(SUMIF('Target Achieved- Input'!$B$278:$B$370,'Incentive Report- Output'!B360,'Target Achieved- Input'!$G$278:$G$370),0)</f>
        <v>35</v>
      </c>
      <c r="F360" s="47">
        <f>ROUND(SUMIF('Target Achieved- Input'!$B$278:$B$370,'Incentive Report- Output'!B360,'Target Achieved- Input'!$H$278:$H$370),0)</f>
        <v>46</v>
      </c>
      <c r="G360" s="47">
        <f>SUMIF('Target Achieved- Input'!$L$278:$L$370,'Incentive Report- Output'!B360,'Target Achieved- Input'!$O$278:$O$370)</f>
        <v>31</v>
      </c>
      <c r="H360" s="39">
        <f>SUMIF('Target Achieved- Input'!$S$278:$S$370,'Incentive Report- Output'!B360,'Target Achieved- Input'!$V$278:$V$370)</f>
        <v>6</v>
      </c>
      <c r="I360" s="48">
        <f>SUMIF('Target Achieved- Input'!$L$278:$L$370,'Incentive Report- Output'!B360,'Target Achieved- Input'!$AC$278:$AC$370)</f>
        <v>0</v>
      </c>
      <c r="J360" s="39">
        <f t="shared" si="694"/>
        <v>25</v>
      </c>
      <c r="K360" s="40">
        <f t="shared" si="695"/>
        <v>0.7142857142857143</v>
      </c>
      <c r="L360" s="41">
        <f t="shared" si="696"/>
        <v>1155000</v>
      </c>
      <c r="M360" s="41">
        <f>SUMIF('Target Achieved- Input'!$L$278:$L$370,'Incentive Report- Output'!B360,'Target Achieved- Input'!$M$278:$M$370)</f>
        <v>1260619</v>
      </c>
      <c r="N360" s="41">
        <f>SUMIF('Target Achieved- Input'!$S$278:$S$370,'Incentive Report- Output'!B360,'Target Achieved- Input'!$U$278:$U$370)</f>
        <v>279105.08490000002</v>
      </c>
      <c r="O360" s="41">
        <f>SUMIF('Target Achieved- Input'!$L$278:$L$370,'Incentive Report- Output'!B360,'Target Achieved- Input'!$N$278:$N$370)-N360</f>
        <v>789216.10130000056</v>
      </c>
      <c r="P360" s="40">
        <f t="shared" si="697"/>
        <v>0.68330398380952428</v>
      </c>
      <c r="Q360" s="40">
        <f t="shared" si="698"/>
        <v>0.7142857142857143</v>
      </c>
      <c r="R360" s="40">
        <v>0</v>
      </c>
      <c r="S360" s="49">
        <f>(LOOKUP(Q360,Policy!$L$12:$M$16)+R360)*O360</f>
        <v>3946.0805065000027</v>
      </c>
      <c r="T360" s="191"/>
      <c r="U360" s="192"/>
      <c r="V360" s="51"/>
      <c r="W360" s="156"/>
      <c r="X360" s="403"/>
      <c r="Y360" s="403"/>
      <c r="Z360" s="403"/>
      <c r="AA360" s="52">
        <v>0</v>
      </c>
      <c r="AB360" s="52">
        <v>0</v>
      </c>
      <c r="AC360" s="52">
        <v>0</v>
      </c>
      <c r="AD360" s="41">
        <f t="shared" ref="AD360" si="704">IF(AF360&gt;200000,AF360-200000,0)</f>
        <v>0</v>
      </c>
      <c r="AE360" s="41">
        <f t="shared" ref="AE360" si="705">AF360-AD360</f>
        <v>3946.0805065000027</v>
      </c>
      <c r="AF360" s="41">
        <f t="shared" si="701"/>
        <v>3946.0805065000027</v>
      </c>
      <c r="AG360" s="31"/>
      <c r="AH360" s="419"/>
      <c r="AI360" s="79" t="s">
        <v>2520</v>
      </c>
      <c r="AJ360" s="112" t="s">
        <v>2521</v>
      </c>
      <c r="AK360" s="195" t="s">
        <v>931</v>
      </c>
      <c r="AL360" s="299">
        <v>10683.211862000006</v>
      </c>
      <c r="AM360" s="299">
        <f t="shared" si="702"/>
        <v>3946.0805065000027</v>
      </c>
      <c r="AN360" s="300">
        <f t="shared" si="703"/>
        <v>6737.1313555000033</v>
      </c>
    </row>
    <row r="361" spans="1:40" ht="15.75" hidden="1" customHeight="1" outlineLevel="1" x14ac:dyDescent="0.2">
      <c r="A361" s="79" t="s">
        <v>765</v>
      </c>
      <c r="B361" s="112" t="s">
        <v>766</v>
      </c>
      <c r="C361" s="79" t="s">
        <v>1</v>
      </c>
      <c r="D361" s="1" t="s">
        <v>931</v>
      </c>
      <c r="E361" s="47">
        <f>ROUND(SUMIF('Target Achieved- Input'!$B$278:$B$370,'Incentive Report- Output'!B361,'Target Achieved- Input'!$G$278:$G$370),0)</f>
        <v>30</v>
      </c>
      <c r="F361" s="47">
        <f>ROUND(SUMIF('Target Achieved- Input'!$B$278:$B$370,'Incentive Report- Output'!B361,'Target Achieved- Input'!$H$278:$H$370),0)</f>
        <v>39</v>
      </c>
      <c r="G361" s="47">
        <f>SUMIF('Target Achieved- Input'!$L$278:$L$370,'Incentive Report- Output'!B361,'Target Achieved- Input'!$O$278:$O$370)</f>
        <v>45</v>
      </c>
      <c r="H361" s="39">
        <f>SUMIF('Target Achieved- Input'!$S$278:$S$370,'Incentive Report- Output'!B361,'Target Achieved- Input'!$V$278:$V$370)</f>
        <v>2</v>
      </c>
      <c r="I361" s="48">
        <f>SUMIF('Target Achieved- Input'!$L$278:$L$370,'Incentive Report- Output'!B361,'Target Achieved- Input'!$AC$278:$AC$370)</f>
        <v>0</v>
      </c>
      <c r="J361" s="39">
        <f t="shared" si="694"/>
        <v>43</v>
      </c>
      <c r="K361" s="40">
        <f t="shared" si="695"/>
        <v>1.4333333333333333</v>
      </c>
      <c r="L361" s="41">
        <f t="shared" si="696"/>
        <v>990000</v>
      </c>
      <c r="M361" s="41">
        <f>SUMIF('Target Achieved- Input'!$L$278:$L$370,'Incentive Report- Output'!B361,'Target Achieved- Input'!$M$278:$M$370)</f>
        <v>2260555</v>
      </c>
      <c r="N361" s="41">
        <f>SUMIF('Target Achieved- Input'!$S$278:$S$370,'Incentive Report- Output'!B361,'Target Achieved- Input'!$U$278:$U$370)</f>
        <v>74574.576300000001</v>
      </c>
      <c r="O361" s="41">
        <f>SUMIF('Target Achieved- Input'!$L$278:$L$370,'Incentive Report- Output'!B361,'Target Achieved- Input'!$N$278:$N$370)-N361</f>
        <v>1841150.0002999997</v>
      </c>
      <c r="P361" s="40">
        <f t="shared" si="697"/>
        <v>1.8597474750505048</v>
      </c>
      <c r="Q361" s="40">
        <f t="shared" si="698"/>
        <v>1.8597474750505048</v>
      </c>
      <c r="R361" s="40">
        <v>0</v>
      </c>
      <c r="S361" s="49">
        <f>(LOOKUP(Q361,Policy!$L$12:$M$16)+R361)*O361</f>
        <v>55234.500008999988</v>
      </c>
      <c r="T361" s="185"/>
      <c r="U361" s="156"/>
      <c r="V361" s="51"/>
      <c r="W361" s="156"/>
      <c r="X361" s="404"/>
      <c r="Y361" s="404"/>
      <c r="Z361" s="404"/>
      <c r="AA361" s="52">
        <v>0</v>
      </c>
      <c r="AB361" s="52">
        <v>0</v>
      </c>
      <c r="AC361" s="52">
        <v>0</v>
      </c>
      <c r="AD361" s="41">
        <f t="shared" si="699"/>
        <v>0</v>
      </c>
      <c r="AE361" s="41">
        <f t="shared" si="700"/>
        <v>55234.500008999988</v>
      </c>
      <c r="AF361" s="41">
        <f t="shared" si="701"/>
        <v>55234.500008999988</v>
      </c>
      <c r="AG361" s="31"/>
      <c r="AH361" s="419"/>
      <c r="AI361" s="22" t="s">
        <v>765</v>
      </c>
      <c r="AJ361" s="1" t="s">
        <v>766</v>
      </c>
      <c r="AK361" s="195" t="s">
        <v>931</v>
      </c>
      <c r="AL361" s="299">
        <v>57471.737297999993</v>
      </c>
      <c r="AM361" s="299">
        <f t="shared" si="702"/>
        <v>55234.500008999988</v>
      </c>
      <c r="AN361" s="300">
        <f t="shared" si="703"/>
        <v>2237.2372890000042</v>
      </c>
    </row>
    <row r="362" spans="1:40" ht="15.75" hidden="1" customHeight="1" outlineLevel="1" x14ac:dyDescent="0.2">
      <c r="A362" s="109" t="s">
        <v>6</v>
      </c>
      <c r="B362" s="109"/>
      <c r="C362" s="109"/>
      <c r="D362" s="292" t="s">
        <v>931</v>
      </c>
      <c r="E362" s="102">
        <f>SUM(E354:E361)</f>
        <v>240</v>
      </c>
      <c r="F362" s="102">
        <f t="shared" ref="F362:J362" si="706">SUM(F354:F361)</f>
        <v>313</v>
      </c>
      <c r="G362" s="102">
        <f t="shared" si="706"/>
        <v>240</v>
      </c>
      <c r="H362" s="102">
        <f t="shared" si="706"/>
        <v>41</v>
      </c>
      <c r="I362" s="102">
        <f t="shared" si="706"/>
        <v>0</v>
      </c>
      <c r="J362" s="102">
        <f t="shared" si="706"/>
        <v>199</v>
      </c>
      <c r="K362" s="102"/>
      <c r="L362" s="102">
        <f t="shared" ref="L362:O362" si="707">SUM(L354:L361)</f>
        <v>7920000</v>
      </c>
      <c r="M362" s="102">
        <f t="shared" si="707"/>
        <v>11342660</v>
      </c>
      <c r="N362" s="102">
        <f t="shared" si="707"/>
        <v>1630897.4575000003</v>
      </c>
      <c r="O362" s="102">
        <f t="shared" si="707"/>
        <v>7981526.2723999973</v>
      </c>
      <c r="P362" s="45"/>
      <c r="Q362" s="46"/>
      <c r="R362" s="46"/>
      <c r="S362" s="102">
        <f>SUM(S354:S361)</f>
        <v>169061.19071399994</v>
      </c>
      <c r="T362" s="102">
        <f t="shared" ref="T362:W362" si="708">SUM(T354:T361)</f>
        <v>0</v>
      </c>
      <c r="U362" s="102">
        <f t="shared" si="708"/>
        <v>0</v>
      </c>
      <c r="V362" s="102">
        <f t="shared" si="708"/>
        <v>0</v>
      </c>
      <c r="W362" s="102">
        <f t="shared" si="708"/>
        <v>0</v>
      </c>
      <c r="X362" s="102">
        <f>SUM(X355:X361)</f>
        <v>0</v>
      </c>
      <c r="Y362" s="102">
        <f>SUM(Y355:Y361)</f>
        <v>0</v>
      </c>
      <c r="Z362" s="103">
        <f>SUM(Z355:Z361)</f>
        <v>0</v>
      </c>
      <c r="AA362" s="102">
        <f t="shared" ref="AA362:AF362" si="709">SUM(AA354:AA361)</f>
        <v>0</v>
      </c>
      <c r="AB362" s="102">
        <f t="shared" si="709"/>
        <v>0</v>
      </c>
      <c r="AC362" s="102">
        <f t="shared" si="709"/>
        <v>0</v>
      </c>
      <c r="AD362" s="102">
        <f t="shared" si="709"/>
        <v>0</v>
      </c>
      <c r="AE362" s="102">
        <f t="shared" si="709"/>
        <v>169061.19071399994</v>
      </c>
      <c r="AF362" s="102">
        <f t="shared" si="709"/>
        <v>169061.19071399994</v>
      </c>
      <c r="AG362" s="31"/>
      <c r="AH362" s="419"/>
      <c r="AI362" s="43" t="s">
        <v>6</v>
      </c>
      <c r="AJ362" s="43"/>
      <c r="AK362" s="43" t="s">
        <v>931</v>
      </c>
      <c r="AL362" s="303">
        <v>229435.99791649991</v>
      </c>
      <c r="AM362" s="303">
        <f>SUM(AM354:AM361)</f>
        <v>169061.19071399994</v>
      </c>
      <c r="AN362" s="303">
        <f>SUM(AN354:AN361)</f>
        <v>60374.807202499993</v>
      </c>
    </row>
    <row r="363" spans="1:40" ht="15.75" hidden="1" customHeight="1" outlineLevel="1" x14ac:dyDescent="0.2">
      <c r="A363" s="42" t="s">
        <v>240</v>
      </c>
      <c r="B363" s="42" t="s">
        <v>241</v>
      </c>
      <c r="C363" s="79" t="s">
        <v>1</v>
      </c>
      <c r="D363" s="293" t="s">
        <v>1182</v>
      </c>
      <c r="E363" s="47">
        <f>ROUND(SUMIF('Target Achieved- Input'!$B$278:$B$370,'Incentive Report- Output'!B363,'Target Achieved- Input'!$G$278:$G$370),0)</f>
        <v>55</v>
      </c>
      <c r="F363" s="47">
        <f>ROUND(SUMIF('Target Achieved- Input'!$B$278:$B$370,'Incentive Report- Output'!B363,'Target Achieved- Input'!$H$278:$H$370),0)</f>
        <v>72</v>
      </c>
      <c r="G363" s="47">
        <f>SUMIF('Target Achieved- Input'!$L$278:$L$370,'Incentive Report- Output'!B363,'Target Achieved- Input'!$O$278:$O$370)</f>
        <v>50</v>
      </c>
      <c r="H363" s="39">
        <f>SUMIF('Target Achieved- Input'!$S$278:$S$370,'Incentive Report- Output'!B363,'Target Achieved- Input'!$V$278:$V$370)</f>
        <v>1</v>
      </c>
      <c r="I363" s="48">
        <f>SUMIF('Target Achieved- Input'!$L$278:$L$370,'Incentive Report- Output'!B363,'Target Achieved- Input'!$AC$278:$AC$370)</f>
        <v>0</v>
      </c>
      <c r="J363" s="39">
        <f t="shared" ref="J363:J366" si="710">G363-H363</f>
        <v>49</v>
      </c>
      <c r="K363" s="40">
        <f t="shared" ref="K363:K366" si="711">IFERROR(J363/E363,0)</f>
        <v>0.89090909090909087</v>
      </c>
      <c r="L363" s="41">
        <f t="shared" ref="L363:L366" si="712">E363*33000</f>
        <v>1815000</v>
      </c>
      <c r="M363" s="41">
        <f>SUMIF('Target Achieved- Input'!$L$278:$L$370,'Incentive Report- Output'!B363,'Target Achieved- Input'!$M$278:$M$370)</f>
        <v>2340550</v>
      </c>
      <c r="N363" s="41">
        <f>SUMIF('Target Achieved- Input'!$S$278:$S$370,'Incentive Report- Output'!B363,'Target Achieved- Input'!$U$278:$U$370)</f>
        <v>36439.830499999996</v>
      </c>
      <c r="O363" s="41">
        <f>SUMIF('Target Achieved- Input'!$L$278:$L$370,'Incentive Report- Output'!B363,'Target Achieved- Input'!$N$278:$N$370)-N363</f>
        <v>1947077.1181999997</v>
      </c>
      <c r="P363" s="40">
        <f t="shared" ref="P363:P366" si="713">IFERROR(O363/L363,0)</f>
        <v>1.0727697620936638</v>
      </c>
      <c r="Q363" s="40">
        <f t="shared" ref="Q363:Q366" si="714">MAX(P363,K363)</f>
        <v>1.0727697620936638</v>
      </c>
      <c r="R363" s="40">
        <v>0</v>
      </c>
      <c r="S363" s="49">
        <f>(LOOKUP(Q363,Policy!$L$12:$M$16)+R363)*O363</f>
        <v>43809.235159499993</v>
      </c>
      <c r="T363" s="191"/>
      <c r="U363" s="192"/>
      <c r="V363" s="144"/>
      <c r="W363" s="192"/>
      <c r="X363" s="385"/>
      <c r="Y363" s="385"/>
      <c r="Z363" s="385"/>
      <c r="AA363" s="52">
        <v>0</v>
      </c>
      <c r="AB363" s="52">
        <v>0</v>
      </c>
      <c r="AC363" s="52">
        <v>0</v>
      </c>
      <c r="AD363" s="41">
        <f t="shared" ref="AD363:AD366" si="715">IF(AF363&gt;200000,AF363-200000,0)</f>
        <v>0</v>
      </c>
      <c r="AE363" s="41">
        <f t="shared" ref="AE363:AE366" si="716">AF363-AD363</f>
        <v>43809.235159499993</v>
      </c>
      <c r="AF363" s="41">
        <f>S363+W363+AB363+AC363</f>
        <v>43809.235159499993</v>
      </c>
      <c r="AG363" s="32"/>
      <c r="AH363" s="419"/>
      <c r="AI363" s="22" t="s">
        <v>240</v>
      </c>
      <c r="AJ363" s="1" t="s">
        <v>241</v>
      </c>
      <c r="AK363" s="195" t="s">
        <v>1182</v>
      </c>
      <c r="AL363" s="309">
        <v>44629.131345749993</v>
      </c>
      <c r="AM363" s="299">
        <f t="shared" ref="AM363:AM366" si="717">AF363</f>
        <v>43809.235159499993</v>
      </c>
      <c r="AN363" s="300">
        <f t="shared" ref="AN363:AN366" si="718">AL363-AM363</f>
        <v>819.89618625000003</v>
      </c>
    </row>
    <row r="364" spans="1:40" ht="15.75" hidden="1" customHeight="1" outlineLevel="1" x14ac:dyDescent="0.2">
      <c r="A364" s="42" t="s">
        <v>352</v>
      </c>
      <c r="B364" s="42" t="s">
        <v>289</v>
      </c>
      <c r="C364" s="79" t="s">
        <v>1185</v>
      </c>
      <c r="D364" s="293" t="s">
        <v>1182</v>
      </c>
      <c r="E364" s="47">
        <f>ROUND(SUMIF('Target Achieved- Input'!$B$278:$B$370,'Incentive Report- Output'!B364,'Target Achieved- Input'!$G$278:$G$370),0)</f>
        <v>40</v>
      </c>
      <c r="F364" s="47">
        <f>ROUND(SUMIF('Target Achieved- Input'!$B$278:$B$370,'Incentive Report- Output'!B364,'Target Achieved- Input'!$H$278:$H$370),0)</f>
        <v>52</v>
      </c>
      <c r="G364" s="47">
        <f>SUMIF('Target Achieved- Input'!$L$278:$L$370,'Incentive Report- Output'!B364,'Target Achieved- Input'!$O$278:$O$370)</f>
        <v>66</v>
      </c>
      <c r="H364" s="39">
        <f>SUMIF('Target Achieved- Input'!$S$278:$S$370,'Incentive Report- Output'!B364,'Target Achieved- Input'!$V$278:$V$370)</f>
        <v>2</v>
      </c>
      <c r="I364" s="48">
        <f>SUMIF('Target Achieved- Input'!$L$278:$L$370,'Incentive Report- Output'!B364,'Target Achieved- Input'!$AC$278:$AC$370)</f>
        <v>0</v>
      </c>
      <c r="J364" s="39">
        <f t="shared" si="710"/>
        <v>64</v>
      </c>
      <c r="K364" s="40">
        <f t="shared" si="711"/>
        <v>1.6</v>
      </c>
      <c r="L364" s="41">
        <f t="shared" si="712"/>
        <v>1320000</v>
      </c>
      <c r="M364" s="41">
        <f>SUMIF('Target Achieved- Input'!$L$278:$L$370,'Incentive Report- Output'!B364,'Target Achieved- Input'!$M$278:$M$370)</f>
        <v>2985784</v>
      </c>
      <c r="N364" s="41">
        <f>SUMIF('Target Achieved- Input'!$S$278:$S$370,'Incentive Report- Output'!B364,'Target Achieved- Input'!$U$278:$U$370)</f>
        <v>74574.576300000001</v>
      </c>
      <c r="O364" s="41">
        <f>SUMIF('Target Achieved- Input'!$L$278:$L$370,'Incentive Report- Output'!B364,'Target Achieved- Input'!$N$278:$N$370)-N364</f>
        <v>2455750.8474000013</v>
      </c>
      <c r="P364" s="40">
        <f t="shared" si="713"/>
        <v>1.8604173086363647</v>
      </c>
      <c r="Q364" s="40">
        <f t="shared" si="714"/>
        <v>1.8604173086363647</v>
      </c>
      <c r="R364" s="40">
        <v>0</v>
      </c>
      <c r="S364" s="49">
        <f>(LOOKUP(Q364,Policy!$L$12:$M$16)+R364)*O364</f>
        <v>73672.525422000035</v>
      </c>
      <c r="T364" s="191"/>
      <c r="U364" s="192"/>
      <c r="V364" s="51"/>
      <c r="W364" s="156"/>
      <c r="X364" s="386"/>
      <c r="Y364" s="386"/>
      <c r="Z364" s="386"/>
      <c r="AA364" s="52">
        <v>0</v>
      </c>
      <c r="AB364" s="52">
        <v>0</v>
      </c>
      <c r="AC364" s="52">
        <v>0</v>
      </c>
      <c r="AD364" s="41">
        <f t="shared" si="715"/>
        <v>0</v>
      </c>
      <c r="AE364" s="41">
        <f t="shared" si="716"/>
        <v>73672.525422000035</v>
      </c>
      <c r="AF364" s="41">
        <f>S364+W364+AB364+AC364</f>
        <v>73672.525422000035</v>
      </c>
      <c r="AG364" s="32"/>
      <c r="AH364" s="419"/>
      <c r="AI364" s="22" t="s">
        <v>352</v>
      </c>
      <c r="AJ364" s="1" t="s">
        <v>289</v>
      </c>
      <c r="AK364" s="195" t="s">
        <v>1182</v>
      </c>
      <c r="AL364" s="309">
        <v>75909.762711000032</v>
      </c>
      <c r="AM364" s="299">
        <f t="shared" si="717"/>
        <v>73672.525422000035</v>
      </c>
      <c r="AN364" s="300">
        <f t="shared" si="718"/>
        <v>2237.237288999997</v>
      </c>
    </row>
    <row r="365" spans="1:40" ht="15.75" hidden="1" customHeight="1" outlineLevel="1" x14ac:dyDescent="0.2">
      <c r="A365" s="42" t="s">
        <v>1186</v>
      </c>
      <c r="B365" s="42" t="s">
        <v>1187</v>
      </c>
      <c r="C365" s="79" t="s">
        <v>1</v>
      </c>
      <c r="D365" s="293" t="s">
        <v>1182</v>
      </c>
      <c r="E365" s="47">
        <f>ROUND(SUMIF('Target Achieved- Input'!$B$278:$B$370,'Incentive Report- Output'!B365,'Target Achieved- Input'!$G$278:$G$370),0)</f>
        <v>0</v>
      </c>
      <c r="F365" s="47">
        <f>ROUND(SUMIF('Target Achieved- Input'!$B$278:$B$370,'Incentive Report- Output'!B365,'Target Achieved- Input'!$H$278:$H$370),0)</f>
        <v>0</v>
      </c>
      <c r="G365" s="47">
        <f>SUMIF('Target Achieved- Input'!$L$278:$L$370,'Incentive Report- Output'!B365,'Target Achieved- Input'!$O$278:$O$370)</f>
        <v>0</v>
      </c>
      <c r="H365" s="39">
        <f>SUMIF('Target Achieved- Input'!$S$278:$S$370,'Incentive Report- Output'!B365,'Target Achieved- Input'!$V$278:$V$370)</f>
        <v>0</v>
      </c>
      <c r="I365" s="48">
        <f>SUMIF('Target Achieved- Input'!$L$278:$L$370,'Incentive Report- Output'!B365,'Target Achieved- Input'!$AC$278:$AC$370)</f>
        <v>0</v>
      </c>
      <c r="J365" s="39">
        <f t="shared" si="710"/>
        <v>0</v>
      </c>
      <c r="K365" s="40">
        <f t="shared" si="711"/>
        <v>0</v>
      </c>
      <c r="L365" s="41">
        <f t="shared" si="712"/>
        <v>0</v>
      </c>
      <c r="M365" s="41">
        <f>SUMIF('Target Achieved- Input'!$L$278:$L$370,'Incentive Report- Output'!B365,'Target Achieved- Input'!$M$278:$M$370)</f>
        <v>0</v>
      </c>
      <c r="N365" s="41">
        <f>SUMIF('Target Achieved- Input'!$S$278:$S$370,'Incentive Report- Output'!B365,'Target Achieved- Input'!$U$278:$U$370)</f>
        <v>0</v>
      </c>
      <c r="O365" s="41">
        <f>SUMIF('Target Achieved- Input'!$L$278:$L$370,'Incentive Report- Output'!B365,'Target Achieved- Input'!$N$278:$N$370)-N365</f>
        <v>0</v>
      </c>
      <c r="P365" s="40">
        <f t="shared" si="713"/>
        <v>0</v>
      </c>
      <c r="Q365" s="40">
        <f t="shared" si="714"/>
        <v>0</v>
      </c>
      <c r="R365" s="40">
        <v>0</v>
      </c>
      <c r="S365" s="49">
        <f>(LOOKUP(Q365,Policy!$L$12:$M$16)+R365)*O365</f>
        <v>0</v>
      </c>
      <c r="T365" s="191"/>
      <c r="U365" s="192"/>
      <c r="V365" s="144"/>
      <c r="W365" s="192"/>
      <c r="X365" s="386"/>
      <c r="Y365" s="386"/>
      <c r="Z365" s="386"/>
      <c r="AA365" s="52">
        <v>0</v>
      </c>
      <c r="AB365" s="52">
        <v>0</v>
      </c>
      <c r="AC365" s="52">
        <v>0</v>
      </c>
      <c r="AD365" s="41">
        <f t="shared" si="715"/>
        <v>0</v>
      </c>
      <c r="AE365" s="41">
        <f t="shared" si="716"/>
        <v>0</v>
      </c>
      <c r="AF365" s="41">
        <f>S365+W365+AB365+AC365</f>
        <v>0</v>
      </c>
      <c r="AG365" s="32"/>
      <c r="AH365" s="419"/>
      <c r="AI365" s="22" t="s">
        <v>1186</v>
      </c>
      <c r="AJ365" s="1" t="s">
        <v>1187</v>
      </c>
      <c r="AK365" s="195" t="s">
        <v>1182</v>
      </c>
      <c r="AL365" s="309">
        <v>0</v>
      </c>
      <c r="AM365" s="299">
        <f t="shared" si="717"/>
        <v>0</v>
      </c>
      <c r="AN365" s="300">
        <f t="shared" si="718"/>
        <v>0</v>
      </c>
    </row>
    <row r="366" spans="1:40" ht="15.75" hidden="1" customHeight="1" outlineLevel="1" x14ac:dyDescent="0.2">
      <c r="A366" s="42" t="s">
        <v>230</v>
      </c>
      <c r="B366" s="42" t="s">
        <v>35</v>
      </c>
      <c r="C366" s="79" t="s">
        <v>1</v>
      </c>
      <c r="D366" s="293" t="s">
        <v>1182</v>
      </c>
      <c r="E366" s="47">
        <f>ROUND(SUMIF('Target Achieved- Input'!$B$278:$B$370,'Incentive Report- Output'!B366,'Target Achieved- Input'!$G$278:$G$370),0)</f>
        <v>60</v>
      </c>
      <c r="F366" s="47">
        <f>ROUND(SUMIF('Target Achieved- Input'!$B$278:$B$370,'Incentive Report- Output'!B366,'Target Achieved- Input'!$H$278:$H$370),0)</f>
        <v>78</v>
      </c>
      <c r="G366" s="47">
        <f>SUMIF('Target Achieved- Input'!$L$278:$L$370,'Incentive Report- Output'!B366,'Target Achieved- Input'!$O$278:$O$370)</f>
        <v>41</v>
      </c>
      <c r="H366" s="39">
        <f>SUMIF('Target Achieved- Input'!$S$278:$S$370,'Incentive Report- Output'!B366,'Target Achieved- Input'!$V$278:$V$370)</f>
        <v>20</v>
      </c>
      <c r="I366" s="48">
        <f>SUMIF('Target Achieved- Input'!$L$278:$L$370,'Incentive Report- Output'!B366,'Target Achieved- Input'!$AC$278:$AC$370)</f>
        <v>1</v>
      </c>
      <c r="J366" s="39">
        <f t="shared" si="710"/>
        <v>21</v>
      </c>
      <c r="K366" s="40">
        <f t="shared" si="711"/>
        <v>0.35</v>
      </c>
      <c r="L366" s="41">
        <f t="shared" si="712"/>
        <v>1980000</v>
      </c>
      <c r="M366" s="41">
        <f>SUMIF('Target Achieved- Input'!$L$278:$L$370,'Incentive Report- Output'!B366,'Target Achieved- Input'!$M$278:$M$370)</f>
        <v>1922159</v>
      </c>
      <c r="N366" s="41">
        <f>SUMIF('Target Achieved- Input'!$S$278:$S$370,'Incentive Report- Output'!B366,'Target Achieved- Input'!$U$278:$U$370)</f>
        <v>823076.27140000032</v>
      </c>
      <c r="O366" s="41">
        <f>SUMIF('Target Achieved- Input'!$L$278:$L$370,'Incentive Report- Output'!B366,'Target Achieved- Input'!$N$278:$N$370)-N366</f>
        <v>805872.03390999988</v>
      </c>
      <c r="P366" s="40">
        <f t="shared" si="713"/>
        <v>0.40700607773232317</v>
      </c>
      <c r="Q366" s="40">
        <f t="shared" si="714"/>
        <v>0.40700607773232317</v>
      </c>
      <c r="R366" s="40">
        <v>0</v>
      </c>
      <c r="S366" s="49">
        <f>(LOOKUP(Q366,Policy!$L$12:$M$16)+R366)*O366</f>
        <v>0</v>
      </c>
      <c r="T366" s="185"/>
      <c r="U366" s="156"/>
      <c r="V366" s="51"/>
      <c r="W366" s="156"/>
      <c r="X366" s="387"/>
      <c r="Y366" s="387"/>
      <c r="Z366" s="387"/>
      <c r="AA366" s="52">
        <v>0</v>
      </c>
      <c r="AB366" s="52">
        <v>0</v>
      </c>
      <c r="AC366" s="52">
        <v>0</v>
      </c>
      <c r="AD366" s="41">
        <f t="shared" si="715"/>
        <v>0</v>
      </c>
      <c r="AE366" s="41">
        <f t="shared" si="716"/>
        <v>0</v>
      </c>
      <c r="AF366" s="41">
        <f>S366+W366+AB366+AC366</f>
        <v>0</v>
      </c>
      <c r="AG366" s="32"/>
      <c r="AH366" s="419"/>
      <c r="AI366" s="22" t="s">
        <v>230</v>
      </c>
      <c r="AJ366" s="1" t="s">
        <v>35</v>
      </c>
      <c r="AK366" s="195" t="s">
        <v>1182</v>
      </c>
      <c r="AL366" s="309">
        <v>16289.483053100003</v>
      </c>
      <c r="AM366" s="299">
        <f t="shared" si="717"/>
        <v>0</v>
      </c>
      <c r="AN366" s="300">
        <f t="shared" si="718"/>
        <v>16289.483053100003</v>
      </c>
    </row>
    <row r="367" spans="1:40" ht="15.75" hidden="1" customHeight="1" outlineLevel="1" x14ac:dyDescent="0.2">
      <c r="A367" s="109" t="s">
        <v>6</v>
      </c>
      <c r="B367" s="109"/>
      <c r="C367" s="109"/>
      <c r="D367" s="292" t="s">
        <v>1182</v>
      </c>
      <c r="E367" s="88">
        <f t="shared" ref="E367:J367" si="719">SUM(E363:E366)</f>
        <v>155</v>
      </c>
      <c r="F367" s="88">
        <f t="shared" si="719"/>
        <v>202</v>
      </c>
      <c r="G367" s="88">
        <f t="shared" si="719"/>
        <v>157</v>
      </c>
      <c r="H367" s="88">
        <f t="shared" si="719"/>
        <v>23</v>
      </c>
      <c r="I367" s="88">
        <f t="shared" si="719"/>
        <v>1</v>
      </c>
      <c r="J367" s="88">
        <f t="shared" si="719"/>
        <v>134</v>
      </c>
      <c r="K367" s="45"/>
      <c r="L367" s="88">
        <f>SUM(L363:L366)</f>
        <v>5115000</v>
      </c>
      <c r="M367" s="88">
        <f>SUM(M363:M366)</f>
        <v>7248493</v>
      </c>
      <c r="N367" s="88">
        <f>SUM(N363:N366)</f>
        <v>934090.67820000031</v>
      </c>
      <c r="O367" s="88">
        <f>SUM(O363:O366)</f>
        <v>5208699.9995100005</v>
      </c>
      <c r="P367" s="45"/>
      <c r="Q367" s="46"/>
      <c r="R367" s="237"/>
      <c r="S367" s="88">
        <f t="shared" ref="S367:AF367" si="720">SUM(S363:S366)</f>
        <v>117481.76058150003</v>
      </c>
      <c r="T367" s="88">
        <f t="shared" si="720"/>
        <v>0</v>
      </c>
      <c r="U367" s="88">
        <f t="shared" si="720"/>
        <v>0</v>
      </c>
      <c r="V367" s="88">
        <f t="shared" si="720"/>
        <v>0</v>
      </c>
      <c r="W367" s="88">
        <f t="shared" si="720"/>
        <v>0</v>
      </c>
      <c r="X367" s="88">
        <f t="shared" si="720"/>
        <v>0</v>
      </c>
      <c r="Y367" s="88">
        <f t="shared" si="720"/>
        <v>0</v>
      </c>
      <c r="Z367" s="88">
        <f t="shared" si="720"/>
        <v>0</v>
      </c>
      <c r="AA367" s="88">
        <f t="shared" si="720"/>
        <v>0</v>
      </c>
      <c r="AB367" s="88">
        <f t="shared" si="720"/>
        <v>0</v>
      </c>
      <c r="AC367" s="88">
        <f t="shared" si="720"/>
        <v>0</v>
      </c>
      <c r="AD367" s="88">
        <f t="shared" si="720"/>
        <v>0</v>
      </c>
      <c r="AE367" s="88">
        <f t="shared" si="720"/>
        <v>117481.76058150003</v>
      </c>
      <c r="AF367" s="88">
        <f t="shared" si="720"/>
        <v>117481.76058150003</v>
      </c>
      <c r="AG367" s="31"/>
      <c r="AH367" s="419"/>
      <c r="AI367" s="43" t="s">
        <v>6</v>
      </c>
      <c r="AJ367" s="43"/>
      <c r="AK367" s="43" t="s">
        <v>1182</v>
      </c>
      <c r="AL367" s="307">
        <v>136828.37710985003</v>
      </c>
      <c r="AM367" s="307">
        <f>SUM(AM363:AM366)</f>
        <v>117481.76058150003</v>
      </c>
      <c r="AN367" s="307">
        <f>SUM(AN363:AN366)</f>
        <v>19346.616528350001</v>
      </c>
    </row>
    <row r="368" spans="1:40" ht="15.75" hidden="1" customHeight="1" outlineLevel="1" x14ac:dyDescent="0.2">
      <c r="A368" s="42" t="s">
        <v>57</v>
      </c>
      <c r="B368" s="42" t="s">
        <v>58</v>
      </c>
      <c r="C368" s="42" t="s">
        <v>0</v>
      </c>
      <c r="D368" s="293" t="s">
        <v>1183</v>
      </c>
      <c r="E368" s="47">
        <f>ROUND(SUMIF('Target Achieved- Input'!$B$278:$B$370,'Incentive Report- Output'!B368,'Target Achieved- Input'!$G$278:$G$370),0)</f>
        <v>60</v>
      </c>
      <c r="F368" s="47">
        <f>ROUND(SUMIF('Target Achieved- Input'!$B$278:$B$370,'Incentive Report- Output'!B368,'Target Achieved- Input'!$H$278:$H$370),0)</f>
        <v>78</v>
      </c>
      <c r="G368" s="47">
        <f>SUMIF('Target Achieved- Input'!$L$278:$L$370,'Incentive Report- Output'!B368,'Target Achieved- Input'!$O$278:$O$370)</f>
        <v>21</v>
      </c>
      <c r="H368" s="39">
        <f>SUMIF('Target Achieved- Input'!$S$278:$S$370,'Incentive Report- Output'!B368,'Target Achieved- Input'!$V$278:$V$370)</f>
        <v>21</v>
      </c>
      <c r="I368" s="48">
        <f>SUMIF('Target Achieved- Input'!$L$278:$L$370,'Incentive Report- Output'!B368,'Target Achieved- Input'!$AC$278:$AC$370)</f>
        <v>0</v>
      </c>
      <c r="J368" s="39">
        <f t="shared" ref="J368:J373" si="721">G368-H368</f>
        <v>0</v>
      </c>
      <c r="K368" s="40">
        <f t="shared" ref="K368:K373" si="722">IFERROR(J368/E368,0)</f>
        <v>0</v>
      </c>
      <c r="L368" s="41">
        <f t="shared" ref="L368:L373" si="723">E368*33000</f>
        <v>1980000</v>
      </c>
      <c r="M368" s="41">
        <f>SUMIF('Target Achieved- Input'!$L$278:$L$370,'Incentive Report- Output'!B368,'Target Achieved- Input'!$M$278:$M$370)</f>
        <v>1058279</v>
      </c>
      <c r="N368" s="41">
        <f>SUMIF('Target Achieved- Input'!$S$278:$S$370,'Incentive Report- Output'!B368,'Target Achieved- Input'!$U$278:$U$370)</f>
        <v>896846.61030000017</v>
      </c>
      <c r="O368" s="41">
        <f>SUMIF('Target Achieved- Input'!$L$278:$L$370,'Incentive Report- Output'!B368,'Target Achieved- Input'!$N$278:$N$370)-N368</f>
        <v>0</v>
      </c>
      <c r="P368" s="40">
        <f t="shared" ref="P368:P373" si="724">IFERROR(O368/L368,0)</f>
        <v>0</v>
      </c>
      <c r="Q368" s="40">
        <f t="shared" ref="Q368:Q373" si="725">MAX(P368,K368)</f>
        <v>0</v>
      </c>
      <c r="R368" s="40">
        <v>0</v>
      </c>
      <c r="S368" s="49">
        <f>(LOOKUP(Q368,Policy!$L$12:$M$16)+R368)*O368</f>
        <v>0</v>
      </c>
      <c r="T368" s="191"/>
      <c r="U368" s="192"/>
      <c r="V368" s="144"/>
      <c r="W368" s="192"/>
      <c r="X368" s="385"/>
      <c r="Y368" s="385"/>
      <c r="Z368" s="385"/>
      <c r="AA368" s="52">
        <v>0</v>
      </c>
      <c r="AB368" s="52">
        <v>0</v>
      </c>
      <c r="AC368" s="52">
        <v>0</v>
      </c>
      <c r="AD368" s="41">
        <f t="shared" ref="AD368:AD373" si="726">IF(AF368&gt;200000,AF368-200000,0)</f>
        <v>0</v>
      </c>
      <c r="AE368" s="41">
        <f t="shared" ref="AE368:AE373" si="727">AF368-AD368</f>
        <v>0</v>
      </c>
      <c r="AF368" s="41">
        <f t="shared" ref="AF368:AF373" si="728">S368+W368+AB368+AC368</f>
        <v>0</v>
      </c>
      <c r="AG368" s="32"/>
      <c r="AH368" s="419"/>
      <c r="AI368" s="289" t="s">
        <v>57</v>
      </c>
      <c r="AJ368" s="289" t="s">
        <v>58</v>
      </c>
      <c r="AK368" s="289" t="s">
        <v>1183</v>
      </c>
      <c r="AL368" s="309">
        <v>0</v>
      </c>
      <c r="AM368" s="299">
        <f t="shared" ref="AM368:AM373" si="729">AF368</f>
        <v>0</v>
      </c>
      <c r="AN368" s="300">
        <f t="shared" ref="AN368:AN373" si="730">AL368-AM368</f>
        <v>0</v>
      </c>
    </row>
    <row r="369" spans="1:41" ht="15.75" hidden="1" customHeight="1" outlineLevel="1" x14ac:dyDescent="0.2">
      <c r="A369" s="42" t="s">
        <v>207</v>
      </c>
      <c r="B369" s="42" t="s">
        <v>201</v>
      </c>
      <c r="C369" s="79" t="s">
        <v>1</v>
      </c>
      <c r="D369" s="293" t="s">
        <v>1183</v>
      </c>
      <c r="E369" s="47">
        <f>ROUND(SUMIF('Target Achieved- Input'!$B$278:$B$370,'Incentive Report- Output'!B369,'Target Achieved- Input'!$G$278:$G$370),0)</f>
        <v>30</v>
      </c>
      <c r="F369" s="47">
        <f>ROUND(SUMIF('Target Achieved- Input'!$B$278:$B$370,'Incentive Report- Output'!B369,'Target Achieved- Input'!$H$278:$H$370),0)</f>
        <v>39</v>
      </c>
      <c r="G369" s="47">
        <f>SUMIF('Target Achieved- Input'!$L$278:$L$370,'Incentive Report- Output'!B369,'Target Achieved- Input'!$O$278:$O$370)</f>
        <v>44</v>
      </c>
      <c r="H369" s="39">
        <f>SUMIF('Target Achieved- Input'!$S$278:$S$370,'Incentive Report- Output'!B369,'Target Achieved- Input'!$V$278:$V$370)</f>
        <v>13</v>
      </c>
      <c r="I369" s="48">
        <f>SUMIF('Target Achieved- Input'!$L$278:$L$370,'Incentive Report- Output'!B369,'Target Achieved- Input'!$AC$278:$AC$370)</f>
        <v>0</v>
      </c>
      <c r="J369" s="39">
        <f t="shared" si="721"/>
        <v>31</v>
      </c>
      <c r="K369" s="40">
        <f t="shared" si="722"/>
        <v>1.0333333333333334</v>
      </c>
      <c r="L369" s="41">
        <f t="shared" si="723"/>
        <v>990000</v>
      </c>
      <c r="M369" s="41">
        <f>SUMIF('Target Achieved- Input'!$L$278:$L$370,'Incentive Report- Output'!B369,'Target Achieved- Input'!$M$278:$M$370)</f>
        <v>2254456</v>
      </c>
      <c r="N369" s="41">
        <f>SUMIF('Target Achieved- Input'!$S$278:$S$370,'Incentive Report- Output'!B369,'Target Achieved- Input'!$U$278:$U$370)</f>
        <v>468336.44070000009</v>
      </c>
      <c r="O369" s="41">
        <f>SUMIF('Target Achieved- Input'!$L$278:$L$370,'Incentive Report- Output'!B369,'Target Achieved- Input'!$N$278:$N$370)-N369</f>
        <v>1442219.4913999995</v>
      </c>
      <c r="P369" s="40">
        <f t="shared" si="724"/>
        <v>1.4567873650505045</v>
      </c>
      <c r="Q369" s="40">
        <f t="shared" si="725"/>
        <v>1.4567873650505045</v>
      </c>
      <c r="R369" s="40">
        <v>0</v>
      </c>
      <c r="S369" s="49">
        <f>(LOOKUP(Q369,Policy!$L$12:$M$16)+R369)*O369</f>
        <v>43266.584741999985</v>
      </c>
      <c r="T369" s="191"/>
      <c r="U369" s="192"/>
      <c r="V369" s="144"/>
      <c r="W369" s="192"/>
      <c r="X369" s="386"/>
      <c r="Y369" s="386"/>
      <c r="Z369" s="386"/>
      <c r="AA369" s="52">
        <v>0</v>
      </c>
      <c r="AB369" s="52">
        <v>0</v>
      </c>
      <c r="AC369" s="52">
        <v>0</v>
      </c>
      <c r="AD369" s="41">
        <f t="shared" si="726"/>
        <v>0</v>
      </c>
      <c r="AE369" s="41">
        <f t="shared" si="727"/>
        <v>43266.584741999985</v>
      </c>
      <c r="AF369" s="41">
        <f t="shared" si="728"/>
        <v>43266.584741999985</v>
      </c>
      <c r="AG369" s="32"/>
      <c r="AH369" s="419"/>
      <c r="AI369" s="289" t="s">
        <v>207</v>
      </c>
      <c r="AJ369" s="289" t="s">
        <v>201</v>
      </c>
      <c r="AK369" s="289" t="s">
        <v>1183</v>
      </c>
      <c r="AL369" s="309">
        <v>57316.677962999987</v>
      </c>
      <c r="AM369" s="299">
        <f t="shared" si="729"/>
        <v>43266.584741999985</v>
      </c>
      <c r="AN369" s="300">
        <f t="shared" si="730"/>
        <v>14050.093221000003</v>
      </c>
    </row>
    <row r="370" spans="1:41" ht="15.75" hidden="1" customHeight="1" outlineLevel="1" x14ac:dyDescent="0.2">
      <c r="A370" s="42" t="s">
        <v>299</v>
      </c>
      <c r="B370" s="42" t="s">
        <v>290</v>
      </c>
      <c r="C370" s="79" t="s">
        <v>1</v>
      </c>
      <c r="D370" s="293" t="s">
        <v>1183</v>
      </c>
      <c r="E370" s="47">
        <f>ROUND(SUMIF('Target Achieved- Input'!$B$278:$B$370,'Incentive Report- Output'!B370,'Target Achieved- Input'!$G$278:$G$370),0)</f>
        <v>60</v>
      </c>
      <c r="F370" s="47">
        <f>ROUND(SUMIF('Target Achieved- Input'!$B$278:$B$370,'Incentive Report- Output'!B370,'Target Achieved- Input'!$H$278:$H$370),0)</f>
        <v>78</v>
      </c>
      <c r="G370" s="47">
        <f>SUMIF('Target Achieved- Input'!$L$278:$L$370,'Incentive Report- Output'!B370,'Target Achieved- Input'!$O$278:$O$370)</f>
        <v>14</v>
      </c>
      <c r="H370" s="39">
        <f>SUMIF('Target Achieved- Input'!$S$278:$S$370,'Incentive Report- Output'!B370,'Target Achieved- Input'!$V$278:$V$370)</f>
        <v>14</v>
      </c>
      <c r="I370" s="48">
        <f>SUMIF('Target Achieved- Input'!$L$278:$L$370,'Incentive Report- Output'!B370,'Target Achieved- Input'!$AC$278:$AC$370)</f>
        <v>0</v>
      </c>
      <c r="J370" s="39">
        <f t="shared" si="721"/>
        <v>0</v>
      </c>
      <c r="K370" s="40">
        <f t="shared" si="722"/>
        <v>0</v>
      </c>
      <c r="L370" s="41">
        <f t="shared" si="723"/>
        <v>1980000</v>
      </c>
      <c r="M370" s="41">
        <f>SUMIF('Target Achieved- Input'!$L$278:$L$370,'Incentive Report- Output'!B370,'Target Achieved- Input'!$M$278:$M$370)</f>
        <v>645986</v>
      </c>
      <c r="N370" s="41">
        <f>SUMIF('Target Achieved- Input'!$S$278:$S$370,'Incentive Report- Output'!B370,'Target Achieved- Input'!$U$278:$U$370)</f>
        <v>547445.76290000009</v>
      </c>
      <c r="O370" s="41">
        <f>SUMIF('Target Achieved- Input'!$L$278:$L$370,'Incentive Report- Output'!B370,'Target Achieved- Input'!$N$278:$N$370)-N370</f>
        <v>0</v>
      </c>
      <c r="P370" s="40">
        <f t="shared" si="724"/>
        <v>0</v>
      </c>
      <c r="Q370" s="40">
        <f t="shared" si="725"/>
        <v>0</v>
      </c>
      <c r="R370" s="40">
        <v>0</v>
      </c>
      <c r="S370" s="49">
        <f>(LOOKUP(Q370,Policy!$L$12:$M$16)+R370)*O370</f>
        <v>0</v>
      </c>
      <c r="T370" s="191"/>
      <c r="U370" s="192"/>
      <c r="V370" s="144"/>
      <c r="W370" s="192"/>
      <c r="X370" s="386"/>
      <c r="Y370" s="386"/>
      <c r="Z370" s="386"/>
      <c r="AA370" s="52">
        <v>0</v>
      </c>
      <c r="AB370" s="52">
        <v>0</v>
      </c>
      <c r="AC370" s="52">
        <v>0</v>
      </c>
      <c r="AD370" s="41">
        <f t="shared" si="726"/>
        <v>0</v>
      </c>
      <c r="AE370" s="41">
        <f t="shared" si="727"/>
        <v>0</v>
      </c>
      <c r="AF370" s="41">
        <f t="shared" si="728"/>
        <v>0</v>
      </c>
      <c r="AG370" s="32"/>
      <c r="AH370" s="419"/>
      <c r="AI370" s="289" t="s">
        <v>299</v>
      </c>
      <c r="AJ370" s="289" t="s">
        <v>290</v>
      </c>
      <c r="AK370" s="289" t="s">
        <v>1183</v>
      </c>
      <c r="AL370" s="309">
        <v>0</v>
      </c>
      <c r="AM370" s="299">
        <f t="shared" si="729"/>
        <v>0</v>
      </c>
      <c r="AN370" s="300">
        <f t="shared" si="730"/>
        <v>0</v>
      </c>
    </row>
    <row r="371" spans="1:41" ht="15.75" hidden="1" customHeight="1" outlineLevel="1" x14ac:dyDescent="0.2">
      <c r="A371" s="42" t="s">
        <v>837</v>
      </c>
      <c r="B371" s="42" t="s">
        <v>838</v>
      </c>
      <c r="C371" s="79" t="s">
        <v>1</v>
      </c>
      <c r="D371" s="293" t="s">
        <v>1183</v>
      </c>
      <c r="E371" s="47">
        <f>ROUND(SUMIF('Target Achieved- Input'!$B$278:$B$370,'Incentive Report- Output'!B371,'Target Achieved- Input'!$G$278:$G$370),0)</f>
        <v>50</v>
      </c>
      <c r="F371" s="47">
        <f>ROUND(SUMIF('Target Achieved- Input'!$B$278:$B$370,'Incentive Report- Output'!B371,'Target Achieved- Input'!$H$278:$H$370),0)</f>
        <v>65</v>
      </c>
      <c r="G371" s="47">
        <f>SUMIF('Target Achieved- Input'!$L$278:$L$370,'Incentive Report- Output'!B371,'Target Achieved- Input'!$O$278:$O$370)</f>
        <v>34</v>
      </c>
      <c r="H371" s="39">
        <f>SUMIF('Target Achieved- Input'!$S$278:$S$370,'Incentive Report- Output'!B371,'Target Achieved- Input'!$V$278:$V$370)</f>
        <v>5</v>
      </c>
      <c r="I371" s="48">
        <f>SUMIF('Target Achieved- Input'!$L$278:$L$370,'Incentive Report- Output'!B371,'Target Achieved- Input'!$AC$278:$AC$370)</f>
        <v>0</v>
      </c>
      <c r="J371" s="39">
        <f t="shared" si="721"/>
        <v>29</v>
      </c>
      <c r="K371" s="40">
        <f t="shared" si="722"/>
        <v>0.57999999999999996</v>
      </c>
      <c r="L371" s="41">
        <f t="shared" si="723"/>
        <v>1650000</v>
      </c>
      <c r="M371" s="41">
        <f>SUMIF('Target Achieved- Input'!$L$278:$L$370,'Incentive Report- Output'!B371,'Target Achieved- Input'!$M$278:$M$370)</f>
        <v>1460766</v>
      </c>
      <c r="N371" s="41">
        <f>SUMIF('Target Achieved- Input'!$S$278:$S$370,'Incentive Report- Output'!B371,'Target Achieved- Input'!$U$278:$U$370)</f>
        <v>180927.96609999999</v>
      </c>
      <c r="O371" s="41">
        <f>SUMIF('Target Achieved- Input'!$L$278:$L$370,'Incentive Report- Output'!B371,'Target Achieved- Input'!$N$278:$N$370)-N371</f>
        <v>1057009.3218999999</v>
      </c>
      <c r="P371" s="40">
        <f t="shared" si="724"/>
        <v>0.64061171024242414</v>
      </c>
      <c r="Q371" s="40">
        <f t="shared" si="725"/>
        <v>0.64061171024242414</v>
      </c>
      <c r="R371" s="40">
        <v>0</v>
      </c>
      <c r="S371" s="49">
        <f>(LOOKUP(Q371,Policy!$L$12:$M$16)+R371)*O371</f>
        <v>5285.0466094999992</v>
      </c>
      <c r="T371" s="185"/>
      <c r="U371" s="156"/>
      <c r="V371" s="51"/>
      <c r="W371" s="156"/>
      <c r="X371" s="386"/>
      <c r="Y371" s="386"/>
      <c r="Z371" s="386"/>
      <c r="AA371" s="52">
        <v>0</v>
      </c>
      <c r="AB371" s="52">
        <v>0</v>
      </c>
      <c r="AC371" s="52">
        <v>0</v>
      </c>
      <c r="AD371" s="41">
        <f t="shared" si="726"/>
        <v>0</v>
      </c>
      <c r="AE371" s="41">
        <f t="shared" si="727"/>
        <v>5285.0466094999992</v>
      </c>
      <c r="AF371" s="41">
        <f t="shared" si="728"/>
        <v>5285.0466094999992</v>
      </c>
      <c r="AG371" s="32"/>
      <c r="AH371" s="419"/>
      <c r="AI371" s="289" t="s">
        <v>837</v>
      </c>
      <c r="AJ371" s="289" t="s">
        <v>838</v>
      </c>
      <c r="AK371" s="289" t="s">
        <v>1183</v>
      </c>
      <c r="AL371" s="309">
        <v>6189.6864399999995</v>
      </c>
      <c r="AM371" s="299">
        <f t="shared" si="729"/>
        <v>5285.0466094999992</v>
      </c>
      <c r="AN371" s="300">
        <f t="shared" si="730"/>
        <v>904.63983050000024</v>
      </c>
    </row>
    <row r="372" spans="1:41" ht="15.75" hidden="1" customHeight="1" outlineLevel="1" x14ac:dyDescent="0.2">
      <c r="A372" s="42" t="s">
        <v>221</v>
      </c>
      <c r="B372" s="42" t="s">
        <v>45</v>
      </c>
      <c r="C372" s="79" t="s">
        <v>1</v>
      </c>
      <c r="D372" s="293" t="s">
        <v>1183</v>
      </c>
      <c r="E372" s="47">
        <f>ROUND(SUMIF('Target Achieved- Input'!$B$278:$B$370,'Incentive Report- Output'!B372,'Target Achieved- Input'!$G$278:$G$370),0)</f>
        <v>50</v>
      </c>
      <c r="F372" s="47">
        <f>ROUND(SUMIF('Target Achieved- Input'!$B$278:$B$370,'Incentive Report- Output'!B372,'Target Achieved- Input'!$H$278:$H$370),0)</f>
        <v>65</v>
      </c>
      <c r="G372" s="47">
        <f>SUMIF('Target Achieved- Input'!$L$278:$L$370,'Incentive Report- Output'!B372,'Target Achieved- Input'!$O$278:$O$370)</f>
        <v>28</v>
      </c>
      <c r="H372" s="39">
        <f>SUMIF('Target Achieved- Input'!$S$278:$S$370,'Incentive Report- Output'!B372,'Target Achieved- Input'!$V$278:$V$370)</f>
        <v>10</v>
      </c>
      <c r="I372" s="48">
        <f>SUMIF('Target Achieved- Input'!$L$278:$L$370,'Incentive Report- Output'!B372,'Target Achieved- Input'!$AC$278:$AC$370)</f>
        <v>0</v>
      </c>
      <c r="J372" s="39">
        <f t="shared" si="721"/>
        <v>18</v>
      </c>
      <c r="K372" s="40">
        <f t="shared" si="722"/>
        <v>0.36</v>
      </c>
      <c r="L372" s="41">
        <f t="shared" si="723"/>
        <v>1650000</v>
      </c>
      <c r="M372" s="41">
        <f>SUMIF('Target Achieved- Input'!$L$278:$L$370,'Incentive Report- Output'!B372,'Target Achieved- Input'!$M$278:$M$370)</f>
        <v>1372872</v>
      </c>
      <c r="N372" s="41">
        <f>SUMIF('Target Achieved- Input'!$S$278:$S$370,'Incentive Report- Output'!B372,'Target Achieved- Input'!$U$278:$U$370)</f>
        <v>346347.45770000003</v>
      </c>
      <c r="O372" s="41">
        <f>SUMIF('Target Achieved- Input'!$L$278:$L$370,'Incentive Report- Output'!B372,'Target Achieved- Input'!$N$278:$N$370)-N372</f>
        <v>817103.38969999983</v>
      </c>
      <c r="P372" s="40">
        <f t="shared" si="724"/>
        <v>0.49521417557575748</v>
      </c>
      <c r="Q372" s="40">
        <f t="shared" si="725"/>
        <v>0.49521417557575748</v>
      </c>
      <c r="R372" s="40">
        <v>0</v>
      </c>
      <c r="S372" s="49">
        <f>(LOOKUP(Q372,Policy!$L$12:$M$16)+R372)*O372</f>
        <v>0</v>
      </c>
      <c r="T372" s="191"/>
      <c r="U372" s="192"/>
      <c r="V372" s="144"/>
      <c r="W372" s="192"/>
      <c r="X372" s="386"/>
      <c r="Y372" s="386"/>
      <c r="Z372" s="386"/>
      <c r="AA372" s="52">
        <v>0</v>
      </c>
      <c r="AB372" s="52">
        <v>0</v>
      </c>
      <c r="AC372" s="52">
        <v>0</v>
      </c>
      <c r="AD372" s="41">
        <f t="shared" si="726"/>
        <v>0</v>
      </c>
      <c r="AE372" s="41">
        <f t="shared" si="727"/>
        <v>0</v>
      </c>
      <c r="AF372" s="41">
        <f t="shared" si="728"/>
        <v>0</v>
      </c>
      <c r="AG372" s="32"/>
      <c r="AH372" s="419"/>
      <c r="AI372" s="289" t="s">
        <v>221</v>
      </c>
      <c r="AJ372" s="289" t="s">
        <v>45</v>
      </c>
      <c r="AK372" s="289" t="s">
        <v>1183</v>
      </c>
      <c r="AL372" s="309">
        <v>5817.2542369999992</v>
      </c>
      <c r="AM372" s="299">
        <f t="shared" si="729"/>
        <v>0</v>
      </c>
      <c r="AN372" s="300">
        <f t="shared" si="730"/>
        <v>5817.2542369999992</v>
      </c>
    </row>
    <row r="373" spans="1:41" ht="15.75" hidden="1" customHeight="1" outlineLevel="1" x14ac:dyDescent="0.2">
      <c r="A373" s="42" t="s">
        <v>1165</v>
      </c>
      <c r="B373" s="42" t="s">
        <v>1166</v>
      </c>
      <c r="C373" s="79" t="s">
        <v>1</v>
      </c>
      <c r="D373" s="293" t="s">
        <v>1183</v>
      </c>
      <c r="E373" s="47">
        <f>ROUND(SUMIF('Target Achieved- Input'!$B$278:$B$370,'Incentive Report- Output'!B373,'Target Achieved- Input'!$G$278:$G$370),0)</f>
        <v>60</v>
      </c>
      <c r="F373" s="47">
        <f>ROUND(SUMIF('Target Achieved- Input'!$B$278:$B$370,'Incentive Report- Output'!B373,'Target Achieved- Input'!$H$278:$H$370),0)</f>
        <v>78</v>
      </c>
      <c r="G373" s="47">
        <f>SUMIF('Target Achieved- Input'!$L$278:$L$370,'Incentive Report- Output'!B373,'Target Achieved- Input'!$O$278:$O$370)</f>
        <v>20</v>
      </c>
      <c r="H373" s="39">
        <f>SUMIF('Target Achieved- Input'!$S$278:$S$370,'Incentive Report- Output'!B373,'Target Achieved- Input'!$V$278:$V$370)</f>
        <v>10</v>
      </c>
      <c r="I373" s="48">
        <f>SUMIF('Target Achieved- Input'!$L$278:$L$370,'Incentive Report- Output'!B373,'Target Achieved- Input'!$AC$278:$AC$370)</f>
        <v>0</v>
      </c>
      <c r="J373" s="39">
        <f t="shared" si="721"/>
        <v>10</v>
      </c>
      <c r="K373" s="40">
        <f t="shared" si="722"/>
        <v>0.16666666666666666</v>
      </c>
      <c r="L373" s="41">
        <f t="shared" si="723"/>
        <v>1980000</v>
      </c>
      <c r="M373" s="41">
        <f>SUMIF('Target Achieved- Input'!$L$278:$L$370,'Incentive Report- Output'!B373,'Target Achieved- Input'!$M$278:$M$370)</f>
        <v>920180</v>
      </c>
      <c r="N373" s="41">
        <f>SUMIF('Target Achieved- Input'!$S$278:$S$370,'Incentive Report- Output'!B373,'Target Achieved- Input'!$U$278:$U$370)</f>
        <v>429906.77990000002</v>
      </c>
      <c r="O373" s="41">
        <f>SUMIF('Target Achieved- Input'!$L$278:$L$370,'Incentive Report- Output'!B373,'Target Achieved- Input'!$N$278:$N$370)-N373</f>
        <v>349906.77960000007</v>
      </c>
      <c r="P373" s="40">
        <f t="shared" si="724"/>
        <v>0.17672059575757579</v>
      </c>
      <c r="Q373" s="40">
        <f t="shared" si="725"/>
        <v>0.17672059575757579</v>
      </c>
      <c r="R373" s="40">
        <v>0</v>
      </c>
      <c r="S373" s="49">
        <f>(LOOKUP(Q373,Policy!$L$12:$M$16)+R373)*O373</f>
        <v>0</v>
      </c>
      <c r="T373" s="185"/>
      <c r="U373" s="156"/>
      <c r="V373" s="51"/>
      <c r="W373" s="156"/>
      <c r="X373" s="387"/>
      <c r="Y373" s="387"/>
      <c r="Z373" s="387"/>
      <c r="AA373" s="52">
        <v>0</v>
      </c>
      <c r="AB373" s="52">
        <v>0</v>
      </c>
      <c r="AC373" s="52">
        <v>0</v>
      </c>
      <c r="AD373" s="41">
        <f t="shared" si="726"/>
        <v>0</v>
      </c>
      <c r="AE373" s="41">
        <f t="shared" si="727"/>
        <v>0</v>
      </c>
      <c r="AF373" s="41">
        <f t="shared" si="728"/>
        <v>0</v>
      </c>
      <c r="AG373" s="32"/>
      <c r="AH373" s="419"/>
      <c r="AI373" s="289" t="s">
        <v>1165</v>
      </c>
      <c r="AJ373" s="289" t="s">
        <v>1166</v>
      </c>
      <c r="AK373" s="289" t="s">
        <v>1183</v>
      </c>
      <c r="AL373" s="309">
        <v>0</v>
      </c>
      <c r="AM373" s="299">
        <f t="shared" si="729"/>
        <v>0</v>
      </c>
      <c r="AN373" s="300">
        <f t="shared" si="730"/>
        <v>0</v>
      </c>
    </row>
    <row r="374" spans="1:41" ht="15.75" hidden="1" customHeight="1" outlineLevel="1" x14ac:dyDescent="0.2">
      <c r="A374" s="109" t="s">
        <v>6</v>
      </c>
      <c r="B374" s="109"/>
      <c r="C374" s="109"/>
      <c r="D374" s="292" t="s">
        <v>1183</v>
      </c>
      <c r="E374" s="88">
        <f t="shared" ref="E374:J374" si="731">SUM(E368:E373)</f>
        <v>310</v>
      </c>
      <c r="F374" s="88">
        <f t="shared" si="731"/>
        <v>403</v>
      </c>
      <c r="G374" s="88">
        <f t="shared" si="731"/>
        <v>161</v>
      </c>
      <c r="H374" s="88">
        <f t="shared" si="731"/>
        <v>73</v>
      </c>
      <c r="I374" s="88">
        <f t="shared" si="731"/>
        <v>0</v>
      </c>
      <c r="J374" s="88">
        <f t="shared" si="731"/>
        <v>88</v>
      </c>
      <c r="K374" s="88"/>
      <c r="L374" s="88">
        <f>SUM(L368:L373)</f>
        <v>10230000</v>
      </c>
      <c r="M374" s="88">
        <f>SUM(M368:M373)</f>
        <v>7712539</v>
      </c>
      <c r="N374" s="88">
        <f>SUM(N368:N373)</f>
        <v>2869811.0176000004</v>
      </c>
      <c r="O374" s="88">
        <f>SUM(O368:O373)</f>
        <v>3666238.9825999993</v>
      </c>
      <c r="P374" s="88"/>
      <c r="Q374" s="88"/>
      <c r="R374" s="88"/>
      <c r="S374" s="88">
        <f>SUM(S368:S373)</f>
        <v>48551.631351499986</v>
      </c>
      <c r="T374" s="88">
        <f>SUM(T368:T373)</f>
        <v>0</v>
      </c>
      <c r="U374" s="88">
        <f>SUM(U368:U373)</f>
        <v>0</v>
      </c>
      <c r="V374" s="88">
        <f>SUM(V368:V373)</f>
        <v>0</v>
      </c>
      <c r="W374" s="88">
        <f>SUM(W368:W373)</f>
        <v>0</v>
      </c>
      <c r="X374" s="88">
        <f>SUM(X369:X373)</f>
        <v>0</v>
      </c>
      <c r="Y374" s="88">
        <f>SUM(Y369:Y373)</f>
        <v>0</v>
      </c>
      <c r="Z374" s="88">
        <f>SUM(Z369:Z373)</f>
        <v>0</v>
      </c>
      <c r="AA374" s="88">
        <f t="shared" ref="AA374:AF374" si="732">SUM(AA368:AA373)</f>
        <v>0</v>
      </c>
      <c r="AB374" s="88">
        <f t="shared" si="732"/>
        <v>0</v>
      </c>
      <c r="AC374" s="88">
        <f t="shared" si="732"/>
        <v>0</v>
      </c>
      <c r="AD374" s="88">
        <f t="shared" si="732"/>
        <v>0</v>
      </c>
      <c r="AE374" s="88">
        <f t="shared" si="732"/>
        <v>48551.631351499986</v>
      </c>
      <c r="AF374" s="88">
        <f t="shared" si="732"/>
        <v>48551.631351499986</v>
      </c>
      <c r="AG374" s="31"/>
      <c r="AH374" s="419"/>
      <c r="AI374" s="43" t="s">
        <v>6</v>
      </c>
      <c r="AJ374" s="43"/>
      <c r="AK374" s="43" t="s">
        <v>1183</v>
      </c>
      <c r="AL374" s="307">
        <v>74497.042368499984</v>
      </c>
      <c r="AM374" s="307">
        <f>SUM(AM368:AM373)</f>
        <v>48551.631351499986</v>
      </c>
      <c r="AN374" s="307">
        <f>SUM(AN369:AN373)</f>
        <v>20771.9872885</v>
      </c>
    </row>
    <row r="375" spans="1:41" ht="15.75" hidden="1" customHeight="1" outlineLevel="1" x14ac:dyDescent="0.2">
      <c r="A375" s="42" t="s">
        <v>216</v>
      </c>
      <c r="B375" s="42" t="s">
        <v>18</v>
      </c>
      <c r="C375" s="42" t="s">
        <v>0</v>
      </c>
      <c r="D375" s="293" t="s">
        <v>1184</v>
      </c>
      <c r="E375" s="47">
        <f>ROUND(SUMIF('Target Achieved- Input'!$B$278:$B$370,'Incentive Report- Output'!B375,'Target Achieved- Input'!$G$278:$G$370),0)</f>
        <v>30</v>
      </c>
      <c r="F375" s="47">
        <f>ROUND(SUMIF('Target Achieved- Input'!$B$278:$B$370,'Incentive Report- Output'!B375,'Target Achieved- Input'!$H$278:$H$370),0)</f>
        <v>39</v>
      </c>
      <c r="G375" s="47">
        <f>SUMIF('Target Achieved- Input'!$L$278:$L$370,'Incentive Report- Output'!B375,'Target Achieved- Input'!$O$278:$O$370)</f>
        <v>40</v>
      </c>
      <c r="H375" s="39">
        <f>SUMIF('Target Achieved- Input'!$S$278:$S$370,'Incentive Report- Output'!B375,'Target Achieved- Input'!$V$278:$V$370)</f>
        <v>0</v>
      </c>
      <c r="I375" s="48">
        <f>SUMIF('Target Achieved- Input'!$L$278:$L$370,'Incentive Report- Output'!B375,'Target Achieved- Input'!$AC$278:$AC$370)</f>
        <v>1</v>
      </c>
      <c r="J375" s="39">
        <f t="shared" ref="J375:J380" si="733">G375-H375</f>
        <v>40</v>
      </c>
      <c r="K375" s="40">
        <f t="shared" ref="K375:K380" si="734">IFERROR(J375/E375,0)</f>
        <v>1.3333333333333333</v>
      </c>
      <c r="L375" s="41">
        <f t="shared" ref="L375:L380" si="735">E375*33000</f>
        <v>990000</v>
      </c>
      <c r="M375" s="41">
        <f>SUMIF('Target Achieved- Input'!$L$278:$L$370,'Incentive Report- Output'!B375,'Target Achieved- Input'!$M$278:$M$370)</f>
        <v>1970960</v>
      </c>
      <c r="N375" s="41">
        <f>SUMIF('Target Achieved- Input'!$S$278:$S$370,'Incentive Report- Output'!B375,'Target Achieved- Input'!$U$278:$U$370)</f>
        <v>0</v>
      </c>
      <c r="O375" s="41">
        <f>SUMIF('Target Achieved- Input'!$L$278:$L$370,'Incentive Report- Output'!B375,'Target Achieved- Input'!$N$278:$N$370)-N375</f>
        <v>1670305.0850899995</v>
      </c>
      <c r="P375" s="40">
        <f t="shared" ref="P375:P380" si="736">IFERROR(O375/L375,0)</f>
        <v>1.6871768536262621</v>
      </c>
      <c r="Q375" s="40">
        <f t="shared" ref="Q375:Q380" si="737">MAX(P375,K375)</f>
        <v>1.6871768536262621</v>
      </c>
      <c r="R375" s="40">
        <v>0</v>
      </c>
      <c r="S375" s="49">
        <f>(LOOKUP(Q375,Policy!$L$12:$M$16)+R375)*O375</f>
        <v>50109.152552699983</v>
      </c>
      <c r="T375" s="191"/>
      <c r="U375" s="192"/>
      <c r="V375" s="144"/>
      <c r="W375" s="192"/>
      <c r="X375" s="385"/>
      <c r="Y375" s="385"/>
      <c r="Z375" s="388"/>
      <c r="AA375" s="52">
        <v>0</v>
      </c>
      <c r="AB375" s="52">
        <v>0</v>
      </c>
      <c r="AC375" s="52">
        <v>0</v>
      </c>
      <c r="AD375" s="41">
        <f t="shared" ref="AD375:AD380" si="738">IF(AF375&gt;200000,AF375-200000,0)</f>
        <v>0</v>
      </c>
      <c r="AE375" s="41">
        <f t="shared" ref="AE375:AE380" si="739">AF375-AD375</f>
        <v>50109.152552699983</v>
      </c>
      <c r="AF375" s="41">
        <f>S375+W375+AB375+AC375</f>
        <v>50109.152552699983</v>
      </c>
      <c r="AG375" s="32"/>
      <c r="AH375" s="419"/>
      <c r="AI375" s="289" t="s">
        <v>216</v>
      </c>
      <c r="AJ375" s="289" t="s">
        <v>18</v>
      </c>
      <c r="AK375" s="289" t="s">
        <v>1184</v>
      </c>
      <c r="AL375" s="309">
        <v>50109.152552699983</v>
      </c>
      <c r="AM375" s="299">
        <f t="shared" ref="AM375:AM380" si="740">AF375</f>
        <v>50109.152552699983</v>
      </c>
      <c r="AN375" s="300">
        <f t="shared" ref="AN375:AN380" si="741">AL375-AM375</f>
        <v>0</v>
      </c>
    </row>
    <row r="376" spans="1:41" ht="15.75" hidden="1" customHeight="1" outlineLevel="1" x14ac:dyDescent="0.2">
      <c r="A376" s="42" t="s">
        <v>701</v>
      </c>
      <c r="B376" s="42" t="s">
        <v>702</v>
      </c>
      <c r="C376" s="79" t="s">
        <v>1</v>
      </c>
      <c r="D376" s="293" t="s">
        <v>1184</v>
      </c>
      <c r="E376" s="47">
        <f>ROUND(SUMIF('Target Achieved- Input'!$B$278:$B$370,'Incentive Report- Output'!B376,'Target Achieved- Input'!$G$278:$G$370),0)</f>
        <v>50</v>
      </c>
      <c r="F376" s="47">
        <f>ROUND(SUMIF('Target Achieved- Input'!$B$278:$B$370,'Incentive Report- Output'!B376,'Target Achieved- Input'!$H$278:$H$370),0)</f>
        <v>65</v>
      </c>
      <c r="G376" s="47">
        <f>SUMIF('Target Achieved- Input'!$L$278:$L$370,'Incentive Report- Output'!B376,'Target Achieved- Input'!$O$278:$O$370)</f>
        <v>25</v>
      </c>
      <c r="H376" s="39">
        <f>SUMIF('Target Achieved- Input'!$S$278:$S$370,'Incentive Report- Output'!B376,'Target Achieved- Input'!$V$278:$V$370)</f>
        <v>0</v>
      </c>
      <c r="I376" s="48">
        <f>SUMIF('Target Achieved- Input'!$L$278:$L$370,'Incentive Report- Output'!B376,'Target Achieved- Input'!$AC$278:$AC$370)</f>
        <v>0</v>
      </c>
      <c r="J376" s="39">
        <f t="shared" si="733"/>
        <v>25</v>
      </c>
      <c r="K376" s="40">
        <f t="shared" si="734"/>
        <v>0.5</v>
      </c>
      <c r="L376" s="41">
        <f t="shared" si="735"/>
        <v>1650000</v>
      </c>
      <c r="M376" s="41">
        <f>SUMIF('Target Achieved- Input'!$L$278:$L$370,'Incentive Report- Output'!B376,'Target Achieved- Input'!$M$278:$M$370)</f>
        <v>1276975</v>
      </c>
      <c r="N376" s="41">
        <f>SUMIF('Target Achieved- Input'!$S$278:$S$370,'Incentive Report- Output'!B376,'Target Achieved- Input'!$U$278:$U$370)</f>
        <v>0</v>
      </c>
      <c r="O376" s="41">
        <f>SUMIF('Target Achieved- Input'!$L$278:$L$370,'Incentive Report- Output'!B376,'Target Achieved- Input'!$N$278:$N$370)-N376</f>
        <v>1082182.2035000003</v>
      </c>
      <c r="P376" s="40">
        <f t="shared" si="736"/>
        <v>0.65586800212121232</v>
      </c>
      <c r="Q376" s="40">
        <f t="shared" si="737"/>
        <v>0.65586800212121232</v>
      </c>
      <c r="R376" s="40">
        <v>0</v>
      </c>
      <c r="S376" s="49">
        <f>(LOOKUP(Q376,Policy!$L$12:$M$16)+R376)*O376</f>
        <v>5410.9110175000014</v>
      </c>
      <c r="T376" s="191"/>
      <c r="U376" s="192"/>
      <c r="V376" s="144"/>
      <c r="W376" s="192"/>
      <c r="X376" s="386"/>
      <c r="Y376" s="386"/>
      <c r="Z376" s="389"/>
      <c r="AA376" s="52">
        <v>0</v>
      </c>
      <c r="AB376" s="52">
        <v>0</v>
      </c>
      <c r="AC376" s="52">
        <v>0</v>
      </c>
      <c r="AD376" s="41">
        <f t="shared" si="738"/>
        <v>0</v>
      </c>
      <c r="AE376" s="41">
        <f t="shared" si="739"/>
        <v>5410.9110175000014</v>
      </c>
      <c r="AF376" s="41">
        <f>S376+W376+AB376+AC376</f>
        <v>5410.9110175000014</v>
      </c>
      <c r="AG376" s="32"/>
      <c r="AH376" s="419"/>
      <c r="AI376" s="289" t="s">
        <v>701</v>
      </c>
      <c r="AJ376" s="289" t="s">
        <v>702</v>
      </c>
      <c r="AK376" s="289" t="s">
        <v>1184</v>
      </c>
      <c r="AL376" s="309">
        <v>5410.9110175000014</v>
      </c>
      <c r="AM376" s="299">
        <f t="shared" si="740"/>
        <v>5410.9110175000014</v>
      </c>
      <c r="AN376" s="300">
        <f t="shared" si="741"/>
        <v>0</v>
      </c>
    </row>
    <row r="377" spans="1:41" ht="15.75" hidden="1" customHeight="1" outlineLevel="1" x14ac:dyDescent="0.2">
      <c r="A377" s="42" t="s">
        <v>671</v>
      </c>
      <c r="B377" s="42" t="s">
        <v>200</v>
      </c>
      <c r="C377" s="79" t="s">
        <v>1</v>
      </c>
      <c r="D377" s="293" t="s">
        <v>1184</v>
      </c>
      <c r="E377" s="47">
        <f>ROUND(SUMIF('Target Achieved- Input'!$B$278:$B$370,'Incentive Report- Output'!B377,'Target Achieved- Input'!$G$278:$G$370),0)</f>
        <v>60</v>
      </c>
      <c r="F377" s="47">
        <f>ROUND(SUMIF('Target Achieved- Input'!$B$278:$B$370,'Incentive Report- Output'!B377,'Target Achieved- Input'!$H$278:$H$370),0)</f>
        <v>78</v>
      </c>
      <c r="G377" s="47">
        <f>SUMIF('Target Achieved- Input'!$L$278:$L$370,'Incentive Report- Output'!B377,'Target Achieved- Input'!$O$278:$O$370)</f>
        <v>16</v>
      </c>
      <c r="H377" s="39">
        <f>SUMIF('Target Achieved- Input'!$S$278:$S$370,'Incentive Report- Output'!B377,'Target Achieved- Input'!$V$278:$V$370)</f>
        <v>7</v>
      </c>
      <c r="I377" s="48">
        <f>SUMIF('Target Achieved- Input'!$L$278:$L$370,'Incentive Report- Output'!B377,'Target Achieved- Input'!$AC$278:$AC$370)</f>
        <v>0</v>
      </c>
      <c r="J377" s="39">
        <f t="shared" si="733"/>
        <v>9</v>
      </c>
      <c r="K377" s="40">
        <f t="shared" si="734"/>
        <v>0.15</v>
      </c>
      <c r="L377" s="41">
        <f t="shared" si="735"/>
        <v>1980000</v>
      </c>
      <c r="M377" s="41">
        <f>SUMIF('Target Achieved- Input'!$L$278:$L$370,'Incentive Report- Output'!B377,'Target Achieved- Input'!$M$278:$M$370)</f>
        <v>735684</v>
      </c>
      <c r="N377" s="41">
        <f>SUMIF('Target Achieved- Input'!$S$278:$S$370,'Incentive Report- Output'!B377,'Target Achieved- Input'!$U$278:$U$370)</f>
        <v>227705.93219999998</v>
      </c>
      <c r="O377" s="41">
        <f>SUMIF('Target Achieved- Input'!$L$278:$L$370,'Incentive Report- Output'!B377,'Target Achieved- Input'!$N$278:$N$370)-N377</f>
        <v>395755.08460000012</v>
      </c>
      <c r="P377" s="40">
        <f t="shared" si="736"/>
        <v>0.1998763053535354</v>
      </c>
      <c r="Q377" s="40">
        <f t="shared" si="737"/>
        <v>0.1998763053535354</v>
      </c>
      <c r="R377" s="40">
        <v>0</v>
      </c>
      <c r="S377" s="49">
        <f>(LOOKUP(Q377,Policy!$L$12:$M$16)+R377)*O377</f>
        <v>0</v>
      </c>
      <c r="T377" s="185"/>
      <c r="U377" s="156"/>
      <c r="V377" s="51"/>
      <c r="W377" s="156"/>
      <c r="X377" s="386"/>
      <c r="Y377" s="386"/>
      <c r="Z377" s="389"/>
      <c r="AA377" s="52">
        <v>0</v>
      </c>
      <c r="AB377" s="52">
        <v>0</v>
      </c>
      <c r="AC377" s="52">
        <v>0</v>
      </c>
      <c r="AD377" s="41">
        <f t="shared" si="738"/>
        <v>0</v>
      </c>
      <c r="AE377" s="41">
        <f t="shared" si="739"/>
        <v>0</v>
      </c>
      <c r="AF377" s="41">
        <f>S377+W377+AB377+AC377</f>
        <v>0</v>
      </c>
      <c r="AG377" s="32"/>
      <c r="AH377" s="419"/>
      <c r="AI377" s="289" t="s">
        <v>671</v>
      </c>
      <c r="AJ377" s="289" t="s">
        <v>200</v>
      </c>
      <c r="AK377" s="289" t="s">
        <v>1184</v>
      </c>
      <c r="AL377" s="309">
        <v>0</v>
      </c>
      <c r="AM377" s="299">
        <f t="shared" si="740"/>
        <v>0</v>
      </c>
      <c r="AN377" s="300">
        <f t="shared" si="741"/>
        <v>0</v>
      </c>
    </row>
    <row r="378" spans="1:41" ht="15.75" hidden="1" customHeight="1" outlineLevel="1" x14ac:dyDescent="0.2">
      <c r="A378" s="42" t="s">
        <v>19</v>
      </c>
      <c r="B378" s="42" t="s">
        <v>205</v>
      </c>
      <c r="C378" s="79" t="s">
        <v>1185</v>
      </c>
      <c r="D378" s="293" t="s">
        <v>1184</v>
      </c>
      <c r="E378" s="47">
        <f>ROUND(SUMIF('Target Achieved- Input'!$B$278:$B$370,'Incentive Report- Output'!B378,'Target Achieved- Input'!$G$278:$G$370),0)</f>
        <v>50</v>
      </c>
      <c r="F378" s="47">
        <f>ROUND(SUMIF('Target Achieved- Input'!$B$278:$B$370,'Incentive Report- Output'!B378,'Target Achieved- Input'!$H$278:$H$370),0)</f>
        <v>65</v>
      </c>
      <c r="G378" s="47">
        <f>SUMIF('Target Achieved- Input'!$L$278:$L$370,'Incentive Report- Output'!B378,'Target Achieved- Input'!$O$278:$O$370)</f>
        <v>19</v>
      </c>
      <c r="H378" s="39">
        <f>SUMIF('Target Achieved- Input'!$S$278:$S$370,'Incentive Report- Output'!B378,'Target Achieved- Input'!$V$278:$V$370)</f>
        <v>0</v>
      </c>
      <c r="I378" s="48">
        <f>SUMIF('Target Achieved- Input'!$L$278:$L$370,'Incentive Report- Output'!B378,'Target Achieved- Input'!$AC$278:$AC$370)</f>
        <v>0</v>
      </c>
      <c r="J378" s="39">
        <f t="shared" si="733"/>
        <v>19</v>
      </c>
      <c r="K378" s="40">
        <f t="shared" si="734"/>
        <v>0.38</v>
      </c>
      <c r="L378" s="41">
        <f t="shared" si="735"/>
        <v>1650000</v>
      </c>
      <c r="M378" s="41">
        <f>SUMIF('Target Achieved- Input'!$L$278:$L$370,'Incentive Report- Output'!B378,'Target Achieved- Input'!$M$278:$M$370)</f>
        <v>995981</v>
      </c>
      <c r="N378" s="41">
        <f>SUMIF('Target Achieved- Input'!$S$278:$S$370,'Incentive Report- Output'!B378,'Target Achieved- Input'!$U$278:$U$370)</f>
        <v>0</v>
      </c>
      <c r="O378" s="41">
        <f>SUMIF('Target Achieved- Input'!$L$278:$L$370,'Incentive Report- Output'!B378,'Target Achieved- Input'!$N$278:$N$370)-N378</f>
        <v>844051.69520000019</v>
      </c>
      <c r="P378" s="40">
        <f t="shared" si="736"/>
        <v>0.511546481939394</v>
      </c>
      <c r="Q378" s="40">
        <f t="shared" si="737"/>
        <v>0.511546481939394</v>
      </c>
      <c r="R378" s="40">
        <v>0</v>
      </c>
      <c r="S378" s="49">
        <f>(LOOKUP(Q378,Policy!$L$12:$M$16)+R378)*O378</f>
        <v>4220.2584760000009</v>
      </c>
      <c r="T378" s="191">
        <f>L377</f>
        <v>1980000</v>
      </c>
      <c r="U378" s="192">
        <f>O377</f>
        <v>395755.08460000012</v>
      </c>
      <c r="V378" s="51">
        <f>IFERROR(U378/T378,0)</f>
        <v>0.1998763053535354</v>
      </c>
      <c r="W378" s="156">
        <f>LOOKUP(V378,Policy!$L$18:$M$21)*U378</f>
        <v>0</v>
      </c>
      <c r="X378" s="386"/>
      <c r="Y378" s="386"/>
      <c r="Z378" s="389"/>
      <c r="AA378" s="52">
        <v>0</v>
      </c>
      <c r="AB378" s="52">
        <v>0</v>
      </c>
      <c r="AC378" s="52">
        <v>0</v>
      </c>
      <c r="AD378" s="41">
        <f t="shared" si="738"/>
        <v>0</v>
      </c>
      <c r="AE378" s="41">
        <f t="shared" si="739"/>
        <v>4220.2584760000009</v>
      </c>
      <c r="AF378" s="41">
        <f>S378+W378+AB378+AC378</f>
        <v>4220.2584760000009</v>
      </c>
      <c r="AG378" s="32"/>
      <c r="AH378" s="419"/>
      <c r="AI378" s="289" t="s">
        <v>19</v>
      </c>
      <c r="AJ378" s="289" t="s">
        <v>205</v>
      </c>
      <c r="AK378" s="289" t="s">
        <v>1184</v>
      </c>
      <c r="AL378" s="309">
        <v>4220.2584760000009</v>
      </c>
      <c r="AM378" s="299">
        <f t="shared" si="740"/>
        <v>4220.2584760000009</v>
      </c>
      <c r="AN378" s="300">
        <f t="shared" si="741"/>
        <v>0</v>
      </c>
    </row>
    <row r="379" spans="1:41" ht="15.75" hidden="1" customHeight="1" outlineLevel="1" x14ac:dyDescent="0.2">
      <c r="A379" s="42" t="s">
        <v>2091</v>
      </c>
      <c r="B379" s="42" t="s">
        <v>2092</v>
      </c>
      <c r="C379" s="79" t="s">
        <v>1</v>
      </c>
      <c r="D379" s="293" t="s">
        <v>1184</v>
      </c>
      <c r="E379" s="47">
        <f>ROUND(SUMIF('Target Achieved- Input'!$B$278:$B$370,'Incentive Report- Output'!B379,'Target Achieved- Input'!$G$278:$G$370),0)</f>
        <v>45</v>
      </c>
      <c r="F379" s="47">
        <f>ROUND(SUMIF('Target Achieved- Input'!$B$278:$B$370,'Incentive Report- Output'!B379,'Target Achieved- Input'!$H$278:$H$370),0)</f>
        <v>59</v>
      </c>
      <c r="G379" s="47">
        <f>SUMIF('Target Achieved- Input'!$L$278:$L$370,'Incentive Report- Output'!B379,'Target Achieved- Input'!$O$278:$O$370)</f>
        <v>22</v>
      </c>
      <c r="H379" s="39">
        <f>SUMIF('Target Achieved- Input'!$S$278:$S$370,'Incentive Report- Output'!B379,'Target Achieved- Input'!$V$278:$V$370)</f>
        <v>6</v>
      </c>
      <c r="I379" s="48">
        <f>SUMIF('Target Achieved- Input'!$L$278:$L$370,'Incentive Report- Output'!B379,'Target Achieved- Input'!$AC$278:$AC$370)</f>
        <v>0</v>
      </c>
      <c r="J379" s="39">
        <f t="shared" si="733"/>
        <v>16</v>
      </c>
      <c r="K379" s="40">
        <f t="shared" si="734"/>
        <v>0.35555555555555557</v>
      </c>
      <c r="L379" s="41">
        <f t="shared" si="735"/>
        <v>1485000</v>
      </c>
      <c r="M379" s="41">
        <f>SUMIF('Target Achieved- Input'!$L$278:$L$370,'Incentive Report- Output'!B379,'Target Achieved- Input'!$M$278:$M$370)</f>
        <v>1220928</v>
      </c>
      <c r="N379" s="41">
        <f>SUMIF('Target Achieved- Input'!$S$278:$S$370,'Incentive Report- Output'!B379,'Target Achieved- Input'!$U$278:$U$370)</f>
        <v>226816.9492</v>
      </c>
      <c r="O379" s="41">
        <f>SUMIF('Target Achieved- Input'!$L$278:$L$370,'Incentive Report- Output'!B379,'Target Achieved- Input'!$N$278:$N$370)-N379</f>
        <v>807867.79650000005</v>
      </c>
      <c r="P379" s="40">
        <f t="shared" si="736"/>
        <v>0.54401871818181824</v>
      </c>
      <c r="Q379" s="40">
        <f t="shared" si="737"/>
        <v>0.54401871818181824</v>
      </c>
      <c r="R379" s="40">
        <v>0</v>
      </c>
      <c r="S379" s="49">
        <f>(LOOKUP(Q379,Policy!$L$12:$M$16)+R379)*O379</f>
        <v>4039.3389825000004</v>
      </c>
      <c r="T379" s="191"/>
      <c r="U379" s="192"/>
      <c r="V379" s="144"/>
      <c r="W379" s="192"/>
      <c r="X379" s="386"/>
      <c r="Y379" s="386"/>
      <c r="Z379" s="389"/>
      <c r="AA379" s="52">
        <v>0</v>
      </c>
      <c r="AB379" s="52">
        <v>0</v>
      </c>
      <c r="AC379" s="52">
        <v>0</v>
      </c>
      <c r="AD379" s="41">
        <f t="shared" si="738"/>
        <v>0</v>
      </c>
      <c r="AE379" s="41">
        <f t="shared" si="739"/>
        <v>4039.3389825000004</v>
      </c>
      <c r="AF379" s="41">
        <f t="shared" ref="AF379" si="742">S379+W379+AB379+AC379</f>
        <v>4039.3389825000004</v>
      </c>
      <c r="AG379" s="32"/>
      <c r="AH379" s="419"/>
      <c r="AI379" s="289" t="s">
        <v>2091</v>
      </c>
      <c r="AJ379" s="289" t="s">
        <v>2092</v>
      </c>
      <c r="AK379" s="289" t="s">
        <v>1183</v>
      </c>
      <c r="AL379" s="309">
        <v>5173.4237285000008</v>
      </c>
      <c r="AM379" s="299">
        <f t="shared" si="740"/>
        <v>4039.3389825000004</v>
      </c>
      <c r="AN379" s="300">
        <f t="shared" si="741"/>
        <v>1134.0847460000005</v>
      </c>
    </row>
    <row r="380" spans="1:41" ht="15.75" hidden="1" customHeight="1" outlineLevel="1" x14ac:dyDescent="0.2">
      <c r="A380" s="42" t="s">
        <v>333</v>
      </c>
      <c r="B380" s="42" t="s">
        <v>340</v>
      </c>
      <c r="C380" s="79" t="s">
        <v>1</v>
      </c>
      <c r="D380" s="293" t="s">
        <v>1184</v>
      </c>
      <c r="E380" s="47">
        <f>ROUND(SUMIF('Target Achieved- Input'!$B$278:$B$370,'Incentive Report- Output'!B380,'Target Achieved- Input'!$G$278:$G$370),0)</f>
        <v>0</v>
      </c>
      <c r="F380" s="47">
        <f>ROUND(SUMIF('Target Achieved- Input'!$B$278:$B$370,'Incentive Report- Output'!B380,'Target Achieved- Input'!$H$278:$H$370),0)</f>
        <v>0</v>
      </c>
      <c r="G380" s="47">
        <f>SUMIF('Target Achieved- Input'!$L$278:$L$370,'Incentive Report- Output'!B380,'Target Achieved- Input'!$O$278:$O$370)</f>
        <v>0</v>
      </c>
      <c r="H380" s="39">
        <f>SUMIF('Target Achieved- Input'!$S$278:$S$370,'Incentive Report- Output'!B380,'Target Achieved- Input'!$V$278:$V$370)</f>
        <v>0</v>
      </c>
      <c r="I380" s="48">
        <f>SUMIF('Target Achieved- Input'!$L$278:$L$370,'Incentive Report- Output'!B380,'Target Achieved- Input'!$AC$278:$AC$370)</f>
        <v>0</v>
      </c>
      <c r="J380" s="39">
        <f t="shared" si="733"/>
        <v>0</v>
      </c>
      <c r="K380" s="40">
        <f t="shared" si="734"/>
        <v>0</v>
      </c>
      <c r="L380" s="41">
        <f t="shared" si="735"/>
        <v>0</v>
      </c>
      <c r="M380" s="41">
        <f>SUMIF('Target Achieved- Input'!$L$278:$L$370,'Incentive Report- Output'!B380,'Target Achieved- Input'!$M$278:$M$370)</f>
        <v>0</v>
      </c>
      <c r="N380" s="41">
        <f>SUMIF('Target Achieved- Input'!$S$278:$S$370,'Incentive Report- Output'!B380,'Target Achieved- Input'!$U$278:$U$370)</f>
        <v>0</v>
      </c>
      <c r="O380" s="41">
        <f>SUMIF('Target Achieved- Input'!$L$278:$L$370,'Incentive Report- Output'!B380,'Target Achieved- Input'!$N$278:$N$370)-N380</f>
        <v>0</v>
      </c>
      <c r="P380" s="40">
        <f t="shared" si="736"/>
        <v>0</v>
      </c>
      <c r="Q380" s="40">
        <f t="shared" si="737"/>
        <v>0</v>
      </c>
      <c r="R380" s="40">
        <v>0</v>
      </c>
      <c r="S380" s="49">
        <f>(LOOKUP(Q380,Policy!$L$12:$M$16)+R380)*O380</f>
        <v>0</v>
      </c>
      <c r="T380" s="185"/>
      <c r="U380" s="156"/>
      <c r="V380" s="51"/>
      <c r="W380" s="156"/>
      <c r="X380" s="387"/>
      <c r="Y380" s="387"/>
      <c r="Z380" s="390"/>
      <c r="AA380" s="52">
        <v>0</v>
      </c>
      <c r="AB380" s="52">
        <v>0</v>
      </c>
      <c r="AC380" s="52">
        <v>0</v>
      </c>
      <c r="AD380" s="41">
        <f t="shared" si="738"/>
        <v>0</v>
      </c>
      <c r="AE380" s="41">
        <f t="shared" si="739"/>
        <v>0</v>
      </c>
      <c r="AF380" s="41">
        <f>S380+W380+AB380+AC380</f>
        <v>0</v>
      </c>
      <c r="AG380" s="32"/>
      <c r="AH380" s="419"/>
      <c r="AI380" s="289" t="s">
        <v>333</v>
      </c>
      <c r="AJ380" s="289" t="s">
        <v>340</v>
      </c>
      <c r="AK380" s="289" t="s">
        <v>1184</v>
      </c>
      <c r="AL380" s="309">
        <v>0</v>
      </c>
      <c r="AM380" s="299">
        <f t="shared" si="740"/>
        <v>0</v>
      </c>
      <c r="AN380" s="300">
        <f t="shared" si="741"/>
        <v>0</v>
      </c>
    </row>
    <row r="381" spans="1:41" ht="15.75" hidden="1" customHeight="1" outlineLevel="1" x14ac:dyDescent="0.2">
      <c r="A381" s="109" t="s">
        <v>6</v>
      </c>
      <c r="B381" s="109"/>
      <c r="C381" s="109"/>
      <c r="D381" s="292" t="s">
        <v>1184</v>
      </c>
      <c r="E381" s="88">
        <f>SUM(E375:E380)</f>
        <v>235</v>
      </c>
      <c r="F381" s="88">
        <f t="shared" ref="F381:J381" si="743">SUM(F375:F380)</f>
        <v>306</v>
      </c>
      <c r="G381" s="88">
        <f t="shared" si="743"/>
        <v>122</v>
      </c>
      <c r="H381" s="88">
        <f t="shared" si="743"/>
        <v>13</v>
      </c>
      <c r="I381" s="88">
        <f t="shared" si="743"/>
        <v>1</v>
      </c>
      <c r="J381" s="88">
        <f t="shared" si="743"/>
        <v>109</v>
      </c>
      <c r="K381" s="88"/>
      <c r="L381" s="88">
        <f t="shared" ref="L381:O381" si="744">SUM(L375:L380)</f>
        <v>7755000</v>
      </c>
      <c r="M381" s="88">
        <f t="shared" si="744"/>
        <v>6200528</v>
      </c>
      <c r="N381" s="88">
        <f t="shared" si="744"/>
        <v>454522.88139999995</v>
      </c>
      <c r="O381" s="88">
        <f t="shared" si="744"/>
        <v>4800161.8648900008</v>
      </c>
      <c r="P381" s="88"/>
      <c r="Q381" s="88"/>
      <c r="R381" s="88"/>
      <c r="S381" s="88">
        <f t="shared" ref="S381:AF381" si="745">SUM(S375:S380)</f>
        <v>63779.661028699986</v>
      </c>
      <c r="T381" s="88">
        <f t="shared" si="745"/>
        <v>1980000</v>
      </c>
      <c r="U381" s="88">
        <f t="shared" si="745"/>
        <v>395755.08460000012</v>
      </c>
      <c r="V381" s="88">
        <f t="shared" si="745"/>
        <v>0.1998763053535354</v>
      </c>
      <c r="W381" s="88">
        <f t="shared" si="745"/>
        <v>0</v>
      </c>
      <c r="X381" s="88">
        <f t="shared" si="745"/>
        <v>0</v>
      </c>
      <c r="Y381" s="88">
        <f t="shared" si="745"/>
        <v>0</v>
      </c>
      <c r="Z381" s="88">
        <f t="shared" si="745"/>
        <v>0</v>
      </c>
      <c r="AA381" s="88">
        <f t="shared" si="745"/>
        <v>0</v>
      </c>
      <c r="AB381" s="88">
        <f t="shared" si="745"/>
        <v>0</v>
      </c>
      <c r="AC381" s="88">
        <f t="shared" si="745"/>
        <v>0</v>
      </c>
      <c r="AD381" s="88">
        <f t="shared" si="745"/>
        <v>0</v>
      </c>
      <c r="AE381" s="88">
        <f t="shared" si="745"/>
        <v>63779.661028699986</v>
      </c>
      <c r="AF381" s="88">
        <f t="shared" si="745"/>
        <v>63779.661028699986</v>
      </c>
      <c r="AG381" s="31"/>
      <c r="AH381" s="419"/>
      <c r="AI381" s="286" t="s">
        <v>6</v>
      </c>
      <c r="AJ381" s="287"/>
      <c r="AK381" s="288" t="s">
        <v>1184</v>
      </c>
      <c r="AL381" s="303">
        <v>59740.322046199988</v>
      </c>
      <c r="AM381" s="303">
        <f>SUM(AM375:AM380)</f>
        <v>63779.661028699986</v>
      </c>
      <c r="AN381" s="307">
        <f>SUM(AN375:AN380)</f>
        <v>1134.0847460000005</v>
      </c>
    </row>
    <row r="382" spans="1:41" ht="15.75" hidden="1" customHeight="1" outlineLevel="1" x14ac:dyDescent="0.2">
      <c r="A382" s="391" t="s">
        <v>101</v>
      </c>
      <c r="B382" s="391"/>
      <c r="C382" s="391"/>
      <c r="D382" s="392"/>
      <c r="E382" s="106">
        <f t="shared" ref="E382:J382" si="746">E295+E300+E309+E313+E322+E330+E335+E340+E344+E353+E362+E367+E374+E381</f>
        <v>3750</v>
      </c>
      <c r="F382" s="106">
        <f t="shared" si="746"/>
        <v>4882</v>
      </c>
      <c r="G382" s="106">
        <f t="shared" si="746"/>
        <v>2768</v>
      </c>
      <c r="H382" s="106">
        <f t="shared" si="746"/>
        <v>576</v>
      </c>
      <c r="I382" s="106">
        <f t="shared" si="746"/>
        <v>26</v>
      </c>
      <c r="J382" s="106">
        <f t="shared" si="746"/>
        <v>2192</v>
      </c>
      <c r="K382" s="107"/>
      <c r="L382" s="106">
        <f>L295+L300+L309+L313+L322+L330+L335+L340+L344+L353+L362+L367+L374+L381</f>
        <v>123750000</v>
      </c>
      <c r="M382" s="106">
        <f>M295+M300+M309+M313+M322+M330+M335+M340+M344+M353+M362+M367+M374+M381</f>
        <v>123511882</v>
      </c>
      <c r="N382" s="106">
        <f>N295+N300+N309+N313+N322+N330+N335+N340+N344+N353+N362+N367+N374+N381</f>
        <v>21792605.083800003</v>
      </c>
      <c r="O382" s="106">
        <f>O295+O300+O309+O313+O322+O330+O335+O340+O344+O353+O362+O367+O374+O381</f>
        <v>82878481.347120002</v>
      </c>
      <c r="P382" s="107"/>
      <c r="Q382" s="108"/>
      <c r="R382" s="238"/>
      <c r="S382" s="106">
        <f>S295+S300+S309+S313+S322+S330+S335+S340+S344+S353+S362+S367+S374+S381</f>
        <v>1351526.7286774751</v>
      </c>
      <c r="T382" s="106">
        <f>T295+T300+T309+T313+T322+T330+T335+T340+T344+T353+T362+T367+T374+T381</f>
        <v>9075000</v>
      </c>
      <c r="U382" s="106">
        <f>U295+U300+U309+U313+U322+U330+U335+U340+U344+U353+U362+U367+U374+U381</f>
        <v>5470707.6250000019</v>
      </c>
      <c r="V382" s="106"/>
      <c r="W382" s="106">
        <f>W295+W300+W309+W313+W322+W330+W335+W340+W344+W353+W362+W367+W374+W381</f>
        <v>3318.386439500001</v>
      </c>
      <c r="X382" s="106">
        <f>X295+X300+X309+X313+X322+X330+X335+X340+X344+X353+X362+X367+X374+X381</f>
        <v>2155</v>
      </c>
      <c r="Y382" s="106">
        <f>Y295+Y300+Y309+Y313+Y322+Y330+Y335+Y340+Y344+Y353+Y362+Y367+Y374+Y381</f>
        <v>1298</v>
      </c>
      <c r="Z382" s="173"/>
      <c r="AA382" s="106">
        <f t="shared" ref="AA382:AF382" si="747">AA295+AA300+AA309+AA313+AA322+AA330+AA335+AA340+AA344+AA353+AA362+AA367+AA374+AA381</f>
        <v>0</v>
      </c>
      <c r="AB382" s="106">
        <f t="shared" si="747"/>
        <v>0</v>
      </c>
      <c r="AC382" s="106">
        <f t="shared" si="747"/>
        <v>0</v>
      </c>
      <c r="AD382" s="106">
        <f t="shared" si="747"/>
        <v>0</v>
      </c>
      <c r="AE382" s="106">
        <f t="shared" si="747"/>
        <v>1354845.1151169753</v>
      </c>
      <c r="AF382" s="106">
        <f t="shared" si="747"/>
        <v>1354845.1151169753</v>
      </c>
      <c r="AG382" s="31"/>
      <c r="AH382" s="419"/>
      <c r="AI382" s="393" t="s">
        <v>9</v>
      </c>
      <c r="AJ382" s="394"/>
      <c r="AK382" s="395"/>
      <c r="AL382" s="173">
        <v>1675005.2489882249</v>
      </c>
      <c r="AM382" s="173">
        <f>AM295+AM300+AM309+AM313+AM322+AM330+AM335+AM340+AM344+AM353+AM362+AM367+AM374+AM381</f>
        <v>1354845.1151169753</v>
      </c>
      <c r="AN382" s="173">
        <f>AN295+AN300+AN309+AN313+AN322+AN330+AN335+AN340+AN344+AN353+AN362+AN367+AN374+AN381</f>
        <v>320160.13387124997</v>
      </c>
    </row>
    <row r="383" spans="1:41" ht="15.75" customHeight="1" x14ac:dyDescent="0.2">
      <c r="A383" s="348"/>
      <c r="B383" s="348"/>
      <c r="C383" s="348"/>
      <c r="D383" s="349"/>
      <c r="E383" s="350"/>
      <c r="F383" s="350"/>
      <c r="G383" s="350"/>
      <c r="H383" s="350"/>
      <c r="I383" s="350"/>
      <c r="J383" s="350"/>
      <c r="K383" s="351"/>
      <c r="L383" s="350"/>
      <c r="M383" s="350"/>
      <c r="N383" s="350"/>
      <c r="O383" s="350"/>
      <c r="P383" s="351"/>
      <c r="Q383" s="352"/>
      <c r="R383" s="352"/>
      <c r="S383" s="350"/>
      <c r="T383" s="350"/>
      <c r="U383" s="350"/>
      <c r="V383" s="350"/>
      <c r="W383" s="350"/>
      <c r="X383" s="350"/>
      <c r="Y383" s="350"/>
      <c r="Z383" s="353"/>
      <c r="AA383" s="350"/>
      <c r="AB383" s="350"/>
      <c r="AC383" s="350"/>
      <c r="AD383" s="350"/>
      <c r="AE383" s="350"/>
      <c r="AF383" s="350"/>
      <c r="AG383" s="32"/>
      <c r="AH383" s="354"/>
      <c r="AI383" s="348"/>
      <c r="AJ383" s="348"/>
      <c r="AK383" s="348"/>
      <c r="AL383" s="353"/>
      <c r="AM383" s="353"/>
      <c r="AN383" s="353"/>
      <c r="AO383" s="334"/>
    </row>
    <row r="385" spans="1:41" ht="19" x14ac:dyDescent="0.2">
      <c r="A385" s="155">
        <v>46235</v>
      </c>
      <c r="B385" s="119"/>
      <c r="C385" s="119"/>
      <c r="D385" s="291"/>
      <c r="E385" s="31"/>
      <c r="F385" s="31"/>
      <c r="G385" s="31"/>
      <c r="H385" s="32"/>
      <c r="I385" s="32"/>
      <c r="J385" s="31"/>
      <c r="K385" s="32"/>
      <c r="L385" s="31"/>
      <c r="M385" s="31"/>
      <c r="N385" s="32"/>
      <c r="O385" s="33"/>
      <c r="P385" s="34"/>
      <c r="Q385" s="35"/>
      <c r="R385" s="35"/>
      <c r="S385" s="35"/>
      <c r="T385" s="194"/>
      <c r="U385" s="194"/>
      <c r="V385" s="31"/>
      <c r="W385" s="194"/>
      <c r="X385" s="35"/>
      <c r="Y385" s="35"/>
      <c r="Z385" s="31"/>
      <c r="AA385" s="36"/>
      <c r="AB385" s="31"/>
      <c r="AC385" s="31"/>
      <c r="AD385" s="31"/>
      <c r="AE385" s="35"/>
      <c r="AF385" s="35"/>
      <c r="AG385" s="31"/>
      <c r="AH385" s="31"/>
      <c r="AI385" s="35"/>
      <c r="AJ385" s="35"/>
      <c r="AK385" s="35"/>
      <c r="AL385" s="295"/>
      <c r="AM385" s="295"/>
      <c r="AN385" s="295"/>
    </row>
    <row r="386" spans="1:41" ht="15.75" customHeight="1" x14ac:dyDescent="0.2">
      <c r="A386" s="409" t="s">
        <v>74</v>
      </c>
      <c r="B386" s="410"/>
      <c r="C386" s="411"/>
      <c r="D386" s="412"/>
      <c r="E386" s="413" t="s">
        <v>1</v>
      </c>
      <c r="F386" s="414"/>
      <c r="G386" s="414"/>
      <c r="H386" s="414"/>
      <c r="I386" s="414"/>
      <c r="J386" s="414"/>
      <c r="K386" s="414"/>
      <c r="L386" s="414"/>
      <c r="M386" s="414"/>
      <c r="N386" s="414"/>
      <c r="O386" s="414"/>
      <c r="P386" s="414"/>
      <c r="Q386" s="414"/>
      <c r="R386" s="414"/>
      <c r="S386" s="414"/>
      <c r="T386" s="415" t="s">
        <v>75</v>
      </c>
      <c r="U386" s="414"/>
      <c r="V386" s="414"/>
      <c r="W386" s="414"/>
      <c r="X386" s="416" t="s">
        <v>76</v>
      </c>
      <c r="Y386" s="414"/>
      <c r="Z386" s="414"/>
      <c r="AA386" s="414"/>
      <c r="AB386" s="56" t="s">
        <v>204</v>
      </c>
      <c r="AC386" s="417" t="s">
        <v>2776</v>
      </c>
      <c r="AD386" s="414"/>
      <c r="AE386" s="414"/>
      <c r="AF386" s="418"/>
      <c r="AG386" s="31"/>
      <c r="AH386" s="419" t="s">
        <v>77</v>
      </c>
      <c r="AI386" s="409" t="s">
        <v>74</v>
      </c>
      <c r="AJ386" s="410"/>
      <c r="AK386" s="418"/>
      <c r="AL386" s="420" t="s">
        <v>78</v>
      </c>
      <c r="AM386" s="421"/>
      <c r="AN386" s="422"/>
    </row>
    <row r="387" spans="1:41" s="294" customFormat="1" ht="45" customHeight="1" x14ac:dyDescent="0.2">
      <c r="A387" s="145" t="s">
        <v>79</v>
      </c>
      <c r="B387" s="146" t="s">
        <v>16</v>
      </c>
      <c r="C387" s="146" t="s">
        <v>2</v>
      </c>
      <c r="D387" s="147" t="s">
        <v>3</v>
      </c>
      <c r="E387" s="148" t="s">
        <v>80</v>
      </c>
      <c r="F387" s="149" t="s">
        <v>81</v>
      </c>
      <c r="G387" s="149" t="s">
        <v>215</v>
      </c>
      <c r="H387" s="149" t="s">
        <v>210</v>
      </c>
      <c r="I387" s="243" t="s">
        <v>949</v>
      </c>
      <c r="J387" s="149" t="s">
        <v>83</v>
      </c>
      <c r="K387" s="149" t="s">
        <v>84</v>
      </c>
      <c r="L387" s="149" t="s">
        <v>4</v>
      </c>
      <c r="M387" s="150" t="s">
        <v>213</v>
      </c>
      <c r="N387" s="150" t="s">
        <v>212</v>
      </c>
      <c r="O387" s="150" t="s">
        <v>211</v>
      </c>
      <c r="P387" s="150" t="s">
        <v>5</v>
      </c>
      <c r="Q387" s="149" t="s">
        <v>88</v>
      </c>
      <c r="R387" s="243" t="s">
        <v>950</v>
      </c>
      <c r="S387" s="150" t="s">
        <v>157</v>
      </c>
      <c r="T387" s="183" t="s">
        <v>255</v>
      </c>
      <c r="U387" s="183" t="s">
        <v>256</v>
      </c>
      <c r="V387" s="151" t="s">
        <v>104</v>
      </c>
      <c r="W387" s="183" t="s">
        <v>105</v>
      </c>
      <c r="X387" s="151" t="s">
        <v>90</v>
      </c>
      <c r="Y387" s="151" t="s">
        <v>91</v>
      </c>
      <c r="Z387" s="151" t="s">
        <v>92</v>
      </c>
      <c r="AA387" s="152" t="s">
        <v>93</v>
      </c>
      <c r="AB387" s="152" t="s">
        <v>202</v>
      </c>
      <c r="AC387" s="152" t="s">
        <v>185</v>
      </c>
      <c r="AD387" s="152" t="s">
        <v>95</v>
      </c>
      <c r="AE387" s="152" t="s">
        <v>96</v>
      </c>
      <c r="AF387" s="152" t="s">
        <v>97</v>
      </c>
      <c r="AG387" s="31"/>
      <c r="AH387" s="419"/>
      <c r="AI387" s="38" t="s">
        <v>79</v>
      </c>
      <c r="AJ387" s="38" t="str">
        <f>B387</f>
        <v>Employee ID</v>
      </c>
      <c r="AK387" s="38" t="s">
        <v>3</v>
      </c>
      <c r="AL387" s="297" t="s">
        <v>98</v>
      </c>
      <c r="AM387" s="297" t="s">
        <v>99</v>
      </c>
      <c r="AN387" s="297" t="s">
        <v>100</v>
      </c>
      <c r="AO387" s="298"/>
    </row>
    <row r="388" spans="1:41" ht="15.75" customHeight="1" x14ac:dyDescent="0.2">
      <c r="A388" s="79" t="s">
        <v>191</v>
      </c>
      <c r="B388" s="161" t="s">
        <v>195</v>
      </c>
      <c r="C388" s="79" t="s">
        <v>0</v>
      </c>
      <c r="D388" s="1" t="s">
        <v>663</v>
      </c>
      <c r="E388" s="47">
        <f>ROUND(SUMIF('Target Achieved- Input'!$B$373:$B$466,'Incentive Report- Output'!B388,'Target Achieved- Input'!$G$373:$G$466),0)</f>
        <v>250</v>
      </c>
      <c r="F388" s="47">
        <f>ROUND(SUMIF('Target Achieved- Input'!$B$373:$B$466,'Incentive Report- Output'!B388,'Target Achieved- Input'!$H$373:$H$466),0)</f>
        <v>325</v>
      </c>
      <c r="G388" s="47">
        <f>SUMIF('Target Achieved- Input'!$L$373:$L$466,'Incentive Report- Output'!B388,'Target Achieved- Input'!$O$373:$O$466)</f>
        <v>325</v>
      </c>
      <c r="H388" s="39">
        <f>SUMIF('Target Achieved- Input'!$S$373:$S$466,'Incentive Report- Output'!B388,'Target Achieved- Input'!$V$373:$V$466)</f>
        <v>3</v>
      </c>
      <c r="I388" s="48">
        <f>SUMIF('Target Achieved- Input'!$L$373:$L$466,'Incentive Report- Output'!B388,'Target Achieved- Input'!$AC$373:$AC$466)</f>
        <v>0</v>
      </c>
      <c r="J388" s="39">
        <f>G388-H388</f>
        <v>322</v>
      </c>
      <c r="K388" s="40">
        <f t="shared" ref="K388" si="748">IFERROR(J388/E388,0)</f>
        <v>1.288</v>
      </c>
      <c r="L388" s="41">
        <f t="shared" ref="L388" si="749">E388*33000</f>
        <v>8250000</v>
      </c>
      <c r="M388" s="41">
        <f>SUMIF('Target Achieved- Input'!$L$373:$L$466,'Incentive Report- Output'!B388,'Target Achieved- Input'!$M$373:$M$466)</f>
        <v>21610975</v>
      </c>
      <c r="N388" s="41">
        <f>SUMIF('Target Achieved- Input'!$S$373:$S$466,'Incentive Report- Output'!B388,'Target Achieved- Input'!$U$373:$U$466)</f>
        <v>157624.57627118629</v>
      </c>
      <c r="O388" s="41">
        <f>SUMIF('Target Achieved- Input'!$L$373:$L$466,'Incentive Report- Output'!B388,'Target Achieved- Input'!$N$373:$N$466)-N388</f>
        <v>18156761.016949113</v>
      </c>
      <c r="P388" s="40">
        <f t="shared" ref="P388" si="750">IFERROR(O388/L388,0)</f>
        <v>2.2008195172059533</v>
      </c>
      <c r="Q388" s="40">
        <f t="shared" ref="Q388" si="751">MAX(P388,K388)</f>
        <v>2.2008195172059533</v>
      </c>
      <c r="R388" s="40">
        <v>0</v>
      </c>
      <c r="S388" s="49">
        <f>(LOOKUP(Q388,Policy!$L$12:$M$16)+R388)*O388</f>
        <v>544702.83050847333</v>
      </c>
      <c r="T388" s="184"/>
      <c r="U388" s="184"/>
      <c r="V388" s="115"/>
      <c r="W388" s="184"/>
      <c r="X388" s="423">
        <f>E393</f>
        <v>1190</v>
      </c>
      <c r="Y388" s="423">
        <f>J393</f>
        <v>1413</v>
      </c>
      <c r="Z388" s="425">
        <f>Y388/X388</f>
        <v>1.1873949579831933</v>
      </c>
      <c r="AA388" s="52">
        <v>0</v>
      </c>
      <c r="AB388" s="41">
        <v>0</v>
      </c>
      <c r="AC388" s="41">
        <v>0</v>
      </c>
      <c r="AD388" s="41">
        <f t="shared" ref="AD388:AD392" si="752">IF(AF388&gt;200000,AF388-200000,0)</f>
        <v>344702.83050847333</v>
      </c>
      <c r="AE388" s="41">
        <f t="shared" ref="AE388:AE392" si="753">AF388-AD388</f>
        <v>200000</v>
      </c>
      <c r="AF388" s="41">
        <f>S388+W388+AB388+AC388</f>
        <v>544702.83050847333</v>
      </c>
      <c r="AG388" s="31"/>
      <c r="AH388" s="419"/>
      <c r="AI388" s="22" t="s">
        <v>191</v>
      </c>
      <c r="AJ388" s="19" t="s">
        <v>195</v>
      </c>
      <c r="AK388" s="195" t="s">
        <v>663</v>
      </c>
      <c r="AL388" s="299">
        <v>549431.56779660902</v>
      </c>
      <c r="AM388" s="299">
        <f t="shared" ref="AM388:AM392" si="754">AF388</f>
        <v>544702.83050847333</v>
      </c>
      <c r="AN388" s="300">
        <f>AL388-AM388</f>
        <v>4728.737288135686</v>
      </c>
    </row>
    <row r="389" spans="1:41" ht="15.75" customHeight="1" x14ac:dyDescent="0.2">
      <c r="A389" s="79" t="s">
        <v>31</v>
      </c>
      <c r="B389" s="79" t="s">
        <v>32</v>
      </c>
      <c r="C389" s="79" t="s">
        <v>1</v>
      </c>
      <c r="D389" s="1" t="s">
        <v>663</v>
      </c>
      <c r="E389" s="47">
        <f>ROUND(SUMIF('Target Achieved- Input'!$B$373:$B$466,'Incentive Report- Output'!B389,'Target Achieved- Input'!$G$373:$G$466),0)</f>
        <v>250</v>
      </c>
      <c r="F389" s="47">
        <f>ROUND(SUMIF('Target Achieved- Input'!$B$373:$B$466,'Incentive Report- Output'!B389,'Target Achieved- Input'!$H$373:$H$466),0)</f>
        <v>325</v>
      </c>
      <c r="G389" s="47">
        <f>SUMIF('Target Achieved- Input'!$L$373:$L$466,'Incentive Report- Output'!B389,'Target Achieved- Input'!$O$373:$O$466)</f>
        <v>288</v>
      </c>
      <c r="H389" s="39">
        <f>SUMIF('Target Achieved- Input'!$S$373:$S$466,'Incentive Report- Output'!B389,'Target Achieved- Input'!$V$373:$V$466)</f>
        <v>0</v>
      </c>
      <c r="I389" s="48">
        <f>SUMIF('Target Achieved- Input'!$L$373:$L$466,'Incentive Report- Output'!B389,'Target Achieved- Input'!$AC$373:$AC$466)</f>
        <v>0</v>
      </c>
      <c r="J389" s="39">
        <f t="shared" ref="J389:J392" si="755">G389-H389</f>
        <v>288</v>
      </c>
      <c r="K389" s="40">
        <f t="shared" ref="K389:K392" si="756">IFERROR(J389/E389,0)</f>
        <v>1.1519999999999999</v>
      </c>
      <c r="L389" s="41">
        <f t="shared" ref="L389:L392" si="757">E389*33000</f>
        <v>8250000</v>
      </c>
      <c r="M389" s="41">
        <f>SUMIF('Target Achieved- Input'!$L$373:$L$466,'Incentive Report- Output'!B389,'Target Achieved- Input'!$M$373:$M$466)</f>
        <v>18973262</v>
      </c>
      <c r="N389" s="41">
        <f>SUMIF('Target Achieved- Input'!$S$373:$S$466,'Incentive Report- Output'!B389,'Target Achieved- Input'!$U$373:$U$466)</f>
        <v>0</v>
      </c>
      <c r="O389" s="41">
        <f>SUMIF('Target Achieved- Input'!$L$373:$L$466,'Incentive Report- Output'!B389,'Target Achieved- Input'!$N$373:$N$466)-N389</f>
        <v>16079035.593220321</v>
      </c>
      <c r="P389" s="40">
        <f t="shared" ref="P389:P392" si="758">IFERROR(O389/L389,0)</f>
        <v>1.9489740112994329</v>
      </c>
      <c r="Q389" s="40">
        <f t="shared" ref="Q389:Q392" si="759">MAX(P389,K389)</f>
        <v>1.9489740112994329</v>
      </c>
      <c r="R389" s="40">
        <v>0</v>
      </c>
      <c r="S389" s="49">
        <f>(LOOKUP(Q389,Policy!$L$12:$M$16)+R389)*O389</f>
        <v>482371.0677966096</v>
      </c>
      <c r="T389" s="184"/>
      <c r="U389" s="184"/>
      <c r="V389" s="40"/>
      <c r="W389" s="53"/>
      <c r="X389" s="424"/>
      <c r="Y389" s="424"/>
      <c r="Z389" s="426"/>
      <c r="AA389" s="55">
        <v>0</v>
      </c>
      <c r="AB389" s="41">
        <v>0</v>
      </c>
      <c r="AC389" s="41">
        <v>0</v>
      </c>
      <c r="AD389" s="41">
        <f t="shared" si="752"/>
        <v>282371.0677966096</v>
      </c>
      <c r="AE389" s="41">
        <f t="shared" si="753"/>
        <v>200000</v>
      </c>
      <c r="AF389" s="41">
        <f>S389+W389+AB389+AC389</f>
        <v>482371.0677966096</v>
      </c>
      <c r="AG389" s="31"/>
      <c r="AH389" s="419"/>
      <c r="AI389" s="22" t="s">
        <v>31</v>
      </c>
      <c r="AJ389" s="22" t="s">
        <v>32</v>
      </c>
      <c r="AK389" s="195" t="s">
        <v>663</v>
      </c>
      <c r="AL389" s="299">
        <v>482371.0677966096</v>
      </c>
      <c r="AM389" s="299">
        <f t="shared" si="754"/>
        <v>482371.0677966096</v>
      </c>
      <c r="AN389" s="300">
        <f t="shared" ref="AN389:AN392" si="760">AL389-AM389</f>
        <v>0</v>
      </c>
    </row>
    <row r="390" spans="1:41" ht="15.75" customHeight="1" x14ac:dyDescent="0.2">
      <c r="A390" s="79" t="s">
        <v>756</v>
      </c>
      <c r="B390" s="79" t="s">
        <v>757</v>
      </c>
      <c r="C390" s="79" t="s">
        <v>1</v>
      </c>
      <c r="D390" s="1" t="s">
        <v>663</v>
      </c>
      <c r="E390" s="47">
        <f>ROUND(SUMIF('Target Achieved- Input'!$B$373:$B$466,'Incentive Report- Output'!B390,'Target Achieved- Input'!$G$373:$G$466),0)</f>
        <v>230</v>
      </c>
      <c r="F390" s="47">
        <f>ROUND(SUMIF('Target Achieved- Input'!$B$373:$B$466,'Incentive Report- Output'!B390,'Target Achieved- Input'!$H$373:$H$466),0)</f>
        <v>299</v>
      </c>
      <c r="G390" s="47">
        <f>SUMIF('Target Achieved- Input'!$L$373:$L$466,'Incentive Report- Output'!B390,'Target Achieved- Input'!$O$373:$O$466)</f>
        <v>251</v>
      </c>
      <c r="H390" s="39">
        <f>SUMIF('Target Achieved- Input'!$S$373:$S$466,'Incentive Report- Output'!B390,'Target Achieved- Input'!$V$373:$V$466)</f>
        <v>0</v>
      </c>
      <c r="I390" s="48">
        <f>SUMIF('Target Achieved- Input'!$L$373:$L$466,'Incentive Report- Output'!B390,'Target Achieved- Input'!$AC$373:$AC$466)</f>
        <v>0</v>
      </c>
      <c r="J390" s="39">
        <f t="shared" si="755"/>
        <v>251</v>
      </c>
      <c r="K390" s="40">
        <f t="shared" si="756"/>
        <v>1.0913043478260869</v>
      </c>
      <c r="L390" s="41">
        <f t="shared" si="757"/>
        <v>7590000</v>
      </c>
      <c r="M390" s="41">
        <f>SUMIF('Target Achieved- Input'!$L$373:$L$466,'Incentive Report- Output'!B390,'Target Achieved- Input'!$M$373:$M$466)</f>
        <v>16460349</v>
      </c>
      <c r="N390" s="41">
        <f>SUMIF('Target Achieved- Input'!$S$373:$S$466,'Incentive Report- Output'!B390,'Target Achieved- Input'!$U$373:$U$466)</f>
        <v>0</v>
      </c>
      <c r="O390" s="41">
        <f>SUMIF('Target Achieved- Input'!$L$373:$L$466,'Incentive Report- Output'!B390,'Target Achieved- Input'!$N$373:$N$466)-N390</f>
        <v>13949448.305084717</v>
      </c>
      <c r="P390" s="40">
        <f t="shared" si="758"/>
        <v>1.8378719769545082</v>
      </c>
      <c r="Q390" s="40">
        <f t="shared" si="759"/>
        <v>1.8378719769545082</v>
      </c>
      <c r="R390" s="40">
        <v>0</v>
      </c>
      <c r="S390" s="49">
        <f>(LOOKUP(Q390,Policy!$L$12:$M$16)+R390)*O390</f>
        <v>418483.44915254146</v>
      </c>
      <c r="T390" s="184"/>
      <c r="U390" s="184"/>
      <c r="V390" s="40"/>
      <c r="W390" s="53"/>
      <c r="X390" s="424"/>
      <c r="Y390" s="424"/>
      <c r="Z390" s="426"/>
      <c r="AA390" s="55">
        <v>0</v>
      </c>
      <c r="AB390" s="41">
        <v>0</v>
      </c>
      <c r="AC390" s="41">
        <v>0</v>
      </c>
      <c r="AD390" s="41">
        <f t="shared" si="752"/>
        <v>218483.44915254146</v>
      </c>
      <c r="AE390" s="41">
        <f t="shared" si="753"/>
        <v>200000</v>
      </c>
      <c r="AF390" s="41">
        <f>S390+W390+AB390+AC390</f>
        <v>418483.44915254146</v>
      </c>
      <c r="AG390" s="31"/>
      <c r="AH390" s="419"/>
      <c r="AI390" s="22" t="s">
        <v>756</v>
      </c>
      <c r="AJ390" s="22" t="s">
        <v>757</v>
      </c>
      <c r="AK390" s="195" t="s">
        <v>663</v>
      </c>
      <c r="AL390" s="299">
        <v>418483.44915254146</v>
      </c>
      <c r="AM390" s="299">
        <f t="shared" si="754"/>
        <v>418483.44915254146</v>
      </c>
      <c r="AN390" s="300">
        <f t="shared" si="760"/>
        <v>0</v>
      </c>
    </row>
    <row r="391" spans="1:41" ht="15.75" customHeight="1" x14ac:dyDescent="0.2">
      <c r="A391" s="79" t="s">
        <v>705</v>
      </c>
      <c r="B391" s="79" t="s">
        <v>686</v>
      </c>
      <c r="C391" s="79" t="s">
        <v>1</v>
      </c>
      <c r="D391" s="1" t="s">
        <v>663</v>
      </c>
      <c r="E391" s="47">
        <f>ROUND(SUMIF('Target Achieved- Input'!$B$373:$B$466,'Incentive Report- Output'!B391,'Target Achieved- Input'!$G$373:$G$466),0)</f>
        <v>230</v>
      </c>
      <c r="F391" s="47">
        <f>ROUND(SUMIF('Target Achieved- Input'!$B$373:$B$466,'Incentive Report- Output'!B391,'Target Achieved- Input'!$H$373:$H$466),0)</f>
        <v>299</v>
      </c>
      <c r="G391" s="47">
        <f>SUMIF('Target Achieved- Input'!$L$373:$L$466,'Incentive Report- Output'!B391,'Target Achieved- Input'!$O$373:$O$466)</f>
        <v>262</v>
      </c>
      <c r="H391" s="39">
        <f>SUMIF('Target Achieved- Input'!$S$373:$S$466,'Incentive Report- Output'!B391,'Target Achieved- Input'!$V$373:$V$466)</f>
        <v>0</v>
      </c>
      <c r="I391" s="48">
        <f>SUMIF('Target Achieved- Input'!$L$373:$L$466,'Incentive Report- Output'!B391,'Target Achieved- Input'!$AC$373:$AC$466)</f>
        <v>0</v>
      </c>
      <c r="J391" s="39">
        <f t="shared" si="755"/>
        <v>262</v>
      </c>
      <c r="K391" s="40">
        <f t="shared" si="756"/>
        <v>1.1391304347826088</v>
      </c>
      <c r="L391" s="41">
        <f t="shared" si="757"/>
        <v>7590000</v>
      </c>
      <c r="M391" s="41">
        <f>SUMIF('Target Achieved- Input'!$L$373:$L$466,'Incentive Report- Output'!B391,'Target Achieved- Input'!$M$373:$M$466)</f>
        <v>17743738</v>
      </c>
      <c r="N391" s="41">
        <f>SUMIF('Target Achieved- Input'!$S$373:$S$466,'Incentive Report- Output'!B391,'Target Achieved- Input'!$U$373:$U$466)</f>
        <v>0</v>
      </c>
      <c r="O391" s="41">
        <f>SUMIF('Target Achieved- Input'!$L$373:$L$466,'Incentive Report- Output'!B391,'Target Achieved- Input'!$N$373:$N$466)-N391</f>
        <v>15037066.101694895</v>
      </c>
      <c r="P391" s="40">
        <f t="shared" si="758"/>
        <v>1.9811681293405659</v>
      </c>
      <c r="Q391" s="40">
        <f t="shared" si="759"/>
        <v>1.9811681293405659</v>
      </c>
      <c r="R391" s="40">
        <v>0</v>
      </c>
      <c r="S391" s="49">
        <f>(LOOKUP(Q391,Policy!$L$12:$M$16)+R391)*O391</f>
        <v>451111.98305084684</v>
      </c>
      <c r="T391" s="184"/>
      <c r="U391" s="184"/>
      <c r="V391" s="40"/>
      <c r="W391" s="53"/>
      <c r="X391" s="424"/>
      <c r="Y391" s="424"/>
      <c r="Z391" s="426"/>
      <c r="AA391" s="55">
        <v>0</v>
      </c>
      <c r="AB391" s="41">
        <v>0</v>
      </c>
      <c r="AC391" s="41">
        <v>0</v>
      </c>
      <c r="AD391" s="41">
        <f t="shared" si="752"/>
        <v>251111.98305084684</v>
      </c>
      <c r="AE391" s="41">
        <f t="shared" si="753"/>
        <v>200000</v>
      </c>
      <c r="AF391" s="41">
        <f>S391+W391+AB391+AC391</f>
        <v>451111.98305084684</v>
      </c>
      <c r="AG391" s="31"/>
      <c r="AH391" s="419"/>
      <c r="AI391" s="22" t="s">
        <v>705</v>
      </c>
      <c r="AJ391" s="22" t="s">
        <v>686</v>
      </c>
      <c r="AK391" s="195" t="s">
        <v>663</v>
      </c>
      <c r="AL391" s="299">
        <v>451111.98305084684</v>
      </c>
      <c r="AM391" s="299">
        <f t="shared" si="754"/>
        <v>451111.98305084684</v>
      </c>
      <c r="AN391" s="300">
        <f t="shared" si="760"/>
        <v>0</v>
      </c>
    </row>
    <row r="392" spans="1:41" ht="15.75" customHeight="1" x14ac:dyDescent="0.2">
      <c r="A392" s="79" t="s">
        <v>248</v>
      </c>
      <c r="B392" s="79" t="s">
        <v>251</v>
      </c>
      <c r="C392" s="79" t="s">
        <v>1</v>
      </c>
      <c r="D392" s="1" t="s">
        <v>663</v>
      </c>
      <c r="E392" s="47">
        <f>ROUND(SUMIF('Target Achieved- Input'!$B$373:$B$466,'Incentive Report- Output'!B392,'Target Achieved- Input'!$G$373:$G$466),0)</f>
        <v>230</v>
      </c>
      <c r="F392" s="47">
        <f>ROUND(SUMIF('Target Achieved- Input'!$B$373:$B$466,'Incentive Report- Output'!B392,'Target Achieved- Input'!$H$373:$H$466),0)</f>
        <v>299</v>
      </c>
      <c r="G392" s="47">
        <f>SUMIF('Target Achieved- Input'!$L$373:$L$466,'Incentive Report- Output'!B392,'Target Achieved- Input'!$O$373:$O$466)</f>
        <v>290</v>
      </c>
      <c r="H392" s="39">
        <f>SUMIF('Target Achieved- Input'!$S$373:$S$466,'Incentive Report- Output'!B392,'Target Achieved- Input'!$V$373:$V$466)</f>
        <v>0</v>
      </c>
      <c r="I392" s="48">
        <f>SUMIF('Target Achieved- Input'!$L$373:$L$466,'Incentive Report- Output'!B392,'Target Achieved- Input'!$AC$373:$AC$466)</f>
        <v>1</v>
      </c>
      <c r="J392" s="39">
        <f t="shared" si="755"/>
        <v>290</v>
      </c>
      <c r="K392" s="40">
        <f t="shared" si="756"/>
        <v>1.2608695652173914</v>
      </c>
      <c r="L392" s="41">
        <f t="shared" si="757"/>
        <v>7590000</v>
      </c>
      <c r="M392" s="41">
        <f>SUMIF('Target Achieved- Input'!$L$373:$L$466,'Incentive Report- Output'!B392,'Target Achieved- Input'!$M$373:$M$466)</f>
        <v>17669010</v>
      </c>
      <c r="N392" s="41">
        <f>SUMIF('Target Achieved- Input'!$S$373:$S$466,'Incentive Report- Output'!B392,'Target Achieved- Input'!$U$373:$U$466)</f>
        <v>0</v>
      </c>
      <c r="O392" s="41">
        <f>SUMIF('Target Achieved- Input'!$L$373:$L$466,'Incentive Report- Output'!B392,'Target Achieved- Input'!$N$373:$N$466)-N392</f>
        <v>14973737.28813556</v>
      </c>
      <c r="P392" s="40">
        <f t="shared" si="758"/>
        <v>1.9728244121390726</v>
      </c>
      <c r="Q392" s="40">
        <f t="shared" si="759"/>
        <v>1.9728244121390726</v>
      </c>
      <c r="R392" s="40">
        <v>0</v>
      </c>
      <c r="S392" s="49">
        <f>(LOOKUP(Q392,Policy!$L$12:$M$16)+R392)*O392</f>
        <v>449212.1186440668</v>
      </c>
      <c r="T392" s="185"/>
      <c r="U392" s="156"/>
      <c r="V392" s="51"/>
      <c r="W392" s="156"/>
      <c r="X392" s="424"/>
      <c r="Y392" s="424"/>
      <c r="Z392" s="426"/>
      <c r="AA392" s="55">
        <v>0</v>
      </c>
      <c r="AB392" s="41">
        <v>0</v>
      </c>
      <c r="AC392" s="41">
        <v>0</v>
      </c>
      <c r="AD392" s="41">
        <f t="shared" si="752"/>
        <v>249212.1186440668</v>
      </c>
      <c r="AE392" s="41">
        <f t="shared" si="753"/>
        <v>200000</v>
      </c>
      <c r="AF392" s="41">
        <f>S392+W392+AB392+AC392</f>
        <v>449212.1186440668</v>
      </c>
      <c r="AG392" s="32"/>
      <c r="AH392" s="419"/>
      <c r="AI392" s="22" t="s">
        <v>248</v>
      </c>
      <c r="AJ392" s="22" t="s">
        <v>251</v>
      </c>
      <c r="AK392" s="195" t="s">
        <v>663</v>
      </c>
      <c r="AL392" s="301">
        <v>449212.1186440668</v>
      </c>
      <c r="AM392" s="301">
        <f t="shared" si="754"/>
        <v>449212.1186440668</v>
      </c>
      <c r="AN392" s="302">
        <f t="shared" si="760"/>
        <v>0</v>
      </c>
      <c r="AO392" s="334"/>
    </row>
    <row r="393" spans="1:41" ht="15.75" customHeight="1" x14ac:dyDescent="0.2">
      <c r="A393" s="109" t="s">
        <v>6</v>
      </c>
      <c r="B393" s="109"/>
      <c r="C393" s="109"/>
      <c r="D393" s="292" t="s">
        <v>663</v>
      </c>
      <c r="E393" s="44">
        <f t="shared" ref="E393:J393" si="761">SUM(E388:E392)</f>
        <v>1190</v>
      </c>
      <c r="F393" s="44">
        <f t="shared" si="761"/>
        <v>1547</v>
      </c>
      <c r="G393" s="44">
        <f t="shared" si="761"/>
        <v>1416</v>
      </c>
      <c r="H393" s="44">
        <f t="shared" si="761"/>
        <v>3</v>
      </c>
      <c r="I393" s="44">
        <f t="shared" si="761"/>
        <v>1</v>
      </c>
      <c r="J393" s="44">
        <f t="shared" si="761"/>
        <v>1413</v>
      </c>
      <c r="K393" s="44"/>
      <c r="L393" s="44">
        <f>SUM(L388:L392)</f>
        <v>39270000</v>
      </c>
      <c r="M393" s="44">
        <f>SUM(M388:M392)</f>
        <v>92457334</v>
      </c>
      <c r="N393" s="44">
        <f>SUM(N388:N392)</f>
        <v>157624.57627118629</v>
      </c>
      <c r="O393" s="44">
        <f>SUM(O388:O392)</f>
        <v>78196048.305084601</v>
      </c>
      <c r="P393" s="45"/>
      <c r="Q393" s="46"/>
      <c r="R393" s="46"/>
      <c r="S393" s="44">
        <f t="shared" ref="S393:AF393" si="762">SUM(S388:S392)</f>
        <v>2345881.4491525381</v>
      </c>
      <c r="T393" s="187">
        <f t="shared" si="762"/>
        <v>0</v>
      </c>
      <c r="U393" s="187">
        <f t="shared" si="762"/>
        <v>0</v>
      </c>
      <c r="V393" s="104">
        <f t="shared" si="762"/>
        <v>0</v>
      </c>
      <c r="W393" s="187">
        <f t="shared" si="762"/>
        <v>0</v>
      </c>
      <c r="X393" s="44">
        <f t="shared" si="762"/>
        <v>1190</v>
      </c>
      <c r="Y393" s="44">
        <f t="shared" si="762"/>
        <v>1413</v>
      </c>
      <c r="Z393" s="54">
        <f t="shared" si="762"/>
        <v>1.1873949579831933</v>
      </c>
      <c r="AA393" s="44">
        <f t="shared" si="762"/>
        <v>0</v>
      </c>
      <c r="AB393" s="44">
        <f t="shared" si="762"/>
        <v>0</v>
      </c>
      <c r="AC393" s="44">
        <f t="shared" si="762"/>
        <v>0</v>
      </c>
      <c r="AD393" s="44">
        <f t="shared" si="762"/>
        <v>1345881.4491525381</v>
      </c>
      <c r="AE393" s="44">
        <f t="shared" si="762"/>
        <v>1000000</v>
      </c>
      <c r="AF393" s="44">
        <f t="shared" si="762"/>
        <v>2345881.4491525381</v>
      </c>
      <c r="AG393" s="31"/>
      <c r="AH393" s="419"/>
      <c r="AI393" s="43" t="s">
        <v>6</v>
      </c>
      <c r="AJ393" s="43"/>
      <c r="AK393" s="43" t="s">
        <v>663</v>
      </c>
      <c r="AL393" s="303">
        <v>2350610.1864406737</v>
      </c>
      <c r="AM393" s="303">
        <f>SUM(AM388:AM392)</f>
        <v>2345881.4491525381</v>
      </c>
      <c r="AN393" s="303">
        <f>SUM(AN388:AN392)</f>
        <v>4728.737288135686</v>
      </c>
    </row>
    <row r="394" spans="1:41" ht="15.75" customHeight="1" x14ac:dyDescent="0.2">
      <c r="A394" s="79" t="s">
        <v>224</v>
      </c>
      <c r="B394" s="161" t="s">
        <v>33</v>
      </c>
      <c r="C394" s="79" t="s">
        <v>0</v>
      </c>
      <c r="D394" s="1" t="s">
        <v>666</v>
      </c>
      <c r="E394" s="47">
        <f>ROUND(SUMIF('Target Achieved- Input'!$B$373:$B$466,'Incentive Report- Output'!B394,'Target Achieved- Input'!$G$373:$G$466),0)</f>
        <v>300</v>
      </c>
      <c r="F394" s="47">
        <f>ROUND(SUMIF('Target Achieved- Input'!$B$373:$B$466,'Incentive Report- Output'!B394,'Target Achieved- Input'!$H$373:$H$466),0)</f>
        <v>390</v>
      </c>
      <c r="G394" s="47">
        <f>SUMIF('Target Achieved- Input'!$L$373:$L$466,'Incentive Report- Output'!B394,'Target Achieved- Input'!$O$373:$O$466)</f>
        <v>681</v>
      </c>
      <c r="H394" s="39">
        <f>SUMIF('Target Achieved- Input'!$S$373:$S$466,'Incentive Report- Output'!B394,'Target Achieved- Input'!$V$373:$V$466)</f>
        <v>0</v>
      </c>
      <c r="I394" s="48">
        <f>SUMIF('Target Achieved- Input'!$L$373:$L$466,'Incentive Report- Output'!B394,'Target Achieved- Input'!$AC$373:$AC$466)</f>
        <v>0</v>
      </c>
      <c r="J394" s="39">
        <f t="shared" ref="J394:J397" si="763">G394-H394</f>
        <v>681</v>
      </c>
      <c r="K394" s="40">
        <f t="shared" ref="K394:K397" si="764">IFERROR(J394/E394,0)</f>
        <v>2.27</v>
      </c>
      <c r="L394" s="41">
        <f t="shared" ref="L394:L397" si="765">E394*33000</f>
        <v>9900000</v>
      </c>
      <c r="M394" s="41">
        <f>SUMIF('Target Achieved- Input'!$L$373:$L$466,'Incentive Report- Output'!B394,'Target Achieved- Input'!$M$373:$M$466)</f>
        <v>46339369</v>
      </c>
      <c r="N394" s="41">
        <f>SUMIF('Target Achieved- Input'!$S$373:$S$466,'Incentive Report- Output'!B394,'Target Achieved- Input'!$U$373:$U$466)</f>
        <v>0</v>
      </c>
      <c r="O394" s="41">
        <f>SUMIF('Target Achieved- Input'!$L$373:$L$466,'Incentive Report- Output'!B394,'Target Achieved- Input'!$N$373:$N$466)-N394</f>
        <v>39270651.694915302</v>
      </c>
      <c r="P394" s="40">
        <f t="shared" ref="P394:P397" si="766">IFERROR(O394/L394,0)</f>
        <v>3.966732494435889</v>
      </c>
      <c r="Q394" s="40">
        <f t="shared" ref="Q394:Q397" si="767">MAX(P394,K394)</f>
        <v>3.966732494435889</v>
      </c>
      <c r="R394" s="40">
        <v>0</v>
      </c>
      <c r="S394" s="49">
        <f>(LOOKUP(Q394,Policy!$L$12:$M$16)+R394)*O394</f>
        <v>1178119.5508474591</v>
      </c>
      <c r="T394" s="188"/>
      <c r="U394" s="53"/>
      <c r="V394" s="40"/>
      <c r="W394" s="53"/>
      <c r="X394" s="427">
        <f>E398</f>
        <v>1000</v>
      </c>
      <c r="Y394" s="397">
        <f>J398</f>
        <v>1258</v>
      </c>
      <c r="Z394" s="406">
        <f>Y394/X394</f>
        <v>1.258</v>
      </c>
      <c r="AA394" s="55">
        <v>0</v>
      </c>
      <c r="AB394" s="41">
        <v>0</v>
      </c>
      <c r="AC394" s="41">
        <v>0</v>
      </c>
      <c r="AD394" s="41">
        <f t="shared" ref="AD394:AD397" si="768">IF(AF394&gt;200000,AF394-200000,0)</f>
        <v>978119.55084745912</v>
      </c>
      <c r="AE394" s="41">
        <f t="shared" ref="AE394:AE397" si="769">AF394-AD394</f>
        <v>200000</v>
      </c>
      <c r="AF394" s="41">
        <f>S394+W394+AB394+AC394</f>
        <v>1178119.5508474591</v>
      </c>
      <c r="AG394" s="31"/>
      <c r="AH394" s="419"/>
      <c r="AI394" s="22" t="s">
        <v>224</v>
      </c>
      <c r="AJ394" s="19" t="s">
        <v>33</v>
      </c>
      <c r="AK394" s="195" t="s">
        <v>666</v>
      </c>
      <c r="AL394" s="299">
        <v>1178119.5508474591</v>
      </c>
      <c r="AM394" s="299">
        <f t="shared" ref="AM394:AM397" si="770">AF394</f>
        <v>1178119.5508474591</v>
      </c>
      <c r="AN394" s="300">
        <f t="shared" ref="AN394:AN397" si="771">AL394-AM394</f>
        <v>0</v>
      </c>
    </row>
    <row r="395" spans="1:41" ht="15.75" customHeight="1" x14ac:dyDescent="0.2">
      <c r="A395" s="79" t="s">
        <v>787</v>
      </c>
      <c r="B395" s="161" t="s">
        <v>788</v>
      </c>
      <c r="C395" s="79" t="s">
        <v>1</v>
      </c>
      <c r="D395" s="1" t="s">
        <v>666</v>
      </c>
      <c r="E395" s="47">
        <f>ROUND(SUMIF('Target Achieved- Input'!$B$373:$B$466,'Incentive Report- Output'!B395,'Target Achieved- Input'!$G$373:$G$466),0)</f>
        <v>200</v>
      </c>
      <c r="F395" s="47">
        <f>ROUND(SUMIF('Target Achieved- Input'!$B$373:$B$466,'Incentive Report- Output'!B395,'Target Achieved- Input'!$H$373:$H$466),0)</f>
        <v>260</v>
      </c>
      <c r="G395" s="47">
        <f>SUMIF('Target Achieved- Input'!$L$373:$L$466,'Incentive Report- Output'!B395,'Target Achieved- Input'!$O$373:$O$466)</f>
        <v>145</v>
      </c>
      <c r="H395" s="39">
        <f>SUMIF('Target Achieved- Input'!$S$373:$S$466,'Incentive Report- Output'!B395,'Target Achieved- Input'!$V$373:$V$466)</f>
        <v>5</v>
      </c>
      <c r="I395" s="48">
        <f>SUMIF('Target Achieved- Input'!$L$373:$L$466,'Incentive Report- Output'!B395,'Target Achieved- Input'!$AC$373:$AC$466)</f>
        <v>0</v>
      </c>
      <c r="J395" s="39">
        <f t="shared" si="763"/>
        <v>140</v>
      </c>
      <c r="K395" s="40">
        <f t="shared" si="764"/>
        <v>0.7</v>
      </c>
      <c r="L395" s="41">
        <f t="shared" si="765"/>
        <v>6600000</v>
      </c>
      <c r="M395" s="41">
        <f>SUMIF('Target Achieved- Input'!$L$373:$L$466,'Incentive Report- Output'!B395,'Target Achieved- Input'!$M$373:$M$466)</f>
        <v>9353155</v>
      </c>
      <c r="N395" s="41">
        <f>SUMIF('Target Achieved- Input'!$S$373:$S$466,'Incentive Report- Output'!B395,'Target Achieved- Input'!$U$373:$U$466)</f>
        <v>264402.5423728812</v>
      </c>
      <c r="O395" s="41">
        <f>SUMIF('Target Achieved- Input'!$L$373:$L$466,'Incentive Report- Output'!B395,'Target Achieved- Input'!$N$373:$N$466)-N395</f>
        <v>7662000.0000000056</v>
      </c>
      <c r="P395" s="40">
        <f t="shared" si="766"/>
        <v>1.1609090909090918</v>
      </c>
      <c r="Q395" s="40">
        <f t="shared" si="767"/>
        <v>1.1609090909090918</v>
      </c>
      <c r="R395" s="40">
        <v>0</v>
      </c>
      <c r="S395" s="49">
        <f>(LOOKUP(Q395,Policy!$L$12:$M$16)+R395)*O395</f>
        <v>172395.00000000012</v>
      </c>
      <c r="T395" s="185"/>
      <c r="U395" s="156"/>
      <c r="V395" s="51"/>
      <c r="W395" s="156"/>
      <c r="X395" s="427"/>
      <c r="Y395" s="397"/>
      <c r="Z395" s="406"/>
      <c r="AA395" s="55">
        <v>0</v>
      </c>
      <c r="AB395" s="41">
        <v>0</v>
      </c>
      <c r="AC395" s="41">
        <v>0</v>
      </c>
      <c r="AD395" s="41">
        <f t="shared" si="768"/>
        <v>0</v>
      </c>
      <c r="AE395" s="41">
        <f t="shared" si="769"/>
        <v>172395.00000000012</v>
      </c>
      <c r="AF395" s="41">
        <f>S395+W395+AB395+AC395</f>
        <v>172395.00000000012</v>
      </c>
      <c r="AG395" s="31"/>
      <c r="AH395" s="419"/>
      <c r="AI395" s="22" t="s">
        <v>787</v>
      </c>
      <c r="AJ395" s="19" t="s">
        <v>788</v>
      </c>
      <c r="AK395" s="195" t="s">
        <v>666</v>
      </c>
      <c r="AL395" s="299">
        <v>178344.05720338994</v>
      </c>
      <c r="AM395" s="299">
        <f t="shared" si="770"/>
        <v>172395.00000000012</v>
      </c>
      <c r="AN395" s="300">
        <f t="shared" si="771"/>
        <v>5949.0572033898206</v>
      </c>
    </row>
    <row r="396" spans="1:41" ht="15.75" customHeight="1" x14ac:dyDescent="0.2">
      <c r="A396" s="79" t="s">
        <v>218</v>
      </c>
      <c r="B396" s="161" t="s">
        <v>219</v>
      </c>
      <c r="C396" s="79" t="s">
        <v>1</v>
      </c>
      <c r="D396" s="1" t="s">
        <v>666</v>
      </c>
      <c r="E396" s="47">
        <f>ROUND(SUMIF('Target Achieved- Input'!$B$373:$B$466,'Incentive Report- Output'!B396,'Target Achieved- Input'!$G$373:$G$466),0)</f>
        <v>250</v>
      </c>
      <c r="F396" s="47">
        <f>ROUND(SUMIF('Target Achieved- Input'!$B$373:$B$466,'Incentive Report- Output'!B396,'Target Achieved- Input'!$H$373:$H$466),0)</f>
        <v>325</v>
      </c>
      <c r="G396" s="47">
        <f>SUMIF('Target Achieved- Input'!$L$373:$L$466,'Incentive Report- Output'!B396,'Target Achieved- Input'!$O$373:$O$466)</f>
        <v>201</v>
      </c>
      <c r="H396" s="39">
        <f>SUMIF('Target Achieved- Input'!$S$373:$S$466,'Incentive Report- Output'!B396,'Target Achieved- Input'!$V$373:$V$466)</f>
        <v>1</v>
      </c>
      <c r="I396" s="48">
        <f>SUMIF('Target Achieved- Input'!$L$373:$L$466,'Incentive Report- Output'!B396,'Target Achieved- Input'!$AC$373:$AC$466)</f>
        <v>0</v>
      </c>
      <c r="J396" s="39">
        <f t="shared" si="763"/>
        <v>200</v>
      </c>
      <c r="K396" s="40">
        <f t="shared" si="764"/>
        <v>0.8</v>
      </c>
      <c r="L396" s="41">
        <f t="shared" si="765"/>
        <v>8250000</v>
      </c>
      <c r="M396" s="41">
        <f>SUMIF('Target Achieved- Input'!$L$373:$L$466,'Incentive Report- Output'!B396,'Target Achieved- Input'!$M$373:$M$466)</f>
        <v>12961099</v>
      </c>
      <c r="N396" s="41">
        <f>SUMIF('Target Achieved- Input'!$S$373:$S$466,'Incentive Report- Output'!B396,'Target Achieved- Input'!$U$373:$U$466)</f>
        <v>60168.644067796602</v>
      </c>
      <c r="O396" s="41">
        <f>SUMIF('Target Achieved- Input'!$L$373:$L$466,'Incentive Report- Output'!B396,'Target Achieved- Input'!$N$373:$N$466)-N396</f>
        <v>10923813.559322035</v>
      </c>
      <c r="P396" s="40">
        <f t="shared" si="766"/>
        <v>1.3240986132511559</v>
      </c>
      <c r="Q396" s="40">
        <f t="shared" si="767"/>
        <v>1.3240986132511559</v>
      </c>
      <c r="R396" s="40">
        <v>0</v>
      </c>
      <c r="S396" s="49">
        <f>(LOOKUP(Q396,Policy!$L$12:$M$16)+R396)*O396</f>
        <v>327714.40677966102</v>
      </c>
      <c r="T396" s="188"/>
      <c r="U396" s="53"/>
      <c r="V396" s="40"/>
      <c r="W396" s="53"/>
      <c r="X396" s="427"/>
      <c r="Y396" s="397"/>
      <c r="Z396" s="406"/>
      <c r="AA396" s="55">
        <v>0</v>
      </c>
      <c r="AB396" s="41">
        <v>0</v>
      </c>
      <c r="AC396" s="41">
        <v>0</v>
      </c>
      <c r="AD396" s="41">
        <f t="shared" si="768"/>
        <v>127714.40677966102</v>
      </c>
      <c r="AE396" s="41">
        <f t="shared" si="769"/>
        <v>200000</v>
      </c>
      <c r="AF396" s="41">
        <f>S396+W396+AB396+AC396</f>
        <v>327714.40677966102</v>
      </c>
      <c r="AG396" s="31"/>
      <c r="AH396" s="419"/>
      <c r="AI396" s="22" t="s">
        <v>218</v>
      </c>
      <c r="AJ396" s="19" t="s">
        <v>219</v>
      </c>
      <c r="AK396" s="195" t="s">
        <v>666</v>
      </c>
      <c r="AL396" s="299">
        <v>329519.46610169491</v>
      </c>
      <c r="AM396" s="299">
        <f t="shared" si="770"/>
        <v>327714.40677966102</v>
      </c>
      <c r="AN396" s="300">
        <f t="shared" si="771"/>
        <v>1805.0593220338924</v>
      </c>
    </row>
    <row r="397" spans="1:41" ht="15.75" customHeight="1" x14ac:dyDescent="0.2">
      <c r="A397" s="79" t="s">
        <v>780</v>
      </c>
      <c r="B397" s="161" t="s">
        <v>781</v>
      </c>
      <c r="C397" s="79" t="s">
        <v>1</v>
      </c>
      <c r="D397" s="1" t="s">
        <v>666</v>
      </c>
      <c r="E397" s="47">
        <f>ROUND(SUMIF('Target Achieved- Input'!$B$373:$B$466,'Incentive Report- Output'!B397,'Target Achieved- Input'!$G$373:$G$466),0)</f>
        <v>250</v>
      </c>
      <c r="F397" s="47">
        <f>ROUND(SUMIF('Target Achieved- Input'!$B$373:$B$466,'Incentive Report- Output'!B397,'Target Achieved- Input'!$H$373:$H$466),0)</f>
        <v>325</v>
      </c>
      <c r="G397" s="47">
        <f>SUMIF('Target Achieved- Input'!$L$373:$L$466,'Incentive Report- Output'!B397,'Target Achieved- Input'!$O$373:$O$466)</f>
        <v>238</v>
      </c>
      <c r="H397" s="39">
        <f>SUMIF('Target Achieved- Input'!$S$373:$S$466,'Incentive Report- Output'!B397,'Target Achieved- Input'!$V$373:$V$466)</f>
        <v>1</v>
      </c>
      <c r="I397" s="48">
        <f>SUMIF('Target Achieved- Input'!$L$373:$L$466,'Incentive Report- Output'!B397,'Target Achieved- Input'!$AC$373:$AC$466)</f>
        <v>0</v>
      </c>
      <c r="J397" s="39">
        <f t="shared" si="763"/>
        <v>237</v>
      </c>
      <c r="K397" s="40">
        <f t="shared" si="764"/>
        <v>0.94799999999999995</v>
      </c>
      <c r="L397" s="41">
        <f t="shared" si="765"/>
        <v>8250000</v>
      </c>
      <c r="M397" s="41">
        <f>SUMIF('Target Achieved- Input'!$L$373:$L$466,'Incentive Report- Output'!B397,'Target Achieved- Input'!$M$373:$M$466)</f>
        <v>15872062</v>
      </c>
      <c r="N397" s="41">
        <f>SUMIF('Target Achieved- Input'!$S$373:$S$466,'Incentive Report- Output'!B397,'Target Achieved- Input'!$U$373:$U$466)</f>
        <v>61016.101694915204</v>
      </c>
      <c r="O397" s="41">
        <f>SUMIF('Target Achieved- Input'!$L$373:$L$466,'Incentive Report- Output'!B397,'Target Achieved- Input'!$N$373:$N$466)-N397</f>
        <v>13389883.898305081</v>
      </c>
      <c r="P397" s="40">
        <f t="shared" si="766"/>
        <v>1.6230162300975857</v>
      </c>
      <c r="Q397" s="40">
        <f t="shared" si="767"/>
        <v>1.6230162300975857</v>
      </c>
      <c r="R397" s="40">
        <v>0</v>
      </c>
      <c r="S397" s="49">
        <f>(LOOKUP(Q397,Policy!$L$12:$M$16)+R397)*O397</f>
        <v>401696.5169491524</v>
      </c>
      <c r="T397" s="185"/>
      <c r="U397" s="156"/>
      <c r="V397" s="51"/>
      <c r="W397" s="156"/>
      <c r="X397" s="427"/>
      <c r="Y397" s="397"/>
      <c r="Z397" s="406"/>
      <c r="AA397" s="55">
        <v>0</v>
      </c>
      <c r="AB397" s="41">
        <v>0</v>
      </c>
      <c r="AC397" s="41">
        <v>0</v>
      </c>
      <c r="AD397" s="41">
        <f t="shared" si="768"/>
        <v>201696.5169491524</v>
      </c>
      <c r="AE397" s="41">
        <f t="shared" si="769"/>
        <v>200000</v>
      </c>
      <c r="AF397" s="41">
        <f>S397+W397+AB397+AC397</f>
        <v>401696.5169491524</v>
      </c>
      <c r="AG397" s="31"/>
      <c r="AH397" s="419"/>
      <c r="AI397" s="22" t="s">
        <v>780</v>
      </c>
      <c r="AJ397" s="19" t="s">
        <v>781</v>
      </c>
      <c r="AK397" s="195" t="s">
        <v>666</v>
      </c>
      <c r="AL397" s="299">
        <v>403526.99999999988</v>
      </c>
      <c r="AM397" s="299">
        <f t="shared" si="770"/>
        <v>401696.5169491524</v>
      </c>
      <c r="AN397" s="300">
        <f t="shared" si="771"/>
        <v>1830.4830508474843</v>
      </c>
    </row>
    <row r="398" spans="1:41" ht="15.75" customHeight="1" x14ac:dyDescent="0.2">
      <c r="A398" s="109" t="s">
        <v>6</v>
      </c>
      <c r="B398" s="109"/>
      <c r="C398" s="109"/>
      <c r="D398" s="292" t="s">
        <v>666</v>
      </c>
      <c r="E398" s="44">
        <f t="shared" ref="E398:J398" si="772">SUM(E394:E397)</f>
        <v>1000</v>
      </c>
      <c r="F398" s="44">
        <f t="shared" si="772"/>
        <v>1300</v>
      </c>
      <c r="G398" s="44">
        <f t="shared" si="772"/>
        <v>1265</v>
      </c>
      <c r="H398" s="44">
        <f t="shared" si="772"/>
        <v>7</v>
      </c>
      <c r="I398" s="44">
        <f t="shared" si="772"/>
        <v>0</v>
      </c>
      <c r="J398" s="44">
        <f t="shared" si="772"/>
        <v>1258</v>
      </c>
      <c r="K398" s="45"/>
      <c r="L398" s="44">
        <f>SUM(L394:L397)</f>
        <v>33000000</v>
      </c>
      <c r="M398" s="44">
        <f>SUM(M394:M397)</f>
        <v>84525685</v>
      </c>
      <c r="N398" s="44">
        <f>SUM(N394:N397)</f>
        <v>385587.288135593</v>
      </c>
      <c r="O398" s="44">
        <f>SUM(O394:O397)</f>
        <v>71246349.152542427</v>
      </c>
      <c r="P398" s="45"/>
      <c r="Q398" s="46"/>
      <c r="R398" s="46"/>
      <c r="S398" s="44">
        <f t="shared" ref="S398:AF398" si="773">SUM(S394:S397)</f>
        <v>2079925.4745762725</v>
      </c>
      <c r="T398" s="189">
        <f t="shared" si="773"/>
        <v>0</v>
      </c>
      <c r="U398" s="189">
        <f t="shared" si="773"/>
        <v>0</v>
      </c>
      <c r="V398" s="103">
        <f t="shared" si="773"/>
        <v>0</v>
      </c>
      <c r="W398" s="189">
        <f t="shared" si="773"/>
        <v>0</v>
      </c>
      <c r="X398" s="44">
        <f t="shared" si="773"/>
        <v>1000</v>
      </c>
      <c r="Y398" s="44">
        <f t="shared" si="773"/>
        <v>1258</v>
      </c>
      <c r="Z398" s="54">
        <f t="shared" si="773"/>
        <v>1.258</v>
      </c>
      <c r="AA398" s="87">
        <f t="shared" si="773"/>
        <v>0</v>
      </c>
      <c r="AB398" s="87">
        <f t="shared" si="773"/>
        <v>0</v>
      </c>
      <c r="AC398" s="87">
        <f t="shared" si="773"/>
        <v>0</v>
      </c>
      <c r="AD398" s="87">
        <f t="shared" si="773"/>
        <v>1307530.4745762725</v>
      </c>
      <c r="AE398" s="87">
        <f t="shared" si="773"/>
        <v>772395.00000000012</v>
      </c>
      <c r="AF398" s="87">
        <f t="shared" si="773"/>
        <v>2079925.4745762725</v>
      </c>
      <c r="AG398" s="31"/>
      <c r="AH398" s="419"/>
      <c r="AI398" s="43" t="s">
        <v>6</v>
      </c>
      <c r="AJ398" s="43"/>
      <c r="AK398" s="43" t="s">
        <v>666</v>
      </c>
      <c r="AL398" s="304">
        <v>2089510.0741525437</v>
      </c>
      <c r="AM398" s="304">
        <f>SUM(AM394:AM397)</f>
        <v>2079925.4745762725</v>
      </c>
      <c r="AN398" s="304">
        <f>SUM(AN394:AN397)</f>
        <v>9584.5995762711973</v>
      </c>
    </row>
    <row r="399" spans="1:41" ht="15.75" customHeight="1" x14ac:dyDescent="0.2">
      <c r="A399" s="79" t="s">
        <v>298</v>
      </c>
      <c r="B399" s="79" t="s">
        <v>49</v>
      </c>
      <c r="C399" s="79" t="s">
        <v>0</v>
      </c>
      <c r="D399" s="1" t="s">
        <v>667</v>
      </c>
      <c r="E399" s="47">
        <f>ROUND(SUMIF('Target Achieved- Input'!$B$373:$B$466,'Incentive Report- Output'!B399,'Target Achieved- Input'!$G$373:$G$466),0)</f>
        <v>150</v>
      </c>
      <c r="F399" s="47">
        <f>ROUND(SUMIF('Target Achieved- Input'!$B$373:$B$466,'Incentive Report- Output'!B399,'Target Achieved- Input'!$H$373:$H$466),0)</f>
        <v>195</v>
      </c>
      <c r="G399" s="47">
        <f>SUMIF('Target Achieved- Input'!$L$373:$L$466,'Incentive Report- Output'!B399,'Target Achieved- Input'!$O$373:$O$466)</f>
        <v>242</v>
      </c>
      <c r="H399" s="39">
        <f>SUMIF('Target Achieved- Input'!$S$373:$S$466,'Incentive Report- Output'!B399,'Target Achieved- Input'!$V$373:$V$466)</f>
        <v>6</v>
      </c>
      <c r="I399" s="48">
        <f>SUMIF('Target Achieved- Input'!$L$373:$L$466,'Incentive Report- Output'!B399,'Target Achieved- Input'!$AC$373:$AC$466)</f>
        <v>0</v>
      </c>
      <c r="J399" s="39">
        <f t="shared" ref="J399:J406" si="774">G399-H399</f>
        <v>236</v>
      </c>
      <c r="K399" s="40">
        <f t="shared" ref="K399:K406" si="775">IFERROR(J399/E399,0)</f>
        <v>1.5733333333333333</v>
      </c>
      <c r="L399" s="41">
        <f t="shared" ref="L399:L406" si="776">E399*33000</f>
        <v>4950000</v>
      </c>
      <c r="M399" s="41">
        <f>SUMIF('Target Achieved- Input'!$L$373:$L$466,'Incentive Report- Output'!B399,'Target Achieved- Input'!$M$373:$M$466)</f>
        <v>16756758</v>
      </c>
      <c r="N399" s="41">
        <f>SUMIF('Target Achieved- Input'!$S$373:$S$466,'Incentive Report- Output'!B399,'Target Achieved- Input'!$U$373:$U$466)</f>
        <v>308469.49152542336</v>
      </c>
      <c r="O399" s="41">
        <f>SUMIF('Target Achieved- Input'!$L$373:$L$466,'Incentive Report- Output'!B399,'Target Achieved- Input'!$N$373:$N$466)-N399</f>
        <v>13892172.8813559</v>
      </c>
      <c r="P399" s="40">
        <f t="shared" ref="P399:P406" si="777">IFERROR(O399/L399,0)</f>
        <v>2.806499571991091</v>
      </c>
      <c r="Q399" s="40">
        <f t="shared" ref="Q399:Q406" si="778">MAX(P399,K399)</f>
        <v>2.806499571991091</v>
      </c>
      <c r="R399" s="40">
        <v>0</v>
      </c>
      <c r="S399" s="49">
        <f>(LOOKUP(Q399,Policy!$L$12:$M$16)+R399)*O399</f>
        <v>416765.18644067697</v>
      </c>
      <c r="T399" s="188" t="s">
        <v>1426</v>
      </c>
      <c r="U399" s="53"/>
      <c r="V399" s="40"/>
      <c r="W399" s="53"/>
      <c r="X399" s="428">
        <f>E407</f>
        <v>1960</v>
      </c>
      <c r="Y399" s="396">
        <f>J407</f>
        <v>3219</v>
      </c>
      <c r="Z399" s="430">
        <f>Y399/X399</f>
        <v>1.6423469387755103</v>
      </c>
      <c r="AA399" s="55">
        <v>0</v>
      </c>
      <c r="AB399" s="41">
        <v>0</v>
      </c>
      <c r="AC399" s="41">
        <v>0</v>
      </c>
      <c r="AD399" s="41">
        <f t="shared" ref="AD399:AD406" si="779">IF(AF399&gt;200000,AF399-200000,0)</f>
        <v>216765.18644067697</v>
      </c>
      <c r="AE399" s="41">
        <f t="shared" ref="AE399:AE406" si="780">AF399-AD399</f>
        <v>200000</v>
      </c>
      <c r="AF399" s="41">
        <f t="shared" ref="AF399:AF406" si="781">S399+W399+AB399+AC399</f>
        <v>416765.18644067697</v>
      </c>
      <c r="AG399" s="31"/>
      <c r="AH399" s="419"/>
      <c r="AI399" s="22" t="s">
        <v>298</v>
      </c>
      <c r="AJ399" s="22" t="s">
        <v>49</v>
      </c>
      <c r="AK399" s="195" t="s">
        <v>667</v>
      </c>
      <c r="AL399" s="299">
        <v>426019.27118643967</v>
      </c>
      <c r="AM399" s="299">
        <f t="shared" ref="AM399:AM406" si="782">AF399</f>
        <v>416765.18644067697</v>
      </c>
      <c r="AN399" s="300">
        <f t="shared" ref="AN399:AN406" si="783">AL399-AM399</f>
        <v>9254.0847457626951</v>
      </c>
    </row>
    <row r="400" spans="1:41" ht="15.75" customHeight="1" x14ac:dyDescent="0.2">
      <c r="A400" s="79" t="s">
        <v>1109</v>
      </c>
      <c r="B400" s="79" t="s">
        <v>1110</v>
      </c>
      <c r="C400" s="79" t="s">
        <v>1</v>
      </c>
      <c r="D400" s="1" t="s">
        <v>667</v>
      </c>
      <c r="E400" s="47">
        <f>ROUND(SUMIF('Target Achieved- Input'!$B$373:$B$466,'Incentive Report- Output'!B400,'Target Achieved- Input'!$G$373:$G$466),0)</f>
        <v>150</v>
      </c>
      <c r="F400" s="47">
        <f>ROUND(SUMIF('Target Achieved- Input'!$B$373:$B$466,'Incentive Report- Output'!B400,'Target Achieved- Input'!$H$373:$H$466),0)</f>
        <v>195</v>
      </c>
      <c r="G400" s="47">
        <f>SUMIF('Target Achieved- Input'!$L$373:$L$466,'Incentive Report- Output'!B400,'Target Achieved- Input'!$O$373:$O$466)</f>
        <v>256</v>
      </c>
      <c r="H400" s="39">
        <f>SUMIF('Target Achieved- Input'!$S$373:$S$466,'Incentive Report- Output'!B400,'Target Achieved- Input'!$V$373:$V$466)</f>
        <v>3</v>
      </c>
      <c r="I400" s="48">
        <f>SUMIF('Target Achieved- Input'!$L$373:$L$466,'Incentive Report- Output'!B400,'Target Achieved- Input'!$AC$373:$AC$466)</f>
        <v>0</v>
      </c>
      <c r="J400" s="39">
        <f t="shared" si="774"/>
        <v>253</v>
      </c>
      <c r="K400" s="40">
        <f t="shared" si="775"/>
        <v>1.6866666666666668</v>
      </c>
      <c r="L400" s="41">
        <f t="shared" si="776"/>
        <v>4950000</v>
      </c>
      <c r="M400" s="41">
        <f>SUMIF('Target Achieved- Input'!$L$373:$L$466,'Incentive Report- Output'!B400,'Target Achieved- Input'!$M$373:$M$466)</f>
        <v>16986344</v>
      </c>
      <c r="N400" s="41">
        <f>SUMIF('Target Achieved- Input'!$S$373:$S$466,'Incentive Report- Output'!B400,'Target Achieved- Input'!$U$373:$U$466)</f>
        <v>132455.08474576261</v>
      </c>
      <c r="O400" s="41">
        <f>SUMIF('Target Achieved- Input'!$L$373:$L$466,'Incentive Report- Output'!B400,'Target Achieved- Input'!$N$373:$N$466)-N400</f>
        <v>14262751.694915222</v>
      </c>
      <c r="P400" s="40">
        <f t="shared" si="777"/>
        <v>2.8813639787707519</v>
      </c>
      <c r="Q400" s="40">
        <f t="shared" si="778"/>
        <v>2.8813639787707519</v>
      </c>
      <c r="R400" s="40">
        <v>0</v>
      </c>
      <c r="S400" s="49">
        <f>(LOOKUP(Q400,Policy!$L$12:$M$16)+R400)*O400</f>
        <v>427882.55084745662</v>
      </c>
      <c r="T400" s="188"/>
      <c r="U400" s="53"/>
      <c r="V400" s="40"/>
      <c r="W400" s="53"/>
      <c r="X400" s="427"/>
      <c r="Y400" s="397"/>
      <c r="Z400" s="431"/>
      <c r="AA400" s="55">
        <v>0</v>
      </c>
      <c r="AB400" s="41">
        <v>0</v>
      </c>
      <c r="AC400" s="41">
        <v>0</v>
      </c>
      <c r="AD400" s="41">
        <f t="shared" si="779"/>
        <v>227882.55084745662</v>
      </c>
      <c r="AE400" s="41">
        <f t="shared" si="780"/>
        <v>200000</v>
      </c>
      <c r="AF400" s="41">
        <f t="shared" si="781"/>
        <v>427882.55084745662</v>
      </c>
      <c r="AG400" s="31"/>
      <c r="AH400" s="419"/>
      <c r="AI400" s="22" t="s">
        <v>1109</v>
      </c>
      <c r="AJ400" s="22" t="s">
        <v>1110</v>
      </c>
      <c r="AK400" s="195" t="s">
        <v>667</v>
      </c>
      <c r="AL400" s="299">
        <v>431856.20338982955</v>
      </c>
      <c r="AM400" s="299">
        <f t="shared" si="782"/>
        <v>427882.55084745662</v>
      </c>
      <c r="AN400" s="300">
        <f t="shared" si="783"/>
        <v>3973.6525423729327</v>
      </c>
    </row>
    <row r="401" spans="1:42" ht="15.75" customHeight="1" x14ac:dyDescent="0.2">
      <c r="A401" s="79" t="s">
        <v>25</v>
      </c>
      <c r="B401" s="79" t="s">
        <v>26</v>
      </c>
      <c r="C401" s="79" t="s">
        <v>1</v>
      </c>
      <c r="D401" s="1" t="s">
        <v>667</v>
      </c>
      <c r="E401" s="47">
        <f>ROUND(SUMIF('Target Achieved- Input'!$B$373:$B$466,'Incentive Report- Output'!B401,'Target Achieved- Input'!$G$373:$G$466),0)</f>
        <v>200</v>
      </c>
      <c r="F401" s="47">
        <f>ROUND(SUMIF('Target Achieved- Input'!$B$373:$B$466,'Incentive Report- Output'!B401,'Target Achieved- Input'!$H$373:$H$466),0)</f>
        <v>260</v>
      </c>
      <c r="G401" s="47">
        <f>SUMIF('Target Achieved- Input'!$L$373:$L$466,'Incentive Report- Output'!B401,'Target Achieved- Input'!$O$373:$O$466)</f>
        <v>320</v>
      </c>
      <c r="H401" s="39">
        <f>SUMIF('Target Achieved- Input'!$S$373:$S$466,'Incentive Report- Output'!B401,'Target Achieved- Input'!$V$373:$V$466)</f>
        <v>4</v>
      </c>
      <c r="I401" s="48">
        <f>SUMIF('Target Achieved- Input'!$L$373:$L$466,'Incentive Report- Output'!B401,'Target Achieved- Input'!$AC$373:$AC$466)</f>
        <v>0</v>
      </c>
      <c r="J401" s="39">
        <f t="shared" si="774"/>
        <v>316</v>
      </c>
      <c r="K401" s="40">
        <f t="shared" si="775"/>
        <v>1.58</v>
      </c>
      <c r="L401" s="41">
        <f t="shared" si="776"/>
        <v>6600000</v>
      </c>
      <c r="M401" s="41">
        <f>SUMIF('Target Achieved- Input'!$L$373:$L$466,'Incentive Report- Output'!B401,'Target Achieved- Input'!$M$373:$M$466)</f>
        <v>21501280</v>
      </c>
      <c r="N401" s="41">
        <f>SUMIF('Target Achieved- Input'!$S$373:$S$466,'Incentive Report- Output'!B401,'Target Achieved- Input'!$U$373:$U$466)</f>
        <v>228810.16949152519</v>
      </c>
      <c r="O401" s="41">
        <f>SUMIF('Target Achieved- Input'!$L$373:$L$466,'Incentive Report- Output'!B401,'Target Achieved- Input'!$N$373:$N$466)-N401</f>
        <v>17992613.559321966</v>
      </c>
      <c r="P401" s="40">
        <f t="shared" si="777"/>
        <v>2.7261535695942372</v>
      </c>
      <c r="Q401" s="40">
        <f t="shared" si="778"/>
        <v>2.7261535695942372</v>
      </c>
      <c r="R401" s="40">
        <v>0</v>
      </c>
      <c r="S401" s="49">
        <f>(LOOKUP(Q401,Policy!$L$12:$M$16)+R401)*O401</f>
        <v>539778.40677965898</v>
      </c>
      <c r="T401" s="185"/>
      <c r="U401" s="156"/>
      <c r="V401" s="51"/>
      <c r="W401" s="156"/>
      <c r="X401" s="427"/>
      <c r="Y401" s="397"/>
      <c r="Z401" s="431"/>
      <c r="AA401" s="55">
        <v>0</v>
      </c>
      <c r="AB401" s="41">
        <v>0</v>
      </c>
      <c r="AC401" s="41">
        <v>0</v>
      </c>
      <c r="AD401" s="41">
        <f t="shared" si="779"/>
        <v>339778.40677965898</v>
      </c>
      <c r="AE401" s="41">
        <f t="shared" si="780"/>
        <v>200000</v>
      </c>
      <c r="AF401" s="41">
        <f t="shared" si="781"/>
        <v>539778.40677965898</v>
      </c>
      <c r="AG401" s="31"/>
      <c r="AH401" s="419"/>
      <c r="AI401" s="22" t="s">
        <v>25</v>
      </c>
      <c r="AJ401" s="22" t="s">
        <v>26</v>
      </c>
      <c r="AK401" s="195" t="s">
        <v>667</v>
      </c>
      <c r="AL401" s="299">
        <v>546642.71186440473</v>
      </c>
      <c r="AM401" s="299">
        <f t="shared" si="782"/>
        <v>539778.40677965898</v>
      </c>
      <c r="AN401" s="300">
        <f t="shared" si="783"/>
        <v>6864.3050847457489</v>
      </c>
    </row>
    <row r="402" spans="1:42" ht="15.75" customHeight="1" x14ac:dyDescent="0.2">
      <c r="A402" s="79" t="s">
        <v>209</v>
      </c>
      <c r="B402" s="79" t="s">
        <v>52</v>
      </c>
      <c r="C402" s="79" t="s">
        <v>1185</v>
      </c>
      <c r="D402" s="1" t="s">
        <v>667</v>
      </c>
      <c r="E402" s="47">
        <f>ROUND(SUMIF('Target Achieved- Input'!$B$373:$B$466,'Incentive Report- Output'!B402,'Target Achieved- Input'!$G$373:$G$466),0)</f>
        <v>350</v>
      </c>
      <c r="F402" s="47">
        <f>ROUND(SUMIF('Target Achieved- Input'!$B$373:$B$466,'Incentive Report- Output'!B402,'Target Achieved- Input'!$H$373:$H$466),0)</f>
        <v>455</v>
      </c>
      <c r="G402" s="47">
        <f>SUMIF('Target Achieved- Input'!$L$373:$L$466,'Incentive Report- Output'!B402,'Target Achieved- Input'!$O$373:$O$466)</f>
        <v>634</v>
      </c>
      <c r="H402" s="39">
        <f>SUMIF('Target Achieved- Input'!$S$373:$S$466,'Incentive Report- Output'!B402,'Target Achieved- Input'!$V$373:$V$466)</f>
        <v>0</v>
      </c>
      <c r="I402" s="48">
        <f>SUMIF('Target Achieved- Input'!$L$373:$L$466,'Incentive Report- Output'!B402,'Target Achieved- Input'!$AC$373:$AC$466)</f>
        <v>0</v>
      </c>
      <c r="J402" s="39">
        <f t="shared" si="774"/>
        <v>634</v>
      </c>
      <c r="K402" s="40">
        <f t="shared" si="775"/>
        <v>1.8114285714285714</v>
      </c>
      <c r="L402" s="41">
        <f t="shared" si="776"/>
        <v>11550000</v>
      </c>
      <c r="M402" s="41">
        <f>SUMIF('Target Achieved- Input'!$L$373:$L$466,'Incentive Report- Output'!B402,'Target Achieved- Input'!$M$373:$M$466)</f>
        <v>43377116</v>
      </c>
      <c r="N402" s="41">
        <f>SUMIF('Target Achieved- Input'!$S$373:$S$466,'Incentive Report- Output'!B402,'Target Achieved- Input'!$U$373:$U$466)</f>
        <v>0</v>
      </c>
      <c r="O402" s="41">
        <f>SUMIF('Target Achieved- Input'!$L$373:$L$466,'Incentive Report- Output'!B402,'Target Achieved- Input'!$N$373:$N$466)-N402</f>
        <v>36760267.796610184</v>
      </c>
      <c r="P402" s="40">
        <f t="shared" si="777"/>
        <v>3.1827071685376782</v>
      </c>
      <c r="Q402" s="40">
        <f t="shared" si="778"/>
        <v>3.1827071685376782</v>
      </c>
      <c r="R402" s="40">
        <v>0</v>
      </c>
      <c r="S402" s="49">
        <f>(LOOKUP(Q402,Policy!$L$12:$M$16)+R402)*O402</f>
        <v>1102808.0338983054</v>
      </c>
      <c r="T402" s="185">
        <f>L403</f>
        <v>11550000</v>
      </c>
      <c r="U402" s="156">
        <f>O403</f>
        <v>31418105.084745865</v>
      </c>
      <c r="V402" s="51">
        <f>IFERROR(U402/T402,0)</f>
        <v>2.7201822584195554</v>
      </c>
      <c r="W402" s="156">
        <f>LOOKUP(V402,Policy!$L$18:$M$21)*U402</f>
        <v>78545.262711864663</v>
      </c>
      <c r="X402" s="427"/>
      <c r="Y402" s="397"/>
      <c r="Z402" s="431"/>
      <c r="AA402" s="55">
        <v>0</v>
      </c>
      <c r="AB402" s="41">
        <v>0</v>
      </c>
      <c r="AC402" s="41">
        <v>0</v>
      </c>
      <c r="AD402" s="41">
        <f t="shared" si="779"/>
        <v>981353.29661017004</v>
      </c>
      <c r="AE402" s="41">
        <f t="shared" si="780"/>
        <v>200000</v>
      </c>
      <c r="AF402" s="41">
        <f t="shared" si="781"/>
        <v>1181353.29661017</v>
      </c>
      <c r="AG402" s="31"/>
      <c r="AH402" s="419"/>
      <c r="AI402" s="22" t="s">
        <v>209</v>
      </c>
      <c r="AJ402" s="22" t="s">
        <v>52</v>
      </c>
      <c r="AK402" s="195" t="s">
        <v>667</v>
      </c>
      <c r="AL402" s="299">
        <v>1181353.29661017</v>
      </c>
      <c r="AM402" s="299">
        <f t="shared" si="782"/>
        <v>1181353.29661017</v>
      </c>
      <c r="AN402" s="300">
        <f t="shared" si="783"/>
        <v>0</v>
      </c>
    </row>
    <row r="403" spans="1:42" ht="15.75" customHeight="1" x14ac:dyDescent="0.2">
      <c r="A403" s="79" t="s">
        <v>303</v>
      </c>
      <c r="B403" s="79" t="s">
        <v>305</v>
      </c>
      <c r="C403" s="79" t="s">
        <v>1</v>
      </c>
      <c r="D403" s="1" t="s">
        <v>667</v>
      </c>
      <c r="E403" s="47">
        <f>ROUND(SUMIF('Target Achieved- Input'!$B$373:$B$466,'Incentive Report- Output'!B403,'Target Achieved- Input'!$G$373:$G$466),0)</f>
        <v>350</v>
      </c>
      <c r="F403" s="47">
        <f>ROUND(SUMIF('Target Achieved- Input'!$B$373:$B$466,'Incentive Report- Output'!B403,'Target Achieved- Input'!$H$373:$H$466),0)</f>
        <v>455</v>
      </c>
      <c r="G403" s="47">
        <f>SUMIF('Target Achieved- Input'!$L$373:$L$466,'Incentive Report- Output'!B403,'Target Achieved- Input'!$O$373:$O$466)</f>
        <v>536</v>
      </c>
      <c r="H403" s="39">
        <f>SUMIF('Target Achieved- Input'!$S$373:$S$466,'Incentive Report- Output'!B403,'Target Achieved- Input'!$V$373:$V$466)</f>
        <v>0</v>
      </c>
      <c r="I403" s="48">
        <f>SUMIF('Target Achieved- Input'!$L$373:$L$466,'Incentive Report- Output'!B403,'Target Achieved- Input'!$AC$373:$AC$466)</f>
        <v>0</v>
      </c>
      <c r="J403" s="39">
        <f t="shared" si="774"/>
        <v>536</v>
      </c>
      <c r="K403" s="40">
        <f t="shared" si="775"/>
        <v>1.5314285714285714</v>
      </c>
      <c r="L403" s="41">
        <f t="shared" si="776"/>
        <v>11550000</v>
      </c>
      <c r="M403" s="41">
        <f>SUMIF('Target Achieved- Input'!$L$373:$L$466,'Incentive Report- Output'!B403,'Target Achieved- Input'!$M$373:$M$466)</f>
        <v>37073364</v>
      </c>
      <c r="N403" s="41">
        <f>SUMIF('Target Achieved- Input'!$S$373:$S$466,'Incentive Report- Output'!B403,'Target Achieved- Input'!$U$373:$U$466)</f>
        <v>0</v>
      </c>
      <c r="O403" s="41">
        <f>SUMIF('Target Achieved- Input'!$L$373:$L$466,'Incentive Report- Output'!B403,'Target Achieved- Input'!$N$373:$N$466)-N403</f>
        <v>31418105.084745865</v>
      </c>
      <c r="P403" s="40">
        <f t="shared" si="777"/>
        <v>2.7201822584195554</v>
      </c>
      <c r="Q403" s="40">
        <f t="shared" si="778"/>
        <v>2.7201822584195554</v>
      </c>
      <c r="R403" s="40">
        <v>0</v>
      </c>
      <c r="S403" s="49">
        <f>(LOOKUP(Q403,Policy!$L$12:$M$16)+R403)*O403</f>
        <v>942543.15254237596</v>
      </c>
      <c r="T403" s="185"/>
      <c r="U403" s="156"/>
      <c r="V403" s="51"/>
      <c r="W403" s="156"/>
      <c r="X403" s="427"/>
      <c r="Y403" s="397"/>
      <c r="Z403" s="431"/>
      <c r="AA403" s="55">
        <v>0</v>
      </c>
      <c r="AB403" s="41">
        <v>0</v>
      </c>
      <c r="AC403" s="41">
        <v>0</v>
      </c>
      <c r="AD403" s="41">
        <f t="shared" si="779"/>
        <v>742543.15254237596</v>
      </c>
      <c r="AE403" s="41">
        <f t="shared" si="780"/>
        <v>200000</v>
      </c>
      <c r="AF403" s="41">
        <f t="shared" si="781"/>
        <v>942543.15254237596</v>
      </c>
      <c r="AG403" s="31"/>
      <c r="AH403" s="419"/>
      <c r="AI403" s="22" t="s">
        <v>303</v>
      </c>
      <c r="AJ403" s="22" t="s">
        <v>305</v>
      </c>
      <c r="AK403" s="195" t="s">
        <v>667</v>
      </c>
      <c r="AL403" s="299">
        <v>942543.15254237596</v>
      </c>
      <c r="AM403" s="299">
        <f t="shared" si="782"/>
        <v>942543.15254237596</v>
      </c>
      <c r="AN403" s="300">
        <f t="shared" si="783"/>
        <v>0</v>
      </c>
    </row>
    <row r="404" spans="1:42" ht="15.75" customHeight="1" x14ac:dyDescent="0.2">
      <c r="A404" s="79" t="s">
        <v>285</v>
      </c>
      <c r="B404" s="79" t="s">
        <v>54</v>
      </c>
      <c r="C404" s="79" t="s">
        <v>1</v>
      </c>
      <c r="D404" s="1" t="s">
        <v>667</v>
      </c>
      <c r="E404" s="47">
        <f>ROUND(SUMIF('Target Achieved- Input'!$B$373:$B$466,'Incentive Report- Output'!B404,'Target Achieved- Input'!$G$373:$G$466),0)</f>
        <v>350</v>
      </c>
      <c r="F404" s="47">
        <f>ROUND(SUMIF('Target Achieved- Input'!$B$373:$B$466,'Incentive Report- Output'!B404,'Target Achieved- Input'!$H$373:$H$466),0)</f>
        <v>455</v>
      </c>
      <c r="G404" s="47">
        <f>SUMIF('Target Achieved- Input'!$L$373:$L$466,'Incentive Report- Output'!B404,'Target Achieved- Input'!$O$373:$O$466)</f>
        <v>522</v>
      </c>
      <c r="H404" s="39">
        <f>SUMIF('Target Achieved- Input'!$S$373:$S$466,'Incentive Report- Output'!B404,'Target Achieved- Input'!$V$373:$V$466)</f>
        <v>1</v>
      </c>
      <c r="I404" s="48">
        <f>SUMIF('Target Achieved- Input'!$L$373:$L$466,'Incentive Report- Output'!B404,'Target Achieved- Input'!$AC$373:$AC$466)</f>
        <v>1</v>
      </c>
      <c r="J404" s="39">
        <f t="shared" si="774"/>
        <v>521</v>
      </c>
      <c r="K404" s="40">
        <f t="shared" si="775"/>
        <v>1.4885714285714287</v>
      </c>
      <c r="L404" s="41">
        <f t="shared" si="776"/>
        <v>11550000</v>
      </c>
      <c r="M404" s="41">
        <f>SUMIF('Target Achieved- Input'!$L$373:$L$466,'Incentive Report- Output'!B404,'Target Achieved- Input'!$M$373:$M$466)</f>
        <v>36223078</v>
      </c>
      <c r="N404" s="41">
        <f>SUMIF('Target Achieved- Input'!$S$373:$S$466,'Incentive Report- Output'!B404,'Target Achieved- Input'!$U$373:$U$466)</f>
        <v>60168.644067796602</v>
      </c>
      <c r="O404" s="41">
        <f>SUMIF('Target Achieved- Input'!$L$373:$L$466,'Incentive Report- Output'!B404,'Target Achieved- Input'!$N$373:$N$466)-N404</f>
        <v>30637355.084745862</v>
      </c>
      <c r="P404" s="40">
        <f t="shared" si="777"/>
        <v>2.6525848558221523</v>
      </c>
      <c r="Q404" s="40">
        <f t="shared" si="778"/>
        <v>2.6525848558221523</v>
      </c>
      <c r="R404" s="40">
        <v>0</v>
      </c>
      <c r="S404" s="49">
        <f>(LOOKUP(Q404,Policy!$L$12:$M$16)+R404)*O404</f>
        <v>919120.65254237584</v>
      </c>
      <c r="T404" s="185"/>
      <c r="U404" s="156"/>
      <c r="V404" s="51"/>
      <c r="W404" s="156"/>
      <c r="X404" s="427"/>
      <c r="Y404" s="397"/>
      <c r="Z404" s="431"/>
      <c r="AA404" s="55">
        <v>0</v>
      </c>
      <c r="AB404" s="41">
        <v>0</v>
      </c>
      <c r="AC404" s="41">
        <v>0</v>
      </c>
      <c r="AD404" s="41">
        <f t="shared" si="779"/>
        <v>719120.65254237584</v>
      </c>
      <c r="AE404" s="41">
        <f t="shared" si="780"/>
        <v>200000</v>
      </c>
      <c r="AF404" s="41">
        <f t="shared" si="781"/>
        <v>919120.65254237584</v>
      </c>
      <c r="AG404" s="31"/>
      <c r="AH404" s="419"/>
      <c r="AI404" s="22" t="s">
        <v>285</v>
      </c>
      <c r="AJ404" s="22" t="s">
        <v>54</v>
      </c>
      <c r="AK404" s="195" t="s">
        <v>667</v>
      </c>
      <c r="AL404" s="299">
        <v>920925.71186440974</v>
      </c>
      <c r="AM404" s="299">
        <f t="shared" si="782"/>
        <v>919120.65254237584</v>
      </c>
      <c r="AN404" s="300">
        <f t="shared" si="783"/>
        <v>1805.0593220338924</v>
      </c>
    </row>
    <row r="405" spans="1:42" ht="15.75" customHeight="1" x14ac:dyDescent="0.2">
      <c r="A405" s="79" t="s">
        <v>246</v>
      </c>
      <c r="B405" s="79" t="s">
        <v>247</v>
      </c>
      <c r="C405" s="79" t="s">
        <v>1</v>
      </c>
      <c r="D405" s="1" t="s">
        <v>667</v>
      </c>
      <c r="E405" s="47">
        <f>ROUND(SUMIF('Target Achieved- Input'!$B$373:$B$466,'Incentive Report- Output'!B405,'Target Achieved- Input'!$G$373:$G$466),0)</f>
        <v>160</v>
      </c>
      <c r="F405" s="47">
        <f>ROUND(SUMIF('Target Achieved- Input'!$B$373:$B$466,'Incentive Report- Output'!B405,'Target Achieved- Input'!$H$373:$H$466),0)</f>
        <v>208</v>
      </c>
      <c r="G405" s="47">
        <f>SUMIF('Target Achieved- Input'!$L$373:$L$466,'Incentive Report- Output'!B405,'Target Achieved- Input'!$O$373:$O$466)</f>
        <v>283</v>
      </c>
      <c r="H405" s="39">
        <f>SUMIF('Target Achieved- Input'!$S$373:$S$466,'Incentive Report- Output'!B405,'Target Achieved- Input'!$V$373:$V$466)</f>
        <v>1</v>
      </c>
      <c r="I405" s="48">
        <f>SUMIF('Target Achieved- Input'!$L$373:$L$466,'Incentive Report- Output'!B405,'Target Achieved- Input'!$AC$373:$AC$466)</f>
        <v>0</v>
      </c>
      <c r="J405" s="39">
        <f t="shared" si="774"/>
        <v>282</v>
      </c>
      <c r="K405" s="40">
        <f t="shared" si="775"/>
        <v>1.7625</v>
      </c>
      <c r="L405" s="41">
        <f t="shared" si="776"/>
        <v>5280000</v>
      </c>
      <c r="M405" s="41">
        <f>SUMIF('Target Achieved- Input'!$L$373:$L$466,'Incentive Report- Output'!B405,'Target Achieved- Input'!$M$373:$M$466)</f>
        <v>18407617</v>
      </c>
      <c r="N405" s="41">
        <f>SUMIF('Target Achieved- Input'!$S$373:$S$466,'Incentive Report- Output'!B405,'Target Achieved- Input'!$U$373:$U$466)</f>
        <v>30507.627118643999</v>
      </c>
      <c r="O405" s="41">
        <f>SUMIF('Target Achieved- Input'!$L$373:$L$466,'Incentive Report- Output'!B405,'Target Achieved- Input'!$N$373:$N$466)-N405</f>
        <v>15569167.796610126</v>
      </c>
      <c r="P405" s="40">
        <f t="shared" si="777"/>
        <v>2.948706022085251</v>
      </c>
      <c r="Q405" s="40">
        <f t="shared" si="778"/>
        <v>2.948706022085251</v>
      </c>
      <c r="R405" s="40">
        <v>0</v>
      </c>
      <c r="S405" s="49">
        <f>(LOOKUP(Q405,Policy!$L$12:$M$16)+R405)*O405</f>
        <v>467075.03389830375</v>
      </c>
      <c r="T405" s="185"/>
      <c r="U405" s="156"/>
      <c r="V405" s="51"/>
      <c r="W405" s="156"/>
      <c r="X405" s="427"/>
      <c r="Y405" s="397"/>
      <c r="Z405" s="431"/>
      <c r="AA405" s="55">
        <v>0</v>
      </c>
      <c r="AB405" s="41">
        <v>0</v>
      </c>
      <c r="AC405" s="41">
        <v>0</v>
      </c>
      <c r="AD405" s="41">
        <f t="shared" si="779"/>
        <v>267075.03389830375</v>
      </c>
      <c r="AE405" s="41">
        <f t="shared" si="780"/>
        <v>200000</v>
      </c>
      <c r="AF405" s="41">
        <f t="shared" si="781"/>
        <v>467075.03389830375</v>
      </c>
      <c r="AG405" s="31"/>
      <c r="AH405" s="419"/>
      <c r="AI405" s="22" t="s">
        <v>246</v>
      </c>
      <c r="AJ405" s="22" t="s">
        <v>247</v>
      </c>
      <c r="AK405" s="195" t="s">
        <v>667</v>
      </c>
      <c r="AL405" s="299">
        <v>467990.26271186309</v>
      </c>
      <c r="AM405" s="299">
        <f t="shared" si="782"/>
        <v>467075.03389830375</v>
      </c>
      <c r="AN405" s="300">
        <f t="shared" si="783"/>
        <v>915.22881355934078</v>
      </c>
    </row>
    <row r="406" spans="1:42" ht="15.75" customHeight="1" x14ac:dyDescent="0.2">
      <c r="A406" s="79" t="s">
        <v>334</v>
      </c>
      <c r="B406" s="79" t="s">
        <v>341</v>
      </c>
      <c r="C406" s="79" t="s">
        <v>1</v>
      </c>
      <c r="D406" s="1" t="s">
        <v>667</v>
      </c>
      <c r="E406" s="47">
        <f>ROUND(SUMIF('Target Achieved- Input'!$B$373:$B$466,'Incentive Report- Output'!B406,'Target Achieved- Input'!$G$373:$G$466),0)</f>
        <v>250</v>
      </c>
      <c r="F406" s="47">
        <f>ROUND(SUMIF('Target Achieved- Input'!$B$373:$B$466,'Incentive Report- Output'!B406,'Target Achieved- Input'!$H$373:$H$466),0)</f>
        <v>325</v>
      </c>
      <c r="G406" s="47">
        <f>SUMIF('Target Achieved- Input'!$L$373:$L$466,'Incentive Report- Output'!B406,'Target Achieved- Input'!$O$373:$O$466)</f>
        <v>443</v>
      </c>
      <c r="H406" s="39">
        <f>SUMIF('Target Achieved- Input'!$S$373:$S$466,'Incentive Report- Output'!B406,'Target Achieved- Input'!$V$373:$V$466)</f>
        <v>2</v>
      </c>
      <c r="I406" s="48">
        <f>SUMIF('Target Achieved- Input'!$L$373:$L$466,'Incentive Report- Output'!B406,'Target Achieved- Input'!$AC$373:$AC$466)</f>
        <v>0</v>
      </c>
      <c r="J406" s="39">
        <f t="shared" si="774"/>
        <v>441</v>
      </c>
      <c r="K406" s="40">
        <f t="shared" si="775"/>
        <v>1.764</v>
      </c>
      <c r="L406" s="41">
        <f t="shared" si="776"/>
        <v>8250000</v>
      </c>
      <c r="M406" s="41">
        <f>SUMIF('Target Achieved- Input'!$L$373:$L$466,'Incentive Report- Output'!B406,'Target Achieved- Input'!$M$373:$M$466)</f>
        <v>30572757</v>
      </c>
      <c r="N406" s="41">
        <f>SUMIF('Target Achieved- Input'!$S$373:$S$466,'Incentive Report- Output'!B406,'Target Achieved- Input'!$U$373:$U$466)</f>
        <v>88388.135593220301</v>
      </c>
      <c r="O406" s="41">
        <f>SUMIF('Target Achieved- Input'!$L$373:$L$466,'Incentive Report- Output'!B406,'Target Achieved- Input'!$N$373:$N$466)-N406</f>
        <v>25820727.966101706</v>
      </c>
      <c r="P406" s="40">
        <f t="shared" si="777"/>
        <v>3.1297852080123278</v>
      </c>
      <c r="Q406" s="40">
        <f t="shared" si="778"/>
        <v>3.1297852080123278</v>
      </c>
      <c r="R406" s="40">
        <v>0</v>
      </c>
      <c r="S406" s="49">
        <f>(LOOKUP(Q406,Policy!$L$12:$M$16)+R406)*O406</f>
        <v>774621.83898305113</v>
      </c>
      <c r="T406" s="185"/>
      <c r="U406" s="156"/>
      <c r="V406" s="51"/>
      <c r="W406" s="156"/>
      <c r="X406" s="429"/>
      <c r="Y406" s="398"/>
      <c r="Z406" s="432"/>
      <c r="AA406" s="55">
        <v>0</v>
      </c>
      <c r="AB406" s="41">
        <v>0</v>
      </c>
      <c r="AC406" s="41">
        <v>0</v>
      </c>
      <c r="AD406" s="41">
        <f t="shared" si="779"/>
        <v>574621.83898305113</v>
      </c>
      <c r="AE406" s="41">
        <f t="shared" si="780"/>
        <v>200000</v>
      </c>
      <c r="AF406" s="41">
        <f t="shared" si="781"/>
        <v>774621.83898305113</v>
      </c>
      <c r="AG406" s="31"/>
      <c r="AH406" s="419"/>
      <c r="AI406" s="22" t="s">
        <v>334</v>
      </c>
      <c r="AJ406" s="22" t="s">
        <v>341</v>
      </c>
      <c r="AK406" s="195" t="s">
        <v>667</v>
      </c>
      <c r="AL406" s="299">
        <v>777273.48305084778</v>
      </c>
      <c r="AM406" s="299">
        <f t="shared" si="782"/>
        <v>774621.83898305113</v>
      </c>
      <c r="AN406" s="300">
        <f t="shared" si="783"/>
        <v>2651.6440677966457</v>
      </c>
    </row>
    <row r="407" spans="1:42" ht="15.75" customHeight="1" x14ac:dyDescent="0.2">
      <c r="A407" s="109" t="s">
        <v>6</v>
      </c>
      <c r="B407" s="109"/>
      <c r="C407" s="109"/>
      <c r="D407" s="292" t="s">
        <v>667</v>
      </c>
      <c r="E407" s="44">
        <f>SUM(E399:E406)</f>
        <v>1960</v>
      </c>
      <c r="F407" s="44">
        <f t="shared" ref="F407:J407" si="784">SUM(F399:F406)</f>
        <v>2548</v>
      </c>
      <c r="G407" s="44">
        <f t="shared" si="784"/>
        <v>3236</v>
      </c>
      <c r="H407" s="44">
        <f t="shared" si="784"/>
        <v>17</v>
      </c>
      <c r="I407" s="44">
        <f t="shared" si="784"/>
        <v>1</v>
      </c>
      <c r="J407" s="44">
        <f t="shared" si="784"/>
        <v>3219</v>
      </c>
      <c r="K407" s="45"/>
      <c r="L407" s="44">
        <f t="shared" ref="L407:O407" si="785">SUM(L399:L406)</f>
        <v>64680000</v>
      </c>
      <c r="M407" s="44">
        <f t="shared" si="785"/>
        <v>220898314</v>
      </c>
      <c r="N407" s="44">
        <f t="shared" si="785"/>
        <v>848799.152542372</v>
      </c>
      <c r="O407" s="44">
        <f t="shared" si="785"/>
        <v>186353161.86440682</v>
      </c>
      <c r="P407" s="45"/>
      <c r="Q407" s="46"/>
      <c r="R407" s="46"/>
      <c r="S407" s="44">
        <f t="shared" ref="S407:AF407" si="786">SUM(S399:S406)</f>
        <v>5590594.8559322059</v>
      </c>
      <c r="T407" s="44">
        <f t="shared" si="786"/>
        <v>11550000</v>
      </c>
      <c r="U407" s="44">
        <f t="shared" si="786"/>
        <v>31418105.084745865</v>
      </c>
      <c r="V407" s="44">
        <f t="shared" si="786"/>
        <v>2.7201822584195554</v>
      </c>
      <c r="W407" s="44">
        <f t="shared" si="786"/>
        <v>78545.262711864663</v>
      </c>
      <c r="X407" s="44">
        <f t="shared" si="786"/>
        <v>1960</v>
      </c>
      <c r="Y407" s="44">
        <f t="shared" si="786"/>
        <v>3219</v>
      </c>
      <c r="Z407" s="44">
        <f t="shared" si="786"/>
        <v>1.6423469387755103</v>
      </c>
      <c r="AA407" s="44">
        <f t="shared" si="786"/>
        <v>0</v>
      </c>
      <c r="AB407" s="44">
        <f t="shared" si="786"/>
        <v>0</v>
      </c>
      <c r="AC407" s="44">
        <f t="shared" si="786"/>
        <v>0</v>
      </c>
      <c r="AD407" s="44">
        <f t="shared" si="786"/>
        <v>4069140.1186440694</v>
      </c>
      <c r="AE407" s="44">
        <f t="shared" si="786"/>
        <v>1600000</v>
      </c>
      <c r="AF407" s="44">
        <f t="shared" si="786"/>
        <v>5669140.1186440699</v>
      </c>
      <c r="AG407" s="31"/>
      <c r="AH407" s="419"/>
      <c r="AI407" s="43" t="s">
        <v>6</v>
      </c>
      <c r="AJ407" s="43"/>
      <c r="AK407" s="43" t="s">
        <v>667</v>
      </c>
      <c r="AL407" s="304">
        <v>5694604.0932203401</v>
      </c>
      <c r="AM407" s="304">
        <f>SUM(AM399:AM406)</f>
        <v>5669140.1186440699</v>
      </c>
      <c r="AN407" s="304">
        <f>SUM(AN399:AN406)</f>
        <v>25463.974576271256</v>
      </c>
    </row>
    <row r="408" spans="1:42" ht="15.75" customHeight="1" x14ac:dyDescent="0.2">
      <c r="A408" s="79" t="s">
        <v>61</v>
      </c>
      <c r="B408" s="79" t="s">
        <v>62</v>
      </c>
      <c r="C408" s="79" t="s">
        <v>0</v>
      </c>
      <c r="D408" s="1" t="s">
        <v>668</v>
      </c>
      <c r="E408" s="47">
        <f>ROUND(SUMIF('Target Achieved- Input'!$B$373:$B$466,'Incentive Report- Output'!B408,'Target Achieved- Input'!$G$373:$G$466),0)</f>
        <v>230</v>
      </c>
      <c r="F408" s="47">
        <f>ROUND(SUMIF('Target Achieved- Input'!$B$373:$B$466,'Incentive Report- Output'!B408,'Target Achieved- Input'!$H$373:$H$466),0)</f>
        <v>299</v>
      </c>
      <c r="G408" s="47">
        <f>SUMIF('Target Achieved- Input'!$L$373:$L$466,'Incentive Report- Output'!B408,'Target Achieved- Input'!$O$373:$O$466)</f>
        <v>272</v>
      </c>
      <c r="H408" s="39">
        <f>SUMIF('Target Achieved- Input'!$S$373:$S$466,'Incentive Report- Output'!B408,'Target Achieved- Input'!$V$373:$V$466)</f>
        <v>16</v>
      </c>
      <c r="I408" s="48">
        <f>SUMIF('Target Achieved- Input'!$L$373:$L$466,'Incentive Report- Output'!B408,'Target Achieved- Input'!$AC$373:$AC$466)</f>
        <v>0</v>
      </c>
      <c r="J408" s="39">
        <f t="shared" ref="J408:J410" si="787">G408-H408</f>
        <v>256</v>
      </c>
      <c r="K408" s="40">
        <f t="shared" ref="K408:K410" si="788">IFERROR(J408/E408,0)</f>
        <v>1.1130434782608696</v>
      </c>
      <c r="L408" s="41">
        <f t="shared" ref="L408:L410" si="789">E408*33000</f>
        <v>7590000</v>
      </c>
      <c r="M408" s="41">
        <f>SUMIF('Target Achieved- Input'!$L$373:$L$466,'Incentive Report- Output'!B408,'Target Achieved- Input'!$M$373:$M$466)</f>
        <v>18251328</v>
      </c>
      <c r="N408" s="41">
        <f>SUMIF('Target Achieved- Input'!$S$373:$S$466,'Incentive Report- Output'!B408,'Target Achieved- Input'!$U$373:$U$466)</f>
        <v>776257.62711864337</v>
      </c>
      <c r="O408" s="41">
        <f>SUMIF('Target Achieved- Input'!$L$373:$L$466,'Incentive Report- Output'!B408,'Target Achieved- Input'!$N$373:$N$466)-N408</f>
        <v>14690969.491525389</v>
      </c>
      <c r="P408" s="40">
        <f t="shared" ref="P408:P410" si="790">IFERROR(O408/L408,0)</f>
        <v>1.935569102967772</v>
      </c>
      <c r="Q408" s="40">
        <f t="shared" ref="Q408:Q410" si="791">MAX(P408,K408)</f>
        <v>1.935569102967772</v>
      </c>
      <c r="R408" s="40">
        <v>0</v>
      </c>
      <c r="S408" s="49">
        <f>(LOOKUP(Q408,Policy!$L$12:$M$16)+R408)*O408</f>
        <v>440729.08474576165</v>
      </c>
      <c r="T408" s="188"/>
      <c r="U408" s="53"/>
      <c r="V408" s="40"/>
      <c r="W408" s="53"/>
      <c r="X408" s="433">
        <f>E411</f>
        <v>740</v>
      </c>
      <c r="Y408" s="433">
        <f>J411</f>
        <v>655</v>
      </c>
      <c r="Z408" s="435">
        <f>Y408/X408</f>
        <v>0.88513513513513509</v>
      </c>
      <c r="AA408" s="55">
        <v>0</v>
      </c>
      <c r="AB408" s="41">
        <v>0</v>
      </c>
      <c r="AC408" s="41">
        <v>0</v>
      </c>
      <c r="AD408" s="41">
        <f t="shared" ref="AD408:AD410" si="792">IF(AF408&gt;200000,AF408-200000,0)</f>
        <v>240729.08474576165</v>
      </c>
      <c r="AE408" s="41">
        <f t="shared" ref="AE408:AE410" si="793">AF408-AD408+AC408</f>
        <v>200000</v>
      </c>
      <c r="AF408" s="41">
        <f>S408+W408+AB408+AC408</f>
        <v>440729.08474576165</v>
      </c>
      <c r="AG408" s="31"/>
      <c r="AH408" s="419"/>
      <c r="AI408" s="22" t="s">
        <v>61</v>
      </c>
      <c r="AJ408" s="22" t="s">
        <v>62</v>
      </c>
      <c r="AK408" s="195" t="s">
        <v>668</v>
      </c>
      <c r="AL408" s="299">
        <v>464016.81355932099</v>
      </c>
      <c r="AM408" s="299">
        <f t="shared" ref="AM408:AM410" si="794">AF408</f>
        <v>440729.08474576165</v>
      </c>
      <c r="AN408" s="300">
        <f t="shared" ref="AN408:AN410" si="795">AL408-AM408</f>
        <v>23287.728813559341</v>
      </c>
      <c r="AP408" s="172"/>
    </row>
    <row r="409" spans="1:42" ht="15.75" customHeight="1" x14ac:dyDescent="0.2">
      <c r="A409" s="79" t="s">
        <v>689</v>
      </c>
      <c r="B409" s="79" t="s">
        <v>690</v>
      </c>
      <c r="C409" s="79" t="s">
        <v>1</v>
      </c>
      <c r="D409" s="1" t="s">
        <v>668</v>
      </c>
      <c r="E409" s="47">
        <f>ROUND(SUMIF('Target Achieved- Input'!$B$373:$B$466,'Incentive Report- Output'!B409,'Target Achieved- Input'!$G$373:$G$466),0)</f>
        <v>260</v>
      </c>
      <c r="F409" s="47">
        <f>ROUND(SUMIF('Target Achieved- Input'!$B$373:$B$466,'Incentive Report- Output'!B409,'Target Achieved- Input'!$H$373:$H$466),0)</f>
        <v>338</v>
      </c>
      <c r="G409" s="47">
        <f>SUMIF('Target Achieved- Input'!$L$373:$L$466,'Incentive Report- Output'!B409,'Target Achieved- Input'!$O$373:$O$466)</f>
        <v>198</v>
      </c>
      <c r="H409" s="39">
        <f>SUMIF('Target Achieved- Input'!$S$373:$S$466,'Incentive Report- Output'!B409,'Target Achieved- Input'!$V$373:$V$466)</f>
        <v>3</v>
      </c>
      <c r="I409" s="48">
        <f>SUMIF('Target Achieved- Input'!$L$373:$L$466,'Incentive Report- Output'!B409,'Target Achieved- Input'!$AC$373:$AC$466)</f>
        <v>0</v>
      </c>
      <c r="J409" s="39">
        <f t="shared" si="787"/>
        <v>195</v>
      </c>
      <c r="K409" s="40">
        <f t="shared" si="788"/>
        <v>0.75</v>
      </c>
      <c r="L409" s="41">
        <f t="shared" si="789"/>
        <v>8580000</v>
      </c>
      <c r="M409" s="41">
        <f>SUMIF('Target Achieved- Input'!$L$373:$L$466,'Incentive Report- Output'!B409,'Target Achieved- Input'!$M$373:$M$466)</f>
        <v>12959902</v>
      </c>
      <c r="N409" s="41">
        <f>SUMIF('Target Achieved- Input'!$S$373:$S$466,'Incentive Report- Output'!B409,'Target Achieved- Input'!$U$373:$U$466)</f>
        <v>166099.15254237282</v>
      </c>
      <c r="O409" s="41">
        <f>SUMIF('Target Achieved- Input'!$L$373:$L$466,'Incentive Report- Output'!B409,'Target Achieved- Input'!$N$373:$N$466)-N409</f>
        <v>10816868.644067798</v>
      </c>
      <c r="P409" s="40">
        <f t="shared" si="790"/>
        <v>1.2607073011734029</v>
      </c>
      <c r="Q409" s="40">
        <f t="shared" si="791"/>
        <v>1.2607073011734029</v>
      </c>
      <c r="R409" s="40">
        <v>0</v>
      </c>
      <c r="S409" s="49">
        <f>(LOOKUP(Q409,Policy!$L$12:$M$16)+R409)*O409</f>
        <v>243379.54449152545</v>
      </c>
      <c r="T409" s="188"/>
      <c r="U409" s="53"/>
      <c r="V409" s="40"/>
      <c r="W409" s="53"/>
      <c r="X409" s="405"/>
      <c r="Y409" s="405"/>
      <c r="Z409" s="436"/>
      <c r="AA409" s="55">
        <v>0</v>
      </c>
      <c r="AB409" s="41">
        <v>0</v>
      </c>
      <c r="AC409" s="41">
        <v>0</v>
      </c>
      <c r="AD409" s="41">
        <f t="shared" si="792"/>
        <v>43379.544491525448</v>
      </c>
      <c r="AE409" s="41">
        <f t="shared" si="793"/>
        <v>200000</v>
      </c>
      <c r="AF409" s="41">
        <f>S409+W409+AB409+AC409</f>
        <v>243379.54449152545</v>
      </c>
      <c r="AG409" s="32"/>
      <c r="AH409" s="419"/>
      <c r="AI409" s="22" t="s">
        <v>689</v>
      </c>
      <c r="AJ409" s="22" t="s">
        <v>690</v>
      </c>
      <c r="AK409" s="195" t="s">
        <v>668</v>
      </c>
      <c r="AL409" s="301">
        <v>247116.77542372883</v>
      </c>
      <c r="AM409" s="301">
        <f t="shared" si="794"/>
        <v>243379.54449152545</v>
      </c>
      <c r="AN409" s="302">
        <f t="shared" si="795"/>
        <v>3737.2309322033834</v>
      </c>
      <c r="AO409" s="334"/>
      <c r="AP409" s="172"/>
    </row>
    <row r="410" spans="1:42" ht="15.75" customHeight="1" x14ac:dyDescent="0.2">
      <c r="A410" s="79" t="s">
        <v>706</v>
      </c>
      <c r="B410" s="79" t="s">
        <v>688</v>
      </c>
      <c r="C410" s="79" t="s">
        <v>1</v>
      </c>
      <c r="D410" s="1" t="s">
        <v>668</v>
      </c>
      <c r="E410" s="47">
        <f>ROUND(SUMIF('Target Achieved- Input'!$B$373:$B$466,'Incentive Report- Output'!B410,'Target Achieved- Input'!$G$373:$G$466),0)</f>
        <v>250</v>
      </c>
      <c r="F410" s="47">
        <f>ROUND(SUMIF('Target Achieved- Input'!$B$373:$B$466,'Incentive Report- Output'!B410,'Target Achieved- Input'!$H$373:$H$466),0)</f>
        <v>325</v>
      </c>
      <c r="G410" s="47">
        <f>SUMIF('Target Achieved- Input'!$L$373:$L$466,'Incentive Report- Output'!B410,'Target Achieved- Input'!$O$373:$O$466)</f>
        <v>204</v>
      </c>
      <c r="H410" s="39">
        <f>SUMIF('Target Achieved- Input'!$S$373:$S$466,'Incentive Report- Output'!B410,'Target Achieved- Input'!$V$373:$V$466)</f>
        <v>0</v>
      </c>
      <c r="I410" s="48">
        <f>SUMIF('Target Achieved- Input'!$L$373:$L$466,'Incentive Report- Output'!B410,'Target Achieved- Input'!$AC$373:$AC$466)</f>
        <v>0</v>
      </c>
      <c r="J410" s="39">
        <f t="shared" si="787"/>
        <v>204</v>
      </c>
      <c r="K410" s="40">
        <f t="shared" si="788"/>
        <v>0.81599999999999995</v>
      </c>
      <c r="L410" s="41">
        <f t="shared" si="789"/>
        <v>8250000</v>
      </c>
      <c r="M410" s="41">
        <f>SUMIF('Target Achieved- Input'!$L$373:$L$466,'Incentive Report- Output'!B410,'Target Achieved- Input'!$M$373:$M$466)</f>
        <v>14065796</v>
      </c>
      <c r="N410" s="41">
        <f>SUMIF('Target Achieved- Input'!$S$373:$S$466,'Incentive Report- Output'!B410,'Target Achieved- Input'!$U$373:$U$466)</f>
        <v>0</v>
      </c>
      <c r="O410" s="41">
        <f>SUMIF('Target Achieved- Input'!$L$373:$L$466,'Incentive Report- Output'!B410,'Target Achieved- Input'!$N$373:$N$466)-N410</f>
        <v>11920166.101694902</v>
      </c>
      <c r="P410" s="40">
        <f t="shared" si="790"/>
        <v>1.444868618387261</v>
      </c>
      <c r="Q410" s="40">
        <f t="shared" si="791"/>
        <v>1.444868618387261</v>
      </c>
      <c r="R410" s="40">
        <v>0</v>
      </c>
      <c r="S410" s="49">
        <f>(LOOKUP(Q410,Policy!$L$12:$M$16)+R410)*O410</f>
        <v>357604.98305084708</v>
      </c>
      <c r="T410" s="185"/>
      <c r="U410" s="156"/>
      <c r="V410" s="51"/>
      <c r="W410" s="156"/>
      <c r="X410" s="434"/>
      <c r="Y410" s="434"/>
      <c r="Z410" s="437"/>
      <c r="AA410" s="55">
        <v>0</v>
      </c>
      <c r="AB410" s="41">
        <v>0</v>
      </c>
      <c r="AC410" s="41">
        <v>0</v>
      </c>
      <c r="AD410" s="41">
        <f t="shared" si="792"/>
        <v>157604.98305084708</v>
      </c>
      <c r="AE410" s="41">
        <f t="shared" si="793"/>
        <v>200000</v>
      </c>
      <c r="AF410" s="41">
        <f>S410+W410+AB410+AC410</f>
        <v>357604.98305084708</v>
      </c>
      <c r="AG410" s="31"/>
      <c r="AH410" s="419"/>
      <c r="AI410" s="22" t="s">
        <v>706</v>
      </c>
      <c r="AJ410" s="22" t="s">
        <v>688</v>
      </c>
      <c r="AK410" s="195" t="s">
        <v>668</v>
      </c>
      <c r="AL410" s="301">
        <v>357604.98305084708</v>
      </c>
      <c r="AM410" s="301">
        <f t="shared" si="794"/>
        <v>357604.98305084708</v>
      </c>
      <c r="AN410" s="302">
        <f t="shared" si="795"/>
        <v>0</v>
      </c>
      <c r="AP410" s="172"/>
    </row>
    <row r="411" spans="1:42" ht="15.75" customHeight="1" x14ac:dyDescent="0.2">
      <c r="A411" s="109" t="s">
        <v>6</v>
      </c>
      <c r="B411" s="109"/>
      <c r="C411" s="109"/>
      <c r="D411" s="292" t="s">
        <v>668</v>
      </c>
      <c r="E411" s="44">
        <f>SUM(E408:E410)</f>
        <v>740</v>
      </c>
      <c r="F411" s="44">
        <f t="shared" ref="F411:J411" si="796">SUM(F408:F410)</f>
        <v>962</v>
      </c>
      <c r="G411" s="44">
        <f t="shared" si="796"/>
        <v>674</v>
      </c>
      <c r="H411" s="44">
        <f t="shared" si="796"/>
        <v>19</v>
      </c>
      <c r="I411" s="44">
        <f t="shared" si="796"/>
        <v>0</v>
      </c>
      <c r="J411" s="44">
        <f t="shared" si="796"/>
        <v>655</v>
      </c>
      <c r="K411" s="45"/>
      <c r="L411" s="44">
        <f t="shared" ref="L411:O411" si="797">SUM(L408:L410)</f>
        <v>24420000</v>
      </c>
      <c r="M411" s="44">
        <f t="shared" si="797"/>
        <v>45277026</v>
      </c>
      <c r="N411" s="44">
        <f t="shared" si="797"/>
        <v>942356.77966101619</v>
      </c>
      <c r="O411" s="44">
        <f t="shared" si="797"/>
        <v>37428004.237288088</v>
      </c>
      <c r="P411" s="45"/>
      <c r="Q411" s="46"/>
      <c r="R411" s="46"/>
      <c r="S411" s="44">
        <f t="shared" ref="S411:AF411" si="798">SUM(S408:S410)</f>
        <v>1041713.6122881342</v>
      </c>
      <c r="T411" s="44">
        <f t="shared" si="798"/>
        <v>0</v>
      </c>
      <c r="U411" s="44">
        <f t="shared" si="798"/>
        <v>0</v>
      </c>
      <c r="V411" s="44">
        <f t="shared" si="798"/>
        <v>0</v>
      </c>
      <c r="W411" s="44">
        <f t="shared" si="798"/>
        <v>0</v>
      </c>
      <c r="X411" s="44">
        <f t="shared" si="798"/>
        <v>740</v>
      </c>
      <c r="Y411" s="44">
        <f t="shared" si="798"/>
        <v>655</v>
      </c>
      <c r="Z411" s="44">
        <f t="shared" si="798"/>
        <v>0.88513513513513509</v>
      </c>
      <c r="AA411" s="44">
        <f t="shared" si="798"/>
        <v>0</v>
      </c>
      <c r="AB411" s="44">
        <f t="shared" si="798"/>
        <v>0</v>
      </c>
      <c r="AC411" s="44">
        <f t="shared" si="798"/>
        <v>0</v>
      </c>
      <c r="AD411" s="44">
        <f t="shared" si="798"/>
        <v>441713.61228813417</v>
      </c>
      <c r="AE411" s="44">
        <f t="shared" si="798"/>
        <v>600000</v>
      </c>
      <c r="AF411" s="44">
        <f t="shared" si="798"/>
        <v>1041713.6122881342</v>
      </c>
      <c r="AG411" s="31"/>
      <c r="AH411" s="419"/>
      <c r="AI411" s="43" t="s">
        <v>6</v>
      </c>
      <c r="AJ411" s="43"/>
      <c r="AK411" s="43" t="s">
        <v>668</v>
      </c>
      <c r="AL411" s="305">
        <v>1068738.572033897</v>
      </c>
      <c r="AM411" s="305">
        <f>SUM(AM408:AM410)</f>
        <v>1041713.6122881342</v>
      </c>
      <c r="AN411" s="305">
        <f>SUM(AN408:AN410)</f>
        <v>27024.959745762724</v>
      </c>
    </row>
    <row r="412" spans="1:42" ht="15.75" customHeight="1" x14ac:dyDescent="0.2">
      <c r="A412" s="79" t="s">
        <v>249</v>
      </c>
      <c r="B412" s="79" t="s">
        <v>250</v>
      </c>
      <c r="C412" s="79" t="s">
        <v>0</v>
      </c>
      <c r="D412" s="1" t="s">
        <v>669</v>
      </c>
      <c r="E412" s="47">
        <f>ROUND(SUMIF('Target Achieved- Input'!$B$373:$B$466,'Incentive Report- Output'!B412,'Target Achieved- Input'!$G$373:$G$466),0)</f>
        <v>200</v>
      </c>
      <c r="F412" s="47">
        <f>ROUND(SUMIF('Target Achieved- Input'!$B$373:$B$466,'Incentive Report- Output'!B412,'Target Achieved- Input'!$H$373:$H$466),0)</f>
        <v>260</v>
      </c>
      <c r="G412" s="47">
        <f>SUMIF('Target Achieved- Input'!$L$373:$L$466,'Incentive Report- Output'!B412,'Target Achieved- Input'!$O$373:$O$466)</f>
        <v>264</v>
      </c>
      <c r="H412" s="39">
        <f>SUMIF('Target Achieved- Input'!$S$373:$S$466,'Incentive Report- Output'!B412,'Target Achieved- Input'!$V$373:$V$466)</f>
        <v>0</v>
      </c>
      <c r="I412" s="48">
        <f>SUMIF('Target Achieved- Input'!$L$373:$L$466,'Incentive Report- Output'!B412,'Target Achieved- Input'!$AC$373:$AC$466)</f>
        <v>5</v>
      </c>
      <c r="J412" s="39">
        <f t="shared" ref="J412:J419" si="799">G412-H412</f>
        <v>264</v>
      </c>
      <c r="K412" s="40">
        <f t="shared" ref="K412:K419" si="800">IFERROR(J412/E412,0)</f>
        <v>1.32</v>
      </c>
      <c r="L412" s="41">
        <f t="shared" ref="L412:L419" si="801">E412*33000</f>
        <v>6600000</v>
      </c>
      <c r="M412" s="41">
        <f>SUMIF('Target Achieved- Input'!$L$373:$L$466,'Incentive Report- Output'!B412,'Target Achieved- Input'!$M$373:$M$466)</f>
        <v>14646386</v>
      </c>
      <c r="N412" s="41">
        <f>SUMIF('Target Achieved- Input'!$S$373:$S$466,'Incentive Report- Output'!B412,'Target Achieved- Input'!$U$373:$U$466)</f>
        <v>0</v>
      </c>
      <c r="O412" s="41">
        <f>SUMIF('Target Achieved- Input'!$L$373:$L$466,'Incentive Report- Output'!B412,'Target Achieved- Input'!$N$373:$N$466)-N412</f>
        <v>12412191.525423689</v>
      </c>
      <c r="P412" s="40">
        <f t="shared" ref="P412:P419" si="802">IFERROR(O412/L412,0)</f>
        <v>1.8806350796096498</v>
      </c>
      <c r="Q412" s="40">
        <f t="shared" ref="Q412:Q419" si="803">MAX(P412,K412)</f>
        <v>1.8806350796096498</v>
      </c>
      <c r="R412" s="40">
        <v>0</v>
      </c>
      <c r="S412" s="49">
        <f>(LOOKUP(Q412,Policy!$L$12:$M$16)+R412)*O412</f>
        <v>372365.74576271063</v>
      </c>
      <c r="T412" s="185"/>
      <c r="U412" s="156"/>
      <c r="V412" s="51"/>
      <c r="W412" s="156"/>
      <c r="X412" s="396">
        <f>E420</f>
        <v>1580</v>
      </c>
      <c r="Y412" s="428">
        <f>J420</f>
        <v>1415</v>
      </c>
      <c r="Z412" s="407">
        <f>Y412/X412</f>
        <v>0.89556962025316456</v>
      </c>
      <c r="AA412" s="55">
        <v>0</v>
      </c>
      <c r="AB412" s="41">
        <v>0</v>
      </c>
      <c r="AC412" s="41">
        <v>0</v>
      </c>
      <c r="AD412" s="41">
        <f t="shared" ref="AD412:AD419" si="804">IF(AF412&gt;200000,AF412-200000,0)</f>
        <v>172365.74576271063</v>
      </c>
      <c r="AE412" s="41">
        <f t="shared" ref="AE412:AE419" si="805">AF412-AD412</f>
        <v>200000</v>
      </c>
      <c r="AF412" s="41">
        <f t="shared" ref="AF412:AF419" si="806">S412+W412+AB412+AC412</f>
        <v>372365.74576271063</v>
      </c>
      <c r="AG412" s="31"/>
      <c r="AH412" s="419"/>
      <c r="AI412" s="22" t="s">
        <v>249</v>
      </c>
      <c r="AJ412" s="22" t="s">
        <v>250</v>
      </c>
      <c r="AK412" s="195" t="s">
        <v>669</v>
      </c>
      <c r="AL412" s="301">
        <v>372365.74576271063</v>
      </c>
      <c r="AM412" s="301">
        <f t="shared" ref="AM412" si="807">AF412</f>
        <v>372365.74576271063</v>
      </c>
      <c r="AN412" s="302">
        <f t="shared" ref="AN412:AN419" si="808">AL412-AM412</f>
        <v>0</v>
      </c>
    </row>
    <row r="413" spans="1:42" ht="15.75" customHeight="1" x14ac:dyDescent="0.2">
      <c r="A413" s="79" t="s">
        <v>194</v>
      </c>
      <c r="B413" s="79" t="s">
        <v>199</v>
      </c>
      <c r="C413" s="79" t="s">
        <v>1185</v>
      </c>
      <c r="D413" s="1" t="s">
        <v>669</v>
      </c>
      <c r="E413" s="47">
        <f>ROUND(SUMIF('Target Achieved- Input'!$B$373:$B$466,'Incentive Report- Output'!B413,'Target Achieved- Input'!$G$373:$G$466),0)</f>
        <v>265</v>
      </c>
      <c r="F413" s="47">
        <f>ROUND(SUMIF('Target Achieved- Input'!$B$373:$B$466,'Incentive Report- Output'!B413,'Target Achieved- Input'!$H$373:$H$466),0)</f>
        <v>345</v>
      </c>
      <c r="G413" s="47">
        <f>SUMIF('Target Achieved- Input'!$L$373:$L$466,'Incentive Report- Output'!B413,'Target Achieved- Input'!$O$373:$O$466)</f>
        <v>192</v>
      </c>
      <c r="H413" s="39">
        <f>SUMIF('Target Achieved- Input'!$S$373:$S$466,'Incentive Report- Output'!B413,'Target Achieved- Input'!$V$373:$V$466)</f>
        <v>0</v>
      </c>
      <c r="I413" s="48">
        <f>SUMIF('Target Achieved- Input'!$L$373:$L$466,'Incentive Report- Output'!B413,'Target Achieved- Input'!$AC$373:$AC$466)</f>
        <v>1</v>
      </c>
      <c r="J413" s="39">
        <f t="shared" si="799"/>
        <v>192</v>
      </c>
      <c r="K413" s="40">
        <f t="shared" si="800"/>
        <v>0.7245283018867924</v>
      </c>
      <c r="L413" s="41">
        <f t="shared" si="801"/>
        <v>8745000</v>
      </c>
      <c r="M413" s="41">
        <f>SUMIF('Target Achieved- Input'!$L$373:$L$466,'Incentive Report- Output'!B413,'Target Achieved- Input'!$M$373:$M$466)</f>
        <v>11057758</v>
      </c>
      <c r="N413" s="41">
        <f>SUMIF('Target Achieved- Input'!$S$373:$S$466,'Incentive Report- Output'!B413,'Target Achieved- Input'!$U$373:$U$466)</f>
        <v>0</v>
      </c>
      <c r="O413" s="41">
        <f>SUMIF('Target Achieved- Input'!$L$373:$L$466,'Incentive Report- Output'!B413,'Target Achieved- Input'!$N$373:$N$466)-N413</f>
        <v>9370981.3559322003</v>
      </c>
      <c r="P413" s="40">
        <f t="shared" si="802"/>
        <v>1.0715816301809262</v>
      </c>
      <c r="Q413" s="40">
        <f t="shared" si="803"/>
        <v>1.0715816301809262</v>
      </c>
      <c r="R413" s="40">
        <v>0</v>
      </c>
      <c r="S413" s="49">
        <f>(LOOKUP(Q413,Policy!$L$12:$M$16)+R413)*O413</f>
        <v>210847.08050847449</v>
      </c>
      <c r="T413" s="185">
        <f>L415+L419</f>
        <v>11220000</v>
      </c>
      <c r="U413" s="156">
        <f>O415+O419</f>
        <v>10673990.677966088</v>
      </c>
      <c r="V413" s="51">
        <f>IFERROR(U413/T413,0)</f>
        <v>0.95133606755490985</v>
      </c>
      <c r="W413" s="156">
        <f>LOOKUP(V413,Policy!$L$18:$M$21)*U413</f>
        <v>10673.990677966089</v>
      </c>
      <c r="X413" s="397"/>
      <c r="Y413" s="427"/>
      <c r="Z413" s="406"/>
      <c r="AA413" s="55">
        <v>0</v>
      </c>
      <c r="AB413" s="41">
        <v>0</v>
      </c>
      <c r="AC413" s="41">
        <v>0</v>
      </c>
      <c r="AD413" s="41">
        <f t="shared" si="804"/>
        <v>21521.071186440589</v>
      </c>
      <c r="AE413" s="41">
        <f t="shared" si="805"/>
        <v>200000</v>
      </c>
      <c r="AF413" s="41">
        <f t="shared" si="806"/>
        <v>221521.07118644059</v>
      </c>
      <c r="AG413" s="31"/>
      <c r="AH413" s="419"/>
      <c r="AI413" s="22" t="s">
        <v>194</v>
      </c>
      <c r="AJ413" s="22" t="s">
        <v>199</v>
      </c>
      <c r="AK413" s="195" t="s">
        <v>669</v>
      </c>
      <c r="AL413" s="299">
        <v>221521.07118644059</v>
      </c>
      <c r="AM413" s="299">
        <f>AF413</f>
        <v>221521.07118644059</v>
      </c>
      <c r="AN413" s="300">
        <f t="shared" si="808"/>
        <v>0</v>
      </c>
      <c r="AP413" s="172"/>
    </row>
    <row r="414" spans="1:42" ht="15.75" customHeight="1" x14ac:dyDescent="0.2">
      <c r="A414" s="79" t="s">
        <v>1107</v>
      </c>
      <c r="B414" s="79" t="s">
        <v>1108</v>
      </c>
      <c r="C414" s="79" t="s">
        <v>1</v>
      </c>
      <c r="D414" s="1" t="s">
        <v>669</v>
      </c>
      <c r="E414" s="47">
        <f>ROUND(SUMIF('Target Achieved- Input'!$B$373:$B$466,'Incentive Report- Output'!B414,'Target Achieved- Input'!$G$373:$G$466),0)</f>
        <v>90</v>
      </c>
      <c r="F414" s="47">
        <f>ROUND(SUMIF('Target Achieved- Input'!$B$373:$B$466,'Incentive Report- Output'!B414,'Target Achieved- Input'!$H$373:$H$466),0)</f>
        <v>117</v>
      </c>
      <c r="G414" s="47">
        <f>SUMIF('Target Achieved- Input'!$L$373:$L$466,'Incentive Report- Output'!B414,'Target Achieved- Input'!$O$373:$O$466)</f>
        <v>72</v>
      </c>
      <c r="H414" s="39">
        <f>SUMIF('Target Achieved- Input'!$S$373:$S$466,'Incentive Report- Output'!B414,'Target Achieved- Input'!$V$373:$V$466)</f>
        <v>0</v>
      </c>
      <c r="I414" s="48">
        <f>SUMIF('Target Achieved- Input'!$L$373:$L$466,'Incentive Report- Output'!B414,'Target Achieved- Input'!$AC$373:$AC$466)</f>
        <v>0</v>
      </c>
      <c r="J414" s="39">
        <f t="shared" si="799"/>
        <v>72</v>
      </c>
      <c r="K414" s="40">
        <f t="shared" si="800"/>
        <v>0.8</v>
      </c>
      <c r="L414" s="41">
        <f t="shared" si="801"/>
        <v>2970000</v>
      </c>
      <c r="M414" s="41">
        <f>SUMIF('Target Achieved- Input'!$L$373:$L$466,'Incentive Report- Output'!B414,'Target Achieved- Input'!$M$373:$M$466)</f>
        <v>4617928</v>
      </c>
      <c r="N414" s="41">
        <f>SUMIF('Target Achieved- Input'!$S$373:$S$466,'Incentive Report- Output'!B414,'Target Achieved- Input'!$U$373:$U$466)</f>
        <v>0</v>
      </c>
      <c r="O414" s="41">
        <f>SUMIF('Target Achieved- Input'!$L$373:$L$466,'Incentive Report- Output'!B414,'Target Achieved- Input'!$N$373:$N$466)-N414</f>
        <v>3913498.3050847407</v>
      </c>
      <c r="P414" s="40">
        <f t="shared" si="802"/>
        <v>1.3176761969982291</v>
      </c>
      <c r="Q414" s="40">
        <f t="shared" si="803"/>
        <v>1.3176761969982291</v>
      </c>
      <c r="R414" s="40">
        <v>0</v>
      </c>
      <c r="S414" s="49">
        <f>(LOOKUP(Q414,Policy!$L$12:$M$16)+R414)*O414</f>
        <v>117404.94915254222</v>
      </c>
      <c r="T414" s="185"/>
      <c r="U414" s="156"/>
      <c r="V414" s="50"/>
      <c r="W414" s="156"/>
      <c r="X414" s="397"/>
      <c r="Y414" s="427"/>
      <c r="Z414" s="406"/>
      <c r="AA414" s="55">
        <v>0</v>
      </c>
      <c r="AB414" s="41">
        <v>0</v>
      </c>
      <c r="AC414" s="41">
        <v>0</v>
      </c>
      <c r="AD414" s="41">
        <f t="shared" si="804"/>
        <v>0</v>
      </c>
      <c r="AE414" s="41">
        <f t="shared" si="805"/>
        <v>117404.94915254222</v>
      </c>
      <c r="AF414" s="41">
        <f t="shared" si="806"/>
        <v>117404.94915254222</v>
      </c>
      <c r="AG414" s="32"/>
      <c r="AH414" s="419"/>
      <c r="AI414" s="22" t="s">
        <v>1107</v>
      </c>
      <c r="AJ414" s="22" t="s">
        <v>1108</v>
      </c>
      <c r="AK414" s="195" t="s">
        <v>669</v>
      </c>
      <c r="AL414" s="301">
        <v>117404.94915254222</v>
      </c>
      <c r="AM414" s="301">
        <f>AF414</f>
        <v>117404.94915254222</v>
      </c>
      <c r="AN414" s="302">
        <f t="shared" si="808"/>
        <v>0</v>
      </c>
      <c r="AO414" s="334"/>
    </row>
    <row r="415" spans="1:42" ht="15.75" customHeight="1" x14ac:dyDescent="0.2">
      <c r="A415" s="79" t="s">
        <v>707</v>
      </c>
      <c r="B415" s="79" t="s">
        <v>696</v>
      </c>
      <c r="C415" s="79" t="s">
        <v>1</v>
      </c>
      <c r="D415" s="1" t="s">
        <v>669</v>
      </c>
      <c r="E415" s="47">
        <f>ROUND(SUMIF('Target Achieved- Input'!$B$373:$B$466,'Incentive Report- Output'!B415,'Target Achieved- Input'!$G$373:$G$466),0)</f>
        <v>190</v>
      </c>
      <c r="F415" s="47">
        <f>ROUND(SUMIF('Target Achieved- Input'!$B$373:$B$466,'Incentive Report- Output'!B415,'Target Achieved- Input'!$H$373:$H$466),0)</f>
        <v>247</v>
      </c>
      <c r="G415" s="47">
        <f>SUMIF('Target Achieved- Input'!$L$373:$L$466,'Incentive Report- Output'!B415,'Target Achieved- Input'!$O$373:$O$466)</f>
        <v>151</v>
      </c>
      <c r="H415" s="39">
        <f>SUMIF('Target Achieved- Input'!$S$373:$S$466,'Incentive Report- Output'!B415,'Target Achieved- Input'!$V$373:$V$466)</f>
        <v>0</v>
      </c>
      <c r="I415" s="48">
        <f>SUMIF('Target Achieved- Input'!$L$373:$L$466,'Incentive Report- Output'!B415,'Target Achieved- Input'!$AC$373:$AC$466)</f>
        <v>0</v>
      </c>
      <c r="J415" s="39">
        <f t="shared" si="799"/>
        <v>151</v>
      </c>
      <c r="K415" s="40">
        <f t="shared" si="800"/>
        <v>0.79473684210526319</v>
      </c>
      <c r="L415" s="41">
        <f t="shared" si="801"/>
        <v>6270000</v>
      </c>
      <c r="M415" s="41">
        <f>SUMIF('Target Achieved- Input'!$L$373:$L$466,'Incentive Report- Output'!B415,'Target Achieved- Input'!$M$373:$M$466)</f>
        <v>7681299</v>
      </c>
      <c r="N415" s="41">
        <f>SUMIF('Target Achieved- Input'!$S$373:$S$466,'Incentive Report- Output'!B415,'Target Achieved- Input'!$U$373:$U$466)</f>
        <v>0</v>
      </c>
      <c r="O415" s="41">
        <f>SUMIF('Target Achieved- Input'!$L$373:$L$466,'Incentive Report- Output'!B415,'Target Achieved- Input'!$N$373:$N$466)-N415</f>
        <v>6509575.4237288088</v>
      </c>
      <c r="P415" s="40">
        <f t="shared" si="802"/>
        <v>1.038209796447976</v>
      </c>
      <c r="Q415" s="40">
        <f t="shared" si="803"/>
        <v>1.038209796447976</v>
      </c>
      <c r="R415" s="40">
        <v>0</v>
      </c>
      <c r="S415" s="49">
        <f>(LOOKUP(Q415,Policy!$L$12:$M$16)+R415)*O415</f>
        <v>146465.44703389818</v>
      </c>
      <c r="T415" s="185"/>
      <c r="U415" s="156"/>
      <c r="V415" s="50"/>
      <c r="W415" s="156"/>
      <c r="X415" s="397"/>
      <c r="Y415" s="427"/>
      <c r="Z415" s="406"/>
      <c r="AA415" s="55">
        <v>0</v>
      </c>
      <c r="AB415" s="41">
        <v>0</v>
      </c>
      <c r="AC415" s="41">
        <v>0</v>
      </c>
      <c r="AD415" s="41">
        <f t="shared" si="804"/>
        <v>0</v>
      </c>
      <c r="AE415" s="41">
        <f t="shared" si="805"/>
        <v>146465.44703389818</v>
      </c>
      <c r="AF415" s="41">
        <f t="shared" si="806"/>
        <v>146465.44703389818</v>
      </c>
      <c r="AG415" s="31"/>
      <c r="AH415" s="419"/>
      <c r="AI415" s="22" t="s">
        <v>707</v>
      </c>
      <c r="AJ415" s="22" t="s">
        <v>696</v>
      </c>
      <c r="AK415" s="195" t="s">
        <v>669</v>
      </c>
      <c r="AL415" s="301">
        <v>146465.44703389818</v>
      </c>
      <c r="AM415" s="301">
        <f>AF415</f>
        <v>146465.44703389818</v>
      </c>
      <c r="AN415" s="302">
        <f t="shared" si="808"/>
        <v>0</v>
      </c>
    </row>
    <row r="416" spans="1:42" ht="15.75" customHeight="1" x14ac:dyDescent="0.2">
      <c r="A416" s="79" t="s">
        <v>804</v>
      </c>
      <c r="B416" s="79" t="s">
        <v>805</v>
      </c>
      <c r="C416" s="79" t="s">
        <v>1</v>
      </c>
      <c r="D416" s="1" t="s">
        <v>669</v>
      </c>
      <c r="E416" s="47">
        <f>ROUND(SUMIF('Target Achieved- Input'!$B$373:$B$466,'Incentive Report- Output'!B416,'Target Achieved- Input'!$G$373:$G$466),0)</f>
        <v>255</v>
      </c>
      <c r="F416" s="47">
        <f>ROUND(SUMIF('Target Achieved- Input'!$B$373:$B$466,'Incentive Report- Output'!B416,'Target Achieved- Input'!$H$373:$H$466),0)</f>
        <v>332</v>
      </c>
      <c r="G416" s="47">
        <f>SUMIF('Target Achieved- Input'!$L$373:$L$466,'Incentive Report- Output'!B416,'Target Achieved- Input'!$O$373:$O$466)</f>
        <v>165</v>
      </c>
      <c r="H416" s="39">
        <f>SUMIF('Target Achieved- Input'!$S$373:$S$466,'Incentive Report- Output'!B416,'Target Achieved- Input'!$V$373:$V$466)</f>
        <v>0</v>
      </c>
      <c r="I416" s="48">
        <f>SUMIF('Target Achieved- Input'!$L$373:$L$466,'Incentive Report- Output'!B416,'Target Achieved- Input'!$AC$373:$AC$466)</f>
        <v>7</v>
      </c>
      <c r="J416" s="39">
        <f t="shared" si="799"/>
        <v>165</v>
      </c>
      <c r="K416" s="40">
        <f t="shared" si="800"/>
        <v>0.6470588235294118</v>
      </c>
      <c r="L416" s="41">
        <f t="shared" si="801"/>
        <v>8415000</v>
      </c>
      <c r="M416" s="41">
        <f>SUMIF('Target Achieved- Input'!$L$373:$L$466,'Incentive Report- Output'!B416,'Target Achieved- Input'!$M$373:$M$466)</f>
        <v>10211035</v>
      </c>
      <c r="N416" s="41">
        <f>SUMIF('Target Achieved- Input'!$S$373:$S$466,'Incentive Report- Output'!B416,'Target Achieved- Input'!$U$373:$U$466)</f>
        <v>0</v>
      </c>
      <c r="O416" s="41">
        <f>SUMIF('Target Achieved- Input'!$L$373:$L$466,'Incentive Report- Output'!B416,'Target Achieved- Input'!$N$373:$N$466)-N416</f>
        <v>8653419.4915254265</v>
      </c>
      <c r="P416" s="40">
        <f t="shared" si="802"/>
        <v>1.0283326787314826</v>
      </c>
      <c r="Q416" s="40">
        <f t="shared" si="803"/>
        <v>1.0283326787314826</v>
      </c>
      <c r="R416" s="40">
        <v>0</v>
      </c>
      <c r="S416" s="49">
        <f>(LOOKUP(Q416,Policy!$L$12:$M$16)+R416)*O416</f>
        <v>194701.93855932209</v>
      </c>
      <c r="T416" s="185"/>
      <c r="U416" s="156"/>
      <c r="V416" s="50"/>
      <c r="W416" s="156"/>
      <c r="X416" s="397"/>
      <c r="Y416" s="427"/>
      <c r="Z416" s="406"/>
      <c r="AA416" s="55">
        <v>0</v>
      </c>
      <c r="AB416" s="41">
        <v>0</v>
      </c>
      <c r="AC416" s="41">
        <v>0</v>
      </c>
      <c r="AD416" s="41">
        <f t="shared" si="804"/>
        <v>0</v>
      </c>
      <c r="AE416" s="41">
        <f t="shared" si="805"/>
        <v>194701.93855932209</v>
      </c>
      <c r="AF416" s="41">
        <f t="shared" si="806"/>
        <v>194701.93855932209</v>
      </c>
      <c r="AG416" s="31"/>
      <c r="AH416" s="419"/>
      <c r="AI416" s="22" t="s">
        <v>804</v>
      </c>
      <c r="AJ416" s="22" t="s">
        <v>805</v>
      </c>
      <c r="AK416" s="195" t="s">
        <v>669</v>
      </c>
      <c r="AL416" s="301">
        <v>194701.93855932209</v>
      </c>
      <c r="AM416" s="301">
        <f t="shared" ref="AM416:AM418" si="809">AF416</f>
        <v>194701.93855932209</v>
      </c>
      <c r="AN416" s="302">
        <f t="shared" si="808"/>
        <v>0</v>
      </c>
    </row>
    <row r="417" spans="1:43" ht="15.75" customHeight="1" x14ac:dyDescent="0.2">
      <c r="A417" s="79" t="s">
        <v>313</v>
      </c>
      <c r="B417" s="79" t="s">
        <v>314</v>
      </c>
      <c r="C417" s="79" t="s">
        <v>1</v>
      </c>
      <c r="D417" s="1" t="s">
        <v>669</v>
      </c>
      <c r="E417" s="47">
        <f>ROUND(SUMIF('Target Achieved- Input'!$B$373:$B$466,'Incentive Report- Output'!B417,'Target Achieved- Input'!$G$373:$G$466),0)</f>
        <v>200</v>
      </c>
      <c r="F417" s="47">
        <f>ROUND(SUMIF('Target Achieved- Input'!$B$373:$B$466,'Incentive Report- Output'!B417,'Target Achieved- Input'!$H$373:$H$466),0)</f>
        <v>260</v>
      </c>
      <c r="G417" s="47">
        <f>SUMIF('Target Achieved- Input'!$L$373:$L$466,'Incentive Report- Output'!B417,'Target Achieved- Input'!$O$373:$O$466)</f>
        <v>260</v>
      </c>
      <c r="H417" s="39">
        <f>SUMIF('Target Achieved- Input'!$S$373:$S$466,'Incentive Report- Output'!B417,'Target Achieved- Input'!$V$373:$V$466)</f>
        <v>0</v>
      </c>
      <c r="I417" s="48">
        <f>SUMIF('Target Achieved- Input'!$L$373:$L$466,'Incentive Report- Output'!B417,'Target Achieved- Input'!$AC$373:$AC$466)</f>
        <v>7</v>
      </c>
      <c r="J417" s="39">
        <f t="shared" si="799"/>
        <v>260</v>
      </c>
      <c r="K417" s="40">
        <f t="shared" si="800"/>
        <v>1.3</v>
      </c>
      <c r="L417" s="41">
        <f t="shared" si="801"/>
        <v>6600000</v>
      </c>
      <c r="M417" s="41">
        <f>SUMIF('Target Achieved- Input'!$L$373:$L$466,'Incentive Report- Output'!B417,'Target Achieved- Input'!$M$373:$M$466)</f>
        <v>15351990</v>
      </c>
      <c r="N417" s="41">
        <f>SUMIF('Target Achieved- Input'!$S$373:$S$466,'Incentive Report- Output'!B417,'Target Achieved- Input'!$U$373:$U$466)</f>
        <v>0</v>
      </c>
      <c r="O417" s="41">
        <f>SUMIF('Target Achieved- Input'!$L$373:$L$466,'Incentive Report- Output'!B417,'Target Achieved- Input'!$N$373:$N$466)-N417</f>
        <v>13010161.016949121</v>
      </c>
      <c r="P417" s="40">
        <f t="shared" si="802"/>
        <v>1.9712365177195639</v>
      </c>
      <c r="Q417" s="40">
        <f t="shared" si="803"/>
        <v>1.9712365177195639</v>
      </c>
      <c r="R417" s="40">
        <v>0</v>
      </c>
      <c r="S417" s="49">
        <f>(LOOKUP(Q417,Policy!$L$12:$M$16)+R417)*O417</f>
        <v>390304.83050847362</v>
      </c>
      <c r="T417" s="185"/>
      <c r="U417" s="156"/>
      <c r="V417" s="50"/>
      <c r="W417" s="156"/>
      <c r="X417" s="397"/>
      <c r="Y417" s="427"/>
      <c r="Z417" s="406"/>
      <c r="AA417" s="55">
        <v>0</v>
      </c>
      <c r="AB417" s="41">
        <v>0</v>
      </c>
      <c r="AC417" s="41">
        <v>0</v>
      </c>
      <c r="AD417" s="41">
        <f t="shared" si="804"/>
        <v>190304.83050847362</v>
      </c>
      <c r="AE417" s="41">
        <f t="shared" si="805"/>
        <v>200000</v>
      </c>
      <c r="AF417" s="41">
        <f t="shared" si="806"/>
        <v>390304.83050847362</v>
      </c>
      <c r="AG417" s="31"/>
      <c r="AH417" s="419"/>
      <c r="AI417" s="22" t="s">
        <v>313</v>
      </c>
      <c r="AJ417" s="22" t="s">
        <v>314</v>
      </c>
      <c r="AK417" s="195" t="s">
        <v>669</v>
      </c>
      <c r="AL417" s="299">
        <v>390304.83050847362</v>
      </c>
      <c r="AM417" s="299">
        <f t="shared" si="809"/>
        <v>390304.83050847362</v>
      </c>
      <c r="AN417" s="300">
        <f t="shared" si="808"/>
        <v>0</v>
      </c>
    </row>
    <row r="418" spans="1:43" ht="15.75" customHeight="1" x14ac:dyDescent="0.2">
      <c r="A418" s="79" t="s">
        <v>23</v>
      </c>
      <c r="B418" s="79" t="s">
        <v>24</v>
      </c>
      <c r="C418" s="79" t="s">
        <v>1185</v>
      </c>
      <c r="D418" s="1" t="s">
        <v>669</v>
      </c>
      <c r="E418" s="47">
        <f>ROUND(SUMIF('Target Achieved- Input'!$B$373:$B$466,'Incentive Report- Output'!B418,'Target Achieved- Input'!$G$373:$G$466),0)</f>
        <v>230</v>
      </c>
      <c r="F418" s="47">
        <f>ROUND(SUMIF('Target Achieved- Input'!$B$373:$B$466,'Incentive Report- Output'!B418,'Target Achieved- Input'!$H$373:$H$466),0)</f>
        <v>299</v>
      </c>
      <c r="G418" s="47">
        <f>SUMIF('Target Achieved- Input'!$L$373:$L$466,'Incentive Report- Output'!B418,'Target Achieved- Input'!$O$373:$O$466)</f>
        <v>221</v>
      </c>
      <c r="H418" s="39">
        <f>SUMIF('Target Achieved- Input'!$S$373:$S$466,'Incentive Report- Output'!B418,'Target Achieved- Input'!$V$373:$V$466)</f>
        <v>0</v>
      </c>
      <c r="I418" s="48">
        <f>SUMIF('Target Achieved- Input'!$L$373:$L$466,'Incentive Report- Output'!B418,'Target Achieved- Input'!$AC$373:$AC$466)</f>
        <v>1</v>
      </c>
      <c r="J418" s="39">
        <f t="shared" si="799"/>
        <v>221</v>
      </c>
      <c r="K418" s="40">
        <f t="shared" si="800"/>
        <v>0.96086956521739131</v>
      </c>
      <c r="L418" s="41">
        <f t="shared" si="801"/>
        <v>7590000</v>
      </c>
      <c r="M418" s="41">
        <f>SUMIF('Target Achieved- Input'!$L$373:$L$466,'Incentive Report- Output'!B418,'Target Achieved- Input'!$M$373:$M$466)</f>
        <v>12991929</v>
      </c>
      <c r="N418" s="41">
        <f>SUMIF('Target Achieved- Input'!$S$373:$S$466,'Incentive Report- Output'!B418,'Target Achieved- Input'!$U$373:$U$466)</f>
        <v>0</v>
      </c>
      <c r="O418" s="41">
        <f>SUMIF('Target Achieved- Input'!$L$373:$L$466,'Incentive Report- Output'!B418,'Target Achieved- Input'!$N$373:$N$466)-N418</f>
        <v>11010109.32203388</v>
      </c>
      <c r="P418" s="40">
        <f t="shared" si="802"/>
        <v>1.4506072888055179</v>
      </c>
      <c r="Q418" s="40">
        <f t="shared" si="803"/>
        <v>1.4506072888055179</v>
      </c>
      <c r="R418" s="40">
        <v>0</v>
      </c>
      <c r="S418" s="49">
        <f>(LOOKUP(Q418,Policy!$L$12:$M$16)+R418)*O418</f>
        <v>330303.27966101642</v>
      </c>
      <c r="T418" s="185">
        <f>L416</f>
        <v>8415000</v>
      </c>
      <c r="U418" s="156">
        <f>O416</f>
        <v>8653419.4915254265</v>
      </c>
      <c r="V418" s="51">
        <f>IFERROR(U418/T418,0)</f>
        <v>1.0283326787314826</v>
      </c>
      <c r="W418" s="156">
        <f>LOOKUP(V418,Policy!$L$18:$M$21)*U418</f>
        <v>12980.12923728814</v>
      </c>
      <c r="X418" s="397"/>
      <c r="Y418" s="427"/>
      <c r="Z418" s="406"/>
      <c r="AA418" s="55">
        <v>0</v>
      </c>
      <c r="AB418" s="41">
        <v>0</v>
      </c>
      <c r="AC418" s="41">
        <v>0</v>
      </c>
      <c r="AD418" s="41">
        <f t="shared" si="804"/>
        <v>143283.40889830457</v>
      </c>
      <c r="AE418" s="41">
        <f t="shared" si="805"/>
        <v>200000</v>
      </c>
      <c r="AF418" s="41">
        <f t="shared" si="806"/>
        <v>343283.40889830457</v>
      </c>
      <c r="AG418" s="31"/>
      <c r="AH418" s="419"/>
      <c r="AI418" s="22" t="s">
        <v>23</v>
      </c>
      <c r="AJ418" s="22" t="s">
        <v>24</v>
      </c>
      <c r="AK418" s="195" t="s">
        <v>669</v>
      </c>
      <c r="AL418" s="299">
        <v>343283.40889830457</v>
      </c>
      <c r="AM418" s="299">
        <f t="shared" si="809"/>
        <v>343283.40889830457</v>
      </c>
      <c r="AN418" s="300">
        <f t="shared" si="808"/>
        <v>0</v>
      </c>
    </row>
    <row r="419" spans="1:43" ht="15.75" customHeight="1" x14ac:dyDescent="0.2">
      <c r="A419" s="79" t="s">
        <v>1145</v>
      </c>
      <c r="B419" s="79" t="s">
        <v>1146</v>
      </c>
      <c r="C419" s="79" t="s">
        <v>1</v>
      </c>
      <c r="D419" s="1" t="s">
        <v>669</v>
      </c>
      <c r="E419" s="47">
        <f>ROUND(SUMIF('Target Achieved- Input'!$B$373:$B$466,'Incentive Report- Output'!B419,'Target Achieved- Input'!$G$373:$G$466),0)</f>
        <v>150</v>
      </c>
      <c r="F419" s="47">
        <f>ROUND(SUMIF('Target Achieved- Input'!$B$373:$B$466,'Incentive Report- Output'!B419,'Target Achieved- Input'!$H$373:$H$466),0)</f>
        <v>195</v>
      </c>
      <c r="G419" s="47">
        <f>SUMIF('Target Achieved- Input'!$L$373:$L$466,'Incentive Report- Output'!B419,'Target Achieved- Input'!$O$373:$O$466)</f>
        <v>90</v>
      </c>
      <c r="H419" s="39">
        <f>SUMIF('Target Achieved- Input'!$S$373:$S$466,'Incentive Report- Output'!B419,'Target Achieved- Input'!$V$373:$V$466)</f>
        <v>0</v>
      </c>
      <c r="I419" s="48">
        <f>SUMIF('Target Achieved- Input'!$L$373:$L$466,'Incentive Report- Output'!B419,'Target Achieved- Input'!$AC$373:$AC$466)</f>
        <v>1</v>
      </c>
      <c r="J419" s="39">
        <f t="shared" si="799"/>
        <v>90</v>
      </c>
      <c r="K419" s="40">
        <f t="shared" si="800"/>
        <v>0.6</v>
      </c>
      <c r="L419" s="41">
        <f t="shared" si="801"/>
        <v>4950000</v>
      </c>
      <c r="M419" s="41">
        <f>SUMIF('Target Achieved- Input'!$L$373:$L$466,'Incentive Report- Output'!B419,'Target Achieved- Input'!$M$373:$M$466)</f>
        <v>4914010</v>
      </c>
      <c r="N419" s="41">
        <f>SUMIF('Target Achieved- Input'!$S$373:$S$466,'Incentive Report- Output'!B419,'Target Achieved- Input'!$U$373:$U$466)</f>
        <v>0</v>
      </c>
      <c r="O419" s="41">
        <f>SUMIF('Target Achieved- Input'!$L$373:$L$466,'Incentive Report- Output'!B419,'Target Achieved- Input'!$N$373:$N$466)-N419</f>
        <v>4164415.2542372802</v>
      </c>
      <c r="P419" s="40">
        <f t="shared" si="802"/>
        <v>0.84129601095702633</v>
      </c>
      <c r="Q419" s="40">
        <f t="shared" si="803"/>
        <v>0.84129601095702633</v>
      </c>
      <c r="R419" s="40">
        <v>0</v>
      </c>
      <c r="S419" s="49">
        <f>(LOOKUP(Q419,Policy!$L$12:$M$16)+R419)*O419</f>
        <v>41644.152542372802</v>
      </c>
      <c r="T419" s="185"/>
      <c r="U419" s="156"/>
      <c r="V419" s="51"/>
      <c r="W419" s="156"/>
      <c r="X419" s="398"/>
      <c r="Y419" s="429"/>
      <c r="Z419" s="408"/>
      <c r="AA419" s="55">
        <v>0</v>
      </c>
      <c r="AB419" s="41">
        <v>0</v>
      </c>
      <c r="AC419" s="41">
        <v>0</v>
      </c>
      <c r="AD419" s="41">
        <f t="shared" si="804"/>
        <v>0</v>
      </c>
      <c r="AE419" s="41">
        <f t="shared" si="805"/>
        <v>41644.152542372802</v>
      </c>
      <c r="AF419" s="41">
        <f t="shared" si="806"/>
        <v>41644.152542372802</v>
      </c>
      <c r="AG419" s="31"/>
      <c r="AH419" s="419"/>
      <c r="AI419" s="22" t="s">
        <v>1145</v>
      </c>
      <c r="AJ419" s="22" t="s">
        <v>1146</v>
      </c>
      <c r="AK419" s="195" t="s">
        <v>669</v>
      </c>
      <c r="AL419" s="299">
        <v>41644.152542372802</v>
      </c>
      <c r="AM419" s="299">
        <f>AF419</f>
        <v>41644.152542372802</v>
      </c>
      <c r="AN419" s="300">
        <f t="shared" si="808"/>
        <v>0</v>
      </c>
    </row>
    <row r="420" spans="1:43" ht="15.75" customHeight="1" x14ac:dyDescent="0.2">
      <c r="A420" s="109" t="s">
        <v>6</v>
      </c>
      <c r="B420" s="109"/>
      <c r="C420" s="109"/>
      <c r="D420" s="292" t="s">
        <v>669</v>
      </c>
      <c r="E420" s="44">
        <f>SUM(E412:E419)</f>
        <v>1580</v>
      </c>
      <c r="F420" s="44">
        <f t="shared" ref="F420:J420" si="810">SUM(F412:F419)</f>
        <v>2055</v>
      </c>
      <c r="G420" s="44">
        <f t="shared" si="810"/>
        <v>1415</v>
      </c>
      <c r="H420" s="44">
        <f t="shared" si="810"/>
        <v>0</v>
      </c>
      <c r="I420" s="44">
        <f t="shared" si="810"/>
        <v>22</v>
      </c>
      <c r="J420" s="44">
        <f t="shared" si="810"/>
        <v>1415</v>
      </c>
      <c r="K420" s="44"/>
      <c r="L420" s="44">
        <f t="shared" ref="L420:O420" si="811">SUM(L412:L419)</f>
        <v>52140000</v>
      </c>
      <c r="M420" s="44">
        <f t="shared" si="811"/>
        <v>81472335</v>
      </c>
      <c r="N420" s="44">
        <f t="shared" si="811"/>
        <v>0</v>
      </c>
      <c r="O420" s="44">
        <f t="shared" si="811"/>
        <v>69044351.694915146</v>
      </c>
      <c r="P420" s="44"/>
      <c r="Q420" s="44"/>
      <c r="R420" s="44"/>
      <c r="S420" s="44">
        <f t="shared" ref="S420:AF420" si="812">SUM(S412:S419)</f>
        <v>1804037.4237288106</v>
      </c>
      <c r="T420" s="44">
        <f t="shared" si="812"/>
        <v>19635000</v>
      </c>
      <c r="U420" s="44">
        <f t="shared" si="812"/>
        <v>19327410.169491515</v>
      </c>
      <c r="V420" s="44">
        <f t="shared" si="812"/>
        <v>1.9796687462863924</v>
      </c>
      <c r="W420" s="44">
        <f t="shared" si="812"/>
        <v>23654.119915254229</v>
      </c>
      <c r="X420" s="44">
        <f t="shared" si="812"/>
        <v>1580</v>
      </c>
      <c r="Y420" s="44">
        <f t="shared" si="812"/>
        <v>1415</v>
      </c>
      <c r="Z420" s="44">
        <f t="shared" si="812"/>
        <v>0.89556962025316456</v>
      </c>
      <c r="AA420" s="44">
        <f t="shared" si="812"/>
        <v>0</v>
      </c>
      <c r="AB420" s="44">
        <f t="shared" si="812"/>
        <v>0</v>
      </c>
      <c r="AC420" s="44">
        <f t="shared" si="812"/>
        <v>0</v>
      </c>
      <c r="AD420" s="44">
        <f t="shared" si="812"/>
        <v>527475.05635592947</v>
      </c>
      <c r="AE420" s="44">
        <f t="shared" si="812"/>
        <v>1300216.4872881351</v>
      </c>
      <c r="AF420" s="44">
        <f t="shared" si="812"/>
        <v>1827691.5436440646</v>
      </c>
      <c r="AG420" s="31"/>
      <c r="AH420" s="419"/>
      <c r="AI420" s="43" t="s">
        <v>6</v>
      </c>
      <c r="AJ420" s="43"/>
      <c r="AK420" s="43" t="s">
        <v>669</v>
      </c>
      <c r="AL420" s="306">
        <v>1827691.5436440646</v>
      </c>
      <c r="AM420" s="306">
        <f>SUM(AM412:AM419)</f>
        <v>1827691.5436440646</v>
      </c>
      <c r="AN420" s="306">
        <f>SUM(AN412:AN419)</f>
        <v>0</v>
      </c>
    </row>
    <row r="421" spans="1:43" ht="15.75" customHeight="1" x14ac:dyDescent="0.2">
      <c r="A421" s="111" t="s">
        <v>225</v>
      </c>
      <c r="B421" s="79" t="s">
        <v>27</v>
      </c>
      <c r="C421" s="79" t="s">
        <v>1</v>
      </c>
      <c r="D421" s="1" t="s">
        <v>670</v>
      </c>
      <c r="E421" s="47">
        <f>ROUND(SUMIF('Target Achieved- Input'!$B$373:$B$466,'Incentive Report- Output'!B421,'Target Achieved- Input'!$G$373:$G$466),0)</f>
        <v>200</v>
      </c>
      <c r="F421" s="47">
        <f>ROUND(SUMIF('Target Achieved- Input'!$B$373:$B$466,'Incentive Report- Output'!B421,'Target Achieved- Input'!$H$373:$H$466),0)</f>
        <v>260</v>
      </c>
      <c r="G421" s="47">
        <f>SUMIF('Target Achieved- Input'!$L$373:$L$466,'Incentive Report- Output'!B421,'Target Achieved- Input'!$O$373:$O$466)</f>
        <v>257</v>
      </c>
      <c r="H421" s="39">
        <f>SUMIF('Target Achieved- Input'!$S$373:$S$466,'Incentive Report- Output'!B421,'Target Achieved- Input'!$V$373:$V$466)</f>
        <v>4</v>
      </c>
      <c r="I421" s="48">
        <f>SUMIF('Target Achieved- Input'!$L$373:$L$466,'Incentive Report- Output'!B421,'Target Achieved- Input'!$AC$373:$AC$466)</f>
        <v>0</v>
      </c>
      <c r="J421" s="39">
        <f t="shared" ref="J421:J427" si="813">G421-H421</f>
        <v>253</v>
      </c>
      <c r="K421" s="40">
        <f t="shared" ref="K421:K427" si="814">IFERROR(J421/E421,0)</f>
        <v>1.2649999999999999</v>
      </c>
      <c r="L421" s="41">
        <f t="shared" ref="L421:L427" si="815">E421*33000</f>
        <v>6600000</v>
      </c>
      <c r="M421" s="41">
        <f>SUMIF('Target Achieved- Input'!$L$373:$L$466,'Incentive Report- Output'!B421,'Target Achieved- Input'!$M$373:$M$466)</f>
        <v>15673943</v>
      </c>
      <c r="N421" s="41">
        <f>SUMIF('Target Achieved- Input'!$S$373:$S$466,'Incentive Report- Output'!B421,'Target Achieved- Input'!$U$373:$U$466)</f>
        <v>158471.1864406777</v>
      </c>
      <c r="O421" s="41">
        <f>SUMIF('Target Achieved- Input'!$L$373:$L$466,'Incentive Report- Output'!B421,'Target Achieved- Input'!$N$373:$N$466)-N421</f>
        <v>13124531.355932161</v>
      </c>
      <c r="P421" s="40">
        <f t="shared" ref="P421:P427" si="816">IFERROR(O421/L421,0)</f>
        <v>1.9885653569594184</v>
      </c>
      <c r="Q421" s="40">
        <f t="shared" ref="Q421:Q427" si="817">MAX(P421,K421)</f>
        <v>1.9885653569594184</v>
      </c>
      <c r="R421" s="40">
        <v>0</v>
      </c>
      <c r="S421" s="49">
        <f>(LOOKUP(Q421,Policy!$L$12:$M$16)+R421)*O421</f>
        <v>393735.94067796483</v>
      </c>
      <c r="T421" s="185"/>
      <c r="U421" s="156"/>
      <c r="V421" s="51"/>
      <c r="W421" s="156"/>
      <c r="X421" s="405"/>
      <c r="Y421" s="405"/>
      <c r="Z421" s="406"/>
      <c r="AA421" s="55">
        <v>0</v>
      </c>
      <c r="AB421" s="41">
        <v>0</v>
      </c>
      <c r="AC421" s="41">
        <v>0</v>
      </c>
      <c r="AD421" s="41">
        <f t="shared" ref="AD421:AD427" si="818">IF(AF421&gt;200000,AF421-200000,0)</f>
        <v>193735.94067796483</v>
      </c>
      <c r="AE421" s="41">
        <f t="shared" ref="AE421:AE427" si="819">AF421-AD421</f>
        <v>200000</v>
      </c>
      <c r="AF421" s="41">
        <f t="shared" ref="AF421:AF427" si="820">S421+W421+AB421+AC421</f>
        <v>393735.94067796483</v>
      </c>
      <c r="AG421" s="31"/>
      <c r="AH421" s="419"/>
      <c r="AI421" s="111" t="s">
        <v>225</v>
      </c>
      <c r="AJ421" s="22" t="s">
        <v>27</v>
      </c>
      <c r="AK421" s="195" t="s">
        <v>670</v>
      </c>
      <c r="AL421" s="299">
        <v>398490.07627118519</v>
      </c>
      <c r="AM421" s="299">
        <f t="shared" ref="AM421:AM427" si="821">AF421</f>
        <v>393735.94067796483</v>
      </c>
      <c r="AN421" s="300">
        <f t="shared" ref="AN421:AN427" si="822">AL421-AM421</f>
        <v>4754.1355932203587</v>
      </c>
    </row>
    <row r="422" spans="1:43" ht="15.75" customHeight="1" x14ac:dyDescent="0.2">
      <c r="A422" s="111" t="s">
        <v>29</v>
      </c>
      <c r="B422" s="79" t="s">
        <v>30</v>
      </c>
      <c r="C422" s="79" t="s">
        <v>1</v>
      </c>
      <c r="D422" s="1" t="s">
        <v>670</v>
      </c>
      <c r="E422" s="47">
        <f>ROUND(SUMIF('Target Achieved- Input'!$B$373:$B$466,'Incentive Report- Output'!B422,'Target Achieved- Input'!$G$373:$G$466),0)</f>
        <v>260</v>
      </c>
      <c r="F422" s="47">
        <f>ROUND(SUMIF('Target Achieved- Input'!$B$373:$B$466,'Incentive Report- Output'!B422,'Target Achieved- Input'!$H$373:$H$466),0)</f>
        <v>338</v>
      </c>
      <c r="G422" s="47">
        <f>SUMIF('Target Achieved- Input'!$L$373:$L$466,'Incentive Report- Output'!B422,'Target Achieved- Input'!$O$373:$O$466)</f>
        <v>155</v>
      </c>
      <c r="H422" s="39">
        <f>SUMIF('Target Achieved- Input'!$S$373:$S$466,'Incentive Report- Output'!B422,'Target Achieved- Input'!$V$373:$V$466)</f>
        <v>18</v>
      </c>
      <c r="I422" s="48">
        <f>SUMIF('Target Achieved- Input'!$L$373:$L$466,'Incentive Report- Output'!B422,'Target Achieved- Input'!$AC$373:$AC$466)</f>
        <v>0</v>
      </c>
      <c r="J422" s="39">
        <f t="shared" si="813"/>
        <v>137</v>
      </c>
      <c r="K422" s="40">
        <f t="shared" si="814"/>
        <v>0.52692307692307694</v>
      </c>
      <c r="L422" s="41">
        <f t="shared" si="815"/>
        <v>8580000</v>
      </c>
      <c r="M422" s="41">
        <f>SUMIF('Target Achieved- Input'!$L$373:$L$466,'Incentive Report- Output'!B422,'Target Achieved- Input'!$M$373:$M$466)</f>
        <v>9962145</v>
      </c>
      <c r="N422" s="41">
        <f>SUMIF('Target Achieved- Input'!$S$373:$S$466,'Incentive Report- Output'!B422,'Target Achieved- Input'!$U$373:$U$466)</f>
        <v>953798.30508474552</v>
      </c>
      <c r="O422" s="41">
        <f>SUMIF('Target Achieved- Input'!$L$373:$L$466,'Incentive Report- Output'!B422,'Target Achieved- Input'!$N$373:$N$466)-N422</f>
        <v>7488697.457627126</v>
      </c>
      <c r="P422" s="40">
        <f t="shared" si="816"/>
        <v>0.87280856149500308</v>
      </c>
      <c r="Q422" s="40">
        <f t="shared" si="817"/>
        <v>0.87280856149500308</v>
      </c>
      <c r="R422" s="40">
        <v>0</v>
      </c>
      <c r="S422" s="49">
        <f>(LOOKUP(Q422,Policy!$L$12:$M$16)+R422)*O422</f>
        <v>74886.974576271256</v>
      </c>
      <c r="T422" s="185"/>
      <c r="U422" s="156"/>
      <c r="V422" s="51"/>
      <c r="W422" s="156"/>
      <c r="X422" s="405"/>
      <c r="Y422" s="405"/>
      <c r="Z422" s="406"/>
      <c r="AA422" s="55">
        <v>0</v>
      </c>
      <c r="AB422" s="41">
        <v>0</v>
      </c>
      <c r="AC422" s="41">
        <v>0</v>
      </c>
      <c r="AD422" s="41">
        <f t="shared" si="818"/>
        <v>0</v>
      </c>
      <c r="AE422" s="41">
        <f t="shared" si="819"/>
        <v>74886.974576271256</v>
      </c>
      <c r="AF422" s="41">
        <f t="shared" si="820"/>
        <v>74886.974576271256</v>
      </c>
      <c r="AG422" s="31"/>
      <c r="AH422" s="419"/>
      <c r="AI422" s="111" t="s">
        <v>29</v>
      </c>
      <c r="AJ422" s="22" t="s">
        <v>30</v>
      </c>
      <c r="AK422" s="195" t="s">
        <v>670</v>
      </c>
      <c r="AL422" s="299">
        <v>84424.957627118711</v>
      </c>
      <c r="AM422" s="299">
        <f t="shared" si="821"/>
        <v>74886.974576271256</v>
      </c>
      <c r="AN422" s="300">
        <f t="shared" si="822"/>
        <v>9537.9830508474552</v>
      </c>
    </row>
    <row r="423" spans="1:43" ht="15.75" customHeight="1" x14ac:dyDescent="0.2">
      <c r="A423" s="111" t="s">
        <v>244</v>
      </c>
      <c r="B423" s="79" t="s">
        <v>245</v>
      </c>
      <c r="C423" s="79" t="s">
        <v>1</v>
      </c>
      <c r="D423" s="1" t="s">
        <v>670</v>
      </c>
      <c r="E423" s="47">
        <f>ROUND(SUMIF('Target Achieved- Input'!$B$373:$B$466,'Incentive Report- Output'!B423,'Target Achieved- Input'!$G$373:$G$466),0)</f>
        <v>190</v>
      </c>
      <c r="F423" s="47">
        <f>ROUND(SUMIF('Target Achieved- Input'!$B$373:$B$466,'Incentive Report- Output'!B423,'Target Achieved- Input'!$H$373:$H$466),0)</f>
        <v>247</v>
      </c>
      <c r="G423" s="47">
        <f>SUMIF('Target Achieved- Input'!$L$373:$L$466,'Incentive Report- Output'!B423,'Target Achieved- Input'!$O$373:$O$466)</f>
        <v>127</v>
      </c>
      <c r="H423" s="39">
        <f>SUMIF('Target Achieved- Input'!$S$373:$S$466,'Incentive Report- Output'!B423,'Target Achieved- Input'!$V$373:$V$466)</f>
        <v>0</v>
      </c>
      <c r="I423" s="48">
        <f>SUMIF('Target Achieved- Input'!$L$373:$L$466,'Incentive Report- Output'!B423,'Target Achieved- Input'!$AC$373:$AC$466)</f>
        <v>0</v>
      </c>
      <c r="J423" s="39">
        <f t="shared" si="813"/>
        <v>127</v>
      </c>
      <c r="K423" s="40">
        <f t="shared" si="814"/>
        <v>0.66842105263157892</v>
      </c>
      <c r="L423" s="41">
        <f t="shared" si="815"/>
        <v>6270000</v>
      </c>
      <c r="M423" s="41">
        <f>SUMIF('Target Achieved- Input'!$L$373:$L$466,'Incentive Report- Output'!B423,'Target Achieved- Input'!$M$373:$M$466)</f>
        <v>7591373</v>
      </c>
      <c r="N423" s="41">
        <f>SUMIF('Target Achieved- Input'!$S$373:$S$466,'Incentive Report- Output'!B423,'Target Achieved- Input'!$U$373:$U$466)</f>
        <v>0</v>
      </c>
      <c r="O423" s="41">
        <f>SUMIF('Target Achieved- Input'!$L$373:$L$466,'Incentive Report- Output'!B423,'Target Achieved- Input'!$N$373:$N$466)-N423</f>
        <v>6433366.9491525413</v>
      </c>
      <c r="P423" s="40">
        <f t="shared" si="816"/>
        <v>1.0260553347930688</v>
      </c>
      <c r="Q423" s="40">
        <f t="shared" si="817"/>
        <v>1.0260553347930688</v>
      </c>
      <c r="R423" s="40">
        <v>0</v>
      </c>
      <c r="S423" s="49">
        <f>(LOOKUP(Q423,Policy!$L$12:$M$16)+R423)*O423</f>
        <v>144750.75635593219</v>
      </c>
      <c r="T423" s="185"/>
      <c r="U423" s="156"/>
      <c r="V423" s="51"/>
      <c r="W423" s="156"/>
      <c r="X423" s="405"/>
      <c r="Y423" s="405"/>
      <c r="Z423" s="406"/>
      <c r="AA423" s="55">
        <v>0</v>
      </c>
      <c r="AB423" s="41">
        <v>0</v>
      </c>
      <c r="AC423" s="41">
        <v>0</v>
      </c>
      <c r="AD423" s="41">
        <f t="shared" si="818"/>
        <v>0</v>
      </c>
      <c r="AE423" s="41">
        <f t="shared" si="819"/>
        <v>144750.75635593219</v>
      </c>
      <c r="AF423" s="41">
        <f t="shared" si="820"/>
        <v>144750.75635593219</v>
      </c>
      <c r="AG423" s="31"/>
      <c r="AH423" s="419"/>
      <c r="AI423" s="111" t="s">
        <v>244</v>
      </c>
      <c r="AJ423" s="22" t="s">
        <v>245</v>
      </c>
      <c r="AK423" s="195" t="s">
        <v>670</v>
      </c>
      <c r="AL423" s="299">
        <v>144750.75635593219</v>
      </c>
      <c r="AM423" s="299">
        <f t="shared" si="821"/>
        <v>144750.75635593219</v>
      </c>
      <c r="AN423" s="300">
        <f t="shared" si="822"/>
        <v>0</v>
      </c>
    </row>
    <row r="424" spans="1:43" ht="15.75" customHeight="1" x14ac:dyDescent="0.2">
      <c r="A424" s="111" t="s">
        <v>20</v>
      </c>
      <c r="B424" s="79" t="s">
        <v>21</v>
      </c>
      <c r="C424" s="79" t="s">
        <v>1</v>
      </c>
      <c r="D424" s="1" t="s">
        <v>670</v>
      </c>
      <c r="E424" s="47">
        <f>ROUND(SUMIF('Target Achieved- Input'!$B$373:$B$466,'Incentive Report- Output'!B424,'Target Achieved- Input'!$G$373:$G$466),0)</f>
        <v>150</v>
      </c>
      <c r="F424" s="47">
        <f>ROUND(SUMIF('Target Achieved- Input'!$B$373:$B$466,'Incentive Report- Output'!B424,'Target Achieved- Input'!$H$373:$H$466),0)</f>
        <v>195</v>
      </c>
      <c r="G424" s="47">
        <f>SUMIF('Target Achieved- Input'!$L$373:$L$466,'Incentive Report- Output'!B424,'Target Achieved- Input'!$O$373:$O$466)</f>
        <v>122</v>
      </c>
      <c r="H424" s="39">
        <f>SUMIF('Target Achieved- Input'!$S$373:$S$466,'Incentive Report- Output'!B424,'Target Achieved- Input'!$V$373:$V$466)</f>
        <v>5</v>
      </c>
      <c r="I424" s="48">
        <f>SUMIF('Target Achieved- Input'!$L$373:$L$466,'Incentive Report- Output'!B424,'Target Achieved- Input'!$AC$373:$AC$466)</f>
        <v>0</v>
      </c>
      <c r="J424" s="39">
        <f t="shared" si="813"/>
        <v>117</v>
      </c>
      <c r="K424" s="40">
        <f t="shared" si="814"/>
        <v>0.78</v>
      </c>
      <c r="L424" s="41">
        <f t="shared" si="815"/>
        <v>4950000</v>
      </c>
      <c r="M424" s="41">
        <f>SUMIF('Target Achieved- Input'!$L$373:$L$466,'Incentive Report- Output'!B424,'Target Achieved- Input'!$M$373:$M$466)</f>
        <v>6320978</v>
      </c>
      <c r="N424" s="41">
        <f>SUMIF('Target Achieved- Input'!$S$373:$S$466,'Incentive Report- Output'!B424,'Target Achieved- Input'!$U$373:$U$466)</f>
        <v>166097.4576271183</v>
      </c>
      <c r="O424" s="41">
        <f>SUMIF('Target Achieved- Input'!$L$373:$L$466,'Incentive Report- Output'!B424,'Target Achieved- Input'!$N$373:$N$466)-N424</f>
        <v>5190663.5593220266</v>
      </c>
      <c r="P424" s="40">
        <f t="shared" si="816"/>
        <v>1.0486189008731366</v>
      </c>
      <c r="Q424" s="40">
        <f t="shared" si="817"/>
        <v>1.0486189008731366</v>
      </c>
      <c r="R424" s="40">
        <v>0</v>
      </c>
      <c r="S424" s="49">
        <f>(LOOKUP(Q424,Policy!$L$12:$M$16)+R424)*O424</f>
        <v>116789.93008474559</v>
      </c>
      <c r="T424" s="185"/>
      <c r="U424" s="156"/>
      <c r="V424" s="51"/>
      <c r="W424" s="156"/>
      <c r="X424" s="405"/>
      <c r="Y424" s="405"/>
      <c r="Z424" s="406"/>
      <c r="AA424" s="55">
        <v>0</v>
      </c>
      <c r="AB424" s="41">
        <v>0</v>
      </c>
      <c r="AC424" s="41">
        <v>0</v>
      </c>
      <c r="AD424" s="41">
        <f t="shared" si="818"/>
        <v>0</v>
      </c>
      <c r="AE424" s="41">
        <f t="shared" si="819"/>
        <v>116789.93008474559</v>
      </c>
      <c r="AF424" s="41">
        <f t="shared" si="820"/>
        <v>116789.93008474559</v>
      </c>
      <c r="AG424" s="31"/>
      <c r="AH424" s="419"/>
      <c r="AI424" s="111" t="s">
        <v>20</v>
      </c>
      <c r="AJ424" s="22" t="s">
        <v>21</v>
      </c>
      <c r="AK424" s="195" t="s">
        <v>670</v>
      </c>
      <c r="AL424" s="299">
        <v>120527.12288135575</v>
      </c>
      <c r="AM424" s="299">
        <f t="shared" si="821"/>
        <v>116789.93008474559</v>
      </c>
      <c r="AN424" s="300">
        <f t="shared" si="822"/>
        <v>3737.1927966101648</v>
      </c>
    </row>
    <row r="425" spans="1:43" ht="15.75" customHeight="1" x14ac:dyDescent="0.2">
      <c r="A425" s="111" t="s">
        <v>699</v>
      </c>
      <c r="B425" s="79" t="s">
        <v>700</v>
      </c>
      <c r="C425" s="79" t="s">
        <v>1</v>
      </c>
      <c r="D425" s="1" t="s">
        <v>670</v>
      </c>
      <c r="E425" s="47">
        <f>ROUND(SUMIF('Target Achieved- Input'!$B$373:$B$466,'Incentive Report- Output'!B425,'Target Achieved- Input'!$G$373:$G$466),0)</f>
        <v>195</v>
      </c>
      <c r="F425" s="47">
        <f>ROUND(SUMIF('Target Achieved- Input'!$B$373:$B$466,'Incentive Report- Output'!B425,'Target Achieved- Input'!$H$373:$H$466),0)</f>
        <v>254</v>
      </c>
      <c r="G425" s="47">
        <f>SUMIF('Target Achieved- Input'!$L$373:$L$466,'Incentive Report- Output'!B425,'Target Achieved- Input'!$O$373:$O$466)</f>
        <v>142</v>
      </c>
      <c r="H425" s="39">
        <f>SUMIF('Target Achieved- Input'!$S$373:$S$466,'Incentive Report- Output'!B425,'Target Achieved- Input'!$V$373:$V$466)</f>
        <v>10</v>
      </c>
      <c r="I425" s="48">
        <f>SUMIF('Target Achieved- Input'!$L$373:$L$466,'Incentive Report- Output'!B425,'Target Achieved- Input'!$AC$373:$AC$466)</f>
        <v>1</v>
      </c>
      <c r="J425" s="39">
        <f t="shared" si="813"/>
        <v>132</v>
      </c>
      <c r="K425" s="40">
        <f t="shared" si="814"/>
        <v>0.67692307692307696</v>
      </c>
      <c r="L425" s="41">
        <f t="shared" si="815"/>
        <v>6435000</v>
      </c>
      <c r="M425" s="41">
        <f>SUMIF('Target Achieved- Input'!$L$373:$L$466,'Incentive Report- Output'!B425,'Target Achieved- Input'!$M$373:$M$466)</f>
        <v>8401958</v>
      </c>
      <c r="N425" s="41">
        <f>SUMIF('Target Achieved- Input'!$S$373:$S$466,'Incentive Report- Output'!B425,'Target Achieved- Input'!$U$373:$U$466)</f>
        <v>456771.18644067744</v>
      </c>
      <c r="O425" s="41">
        <f>SUMIF('Target Achieved- Input'!$L$373:$L$466,'Incentive Report- Output'!B425,'Target Achieved- Input'!$N$373:$N$466)-N425</f>
        <v>6663532.2033898318</v>
      </c>
      <c r="P425" s="40">
        <f t="shared" si="816"/>
        <v>1.0355139399207198</v>
      </c>
      <c r="Q425" s="40">
        <f t="shared" si="817"/>
        <v>1.0355139399207198</v>
      </c>
      <c r="R425" s="40">
        <v>0</v>
      </c>
      <c r="S425" s="49">
        <f>(LOOKUP(Q425,Policy!$L$12:$M$16)+R425)*O425</f>
        <v>149929.4745762712</v>
      </c>
      <c r="T425" s="185"/>
      <c r="U425" s="156"/>
      <c r="V425" s="51"/>
      <c r="W425" s="156"/>
      <c r="X425" s="405"/>
      <c r="Y425" s="405"/>
      <c r="Z425" s="406"/>
      <c r="AA425" s="55">
        <v>0</v>
      </c>
      <c r="AB425" s="41">
        <v>0</v>
      </c>
      <c r="AC425" s="41">
        <v>0</v>
      </c>
      <c r="AD425" s="41">
        <f t="shared" si="818"/>
        <v>0</v>
      </c>
      <c r="AE425" s="41">
        <f t="shared" si="819"/>
        <v>149929.4745762712</v>
      </c>
      <c r="AF425" s="41">
        <f t="shared" si="820"/>
        <v>149929.4745762712</v>
      </c>
      <c r="AG425" s="31"/>
      <c r="AH425" s="419"/>
      <c r="AI425" s="111" t="s">
        <v>699</v>
      </c>
      <c r="AJ425" s="22" t="s">
        <v>700</v>
      </c>
      <c r="AK425" s="195" t="s">
        <v>670</v>
      </c>
      <c r="AL425" s="299">
        <v>160206.82627118644</v>
      </c>
      <c r="AM425" s="299">
        <f t="shared" si="821"/>
        <v>149929.4745762712</v>
      </c>
      <c r="AN425" s="300">
        <f t="shared" si="822"/>
        <v>10277.35169491524</v>
      </c>
    </row>
    <row r="426" spans="1:43" ht="15.75" customHeight="1" x14ac:dyDescent="0.2">
      <c r="A426" s="111" t="s">
        <v>222</v>
      </c>
      <c r="B426" s="79" t="s">
        <v>223</v>
      </c>
      <c r="C426" s="79" t="s">
        <v>1</v>
      </c>
      <c r="D426" s="1" t="s">
        <v>670</v>
      </c>
      <c r="E426" s="47">
        <f>ROUND(SUMIF('Target Achieved- Input'!$B$373:$B$466,'Incentive Report- Output'!B426,'Target Achieved- Input'!$G$373:$G$466),0)</f>
        <v>215</v>
      </c>
      <c r="F426" s="47">
        <f>ROUND(SUMIF('Target Achieved- Input'!$B$373:$B$466,'Incentive Report- Output'!B426,'Target Achieved- Input'!$H$373:$H$466),0)</f>
        <v>280</v>
      </c>
      <c r="G426" s="47">
        <f>SUMIF('Target Achieved- Input'!$L$373:$L$466,'Incentive Report- Output'!B426,'Target Achieved- Input'!$O$373:$O$466)</f>
        <v>191</v>
      </c>
      <c r="H426" s="39">
        <f>SUMIF('Target Achieved- Input'!$S$373:$S$466,'Incentive Report- Output'!B426,'Target Achieved- Input'!$V$373:$V$466)</f>
        <v>9</v>
      </c>
      <c r="I426" s="48">
        <f>SUMIF('Target Achieved- Input'!$L$373:$L$466,'Incentive Report- Output'!B426,'Target Achieved- Input'!$AC$373:$AC$466)</f>
        <v>0</v>
      </c>
      <c r="J426" s="39">
        <f t="shared" si="813"/>
        <v>182</v>
      </c>
      <c r="K426" s="40">
        <f t="shared" si="814"/>
        <v>0.84651162790697676</v>
      </c>
      <c r="L426" s="41">
        <f t="shared" si="815"/>
        <v>7095000</v>
      </c>
      <c r="M426" s="41">
        <f>SUMIF('Target Achieved- Input'!$L$373:$L$466,'Incentive Report- Output'!B426,'Target Achieved- Input'!$M$373:$M$466)</f>
        <v>11917459</v>
      </c>
      <c r="N426" s="41">
        <f>SUMIF('Target Achieved- Input'!$S$373:$S$466,'Incentive Report- Output'!B426,'Target Achieved- Input'!$U$373:$U$466)</f>
        <v>402449.99999999965</v>
      </c>
      <c r="O426" s="41">
        <f>SUMIF('Target Achieved- Input'!$L$373:$L$466,'Incentive Report- Output'!B426,'Target Achieved- Input'!$N$373:$N$466)-N426</f>
        <v>9697091.5254237298</v>
      </c>
      <c r="P426" s="40">
        <f t="shared" si="816"/>
        <v>1.3667500388194123</v>
      </c>
      <c r="Q426" s="40">
        <f t="shared" si="817"/>
        <v>1.3667500388194123</v>
      </c>
      <c r="R426" s="40">
        <v>0</v>
      </c>
      <c r="S426" s="49">
        <f>(LOOKUP(Q426,Policy!$L$12:$M$16)+R426)*O426</f>
        <v>290912.74576271186</v>
      </c>
      <c r="T426" s="185"/>
      <c r="U426" s="156"/>
      <c r="V426" s="51"/>
      <c r="W426" s="156"/>
      <c r="X426" s="405"/>
      <c r="Y426" s="405"/>
      <c r="Z426" s="406"/>
      <c r="AA426" s="55">
        <v>0</v>
      </c>
      <c r="AB426" s="41">
        <v>0</v>
      </c>
      <c r="AC426" s="41">
        <v>0</v>
      </c>
      <c r="AD426" s="41">
        <f t="shared" si="818"/>
        <v>90912.745762711857</v>
      </c>
      <c r="AE426" s="41">
        <f t="shared" si="819"/>
        <v>200000</v>
      </c>
      <c r="AF426" s="41">
        <f t="shared" si="820"/>
        <v>290912.74576271186</v>
      </c>
      <c r="AG426" s="31"/>
      <c r="AH426" s="419"/>
      <c r="AI426" s="111" t="s">
        <v>222</v>
      </c>
      <c r="AJ426" s="22" t="s">
        <v>223</v>
      </c>
      <c r="AK426" s="195" t="s">
        <v>670</v>
      </c>
      <c r="AL426" s="301">
        <v>302986.24576271186</v>
      </c>
      <c r="AM426" s="301">
        <f t="shared" si="821"/>
        <v>290912.74576271186</v>
      </c>
      <c r="AN426" s="302">
        <f t="shared" si="822"/>
        <v>12073.5</v>
      </c>
    </row>
    <row r="427" spans="1:43" ht="15.75" customHeight="1" x14ac:dyDescent="0.2">
      <c r="A427" s="111" t="s">
        <v>70</v>
      </c>
      <c r="B427" s="79" t="s">
        <v>34</v>
      </c>
      <c r="C427" s="79" t="s">
        <v>1</v>
      </c>
      <c r="D427" s="1" t="s">
        <v>670</v>
      </c>
      <c r="E427" s="47">
        <f>ROUND(SUMIF('Target Achieved- Input'!$B$373:$B$466,'Incentive Report- Output'!B427,'Target Achieved- Input'!$G$373:$G$466),0)</f>
        <v>210</v>
      </c>
      <c r="F427" s="47">
        <f>ROUND(SUMIF('Target Achieved- Input'!$B$373:$B$466,'Incentive Report- Output'!B427,'Target Achieved- Input'!$H$373:$H$466),0)</f>
        <v>273</v>
      </c>
      <c r="G427" s="47">
        <f>SUMIF('Target Achieved- Input'!$L$373:$L$466,'Incentive Report- Output'!B427,'Target Achieved- Input'!$O$373:$O$466)</f>
        <v>137</v>
      </c>
      <c r="H427" s="39">
        <f>SUMIF('Target Achieved- Input'!$S$373:$S$466,'Incentive Report- Output'!B427,'Target Achieved- Input'!$V$373:$V$466)</f>
        <v>5</v>
      </c>
      <c r="I427" s="48">
        <f>SUMIF('Target Achieved- Input'!$L$373:$L$466,'Incentive Report- Output'!B427,'Target Achieved- Input'!$AC$373:$AC$466)</f>
        <v>0</v>
      </c>
      <c r="J427" s="39">
        <f t="shared" si="813"/>
        <v>132</v>
      </c>
      <c r="K427" s="40">
        <f t="shared" si="814"/>
        <v>0.62857142857142856</v>
      </c>
      <c r="L427" s="41">
        <f t="shared" si="815"/>
        <v>6930000</v>
      </c>
      <c r="M427" s="41">
        <f>SUMIF('Target Achieved- Input'!$L$373:$L$466,'Incentive Report- Output'!B427,'Target Achieved- Input'!$M$373:$M$466)</f>
        <v>9016363</v>
      </c>
      <c r="N427" s="41">
        <f>SUMIF('Target Achieved- Input'!$S$373:$S$466,'Incentive Report- Output'!B427,'Target Achieved- Input'!$U$373:$U$466)</f>
        <v>287283.89830508456</v>
      </c>
      <c r="O427" s="41">
        <f>SUMIF('Target Achieved- Input'!$L$373:$L$466,'Incentive Report- Output'!B427,'Target Achieved- Input'!$N$373:$N$466)-N427</f>
        <v>7353701.6949152555</v>
      </c>
      <c r="P427" s="40">
        <f t="shared" si="816"/>
        <v>1.0611402157164871</v>
      </c>
      <c r="Q427" s="40">
        <f t="shared" si="817"/>
        <v>1.0611402157164871</v>
      </c>
      <c r="R427" s="40">
        <v>0</v>
      </c>
      <c r="S427" s="49">
        <f>(LOOKUP(Q427,Policy!$L$12:$M$16)+R427)*O427</f>
        <v>165458.28813559323</v>
      </c>
      <c r="T427" s="185"/>
      <c r="U427" s="156"/>
      <c r="V427" s="51"/>
      <c r="W427" s="156"/>
      <c r="X427" s="405"/>
      <c r="Y427" s="405"/>
      <c r="Z427" s="406"/>
      <c r="AA427" s="55">
        <v>0</v>
      </c>
      <c r="AB427" s="41">
        <v>0</v>
      </c>
      <c r="AC427" s="41">
        <v>0</v>
      </c>
      <c r="AD427" s="41">
        <f t="shared" si="818"/>
        <v>0</v>
      </c>
      <c r="AE427" s="41">
        <f t="shared" si="819"/>
        <v>165458.28813559323</v>
      </c>
      <c r="AF427" s="41">
        <f t="shared" si="820"/>
        <v>165458.28813559323</v>
      </c>
      <c r="AG427" s="31"/>
      <c r="AH427" s="419"/>
      <c r="AI427" s="111" t="s">
        <v>70</v>
      </c>
      <c r="AJ427" s="22" t="s">
        <v>34</v>
      </c>
      <c r="AK427" s="195" t="s">
        <v>670</v>
      </c>
      <c r="AL427" s="299">
        <v>171922.17584745763</v>
      </c>
      <c r="AM427" s="299">
        <f t="shared" si="821"/>
        <v>165458.28813559323</v>
      </c>
      <c r="AN427" s="300">
        <f t="shared" si="822"/>
        <v>6463.8877118644014</v>
      </c>
    </row>
    <row r="428" spans="1:43" ht="15.75" customHeight="1" x14ac:dyDescent="0.2">
      <c r="A428" s="109" t="s">
        <v>6</v>
      </c>
      <c r="B428" s="109"/>
      <c r="C428" s="109"/>
      <c r="D428" s="292" t="s">
        <v>670</v>
      </c>
      <c r="E428" s="44">
        <f t="shared" ref="E428:J428" si="823">SUM(E421:E427)</f>
        <v>1420</v>
      </c>
      <c r="F428" s="44">
        <f t="shared" si="823"/>
        <v>1847</v>
      </c>
      <c r="G428" s="44">
        <f t="shared" si="823"/>
        <v>1131</v>
      </c>
      <c r="H428" s="44">
        <f t="shared" si="823"/>
        <v>51</v>
      </c>
      <c r="I428" s="44">
        <f t="shared" si="823"/>
        <v>1</v>
      </c>
      <c r="J428" s="44">
        <f t="shared" si="823"/>
        <v>1080</v>
      </c>
      <c r="K428" s="45"/>
      <c r="L428" s="44">
        <f>SUM(L421:L427)</f>
        <v>46860000</v>
      </c>
      <c r="M428" s="44">
        <f>SUM(M421:M427)</f>
        <v>68884219</v>
      </c>
      <c r="N428" s="44">
        <f>SUM(N421:N427)</f>
        <v>2424872.0338983033</v>
      </c>
      <c r="O428" s="44">
        <f>SUM(O421:O427)</f>
        <v>55951584.745762669</v>
      </c>
      <c r="P428" s="46"/>
      <c r="Q428" s="45"/>
      <c r="R428" s="45"/>
      <c r="S428" s="44">
        <f t="shared" ref="S428:AF428" si="824">SUM(S421:S427)</f>
        <v>1336464.1101694903</v>
      </c>
      <c r="T428" s="190">
        <f t="shared" si="824"/>
        <v>0</v>
      </c>
      <c r="U428" s="190">
        <f t="shared" si="824"/>
        <v>0</v>
      </c>
      <c r="V428" s="88">
        <f t="shared" si="824"/>
        <v>0</v>
      </c>
      <c r="W428" s="190">
        <f t="shared" si="824"/>
        <v>0</v>
      </c>
      <c r="X428" s="88">
        <f t="shared" si="824"/>
        <v>0</v>
      </c>
      <c r="Y428" s="88">
        <f t="shared" si="824"/>
        <v>0</v>
      </c>
      <c r="Z428" s="54">
        <f t="shared" si="824"/>
        <v>0</v>
      </c>
      <c r="AA428" s="88">
        <f t="shared" si="824"/>
        <v>0</v>
      </c>
      <c r="AB428" s="88">
        <f t="shared" si="824"/>
        <v>0</v>
      </c>
      <c r="AC428" s="88">
        <f t="shared" si="824"/>
        <v>0</v>
      </c>
      <c r="AD428" s="88">
        <f t="shared" si="824"/>
        <v>284648.68644067668</v>
      </c>
      <c r="AE428" s="88">
        <f t="shared" si="824"/>
        <v>1051815.4237288137</v>
      </c>
      <c r="AF428" s="88">
        <f t="shared" si="824"/>
        <v>1336464.1101694903</v>
      </c>
      <c r="AG428" s="31"/>
      <c r="AH428" s="419"/>
      <c r="AI428" s="43" t="s">
        <v>6</v>
      </c>
      <c r="AJ428" s="43"/>
      <c r="AK428" s="43" t="s">
        <v>670</v>
      </c>
      <c r="AL428" s="307">
        <v>1383308.1610169481</v>
      </c>
      <c r="AM428" s="307">
        <f>SUM(AM421:AM427)</f>
        <v>1336464.1101694903</v>
      </c>
      <c r="AN428" s="307">
        <f>SUM(AN421:AN427)</f>
        <v>46844.05084745762</v>
      </c>
    </row>
    <row r="429" spans="1:43" ht="15.75" customHeight="1" x14ac:dyDescent="0.2">
      <c r="A429" s="112" t="s">
        <v>63</v>
      </c>
      <c r="B429" s="112" t="s">
        <v>64</v>
      </c>
      <c r="C429" s="79" t="s">
        <v>0</v>
      </c>
      <c r="D429" s="1" t="s">
        <v>672</v>
      </c>
      <c r="E429" s="47">
        <f>ROUND(SUMIF('Target Achieved- Input'!$B$373:$B$466,'Incentive Report- Output'!B429,'Target Achieved- Input'!$G$373:$G$466),0)</f>
        <v>220</v>
      </c>
      <c r="F429" s="47">
        <f>ROUND(SUMIF('Target Achieved- Input'!$B$373:$B$466,'Incentive Report- Output'!B429,'Target Achieved- Input'!$H$373:$H$466),0)</f>
        <v>286</v>
      </c>
      <c r="G429" s="47">
        <f>SUMIF('Target Achieved- Input'!$L$373:$L$466,'Incentive Report- Output'!B429,'Target Achieved- Input'!$O$373:$O$466)</f>
        <v>318</v>
      </c>
      <c r="H429" s="39">
        <f>SUMIF('Target Achieved- Input'!$S$373:$S$466,'Incentive Report- Output'!B429,'Target Achieved- Input'!$V$373:$V$466)</f>
        <v>12</v>
      </c>
      <c r="I429" s="48">
        <f>SUMIF('Target Achieved- Input'!$L$373:$L$466,'Incentive Report- Output'!B429,'Target Achieved- Input'!$AC$373:$AC$466)</f>
        <v>0</v>
      </c>
      <c r="J429" s="39">
        <f t="shared" ref="J429:J432" si="825">G429-H429</f>
        <v>306</v>
      </c>
      <c r="K429" s="40">
        <f t="shared" ref="K429:K432" si="826">IFERROR(J429/E429,0)</f>
        <v>1.3909090909090909</v>
      </c>
      <c r="L429" s="41">
        <f t="shared" ref="L429:L432" si="827">E429*33000</f>
        <v>7260000</v>
      </c>
      <c r="M429" s="41">
        <f>SUMIF('Target Achieved- Input'!$L$373:$L$466,'Incentive Report- Output'!B429,'Target Achieved- Input'!$M$373:$M$466)</f>
        <v>21498882</v>
      </c>
      <c r="N429" s="41">
        <f>SUMIF('Target Achieved- Input'!$S$373:$S$466,'Incentive Report- Output'!B429,'Target Achieved- Input'!$U$373:$U$466)</f>
        <v>631345.76271186396</v>
      </c>
      <c r="O429" s="41">
        <f>SUMIF('Target Achieved- Input'!$L$373:$L$466,'Incentive Report- Output'!B429,'Target Achieved- Input'!$N$373:$N$466)-N429</f>
        <v>17588045.762711834</v>
      </c>
      <c r="P429" s="40">
        <f t="shared" ref="P429:P432" si="828">IFERROR(O429/L429,0)</f>
        <v>2.4225958350842749</v>
      </c>
      <c r="Q429" s="40">
        <f t="shared" ref="Q429:Q432" si="829">MAX(P429,K429)</f>
        <v>2.4225958350842749</v>
      </c>
      <c r="R429" s="40">
        <v>0</v>
      </c>
      <c r="S429" s="49">
        <f>(LOOKUP(Q429,Policy!$L$12:$M$16)+R429)*O429</f>
        <v>527641.372881355</v>
      </c>
      <c r="T429" s="188"/>
      <c r="U429" s="53"/>
      <c r="V429" s="40"/>
      <c r="W429" s="53"/>
      <c r="X429" s="396">
        <f>E433</f>
        <v>850</v>
      </c>
      <c r="Y429" s="396">
        <f>J433</f>
        <v>1204</v>
      </c>
      <c r="Z429" s="407">
        <f>Y429/X429</f>
        <v>1.4164705882352941</v>
      </c>
      <c r="AA429" s="55">
        <v>0</v>
      </c>
      <c r="AB429" s="41">
        <v>0</v>
      </c>
      <c r="AC429" s="41">
        <v>0</v>
      </c>
      <c r="AD429" s="41">
        <f t="shared" ref="AD429:AD432" si="830">IF(AF429&gt;200000,AF429-200000,0)</f>
        <v>327641.372881355</v>
      </c>
      <c r="AE429" s="41">
        <f t="shared" ref="AE429:AE432" si="831">AF429-AD429</f>
        <v>200000</v>
      </c>
      <c r="AF429" s="41">
        <f>S429+W429+AB429+AC429</f>
        <v>527641.372881355</v>
      </c>
      <c r="AG429" s="31"/>
      <c r="AH429" s="419"/>
      <c r="AI429" s="1" t="s">
        <v>63</v>
      </c>
      <c r="AJ429" s="1" t="s">
        <v>64</v>
      </c>
      <c r="AK429" s="195" t="s">
        <v>672</v>
      </c>
      <c r="AL429" s="299">
        <v>546581.74576271093</v>
      </c>
      <c r="AM429" s="299">
        <f t="shared" ref="AM429:AM432" si="832">AF429</f>
        <v>527641.372881355</v>
      </c>
      <c r="AN429" s="300">
        <f t="shared" ref="AN429:AN432" si="833">AL429-AM429</f>
        <v>18940.372881355928</v>
      </c>
      <c r="AQ429" s="172"/>
    </row>
    <row r="430" spans="1:43" ht="15.75" customHeight="1" x14ac:dyDescent="0.2">
      <c r="A430" s="79" t="s">
        <v>806</v>
      </c>
      <c r="B430" s="79" t="s">
        <v>807</v>
      </c>
      <c r="C430" s="79" t="s">
        <v>1</v>
      </c>
      <c r="D430" s="1" t="s">
        <v>672</v>
      </c>
      <c r="E430" s="47">
        <f>ROUND(SUMIF('Target Achieved- Input'!$B$373:$B$466,'Incentive Report- Output'!B430,'Target Achieved- Input'!$G$373:$G$466),0)</f>
        <v>250</v>
      </c>
      <c r="F430" s="47">
        <f>ROUND(SUMIF('Target Achieved- Input'!$B$373:$B$466,'Incentive Report- Output'!B430,'Target Achieved- Input'!$H$373:$H$466),0)</f>
        <v>325</v>
      </c>
      <c r="G430" s="47">
        <f>SUMIF('Target Achieved- Input'!$L$373:$L$466,'Incentive Report- Output'!B430,'Target Achieved- Input'!$O$373:$O$466)</f>
        <v>401</v>
      </c>
      <c r="H430" s="39">
        <f>SUMIF('Target Achieved- Input'!$S$373:$S$466,'Incentive Report- Output'!B430,'Target Achieved- Input'!$V$373:$V$466)</f>
        <v>0</v>
      </c>
      <c r="I430" s="48">
        <f>SUMIF('Target Achieved- Input'!$L$373:$L$466,'Incentive Report- Output'!B430,'Target Achieved- Input'!$AC$373:$AC$466)</f>
        <v>0</v>
      </c>
      <c r="J430" s="39">
        <f t="shared" si="825"/>
        <v>401</v>
      </c>
      <c r="K430" s="40">
        <f t="shared" si="826"/>
        <v>1.6040000000000001</v>
      </c>
      <c r="L430" s="41">
        <f t="shared" si="827"/>
        <v>8250000</v>
      </c>
      <c r="M430" s="41">
        <f>SUMIF('Target Achieved- Input'!$L$373:$L$466,'Incentive Report- Output'!B430,'Target Achieved- Input'!$M$373:$M$466)</f>
        <v>26702599</v>
      </c>
      <c r="N430" s="41">
        <f>SUMIF('Target Achieved- Input'!$S$373:$S$466,'Incentive Report- Output'!B430,'Target Achieved- Input'!$U$373:$U$466)</f>
        <v>0</v>
      </c>
      <c r="O430" s="41">
        <f>SUMIF('Target Achieved- Input'!$L$373:$L$466,'Incentive Report- Output'!B430,'Target Achieved- Input'!$N$373:$N$466)-N430</f>
        <v>22629321.186440602</v>
      </c>
      <c r="P430" s="40">
        <f t="shared" si="828"/>
        <v>2.7429480225988607</v>
      </c>
      <c r="Q430" s="40">
        <f t="shared" si="829"/>
        <v>2.7429480225988607</v>
      </c>
      <c r="R430" s="40">
        <v>0</v>
      </c>
      <c r="S430" s="49">
        <f>(LOOKUP(Q430,Policy!$L$12:$M$16)+R430)*O430</f>
        <v>678879.63559321803</v>
      </c>
      <c r="T430" s="188"/>
      <c r="U430" s="53"/>
      <c r="V430" s="40"/>
      <c r="W430" s="53"/>
      <c r="X430" s="397"/>
      <c r="Y430" s="397"/>
      <c r="Z430" s="406"/>
      <c r="AA430" s="55">
        <v>0</v>
      </c>
      <c r="AB430" s="41">
        <v>0</v>
      </c>
      <c r="AC430" s="41">
        <v>0</v>
      </c>
      <c r="AD430" s="41">
        <f t="shared" si="830"/>
        <v>478879.63559321803</v>
      </c>
      <c r="AE430" s="41">
        <f t="shared" si="831"/>
        <v>200000</v>
      </c>
      <c r="AF430" s="41">
        <f>S430+W430+AB430+AC430</f>
        <v>678879.63559321803</v>
      </c>
      <c r="AG430" s="31"/>
      <c r="AH430" s="419"/>
      <c r="AI430" s="22" t="s">
        <v>806</v>
      </c>
      <c r="AJ430" s="22" t="s">
        <v>807</v>
      </c>
      <c r="AK430" s="195" t="s">
        <v>672</v>
      </c>
      <c r="AL430" s="299">
        <v>678879.63559321803</v>
      </c>
      <c r="AM430" s="299">
        <f t="shared" si="832"/>
        <v>678879.63559321803</v>
      </c>
      <c r="AN430" s="300">
        <f t="shared" si="833"/>
        <v>0</v>
      </c>
    </row>
    <row r="431" spans="1:43" ht="15.75" customHeight="1" x14ac:dyDescent="0.2">
      <c r="A431" s="112" t="s">
        <v>301</v>
      </c>
      <c r="B431" s="112" t="s">
        <v>302</v>
      </c>
      <c r="C431" s="79" t="s">
        <v>1</v>
      </c>
      <c r="D431" s="1" t="s">
        <v>672</v>
      </c>
      <c r="E431" s="47">
        <f>ROUND(SUMIF('Target Achieved- Input'!$B$373:$B$466,'Incentive Report- Output'!B431,'Target Achieved- Input'!$G$373:$G$466),0)</f>
        <v>250</v>
      </c>
      <c r="F431" s="47">
        <f>ROUND(SUMIF('Target Achieved- Input'!$B$373:$B$466,'Incentive Report- Output'!B431,'Target Achieved- Input'!$H$373:$H$466),0)</f>
        <v>325</v>
      </c>
      <c r="G431" s="47">
        <f>SUMIF('Target Achieved- Input'!$L$373:$L$466,'Incentive Report- Output'!B431,'Target Achieved- Input'!$O$373:$O$466)</f>
        <v>348</v>
      </c>
      <c r="H431" s="39">
        <f>SUMIF('Target Achieved- Input'!$S$373:$S$466,'Incentive Report- Output'!B431,'Target Achieved- Input'!$V$373:$V$466)</f>
        <v>0</v>
      </c>
      <c r="I431" s="48">
        <f>SUMIF('Target Achieved- Input'!$L$373:$L$466,'Incentive Report- Output'!B431,'Target Achieved- Input'!$AC$373:$AC$466)</f>
        <v>0</v>
      </c>
      <c r="J431" s="39">
        <f t="shared" si="825"/>
        <v>348</v>
      </c>
      <c r="K431" s="40">
        <f t="shared" si="826"/>
        <v>1.3919999999999999</v>
      </c>
      <c r="L431" s="41">
        <f t="shared" si="827"/>
        <v>8250000</v>
      </c>
      <c r="M431" s="41">
        <f>SUMIF('Target Achieved- Input'!$L$373:$L$466,'Incentive Report- Output'!B431,'Target Achieved- Input'!$M$373:$M$466)</f>
        <v>22818352</v>
      </c>
      <c r="N431" s="41">
        <f>SUMIF('Target Achieved- Input'!$S$373:$S$466,'Incentive Report- Output'!B431,'Target Achieved- Input'!$U$373:$U$466)</f>
        <v>0</v>
      </c>
      <c r="O431" s="41">
        <f>SUMIF('Target Achieved- Input'!$L$373:$L$466,'Incentive Report- Output'!B431,'Target Achieved- Input'!$N$373:$N$466)-N431</f>
        <v>19337586.440677892</v>
      </c>
      <c r="P431" s="40">
        <f t="shared" si="828"/>
        <v>2.3439498715973204</v>
      </c>
      <c r="Q431" s="40">
        <f t="shared" si="829"/>
        <v>2.3439498715973204</v>
      </c>
      <c r="R431" s="40">
        <v>0</v>
      </c>
      <c r="S431" s="49">
        <f>(LOOKUP(Q431,Policy!$L$12:$M$16)+R431)*O431</f>
        <v>580127.59322033671</v>
      </c>
      <c r="T431" s="188"/>
      <c r="U431" s="188"/>
      <c r="V431" s="40"/>
      <c r="W431" s="53"/>
      <c r="X431" s="397"/>
      <c r="Y431" s="397"/>
      <c r="Z431" s="406"/>
      <c r="AA431" s="55">
        <v>0</v>
      </c>
      <c r="AB431" s="41">
        <v>0</v>
      </c>
      <c r="AC431" s="41">
        <v>0</v>
      </c>
      <c r="AD431" s="41">
        <f t="shared" si="830"/>
        <v>380127.59322033671</v>
      </c>
      <c r="AE431" s="41">
        <f t="shared" si="831"/>
        <v>200000</v>
      </c>
      <c r="AF431" s="41">
        <f>S431+W431+AB431+AC431</f>
        <v>580127.59322033671</v>
      </c>
      <c r="AG431" s="31"/>
      <c r="AH431" s="419"/>
      <c r="AI431" s="1" t="s">
        <v>301</v>
      </c>
      <c r="AJ431" s="1" t="s">
        <v>302</v>
      </c>
      <c r="AK431" s="195" t="s">
        <v>672</v>
      </c>
      <c r="AL431" s="299">
        <v>580127.59322033671</v>
      </c>
      <c r="AM431" s="299">
        <f t="shared" si="832"/>
        <v>580127.59322033671</v>
      </c>
      <c r="AN431" s="300">
        <f t="shared" si="833"/>
        <v>0</v>
      </c>
    </row>
    <row r="432" spans="1:43" ht="15.75" customHeight="1" x14ac:dyDescent="0.2">
      <c r="A432" s="112" t="s">
        <v>1150</v>
      </c>
      <c r="B432" s="112" t="s">
        <v>1151</v>
      </c>
      <c r="C432" s="79" t="s">
        <v>1</v>
      </c>
      <c r="D432" s="1" t="s">
        <v>672</v>
      </c>
      <c r="E432" s="47">
        <f>ROUND(SUMIF('Target Achieved- Input'!$B$373:$B$466,'Incentive Report- Output'!B432,'Target Achieved- Input'!$G$373:$G$466),0)</f>
        <v>130</v>
      </c>
      <c r="F432" s="47">
        <f>ROUND(SUMIF('Target Achieved- Input'!$B$373:$B$466,'Incentive Report- Output'!B432,'Target Achieved- Input'!$H$373:$H$466),0)</f>
        <v>169</v>
      </c>
      <c r="G432" s="47">
        <f>SUMIF('Target Achieved- Input'!$L$373:$L$466,'Incentive Report- Output'!B432,'Target Achieved- Input'!$O$373:$O$466)</f>
        <v>154</v>
      </c>
      <c r="H432" s="39">
        <f>SUMIF('Target Achieved- Input'!$S$373:$S$466,'Incentive Report- Output'!B432,'Target Achieved- Input'!$V$373:$V$466)</f>
        <v>5</v>
      </c>
      <c r="I432" s="48">
        <f>SUMIF('Target Achieved- Input'!$L$373:$L$466,'Incentive Report- Output'!B432,'Target Achieved- Input'!$AC$373:$AC$466)</f>
        <v>0</v>
      </c>
      <c r="J432" s="39">
        <f t="shared" si="825"/>
        <v>149</v>
      </c>
      <c r="K432" s="40">
        <f t="shared" si="826"/>
        <v>1.1461538461538461</v>
      </c>
      <c r="L432" s="41">
        <f t="shared" si="827"/>
        <v>4290000</v>
      </c>
      <c r="M432" s="41">
        <f>SUMIF('Target Achieved- Input'!$L$373:$L$466,'Incentive Report- Output'!B432,'Target Achieved- Input'!$M$373:$M$466)</f>
        <v>10091096</v>
      </c>
      <c r="N432" s="41">
        <f>SUMIF('Target Achieved- Input'!$S$373:$S$466,'Incentive Report- Output'!B432,'Target Achieved- Input'!$U$373:$U$466)</f>
        <v>280504.23728813539</v>
      </c>
      <c r="O432" s="41">
        <f>SUMIF('Target Achieved- Input'!$L$373:$L$466,'Incentive Report- Output'!B432,'Target Achieved- Input'!$N$373:$N$466)-N432</f>
        <v>8271272.0338983061</v>
      </c>
      <c r="P432" s="40">
        <f t="shared" si="828"/>
        <v>1.9280354391371344</v>
      </c>
      <c r="Q432" s="40">
        <f t="shared" si="829"/>
        <v>1.9280354391371344</v>
      </c>
      <c r="R432" s="40">
        <v>0</v>
      </c>
      <c r="S432" s="49">
        <f>(LOOKUP(Q432,Policy!$L$12:$M$16)+R432)*O432</f>
        <v>248138.16101694916</v>
      </c>
      <c r="T432" s="186"/>
      <c r="U432" s="186"/>
      <c r="V432" s="51"/>
      <c r="W432" s="156"/>
      <c r="X432" s="398"/>
      <c r="Y432" s="398"/>
      <c r="Z432" s="408"/>
      <c r="AA432" s="55">
        <v>0</v>
      </c>
      <c r="AB432" s="41">
        <v>0</v>
      </c>
      <c r="AC432" s="41">
        <v>0</v>
      </c>
      <c r="AD432" s="41">
        <f t="shared" si="830"/>
        <v>48138.161016949161</v>
      </c>
      <c r="AE432" s="41">
        <f t="shared" si="831"/>
        <v>200000</v>
      </c>
      <c r="AF432" s="41">
        <f>S432+W432+AB432+AC432</f>
        <v>248138.16101694916</v>
      </c>
      <c r="AG432" s="31"/>
      <c r="AH432" s="419"/>
      <c r="AI432" s="1" t="s">
        <v>1150</v>
      </c>
      <c r="AJ432" s="1" t="s">
        <v>1151</v>
      </c>
      <c r="AK432" s="195" t="s">
        <v>672</v>
      </c>
      <c r="AL432" s="299">
        <v>256553.28813559323</v>
      </c>
      <c r="AM432" s="299">
        <f t="shared" si="832"/>
        <v>248138.16101694916</v>
      </c>
      <c r="AN432" s="300">
        <f t="shared" si="833"/>
        <v>8415.1271186440717</v>
      </c>
    </row>
    <row r="433" spans="1:42" ht="15.75" customHeight="1" x14ac:dyDescent="0.2">
      <c r="A433" s="109" t="s">
        <v>6</v>
      </c>
      <c r="B433" s="109"/>
      <c r="C433" s="109"/>
      <c r="D433" s="292" t="s">
        <v>672</v>
      </c>
      <c r="E433" s="44">
        <f>SUM(E429:E432)</f>
        <v>850</v>
      </c>
      <c r="F433" s="44">
        <f t="shared" ref="F433:J433" si="834">SUM(F429:F432)</f>
        <v>1105</v>
      </c>
      <c r="G433" s="44">
        <f t="shared" si="834"/>
        <v>1221</v>
      </c>
      <c r="H433" s="44">
        <f t="shared" si="834"/>
        <v>17</v>
      </c>
      <c r="I433" s="44">
        <f t="shared" si="834"/>
        <v>0</v>
      </c>
      <c r="J433" s="44">
        <f t="shared" si="834"/>
        <v>1204</v>
      </c>
      <c r="K433" s="44"/>
      <c r="L433" s="44">
        <f t="shared" ref="L433:O433" si="835">SUM(L429:L432)</f>
        <v>28050000</v>
      </c>
      <c r="M433" s="44">
        <f t="shared" si="835"/>
        <v>81110929</v>
      </c>
      <c r="N433" s="44">
        <f t="shared" si="835"/>
        <v>911849.9999999993</v>
      </c>
      <c r="O433" s="44">
        <f t="shared" si="835"/>
        <v>67826225.423728645</v>
      </c>
      <c r="P433" s="45"/>
      <c r="Q433" s="46"/>
      <c r="R433" s="46"/>
      <c r="S433" s="44">
        <f t="shared" ref="S433:AF433" si="836">SUM(S429:S432)</f>
        <v>2034786.7627118591</v>
      </c>
      <c r="T433" s="44">
        <f t="shared" si="836"/>
        <v>0</v>
      </c>
      <c r="U433" s="44">
        <f t="shared" si="836"/>
        <v>0</v>
      </c>
      <c r="V433" s="44">
        <f t="shared" si="836"/>
        <v>0</v>
      </c>
      <c r="W433" s="44">
        <f t="shared" si="836"/>
        <v>0</v>
      </c>
      <c r="X433" s="44">
        <f t="shared" si="836"/>
        <v>850</v>
      </c>
      <c r="Y433" s="44">
        <f t="shared" si="836"/>
        <v>1204</v>
      </c>
      <c r="Z433" s="44">
        <f t="shared" si="836"/>
        <v>1.4164705882352941</v>
      </c>
      <c r="AA433" s="44">
        <f t="shared" si="836"/>
        <v>0</v>
      </c>
      <c r="AB433" s="44">
        <f t="shared" si="836"/>
        <v>0</v>
      </c>
      <c r="AC433" s="44">
        <f t="shared" si="836"/>
        <v>0</v>
      </c>
      <c r="AD433" s="44">
        <f t="shared" si="836"/>
        <v>1234786.7627118591</v>
      </c>
      <c r="AE433" s="44">
        <f t="shared" si="836"/>
        <v>800000</v>
      </c>
      <c r="AF433" s="44">
        <f t="shared" si="836"/>
        <v>2034786.7627118591</v>
      </c>
      <c r="AG433" s="31"/>
      <c r="AH433" s="419"/>
      <c r="AI433" s="43" t="s">
        <v>6</v>
      </c>
      <c r="AJ433" s="43"/>
      <c r="AK433" s="43" t="s">
        <v>672</v>
      </c>
      <c r="AL433" s="304">
        <v>2062142.2627118588</v>
      </c>
      <c r="AM433" s="304">
        <f>SUM(AM429:AM432)</f>
        <v>2034786.7627118591</v>
      </c>
      <c r="AN433" s="304">
        <f>SUM(AN429:AN432)</f>
        <v>27355.5</v>
      </c>
    </row>
    <row r="434" spans="1:42" ht="15.75" customHeight="1" x14ac:dyDescent="0.2">
      <c r="A434" s="79" t="s">
        <v>307</v>
      </c>
      <c r="B434" s="112" t="s">
        <v>308</v>
      </c>
      <c r="C434" s="79" t="s">
        <v>0</v>
      </c>
      <c r="D434" s="1" t="s">
        <v>673</v>
      </c>
      <c r="E434" s="47">
        <f>ROUND(SUMIF('Target Achieved- Input'!$B$373:$B$466,'Incentive Report- Output'!B434,'Target Achieved- Input'!$G$373:$G$466),0)</f>
        <v>250</v>
      </c>
      <c r="F434" s="47">
        <f>ROUND(SUMIF('Target Achieved- Input'!$B$373:$B$466,'Incentive Report- Output'!B434,'Target Achieved- Input'!$H$373:$H$466),0)</f>
        <v>325</v>
      </c>
      <c r="G434" s="47">
        <f>SUMIF('Target Achieved- Input'!$L$373:$L$466,'Incentive Report- Output'!B434,'Target Achieved- Input'!$O$373:$O$466)</f>
        <v>212</v>
      </c>
      <c r="H434" s="39">
        <f>SUMIF('Target Achieved- Input'!$S$373:$S$466,'Incentive Report- Output'!B434,'Target Achieved- Input'!$V$373:$V$466)</f>
        <v>25</v>
      </c>
      <c r="I434" s="48">
        <f>SUMIF('Target Achieved- Input'!$L$373:$L$466,'Incentive Report- Output'!B434,'Target Achieved- Input'!$AC$373:$AC$466)</f>
        <v>1</v>
      </c>
      <c r="J434" s="39">
        <f t="shared" ref="J434:J437" si="837">G434-H434</f>
        <v>187</v>
      </c>
      <c r="K434" s="40">
        <f t="shared" ref="K434:K437" si="838">IFERROR(J434/E434,0)</f>
        <v>0.748</v>
      </c>
      <c r="L434" s="41">
        <f t="shared" ref="L434:L437" si="839">E434*33000</f>
        <v>8250000</v>
      </c>
      <c r="M434" s="41">
        <f>SUMIF('Target Achieved- Input'!$L$373:$L$466,'Incentive Report- Output'!B434,'Target Achieved- Input'!$M$373:$M$466)</f>
        <v>13402888</v>
      </c>
      <c r="N434" s="41">
        <f>SUMIF('Target Achieved- Input'!$S$373:$S$466,'Incentive Report- Output'!B434,'Target Achieved- Input'!$U$373:$U$466)</f>
        <v>1244470.3389830498</v>
      </c>
      <c r="O434" s="41">
        <f>SUMIF('Target Achieved- Input'!$L$373:$L$466,'Incentive Report- Output'!B434,'Target Achieved- Input'!$N$373:$N$466)-N434</f>
        <v>10113909.322033904</v>
      </c>
      <c r="P434" s="40">
        <f t="shared" ref="P434:P437" si="840">IFERROR(O434/L434,0)</f>
        <v>1.2259284026707764</v>
      </c>
      <c r="Q434" s="40">
        <f t="shared" ref="Q434:Q437" si="841">MAX(P434,K434)</f>
        <v>1.2259284026707764</v>
      </c>
      <c r="R434" s="40">
        <v>0</v>
      </c>
      <c r="S434" s="49">
        <f>(LOOKUP(Q434,Policy!$L$12:$M$16)+R434)*O434</f>
        <v>227562.95974576284</v>
      </c>
      <c r="T434" s="185"/>
      <c r="U434" s="185"/>
      <c r="V434" s="51"/>
      <c r="W434" s="156"/>
      <c r="X434" s="397"/>
      <c r="Y434" s="397"/>
      <c r="Z434" s="400"/>
      <c r="AA434" s="55">
        <v>0</v>
      </c>
      <c r="AB434" s="41">
        <v>0</v>
      </c>
      <c r="AC434" s="41">
        <v>0</v>
      </c>
      <c r="AD434" s="41">
        <f t="shared" ref="AD434:AD437" si="842">IF(AF434&gt;200000,AF434-200000,0)</f>
        <v>27562.959745762841</v>
      </c>
      <c r="AE434" s="41">
        <f t="shared" ref="AE434:AE437" si="843">AF434-AD434</f>
        <v>200000</v>
      </c>
      <c r="AF434" s="41">
        <f>S434+W434+AB434+AC434</f>
        <v>227562.95974576284</v>
      </c>
      <c r="AG434" s="31"/>
      <c r="AH434" s="419"/>
      <c r="AI434" s="22" t="s">
        <v>307</v>
      </c>
      <c r="AJ434" s="1" t="s">
        <v>308</v>
      </c>
      <c r="AK434" s="195" t="s">
        <v>673</v>
      </c>
      <c r="AL434" s="299">
        <v>340751.38983050862</v>
      </c>
      <c r="AM434" s="299">
        <f t="shared" ref="AM434:AM437" si="844">AF434</f>
        <v>227562.95974576284</v>
      </c>
      <c r="AN434" s="300">
        <f t="shared" ref="AN434:AN437" si="845">AL434-AM434</f>
        <v>113188.43008474578</v>
      </c>
    </row>
    <row r="435" spans="1:42" ht="15.75" customHeight="1" x14ac:dyDescent="0.2">
      <c r="A435" s="79" t="s">
        <v>217</v>
      </c>
      <c r="B435" s="112" t="s">
        <v>197</v>
      </c>
      <c r="C435" s="79" t="s">
        <v>1</v>
      </c>
      <c r="D435" s="1" t="s">
        <v>673</v>
      </c>
      <c r="E435" s="47">
        <f>ROUND(SUMIF('Target Achieved- Input'!$B$373:$B$466,'Incentive Report- Output'!B435,'Target Achieved- Input'!$G$373:$G$466),0)</f>
        <v>220</v>
      </c>
      <c r="F435" s="47">
        <f>ROUND(SUMIF('Target Achieved- Input'!$B$373:$B$466,'Incentive Report- Output'!B435,'Target Achieved- Input'!$H$373:$H$466),0)</f>
        <v>286</v>
      </c>
      <c r="G435" s="47">
        <f>SUMIF('Target Achieved- Input'!$L$373:$L$466,'Incentive Report- Output'!B435,'Target Achieved- Input'!$O$373:$O$466)</f>
        <v>301</v>
      </c>
      <c r="H435" s="39">
        <f>SUMIF('Target Achieved- Input'!$S$373:$S$466,'Incentive Report- Output'!B435,'Target Achieved- Input'!$V$373:$V$466)</f>
        <v>20</v>
      </c>
      <c r="I435" s="48">
        <f>SUMIF('Target Achieved- Input'!$L$373:$L$466,'Incentive Report- Output'!B435,'Target Achieved- Input'!$AC$373:$AC$466)</f>
        <v>0</v>
      </c>
      <c r="J435" s="39">
        <f t="shared" si="837"/>
        <v>281</v>
      </c>
      <c r="K435" s="40">
        <f t="shared" si="838"/>
        <v>1.2772727272727273</v>
      </c>
      <c r="L435" s="41">
        <f t="shared" si="839"/>
        <v>7260000</v>
      </c>
      <c r="M435" s="41">
        <f>SUMIF('Target Achieved- Input'!$L$373:$L$466,'Incentive Report- Output'!B435,'Target Achieved- Input'!$M$373:$M$466)</f>
        <v>20097299</v>
      </c>
      <c r="N435" s="41">
        <f>SUMIF('Target Achieved- Input'!$S$373:$S$466,'Incentive Report- Output'!B435,'Target Achieved- Input'!$U$373:$U$466)</f>
        <v>1018203.3898305077</v>
      </c>
      <c r="O435" s="41">
        <f>SUMIF('Target Achieved- Input'!$L$373:$L$466,'Incentive Report- Output'!B435,'Target Achieved- Input'!$N$373:$N$466)-N435</f>
        <v>16013405.932203364</v>
      </c>
      <c r="P435" s="40">
        <f t="shared" si="840"/>
        <v>2.2057032964467442</v>
      </c>
      <c r="Q435" s="40">
        <f t="shared" si="841"/>
        <v>2.2057032964467442</v>
      </c>
      <c r="R435" s="40">
        <v>0</v>
      </c>
      <c r="S435" s="49">
        <f>(LOOKUP(Q435,Policy!$L$12:$M$16)+R435)*O435</f>
        <v>480402.17796610086</v>
      </c>
      <c r="T435" s="185"/>
      <c r="U435" s="156"/>
      <c r="V435" s="51"/>
      <c r="W435" s="156"/>
      <c r="X435" s="397"/>
      <c r="Y435" s="397"/>
      <c r="Z435" s="400"/>
      <c r="AA435" s="55">
        <v>0</v>
      </c>
      <c r="AB435" s="41">
        <v>0</v>
      </c>
      <c r="AC435" s="41">
        <v>0</v>
      </c>
      <c r="AD435" s="41">
        <f t="shared" si="842"/>
        <v>280402.17796610086</v>
      </c>
      <c r="AE435" s="41">
        <f t="shared" si="843"/>
        <v>200000</v>
      </c>
      <c r="AF435" s="41">
        <f>S435+W435+AB435+AC435</f>
        <v>480402.17796610086</v>
      </c>
      <c r="AG435" s="31"/>
      <c r="AH435" s="419"/>
      <c r="AI435" s="22" t="s">
        <v>217</v>
      </c>
      <c r="AJ435" s="1" t="s">
        <v>197</v>
      </c>
      <c r="AK435" s="195" t="s">
        <v>673</v>
      </c>
      <c r="AL435" s="299">
        <v>510948.27966101613</v>
      </c>
      <c r="AM435" s="299">
        <f t="shared" si="844"/>
        <v>480402.17796610086</v>
      </c>
      <c r="AN435" s="300">
        <f t="shared" si="845"/>
        <v>30546.101694915269</v>
      </c>
    </row>
    <row r="436" spans="1:42" ht="15.75" customHeight="1" x14ac:dyDescent="0.2">
      <c r="A436" s="79" t="s">
        <v>1152</v>
      </c>
      <c r="B436" s="112" t="s">
        <v>1153</v>
      </c>
      <c r="C436" s="79" t="s">
        <v>1</v>
      </c>
      <c r="D436" s="1" t="s">
        <v>673</v>
      </c>
      <c r="E436" s="47">
        <f>ROUND(SUMIF('Target Achieved- Input'!$B$373:$B$466,'Incentive Report- Output'!B436,'Target Achieved- Input'!$G$373:$G$466),0)</f>
        <v>170</v>
      </c>
      <c r="F436" s="47">
        <f>ROUND(SUMIF('Target Achieved- Input'!$B$373:$B$466,'Incentive Report- Output'!B436,'Target Achieved- Input'!$H$373:$H$466),0)</f>
        <v>221</v>
      </c>
      <c r="G436" s="47">
        <f>SUMIF('Target Achieved- Input'!$L$373:$L$466,'Incentive Report- Output'!B436,'Target Achieved- Input'!$O$373:$O$466)</f>
        <v>131</v>
      </c>
      <c r="H436" s="39">
        <f>SUMIF('Target Achieved- Input'!$S$373:$S$466,'Incentive Report- Output'!B436,'Target Achieved- Input'!$V$373:$V$466)</f>
        <v>5</v>
      </c>
      <c r="I436" s="48">
        <f>SUMIF('Target Achieved- Input'!$L$373:$L$466,'Incentive Report- Output'!B436,'Target Achieved- Input'!$AC$373:$AC$466)</f>
        <v>0</v>
      </c>
      <c r="J436" s="39">
        <f t="shared" si="837"/>
        <v>126</v>
      </c>
      <c r="K436" s="40">
        <f t="shared" si="838"/>
        <v>0.74117647058823533</v>
      </c>
      <c r="L436" s="41">
        <f t="shared" si="839"/>
        <v>5610000</v>
      </c>
      <c r="M436" s="41">
        <f>SUMIF('Target Achieved- Input'!$L$373:$L$466,'Incentive Report- Output'!B436,'Target Achieved- Input'!$M$373:$M$466)</f>
        <v>8290969</v>
      </c>
      <c r="N436" s="41">
        <f>SUMIF('Target Achieved- Input'!$S$373:$S$466,'Incentive Report- Output'!B436,'Target Achieved- Input'!$U$373:$U$466)</f>
        <v>221182.20338983019</v>
      </c>
      <c r="O436" s="41">
        <f>SUMIF('Target Achieved- Input'!$L$373:$L$466,'Incentive Report- Output'!B436,'Target Achieved- Input'!$N$373:$N$466)-N436</f>
        <v>6805062.71186441</v>
      </c>
      <c r="P436" s="40">
        <f t="shared" si="840"/>
        <v>1.2130236563038164</v>
      </c>
      <c r="Q436" s="40">
        <f t="shared" si="841"/>
        <v>1.2130236563038164</v>
      </c>
      <c r="R436" s="40">
        <v>0</v>
      </c>
      <c r="S436" s="49">
        <f>(LOOKUP(Q436,Policy!$L$12:$M$16)+R436)*O436</f>
        <v>153113.91101694922</v>
      </c>
      <c r="T436" s="185"/>
      <c r="U436" s="156"/>
      <c r="V436" s="51"/>
      <c r="W436" s="156"/>
      <c r="X436" s="397"/>
      <c r="Y436" s="397"/>
      <c r="Z436" s="400"/>
      <c r="AA436" s="55">
        <v>0</v>
      </c>
      <c r="AB436" s="41">
        <v>0</v>
      </c>
      <c r="AC436" s="41">
        <v>0</v>
      </c>
      <c r="AD436" s="41">
        <f t="shared" si="842"/>
        <v>0</v>
      </c>
      <c r="AE436" s="41">
        <f t="shared" si="843"/>
        <v>153113.91101694922</v>
      </c>
      <c r="AF436" s="41">
        <f>S436+W436+AB436+AC436</f>
        <v>153113.91101694922</v>
      </c>
      <c r="AG436" s="31"/>
      <c r="AH436" s="419"/>
      <c r="AI436" s="22" t="s">
        <v>1152</v>
      </c>
      <c r="AJ436" s="1" t="s">
        <v>1153</v>
      </c>
      <c r="AK436" s="195" t="s">
        <v>673</v>
      </c>
      <c r="AL436" s="299">
        <v>158090.51059322039</v>
      </c>
      <c r="AM436" s="299">
        <f t="shared" si="844"/>
        <v>153113.91101694922</v>
      </c>
      <c r="AN436" s="300">
        <f t="shared" si="845"/>
        <v>4976.5995762711682</v>
      </c>
    </row>
    <row r="437" spans="1:42" ht="15.75" customHeight="1" x14ac:dyDescent="0.2">
      <c r="A437" s="79" t="s">
        <v>335</v>
      </c>
      <c r="B437" s="112" t="s">
        <v>342</v>
      </c>
      <c r="C437" s="79" t="s">
        <v>1</v>
      </c>
      <c r="D437" s="1" t="s">
        <v>673</v>
      </c>
      <c r="E437" s="47">
        <f>ROUND(SUMIF('Target Achieved- Input'!$B$373:$B$466,'Incentive Report- Output'!B437,'Target Achieved- Input'!$G$373:$G$466),0)</f>
        <v>200</v>
      </c>
      <c r="F437" s="47">
        <f>ROUND(SUMIF('Target Achieved- Input'!$B$373:$B$466,'Incentive Report- Output'!B437,'Target Achieved- Input'!$H$373:$H$466),0)</f>
        <v>260</v>
      </c>
      <c r="G437" s="47">
        <f>SUMIF('Target Achieved- Input'!$L$373:$L$466,'Incentive Report- Output'!B437,'Target Achieved- Input'!$O$373:$O$466)</f>
        <v>271</v>
      </c>
      <c r="H437" s="39">
        <f>SUMIF('Target Achieved- Input'!$S$373:$S$466,'Incentive Report- Output'!B437,'Target Achieved- Input'!$V$373:$V$466)</f>
        <v>22</v>
      </c>
      <c r="I437" s="48">
        <f>SUMIF('Target Achieved- Input'!$L$373:$L$466,'Incentive Report- Output'!B437,'Target Achieved- Input'!$AC$373:$AC$466)</f>
        <v>0</v>
      </c>
      <c r="J437" s="39">
        <f t="shared" si="837"/>
        <v>249</v>
      </c>
      <c r="K437" s="40">
        <f t="shared" si="838"/>
        <v>1.2450000000000001</v>
      </c>
      <c r="L437" s="41">
        <f t="shared" si="839"/>
        <v>6600000</v>
      </c>
      <c r="M437" s="41">
        <f>SUMIF('Target Achieved- Input'!$L$373:$L$466,'Incentive Report- Output'!B437,'Target Achieved- Input'!$M$373:$M$466)</f>
        <v>17784729</v>
      </c>
      <c r="N437" s="41">
        <f>SUMIF('Target Achieved- Input'!$S$373:$S$466,'Incentive Report- Output'!B437,'Target Achieved- Input'!$U$373:$U$466)</f>
        <v>1183879.6610169485</v>
      </c>
      <c r="O437" s="41">
        <f>SUMIF('Target Achieved- Input'!$L$373:$L$466,'Incentive Report- Output'!B437,'Target Achieved- Input'!$N$373:$N$466)-N437</f>
        <v>13887924.576271154</v>
      </c>
      <c r="P437" s="40">
        <f t="shared" si="840"/>
        <v>2.1042309964047203</v>
      </c>
      <c r="Q437" s="40">
        <f t="shared" si="841"/>
        <v>2.1042309964047203</v>
      </c>
      <c r="R437" s="40">
        <v>0</v>
      </c>
      <c r="S437" s="49">
        <f>(LOOKUP(Q437,Policy!$L$12:$M$16)+R437)*O437</f>
        <v>416637.73728813458</v>
      </c>
      <c r="T437" s="185"/>
      <c r="U437" s="156"/>
      <c r="V437" s="51"/>
      <c r="W437" s="156"/>
      <c r="X437" s="397"/>
      <c r="Y437" s="397"/>
      <c r="Z437" s="400"/>
      <c r="AA437" s="55">
        <v>0</v>
      </c>
      <c r="AB437" s="41">
        <v>0</v>
      </c>
      <c r="AC437" s="41">
        <v>0</v>
      </c>
      <c r="AD437" s="41">
        <f t="shared" si="842"/>
        <v>216637.73728813458</v>
      </c>
      <c r="AE437" s="41">
        <f t="shared" si="843"/>
        <v>200000</v>
      </c>
      <c r="AF437" s="41">
        <f>S437+W437+AB437+AC437</f>
        <v>416637.73728813458</v>
      </c>
      <c r="AG437" s="31"/>
      <c r="AH437" s="419"/>
      <c r="AI437" s="22" t="s">
        <v>335</v>
      </c>
      <c r="AJ437" s="1" t="s">
        <v>342</v>
      </c>
      <c r="AK437" s="195" t="s">
        <v>673</v>
      </c>
      <c r="AL437" s="299">
        <v>452154.12711864308</v>
      </c>
      <c r="AM437" s="299">
        <f t="shared" si="844"/>
        <v>416637.73728813458</v>
      </c>
      <c r="AN437" s="300">
        <f t="shared" si="845"/>
        <v>35516.389830508502</v>
      </c>
    </row>
    <row r="438" spans="1:42" ht="15.75" customHeight="1" x14ac:dyDescent="0.2">
      <c r="A438" s="109" t="s">
        <v>6</v>
      </c>
      <c r="B438" s="109"/>
      <c r="C438" s="109"/>
      <c r="D438" s="292" t="s">
        <v>673</v>
      </c>
      <c r="E438" s="44">
        <f t="shared" ref="E438:J438" si="846">SUM(E434:E437)</f>
        <v>840</v>
      </c>
      <c r="F438" s="44">
        <f t="shared" si="846"/>
        <v>1092</v>
      </c>
      <c r="G438" s="44">
        <f t="shared" si="846"/>
        <v>915</v>
      </c>
      <c r="H438" s="44">
        <f t="shared" si="846"/>
        <v>72</v>
      </c>
      <c r="I438" s="44">
        <f t="shared" si="846"/>
        <v>1</v>
      </c>
      <c r="J438" s="44">
        <f t="shared" si="846"/>
        <v>843</v>
      </c>
      <c r="K438" s="45"/>
      <c r="L438" s="44">
        <f>SUM(L434:L437)</f>
        <v>27720000</v>
      </c>
      <c r="M438" s="44">
        <f>SUM(M434:M437)</f>
        <v>59575885</v>
      </c>
      <c r="N438" s="44">
        <f>SUM(N434:N437)</f>
        <v>3667735.5932203364</v>
      </c>
      <c r="O438" s="44">
        <f>SUM(O434:O437)</f>
        <v>46820302.54237283</v>
      </c>
      <c r="P438" s="45"/>
      <c r="Q438" s="46"/>
      <c r="R438" s="46"/>
      <c r="S438" s="44">
        <f t="shared" ref="S438:AF438" si="847">SUM(S434:S437)</f>
        <v>1277716.7860169476</v>
      </c>
      <c r="T438" s="189">
        <f t="shared" si="847"/>
        <v>0</v>
      </c>
      <c r="U438" s="189">
        <f t="shared" si="847"/>
        <v>0</v>
      </c>
      <c r="V438" s="86">
        <f t="shared" si="847"/>
        <v>0</v>
      </c>
      <c r="W438" s="189">
        <f t="shared" si="847"/>
        <v>0</v>
      </c>
      <c r="X438" s="86">
        <f t="shared" si="847"/>
        <v>0</v>
      </c>
      <c r="Y438" s="86">
        <f t="shared" si="847"/>
        <v>0</v>
      </c>
      <c r="Z438" s="54">
        <f t="shared" si="847"/>
        <v>0</v>
      </c>
      <c r="AA438" s="86">
        <f t="shared" si="847"/>
        <v>0</v>
      </c>
      <c r="AB438" s="86">
        <f t="shared" si="847"/>
        <v>0</v>
      </c>
      <c r="AC438" s="86">
        <f t="shared" si="847"/>
        <v>0</v>
      </c>
      <c r="AD438" s="86">
        <f t="shared" si="847"/>
        <v>524602.87499999837</v>
      </c>
      <c r="AE438" s="102">
        <f t="shared" si="847"/>
        <v>753113.91101694922</v>
      </c>
      <c r="AF438" s="102">
        <f t="shared" si="847"/>
        <v>1277716.7860169476</v>
      </c>
      <c r="AG438" s="31"/>
      <c r="AH438" s="419"/>
      <c r="AI438" s="43" t="s">
        <v>6</v>
      </c>
      <c r="AJ438" s="43"/>
      <c r="AK438" s="43" t="s">
        <v>673</v>
      </c>
      <c r="AL438" s="304">
        <v>1461944.3072033883</v>
      </c>
      <c r="AM438" s="304">
        <f>SUM(AM434:AM437)</f>
        <v>1277716.7860169476</v>
      </c>
      <c r="AN438" s="304">
        <f>SUM(AN434:AN437)</f>
        <v>184227.52118644072</v>
      </c>
    </row>
    <row r="439" spans="1:42" ht="15.75" customHeight="1" x14ac:dyDescent="0.2">
      <c r="A439" s="79" t="s">
        <v>286</v>
      </c>
      <c r="B439" s="112" t="s">
        <v>37</v>
      </c>
      <c r="C439" s="79" t="s">
        <v>0</v>
      </c>
      <c r="D439" s="1" t="s">
        <v>674</v>
      </c>
      <c r="E439" s="47">
        <f>ROUND(SUMIF('Target Achieved- Input'!$B$373:$B$466,'Incentive Report- Output'!B439,'Target Achieved- Input'!$G$373:$G$466),0)</f>
        <v>180</v>
      </c>
      <c r="F439" s="47">
        <f>ROUND(SUMIF('Target Achieved- Input'!$B$373:$B$466,'Incentive Report- Output'!B439,'Target Achieved- Input'!$H$373:$H$466),0)</f>
        <v>234</v>
      </c>
      <c r="G439" s="47">
        <f>SUMIF('Target Achieved- Input'!$L$373:$L$466,'Incentive Report- Output'!B439,'Target Achieved- Input'!$O$373:$O$466)</f>
        <v>134</v>
      </c>
      <c r="H439" s="39">
        <f>SUMIF('Target Achieved- Input'!$S$373:$S$466,'Incentive Report- Output'!B439,'Target Achieved- Input'!$V$373:$V$466)</f>
        <v>5</v>
      </c>
      <c r="I439" s="48">
        <f>SUMIF('Target Achieved- Input'!$L$373:$L$466,'Incentive Report- Output'!B439,'Target Achieved- Input'!$AC$373:$AC$466)</f>
        <v>0</v>
      </c>
      <c r="J439" s="39">
        <f t="shared" ref="J439:J441" si="848">G439-H439</f>
        <v>129</v>
      </c>
      <c r="K439" s="40">
        <f t="shared" ref="K439:K441" si="849">IFERROR(J439/E439,0)</f>
        <v>0.71666666666666667</v>
      </c>
      <c r="L439" s="41">
        <f t="shared" ref="L439:L441" si="850">E439*33000</f>
        <v>5940000</v>
      </c>
      <c r="M439" s="41">
        <f>SUMIF('Target Achieved- Input'!$L$373:$L$466,'Incentive Report- Output'!B439,'Target Achieved- Input'!$M$373:$M$466)</f>
        <v>8411166</v>
      </c>
      <c r="N439" s="41">
        <f>SUMIF('Target Achieved- Input'!$S$373:$S$466,'Incentive Report- Output'!B439,'Target Achieved- Input'!$U$373:$U$466)</f>
        <v>271182.20338983025</v>
      </c>
      <c r="O439" s="41">
        <f>SUMIF('Target Achieved- Input'!$L$373:$L$466,'Incentive Report- Output'!B439,'Target Achieved- Input'!$N$373:$N$466)-N439</f>
        <v>6856924.5762711875</v>
      </c>
      <c r="P439" s="40">
        <f t="shared" ref="P439:P441" si="851">IFERROR(O439/L439,0)</f>
        <v>1.1543644067796612</v>
      </c>
      <c r="Q439" s="40">
        <f t="shared" ref="Q439:Q441" si="852">MAX(P439,K439)</f>
        <v>1.1543644067796612</v>
      </c>
      <c r="R439" s="40">
        <v>0</v>
      </c>
      <c r="S439" s="49">
        <f>(LOOKUP(Q439,Policy!$L$12:$M$16)+R439)*O439</f>
        <v>154280.80296610171</v>
      </c>
      <c r="T439" s="188"/>
      <c r="U439" s="188"/>
      <c r="V439" s="40"/>
      <c r="W439" s="53"/>
      <c r="X439" s="396">
        <f>E442</f>
        <v>580</v>
      </c>
      <c r="Y439" s="396">
        <f>J442</f>
        <v>476</v>
      </c>
      <c r="Z439" s="399">
        <f>Y439/X439</f>
        <v>0.82068965517241377</v>
      </c>
      <c r="AA439" s="55">
        <v>0</v>
      </c>
      <c r="AB439" s="41">
        <v>0</v>
      </c>
      <c r="AC439" s="41">
        <v>0</v>
      </c>
      <c r="AD439" s="41">
        <f t="shared" ref="AD439:AD441" si="853">IF(AF439&gt;200000,AF439-200000,0)</f>
        <v>0</v>
      </c>
      <c r="AE439" s="41">
        <f t="shared" ref="AE439:AE441" si="854">AF439-AD439</f>
        <v>154280.80296610171</v>
      </c>
      <c r="AF439" s="41">
        <f>S439+W439+AB439+AC439</f>
        <v>154280.80296610171</v>
      </c>
      <c r="AG439" s="31"/>
      <c r="AH439" s="419"/>
      <c r="AI439" s="22" t="s">
        <v>286</v>
      </c>
      <c r="AJ439" s="1" t="s">
        <v>37</v>
      </c>
      <c r="AK439" s="195" t="s">
        <v>674</v>
      </c>
      <c r="AL439" s="299">
        <v>160382.40254237287</v>
      </c>
      <c r="AM439" s="299">
        <f t="shared" ref="AM439:AM441" si="855">AF439</f>
        <v>154280.80296610171</v>
      </c>
      <c r="AN439" s="300">
        <f t="shared" ref="AN439:AN441" si="856">AL439-AM439</f>
        <v>6101.5995762711682</v>
      </c>
    </row>
    <row r="440" spans="1:42" ht="15.75" customHeight="1" x14ac:dyDescent="0.2">
      <c r="A440" s="42" t="s">
        <v>657</v>
      </c>
      <c r="B440" s="112" t="s">
        <v>39</v>
      </c>
      <c r="C440" s="79" t="s">
        <v>1</v>
      </c>
      <c r="D440" s="1" t="s">
        <v>674</v>
      </c>
      <c r="E440" s="47">
        <f>ROUND(SUMIF('Target Achieved- Input'!$B$373:$B$466,'Incentive Report- Output'!B440,'Target Achieved- Input'!$G$373:$G$466),0)</f>
        <v>200</v>
      </c>
      <c r="F440" s="47">
        <f>ROUND(SUMIF('Target Achieved- Input'!$B$373:$B$466,'Incentive Report- Output'!B440,'Target Achieved- Input'!$H$373:$H$466),0)</f>
        <v>260</v>
      </c>
      <c r="G440" s="47">
        <f>SUMIF('Target Achieved- Input'!$L$373:$L$466,'Incentive Report- Output'!B440,'Target Achieved- Input'!$O$373:$O$466)</f>
        <v>201</v>
      </c>
      <c r="H440" s="39">
        <f>SUMIF('Target Achieved- Input'!$S$373:$S$466,'Incentive Report- Output'!B440,'Target Achieved- Input'!$V$373:$V$466)</f>
        <v>3</v>
      </c>
      <c r="I440" s="48">
        <f>SUMIF('Target Achieved- Input'!$L$373:$L$466,'Incentive Report- Output'!B440,'Target Achieved- Input'!$AC$373:$AC$466)</f>
        <v>0</v>
      </c>
      <c r="J440" s="39">
        <f t="shared" si="848"/>
        <v>198</v>
      </c>
      <c r="K440" s="40">
        <f t="shared" si="849"/>
        <v>0.99</v>
      </c>
      <c r="L440" s="41">
        <f t="shared" si="850"/>
        <v>6600000</v>
      </c>
      <c r="M440" s="41">
        <f>SUMIF('Target Achieved- Input'!$L$373:$L$466,'Incentive Report- Output'!B440,'Target Achieved- Input'!$M$373:$M$466)</f>
        <v>12740499</v>
      </c>
      <c r="N440" s="41">
        <f>SUMIF('Target Achieved- Input'!$S$373:$S$466,'Incentive Report- Output'!B440,'Target Achieved- Input'!$U$373:$U$466)</f>
        <v>150844.9152542371</v>
      </c>
      <c r="O440" s="41">
        <f>SUMIF('Target Achieved- Input'!$L$373:$L$466,'Incentive Report- Output'!B440,'Target Achieved- Input'!$N$373:$N$466)-N440</f>
        <v>10646188.135593219</v>
      </c>
      <c r="P440" s="40">
        <f t="shared" si="851"/>
        <v>1.6130588084232149</v>
      </c>
      <c r="Q440" s="40">
        <f t="shared" si="852"/>
        <v>1.6130588084232149</v>
      </c>
      <c r="R440" s="40">
        <v>0</v>
      </c>
      <c r="S440" s="49">
        <f>(LOOKUP(Q440,Policy!$L$12:$M$16)+R440)*O440</f>
        <v>319385.64406779653</v>
      </c>
      <c r="T440" s="188"/>
      <c r="U440" s="53"/>
      <c r="V440" s="40"/>
      <c r="W440" s="53"/>
      <c r="X440" s="397"/>
      <c r="Y440" s="397"/>
      <c r="Z440" s="400"/>
      <c r="AA440" s="55">
        <v>0</v>
      </c>
      <c r="AB440" s="41">
        <v>0</v>
      </c>
      <c r="AC440" s="41">
        <v>0</v>
      </c>
      <c r="AD440" s="41">
        <f t="shared" si="853"/>
        <v>119385.64406779653</v>
      </c>
      <c r="AE440" s="41">
        <f t="shared" si="854"/>
        <v>200000</v>
      </c>
      <c r="AF440" s="41">
        <f>S440+W440+AB440+AC440</f>
        <v>319385.64406779653</v>
      </c>
      <c r="AG440" s="31"/>
      <c r="AH440" s="419"/>
      <c r="AI440" s="42" t="s">
        <v>657</v>
      </c>
      <c r="AJ440" s="1" t="s">
        <v>39</v>
      </c>
      <c r="AK440" s="195" t="s">
        <v>674</v>
      </c>
      <c r="AL440" s="299">
        <v>323910.99152542365</v>
      </c>
      <c r="AM440" s="299">
        <f t="shared" si="855"/>
        <v>319385.64406779653</v>
      </c>
      <c r="AN440" s="300">
        <f t="shared" si="856"/>
        <v>4525.3474576271256</v>
      </c>
    </row>
    <row r="441" spans="1:42" ht="15.75" customHeight="1" x14ac:dyDescent="0.2">
      <c r="A441" s="79" t="s">
        <v>1156</v>
      </c>
      <c r="B441" s="112" t="s">
        <v>1157</v>
      </c>
      <c r="C441" s="79" t="s">
        <v>1</v>
      </c>
      <c r="D441" s="1" t="s">
        <v>674</v>
      </c>
      <c r="E441" s="47">
        <f>ROUND(SUMIF('Target Achieved- Input'!$B$373:$B$466,'Incentive Report- Output'!B441,'Target Achieved- Input'!$G$373:$G$466),0)</f>
        <v>200</v>
      </c>
      <c r="F441" s="47">
        <f>ROUND(SUMIF('Target Achieved- Input'!$B$373:$B$466,'Incentive Report- Output'!B441,'Target Achieved- Input'!$H$373:$H$466),0)</f>
        <v>260</v>
      </c>
      <c r="G441" s="47">
        <f>SUMIF('Target Achieved- Input'!$L$373:$L$466,'Incentive Report- Output'!B441,'Target Achieved- Input'!$O$373:$O$466)</f>
        <v>155</v>
      </c>
      <c r="H441" s="39">
        <f>SUMIF('Target Achieved- Input'!$S$373:$S$466,'Incentive Report- Output'!B441,'Target Achieved- Input'!$V$373:$V$466)</f>
        <v>6</v>
      </c>
      <c r="I441" s="48">
        <f>SUMIF('Target Achieved- Input'!$L$373:$L$466,'Incentive Report- Output'!B441,'Target Achieved- Input'!$AC$373:$AC$466)</f>
        <v>0</v>
      </c>
      <c r="J441" s="39">
        <f t="shared" si="848"/>
        <v>149</v>
      </c>
      <c r="K441" s="40">
        <f t="shared" si="849"/>
        <v>0.745</v>
      </c>
      <c r="L441" s="41">
        <f t="shared" si="850"/>
        <v>6600000</v>
      </c>
      <c r="M441" s="41">
        <f>SUMIF('Target Achieved- Input'!$L$373:$L$466,'Incentive Report- Output'!B441,'Target Achieved- Input'!$M$373:$M$466)</f>
        <v>10068995</v>
      </c>
      <c r="N441" s="41">
        <f>SUMIF('Target Achieved- Input'!$S$373:$S$466,'Incentive Report- Output'!B441,'Target Achieved- Input'!$U$373:$U$466)</f>
        <v>316096.61016949132</v>
      </c>
      <c r="O441" s="41">
        <f>SUMIF('Target Achieved- Input'!$L$373:$L$466,'Incentive Report- Output'!B441,'Target Achieved- Input'!$N$373:$N$466)-N441</f>
        <v>8216950.0000000047</v>
      </c>
      <c r="P441" s="40">
        <f t="shared" si="851"/>
        <v>1.2449924242424248</v>
      </c>
      <c r="Q441" s="40">
        <f t="shared" si="852"/>
        <v>1.2449924242424248</v>
      </c>
      <c r="R441" s="40">
        <v>0</v>
      </c>
      <c r="S441" s="49">
        <f>(LOOKUP(Q441,Policy!$L$12:$M$16)+R441)*O441</f>
        <v>184881.37500000009</v>
      </c>
      <c r="T441" s="188"/>
      <c r="U441" s="188"/>
      <c r="V441" s="40"/>
      <c r="W441" s="53"/>
      <c r="X441" s="398"/>
      <c r="Y441" s="398"/>
      <c r="Z441" s="401"/>
      <c r="AA441" s="55">
        <v>0</v>
      </c>
      <c r="AB441" s="41">
        <v>0</v>
      </c>
      <c r="AC441" s="41">
        <v>0</v>
      </c>
      <c r="AD441" s="41">
        <f t="shared" si="853"/>
        <v>0</v>
      </c>
      <c r="AE441" s="41">
        <f t="shared" si="854"/>
        <v>184881.37500000009</v>
      </c>
      <c r="AF441" s="41">
        <f>S441+W441+AB441+AC441</f>
        <v>184881.37500000009</v>
      </c>
      <c r="AG441" s="31"/>
      <c r="AH441" s="419"/>
      <c r="AI441" s="22" t="s">
        <v>1156</v>
      </c>
      <c r="AJ441" s="1" t="s">
        <v>1157</v>
      </c>
      <c r="AK441" s="195" t="s">
        <v>674</v>
      </c>
      <c r="AL441" s="299">
        <v>191993.54872881365</v>
      </c>
      <c r="AM441" s="299">
        <f t="shared" si="855"/>
        <v>184881.37500000009</v>
      </c>
      <c r="AN441" s="300">
        <f t="shared" si="856"/>
        <v>7112.1737288135628</v>
      </c>
    </row>
    <row r="442" spans="1:42" ht="15.75" customHeight="1" x14ac:dyDescent="0.2">
      <c r="A442" s="109" t="s">
        <v>6</v>
      </c>
      <c r="B442" s="109"/>
      <c r="C442" s="109"/>
      <c r="D442" s="292" t="s">
        <v>674</v>
      </c>
      <c r="E442" s="44">
        <f>SUM(E439:E441)</f>
        <v>580</v>
      </c>
      <c r="F442" s="44">
        <f t="shared" ref="F442:J442" si="857">SUM(F439:F441)</f>
        <v>754</v>
      </c>
      <c r="G442" s="44">
        <f t="shared" si="857"/>
        <v>490</v>
      </c>
      <c r="H442" s="44">
        <f t="shared" si="857"/>
        <v>14</v>
      </c>
      <c r="I442" s="44">
        <f t="shared" si="857"/>
        <v>0</v>
      </c>
      <c r="J442" s="44">
        <f t="shared" si="857"/>
        <v>476</v>
      </c>
      <c r="K442" s="44"/>
      <c r="L442" s="44">
        <f t="shared" ref="L442:O442" si="858">SUM(L439:L441)</f>
        <v>19140000</v>
      </c>
      <c r="M442" s="44">
        <f t="shared" si="858"/>
        <v>31220660</v>
      </c>
      <c r="N442" s="44">
        <f t="shared" si="858"/>
        <v>738123.72881355858</v>
      </c>
      <c r="O442" s="44">
        <f t="shared" si="858"/>
        <v>25720062.711864408</v>
      </c>
      <c r="P442" s="45"/>
      <c r="Q442" s="46"/>
      <c r="R442" s="46"/>
      <c r="S442" s="44">
        <f t="shared" ref="S442:AF442" si="859">SUM(S439:S441)</f>
        <v>658547.82203389832</v>
      </c>
      <c r="T442" s="44">
        <f t="shared" si="859"/>
        <v>0</v>
      </c>
      <c r="U442" s="44">
        <f t="shared" si="859"/>
        <v>0</v>
      </c>
      <c r="V442" s="44">
        <f t="shared" si="859"/>
        <v>0</v>
      </c>
      <c r="W442" s="44">
        <f t="shared" si="859"/>
        <v>0</v>
      </c>
      <c r="X442" s="44">
        <f t="shared" si="859"/>
        <v>580</v>
      </c>
      <c r="Y442" s="44">
        <f t="shared" si="859"/>
        <v>476</v>
      </c>
      <c r="Z442" s="44">
        <f t="shared" si="859"/>
        <v>0.82068965517241377</v>
      </c>
      <c r="AA442" s="44">
        <f t="shared" si="859"/>
        <v>0</v>
      </c>
      <c r="AB442" s="44">
        <f t="shared" si="859"/>
        <v>0</v>
      </c>
      <c r="AC442" s="44">
        <f t="shared" si="859"/>
        <v>0</v>
      </c>
      <c r="AD442" s="44">
        <f t="shared" si="859"/>
        <v>119385.64406779653</v>
      </c>
      <c r="AE442" s="44">
        <f t="shared" si="859"/>
        <v>539162.17796610179</v>
      </c>
      <c r="AF442" s="44">
        <f t="shared" si="859"/>
        <v>658547.82203389832</v>
      </c>
      <c r="AG442" s="31"/>
      <c r="AH442" s="419"/>
      <c r="AI442" s="43" t="s">
        <v>6</v>
      </c>
      <c r="AJ442" s="43"/>
      <c r="AK442" s="43" t="s">
        <v>674</v>
      </c>
      <c r="AL442" s="308">
        <v>676286.94279661018</v>
      </c>
      <c r="AM442" s="308">
        <f>SUM(AM439:AM441)</f>
        <v>658547.82203389832</v>
      </c>
      <c r="AN442" s="308">
        <f>SUM(AN439:AN441)</f>
        <v>17739.120762711857</v>
      </c>
    </row>
    <row r="443" spans="1:42" ht="15.75" customHeight="1" x14ac:dyDescent="0.2">
      <c r="A443" s="79" t="s">
        <v>72</v>
      </c>
      <c r="B443" s="112" t="s">
        <v>43</v>
      </c>
      <c r="C443" s="79" t="s">
        <v>0</v>
      </c>
      <c r="D443" s="1" t="s">
        <v>675</v>
      </c>
      <c r="E443" s="47">
        <f>ROUND(SUMIF('Target Achieved- Input'!$B$373:$B$466,'Incentive Report- Output'!B443,'Target Achieved- Input'!$G$373:$G$466),0)</f>
        <v>200</v>
      </c>
      <c r="F443" s="47">
        <f>ROUND(SUMIF('Target Achieved- Input'!$B$373:$B$466,'Incentive Report- Output'!B443,'Target Achieved- Input'!$H$373:$H$466),0)</f>
        <v>260</v>
      </c>
      <c r="G443" s="47">
        <f>SUMIF('Target Achieved- Input'!$L$373:$L$466,'Incentive Report- Output'!B443,'Target Achieved- Input'!$O$373:$O$466)</f>
        <v>143</v>
      </c>
      <c r="H443" s="39">
        <f>SUMIF('Target Achieved- Input'!$S$373:$S$466,'Incentive Report- Output'!B443,'Target Achieved- Input'!$V$373:$V$466)</f>
        <v>0</v>
      </c>
      <c r="I443" s="48">
        <f>SUMIF('Target Achieved- Input'!$L$373:$L$466,'Incentive Report- Output'!B443,'Target Achieved- Input'!$AC$373:$AC$466)</f>
        <v>0</v>
      </c>
      <c r="J443" s="39">
        <f t="shared" ref="J443:J451" si="860">G443-H443</f>
        <v>143</v>
      </c>
      <c r="K443" s="40">
        <f t="shared" ref="K443:K451" si="861">IFERROR(J443/E443,0)</f>
        <v>0.71499999999999997</v>
      </c>
      <c r="L443" s="41">
        <f t="shared" ref="L443:L451" si="862">E443*33000</f>
        <v>6600000</v>
      </c>
      <c r="M443" s="41">
        <f>SUMIF('Target Achieved- Input'!$L$373:$L$466,'Incentive Report- Output'!B443,'Target Achieved- Input'!$M$373:$M$466)</f>
        <v>8715057</v>
      </c>
      <c r="N443" s="41">
        <f>SUMIF('Target Achieved- Input'!$S$373:$S$466,'Incentive Report- Output'!B443,'Target Achieved- Input'!$U$373:$U$466)</f>
        <v>0</v>
      </c>
      <c r="O443" s="41">
        <f>SUMIF('Target Achieved- Input'!$L$373:$L$466,'Incentive Report- Output'!B443,'Target Achieved- Input'!$N$373:$N$466)-N443</f>
        <v>7385641.5254237279</v>
      </c>
      <c r="P443" s="40">
        <f t="shared" ref="P443:P451" si="863">IFERROR(O443/L443,0)</f>
        <v>1.1190365947611709</v>
      </c>
      <c r="Q443" s="40">
        <f t="shared" ref="Q443:Q451" si="864">MAX(P443,K443)</f>
        <v>1.1190365947611709</v>
      </c>
      <c r="R443" s="40">
        <v>0</v>
      </c>
      <c r="S443" s="49">
        <f>(LOOKUP(Q443,Policy!$L$12:$M$16)+R443)*O443</f>
        <v>166176.93432203386</v>
      </c>
      <c r="T443" s="185"/>
      <c r="U443" s="156"/>
      <c r="V443" s="51"/>
      <c r="W443" s="156"/>
      <c r="X443" s="396">
        <f>E452</f>
        <v>875</v>
      </c>
      <c r="Y443" s="396">
        <f>J452</f>
        <v>709</v>
      </c>
      <c r="Z443" s="399">
        <f>Y443/X443</f>
        <v>0.81028571428571428</v>
      </c>
      <c r="AA443" s="55">
        <v>0</v>
      </c>
      <c r="AB443" s="41">
        <v>0</v>
      </c>
      <c r="AC443" s="41">
        <v>0</v>
      </c>
      <c r="AD443" s="41">
        <f t="shared" ref="AD443:AD451" si="865">IF(AF443&gt;200000,AF443-200000,0)</f>
        <v>0</v>
      </c>
      <c r="AE443" s="41">
        <f t="shared" ref="AE443:AE451" si="866">AF443-AD443</f>
        <v>166176.93432203386</v>
      </c>
      <c r="AF443" s="41">
        <f t="shared" ref="AF443:AF451" si="867">S443+W443+AB443+AC443</f>
        <v>166176.93432203386</v>
      </c>
      <c r="AG443" s="31"/>
      <c r="AH443" s="419"/>
      <c r="AI443" s="22" t="s">
        <v>72</v>
      </c>
      <c r="AJ443" s="1" t="s">
        <v>43</v>
      </c>
      <c r="AK443" s="195" t="s">
        <v>675</v>
      </c>
      <c r="AL443" s="299">
        <v>166176.93432203386</v>
      </c>
      <c r="AM443" s="299">
        <f t="shared" ref="AM443:AM451" si="868">AF443</f>
        <v>166176.93432203386</v>
      </c>
      <c r="AN443" s="300">
        <f t="shared" ref="AN443:AN451" si="869">AL443-AM443</f>
        <v>0</v>
      </c>
    </row>
    <row r="444" spans="1:42" ht="15.75" customHeight="1" x14ac:dyDescent="0.2">
      <c r="A444" s="79" t="s">
        <v>726</v>
      </c>
      <c r="B444" s="112" t="s">
        <v>727</v>
      </c>
      <c r="C444" s="79" t="s">
        <v>1</v>
      </c>
      <c r="D444" s="1" t="s">
        <v>675</v>
      </c>
      <c r="E444" s="47">
        <f>ROUND(SUMIF('Target Achieved- Input'!$B$373:$B$466,'Incentive Report- Output'!B444,'Target Achieved- Input'!$G$373:$G$466),0)</f>
        <v>105</v>
      </c>
      <c r="F444" s="47">
        <f>ROUND(SUMIF('Target Achieved- Input'!$B$373:$B$466,'Incentive Report- Output'!B444,'Target Achieved- Input'!$H$373:$H$466),0)</f>
        <v>137</v>
      </c>
      <c r="G444" s="47">
        <f>SUMIF('Target Achieved- Input'!$L$373:$L$466,'Incentive Report- Output'!B444,'Target Achieved- Input'!$O$373:$O$466)</f>
        <v>84</v>
      </c>
      <c r="H444" s="39">
        <f>SUMIF('Target Achieved- Input'!$S$373:$S$466,'Incentive Report- Output'!B444,'Target Achieved- Input'!$V$373:$V$466)</f>
        <v>11</v>
      </c>
      <c r="I444" s="48">
        <f>SUMIF('Target Achieved- Input'!$L$373:$L$466,'Incentive Report- Output'!B444,'Target Achieved- Input'!$AC$373:$AC$466)</f>
        <v>0</v>
      </c>
      <c r="J444" s="39">
        <f t="shared" si="860"/>
        <v>73</v>
      </c>
      <c r="K444" s="40">
        <f t="shared" si="861"/>
        <v>0.69523809523809521</v>
      </c>
      <c r="L444" s="41">
        <f t="shared" si="862"/>
        <v>3465000</v>
      </c>
      <c r="M444" s="41">
        <f>SUMIF('Target Achieved- Input'!$L$373:$L$466,'Incentive Report- Output'!B444,'Target Achieved- Input'!$M$373:$M$466)</f>
        <v>5130416</v>
      </c>
      <c r="N444" s="41">
        <f>SUMIF('Target Achieved- Input'!$S$373:$S$466,'Incentive Report- Output'!B444,'Target Achieved- Input'!$U$373:$U$466)</f>
        <v>610160.16949152492</v>
      </c>
      <c r="O444" s="41">
        <f>SUMIF('Target Achieved- Input'!$L$373:$L$466,'Incentive Report- Output'!B444,'Target Achieved- Input'!$N$373:$N$466)-N444</f>
        <v>3737649.9999999925</v>
      </c>
      <c r="P444" s="40">
        <f t="shared" si="863"/>
        <v>1.0786868686868665</v>
      </c>
      <c r="Q444" s="40">
        <f t="shared" si="864"/>
        <v>1.0786868686868665</v>
      </c>
      <c r="R444" s="40">
        <v>0</v>
      </c>
      <c r="S444" s="49">
        <f>(LOOKUP(Q444,Policy!$L$12:$M$16)+R444)*O444</f>
        <v>84097.124999999825</v>
      </c>
      <c r="T444" s="188"/>
      <c r="U444" s="53"/>
      <c r="V444" s="40"/>
      <c r="W444" s="53"/>
      <c r="X444" s="397"/>
      <c r="Y444" s="397"/>
      <c r="Z444" s="400"/>
      <c r="AA444" s="55">
        <v>0</v>
      </c>
      <c r="AB444" s="41">
        <v>0</v>
      </c>
      <c r="AC444" s="41">
        <v>0</v>
      </c>
      <c r="AD444" s="41">
        <f t="shared" si="865"/>
        <v>0</v>
      </c>
      <c r="AE444" s="41">
        <f t="shared" si="866"/>
        <v>84097.124999999825</v>
      </c>
      <c r="AF444" s="41">
        <f t="shared" si="867"/>
        <v>84097.124999999825</v>
      </c>
      <c r="AG444" s="31"/>
      <c r="AH444" s="419"/>
      <c r="AI444" s="22" t="s">
        <v>726</v>
      </c>
      <c r="AJ444" s="1" t="s">
        <v>727</v>
      </c>
      <c r="AK444" s="195" t="s">
        <v>675</v>
      </c>
      <c r="AL444" s="299">
        <v>97825.728813559137</v>
      </c>
      <c r="AM444" s="299">
        <f t="shared" si="868"/>
        <v>84097.124999999825</v>
      </c>
      <c r="AN444" s="300">
        <f t="shared" si="869"/>
        <v>13728.603813559312</v>
      </c>
    </row>
    <row r="445" spans="1:42" ht="15.75" customHeight="1" x14ac:dyDescent="0.2">
      <c r="A445" s="79" t="s">
        <v>291</v>
      </c>
      <c r="B445" s="112" t="s">
        <v>40</v>
      </c>
      <c r="C445" s="79" t="s">
        <v>1</v>
      </c>
      <c r="D445" s="1" t="s">
        <v>675</v>
      </c>
      <c r="E445" s="47">
        <f>ROUND(SUMIF('Target Achieved- Input'!$B$373:$B$466,'Incentive Report- Output'!B445,'Target Achieved- Input'!$G$373:$G$466),0)</f>
        <v>120</v>
      </c>
      <c r="F445" s="47">
        <f>ROUND(SUMIF('Target Achieved- Input'!$B$373:$B$466,'Incentive Report- Output'!B445,'Target Achieved- Input'!$H$373:$H$466),0)</f>
        <v>156</v>
      </c>
      <c r="G445" s="47">
        <f>SUMIF('Target Achieved- Input'!$L$373:$L$466,'Incentive Report- Output'!B445,'Target Achieved- Input'!$O$373:$O$466)</f>
        <v>80</v>
      </c>
      <c r="H445" s="39">
        <f>SUMIF('Target Achieved- Input'!$S$373:$S$466,'Incentive Report- Output'!B445,'Target Achieved- Input'!$V$373:$V$466)</f>
        <v>0</v>
      </c>
      <c r="I445" s="48">
        <f>SUMIF('Target Achieved- Input'!$L$373:$L$466,'Incentive Report- Output'!B445,'Target Achieved- Input'!$AC$373:$AC$466)</f>
        <v>1</v>
      </c>
      <c r="J445" s="39">
        <f t="shared" si="860"/>
        <v>80</v>
      </c>
      <c r="K445" s="40">
        <f t="shared" si="861"/>
        <v>0.66666666666666663</v>
      </c>
      <c r="L445" s="41">
        <f t="shared" si="862"/>
        <v>3960000</v>
      </c>
      <c r="M445" s="41">
        <f>SUMIF('Target Achieved- Input'!$L$373:$L$466,'Incentive Report- Output'!B445,'Target Achieved- Input'!$M$373:$M$466)</f>
        <v>4944420</v>
      </c>
      <c r="N445" s="41">
        <f>SUMIF('Target Achieved- Input'!$S$373:$S$466,'Incentive Report- Output'!B445,'Target Achieved- Input'!$U$373:$U$466)</f>
        <v>0</v>
      </c>
      <c r="O445" s="41">
        <f>SUMIF('Target Achieved- Input'!$L$373:$L$466,'Incentive Report- Output'!B445,'Target Achieved- Input'!$N$373:$N$466)-N445</f>
        <v>4190186.4406779604</v>
      </c>
      <c r="P445" s="40">
        <f t="shared" si="863"/>
        <v>1.0581278890600909</v>
      </c>
      <c r="Q445" s="40">
        <f t="shared" si="864"/>
        <v>1.0581278890600909</v>
      </c>
      <c r="R445" s="40">
        <v>0</v>
      </c>
      <c r="S445" s="49">
        <f>(LOOKUP(Q445,Policy!$L$12:$M$16)+R445)*O445</f>
        <v>94279.194915254106</v>
      </c>
      <c r="T445" s="188"/>
      <c r="U445" s="188"/>
      <c r="V445" s="40"/>
      <c r="W445" s="53"/>
      <c r="X445" s="397"/>
      <c r="Y445" s="397"/>
      <c r="Z445" s="400"/>
      <c r="AA445" s="55">
        <v>0</v>
      </c>
      <c r="AB445" s="41">
        <v>0</v>
      </c>
      <c r="AC445" s="41">
        <v>0</v>
      </c>
      <c r="AD445" s="41">
        <f t="shared" si="865"/>
        <v>0</v>
      </c>
      <c r="AE445" s="41">
        <f t="shared" si="866"/>
        <v>94279.194915254106</v>
      </c>
      <c r="AF445" s="41">
        <f t="shared" si="867"/>
        <v>94279.194915254106</v>
      </c>
      <c r="AG445" s="31"/>
      <c r="AH445" s="419"/>
      <c r="AI445" s="22" t="s">
        <v>291</v>
      </c>
      <c r="AJ445" s="1" t="s">
        <v>40</v>
      </c>
      <c r="AK445" s="195" t="s">
        <v>675</v>
      </c>
      <c r="AL445" s="299">
        <v>94279.194915254106</v>
      </c>
      <c r="AM445" s="299">
        <f t="shared" si="868"/>
        <v>94279.194915254106</v>
      </c>
      <c r="AN445" s="300">
        <f t="shared" si="869"/>
        <v>0</v>
      </c>
    </row>
    <row r="446" spans="1:42" ht="15.75" customHeight="1" x14ac:dyDescent="0.2">
      <c r="A446" s="79" t="s">
        <v>1073</v>
      </c>
      <c r="B446" s="161" t="s">
        <v>1074</v>
      </c>
      <c r="C446" s="79" t="s">
        <v>1</v>
      </c>
      <c r="D446" s="1" t="s">
        <v>675</v>
      </c>
      <c r="E446" s="47">
        <f>ROUND(SUMIF('Target Achieved- Input'!$B$373:$B$466,'Incentive Report- Output'!B446,'Target Achieved- Input'!$G$373:$G$466),0)</f>
        <v>0</v>
      </c>
      <c r="F446" s="47">
        <f>ROUND(SUMIF('Target Achieved- Input'!$B$373:$B$466,'Incentive Report- Output'!B446,'Target Achieved- Input'!$H$373:$H$466),0)</f>
        <v>0</v>
      </c>
      <c r="G446" s="47">
        <f>SUMIF('Target Achieved- Input'!$L$373:$L$466,'Incentive Report- Output'!B446,'Target Achieved- Input'!$O$373:$O$466)</f>
        <v>0</v>
      </c>
      <c r="H446" s="39">
        <f>SUMIF('Target Achieved- Input'!$S$373:$S$466,'Incentive Report- Output'!B446,'Target Achieved- Input'!$V$373:$V$466)</f>
        <v>0</v>
      </c>
      <c r="I446" s="48">
        <f>SUMIF('Target Achieved- Input'!$L$373:$L$466,'Incentive Report- Output'!B446,'Target Achieved- Input'!$AC$373:$AC$466)</f>
        <v>0</v>
      </c>
      <c r="J446" s="39">
        <f t="shared" si="860"/>
        <v>0</v>
      </c>
      <c r="K446" s="40">
        <f t="shared" si="861"/>
        <v>0</v>
      </c>
      <c r="L446" s="41">
        <f t="shared" si="862"/>
        <v>0</v>
      </c>
      <c r="M446" s="41">
        <f>SUMIF('Target Achieved- Input'!$L$373:$L$466,'Incentive Report- Output'!B446,'Target Achieved- Input'!$M$373:$M$466)</f>
        <v>0</v>
      </c>
      <c r="N446" s="41">
        <f>SUMIF('Target Achieved- Input'!$S$373:$S$466,'Incentive Report- Output'!B446,'Target Achieved- Input'!$U$373:$U$466)</f>
        <v>0</v>
      </c>
      <c r="O446" s="41">
        <f>SUMIF('Target Achieved- Input'!$L$373:$L$466,'Incentive Report- Output'!B446,'Target Achieved- Input'!$N$373:$N$466)-N446</f>
        <v>0</v>
      </c>
      <c r="P446" s="40">
        <f t="shared" si="863"/>
        <v>0</v>
      </c>
      <c r="Q446" s="40">
        <f t="shared" si="864"/>
        <v>0</v>
      </c>
      <c r="R446" s="40">
        <v>0</v>
      </c>
      <c r="S446" s="49">
        <f>(LOOKUP(Q446,Policy!$L$12:$M$16)+R446)*O446</f>
        <v>0</v>
      </c>
      <c r="T446" s="185"/>
      <c r="U446" s="156"/>
      <c r="V446" s="51"/>
      <c r="W446" s="156"/>
      <c r="X446" s="397"/>
      <c r="Y446" s="397"/>
      <c r="Z446" s="400"/>
      <c r="AA446" s="55">
        <v>0</v>
      </c>
      <c r="AB446" s="41">
        <v>0</v>
      </c>
      <c r="AC446" s="41">
        <v>0</v>
      </c>
      <c r="AD446" s="41">
        <f t="shared" si="865"/>
        <v>0</v>
      </c>
      <c r="AE446" s="41">
        <f t="shared" si="866"/>
        <v>0</v>
      </c>
      <c r="AF446" s="41">
        <f t="shared" si="867"/>
        <v>0</v>
      </c>
      <c r="AG446" s="31"/>
      <c r="AH446" s="419"/>
      <c r="AI446" s="22" t="s">
        <v>1073</v>
      </c>
      <c r="AJ446" s="19" t="s">
        <v>1074</v>
      </c>
      <c r="AK446" s="195" t="s">
        <v>675</v>
      </c>
      <c r="AL446" s="299">
        <v>0</v>
      </c>
      <c r="AM446" s="299">
        <f t="shared" si="868"/>
        <v>0</v>
      </c>
      <c r="AN446" s="300">
        <f t="shared" si="869"/>
        <v>0</v>
      </c>
    </row>
    <row r="447" spans="1:42" ht="15.75" customHeight="1" x14ac:dyDescent="0.2">
      <c r="A447" s="79" t="s">
        <v>925</v>
      </c>
      <c r="B447" s="112" t="s">
        <v>764</v>
      </c>
      <c r="C447" s="79" t="s">
        <v>1</v>
      </c>
      <c r="D447" s="1" t="s">
        <v>675</v>
      </c>
      <c r="E447" s="47">
        <f>ROUND(SUMIF('Target Achieved- Input'!$B$373:$B$466,'Incentive Report- Output'!B447,'Target Achieved- Input'!$G$373:$G$466),0)</f>
        <v>180</v>
      </c>
      <c r="F447" s="47">
        <f>ROUND(SUMIF('Target Achieved- Input'!$B$373:$B$466,'Incentive Report- Output'!B447,'Target Achieved- Input'!$H$373:$H$466),0)</f>
        <v>234</v>
      </c>
      <c r="G447" s="47">
        <f>SUMIF('Target Achieved- Input'!$L$373:$L$466,'Incentive Report- Output'!B447,'Target Achieved- Input'!$O$373:$O$466)</f>
        <v>239</v>
      </c>
      <c r="H447" s="39">
        <f>SUMIF('Target Achieved- Input'!$S$373:$S$466,'Incentive Report- Output'!B447,'Target Achieved- Input'!$V$373:$V$466)</f>
        <v>5</v>
      </c>
      <c r="I447" s="48">
        <f>SUMIF('Target Achieved- Input'!$L$373:$L$466,'Incentive Report- Output'!B447,'Target Achieved- Input'!$AC$373:$AC$466)</f>
        <v>0</v>
      </c>
      <c r="J447" s="39">
        <f t="shared" si="860"/>
        <v>234</v>
      </c>
      <c r="K447" s="40">
        <f t="shared" si="861"/>
        <v>1.3</v>
      </c>
      <c r="L447" s="41">
        <f t="shared" si="862"/>
        <v>5940000</v>
      </c>
      <c r="M447" s="41">
        <f>SUMIF('Target Achieved- Input'!$L$373:$L$466,'Incentive Report- Output'!B447,'Target Achieved- Input'!$M$373:$M$466)</f>
        <v>15497861</v>
      </c>
      <c r="N447" s="41">
        <f>SUMIF('Target Achieved- Input'!$S$373:$S$466,'Incentive Report- Output'!B447,'Target Achieved- Input'!$U$373:$U$466)</f>
        <v>225419.49152542348</v>
      </c>
      <c r="O447" s="41">
        <f>SUMIF('Target Achieved- Input'!$L$373:$L$466,'Incentive Report- Output'!B447,'Target Achieved- Input'!$N$373:$N$466)-N447</f>
        <v>12908361.01694914</v>
      </c>
      <c r="P447" s="40">
        <f t="shared" si="863"/>
        <v>2.1731247503281379</v>
      </c>
      <c r="Q447" s="40">
        <f t="shared" si="864"/>
        <v>2.1731247503281379</v>
      </c>
      <c r="R447" s="40">
        <v>0</v>
      </c>
      <c r="S447" s="49">
        <f>(LOOKUP(Q447,Policy!$L$12:$M$16)+R447)*O447</f>
        <v>387250.83050847414</v>
      </c>
      <c r="T447" s="185"/>
      <c r="U447" s="156"/>
      <c r="V447" s="51"/>
      <c r="W447" s="156"/>
      <c r="X447" s="397"/>
      <c r="Y447" s="397"/>
      <c r="Z447" s="400"/>
      <c r="AA447" s="55">
        <v>0</v>
      </c>
      <c r="AB447" s="41">
        <v>0</v>
      </c>
      <c r="AC447" s="41">
        <v>0</v>
      </c>
      <c r="AD447" s="41">
        <f t="shared" si="865"/>
        <v>187250.83050847414</v>
      </c>
      <c r="AE447" s="41">
        <f t="shared" si="866"/>
        <v>200000</v>
      </c>
      <c r="AF447" s="41">
        <f t="shared" si="867"/>
        <v>387250.83050847414</v>
      </c>
      <c r="AG447" s="31"/>
      <c r="AH447" s="419"/>
      <c r="AI447" s="22" t="s">
        <v>925</v>
      </c>
      <c r="AJ447" s="1" t="s">
        <v>764</v>
      </c>
      <c r="AK447" s="195" t="s">
        <v>675</v>
      </c>
      <c r="AL447" s="299">
        <v>394013.41525423684</v>
      </c>
      <c r="AM447" s="299">
        <f t="shared" si="868"/>
        <v>387250.83050847414</v>
      </c>
      <c r="AN447" s="300">
        <f t="shared" si="869"/>
        <v>6762.5847457626951</v>
      </c>
      <c r="AP447" s="172"/>
    </row>
    <row r="448" spans="1:42" ht="15.75" customHeight="1" x14ac:dyDescent="0.2">
      <c r="A448" s="79" t="s">
        <v>928</v>
      </c>
      <c r="B448" s="112" t="s">
        <v>759</v>
      </c>
      <c r="C448" s="79" t="s">
        <v>1</v>
      </c>
      <c r="D448" s="1" t="s">
        <v>675</v>
      </c>
      <c r="E448" s="47">
        <f>ROUND(SUMIF('Target Achieved- Input'!$B$373:$B$466,'Incentive Report- Output'!B448,'Target Achieved- Input'!$G$373:$G$466),0)</f>
        <v>0</v>
      </c>
      <c r="F448" s="47">
        <f>ROUND(SUMIF('Target Achieved- Input'!$B$373:$B$466,'Incentive Report- Output'!B448,'Target Achieved- Input'!$H$373:$H$466),0)</f>
        <v>0</v>
      </c>
      <c r="G448" s="47">
        <f>SUMIF('Target Achieved- Input'!$L$373:$L$466,'Incentive Report- Output'!B448,'Target Achieved- Input'!$O$373:$O$466)</f>
        <v>0</v>
      </c>
      <c r="H448" s="39">
        <f>SUMIF('Target Achieved- Input'!$S$373:$S$466,'Incentive Report- Output'!B448,'Target Achieved- Input'!$V$373:$V$466)</f>
        <v>0</v>
      </c>
      <c r="I448" s="48">
        <f>SUMIF('Target Achieved- Input'!$L$373:$L$466,'Incentive Report- Output'!B448,'Target Achieved- Input'!$AC$373:$AC$466)</f>
        <v>0</v>
      </c>
      <c r="J448" s="39">
        <f t="shared" si="860"/>
        <v>0</v>
      </c>
      <c r="K448" s="40">
        <f t="shared" si="861"/>
        <v>0</v>
      </c>
      <c r="L448" s="41">
        <f t="shared" si="862"/>
        <v>0</v>
      </c>
      <c r="M448" s="41">
        <f>SUMIF('Target Achieved- Input'!$L$373:$L$466,'Incentive Report- Output'!B448,'Target Achieved- Input'!$M$373:$M$466)</f>
        <v>0</v>
      </c>
      <c r="N448" s="41">
        <f>SUMIF('Target Achieved- Input'!$S$373:$S$466,'Incentive Report- Output'!B448,'Target Achieved- Input'!$U$373:$U$466)</f>
        <v>0</v>
      </c>
      <c r="O448" s="41">
        <f>SUMIF('Target Achieved- Input'!$L$373:$L$466,'Incentive Report- Output'!B448,'Target Achieved- Input'!$N$373:$N$466)-N448</f>
        <v>0</v>
      </c>
      <c r="P448" s="40">
        <f t="shared" si="863"/>
        <v>0</v>
      </c>
      <c r="Q448" s="40">
        <f t="shared" si="864"/>
        <v>0</v>
      </c>
      <c r="R448" s="40">
        <v>0</v>
      </c>
      <c r="S448" s="49">
        <f>(LOOKUP(Q448,Policy!$L$12:$M$16)+R448)*O448</f>
        <v>0</v>
      </c>
      <c r="T448" s="185"/>
      <c r="U448" s="156"/>
      <c r="V448" s="51"/>
      <c r="W448" s="156"/>
      <c r="X448" s="397"/>
      <c r="Y448" s="397"/>
      <c r="Z448" s="400"/>
      <c r="AA448" s="55">
        <v>0</v>
      </c>
      <c r="AB448" s="41">
        <v>0</v>
      </c>
      <c r="AC448" s="41">
        <v>0</v>
      </c>
      <c r="AD448" s="41">
        <f t="shared" si="865"/>
        <v>0</v>
      </c>
      <c r="AE448" s="41">
        <f t="shared" si="866"/>
        <v>0</v>
      </c>
      <c r="AF448" s="41">
        <f t="shared" si="867"/>
        <v>0</v>
      </c>
      <c r="AG448" s="31"/>
      <c r="AH448" s="419"/>
      <c r="AI448" s="22" t="s">
        <v>928</v>
      </c>
      <c r="AJ448" s="1" t="s">
        <v>759</v>
      </c>
      <c r="AK448" s="195" t="s">
        <v>675</v>
      </c>
      <c r="AL448" s="299">
        <v>0</v>
      </c>
      <c r="AM448" s="299">
        <f t="shared" si="868"/>
        <v>0</v>
      </c>
      <c r="AN448" s="300">
        <f t="shared" si="869"/>
        <v>0</v>
      </c>
      <c r="AP448" s="172"/>
    </row>
    <row r="449" spans="1:42" ht="15.75" customHeight="1" x14ac:dyDescent="0.2">
      <c r="A449" s="79" t="s">
        <v>2780</v>
      </c>
      <c r="B449" s="112" t="s">
        <v>2781</v>
      </c>
      <c r="C449" s="79" t="s">
        <v>1</v>
      </c>
      <c r="D449" s="1" t="s">
        <v>675</v>
      </c>
      <c r="E449" s="47">
        <f>ROUND(SUMIF('Target Achieved- Input'!$B$373:$B$466,'Incentive Report- Output'!B449,'Target Achieved- Input'!$G$373:$G$466),0)</f>
        <v>60</v>
      </c>
      <c r="F449" s="47">
        <f>ROUND(SUMIF('Target Achieved- Input'!$B$373:$B$466,'Incentive Report- Output'!B449,'Target Achieved- Input'!$H$373:$H$466),0)</f>
        <v>78</v>
      </c>
      <c r="G449" s="47">
        <f>SUMIF('Target Achieved- Input'!$L$373:$L$466,'Incentive Report- Output'!B449,'Target Achieved- Input'!$O$373:$O$466)</f>
        <v>46</v>
      </c>
      <c r="H449" s="39">
        <f>SUMIF('Target Achieved- Input'!$S$373:$S$466,'Incentive Report- Output'!B449,'Target Achieved- Input'!$V$373:$V$466)</f>
        <v>3</v>
      </c>
      <c r="I449" s="48">
        <f>SUMIF('Target Achieved- Input'!$L$373:$L$466,'Incentive Report- Output'!B449,'Target Achieved- Input'!$AC$373:$AC$466)</f>
        <v>0</v>
      </c>
      <c r="J449" s="39">
        <f t="shared" ref="J449" si="870">G449-H449</f>
        <v>43</v>
      </c>
      <c r="K449" s="40">
        <f t="shared" ref="K449" si="871">IFERROR(J449/E449,0)</f>
        <v>0.71666666666666667</v>
      </c>
      <c r="L449" s="41">
        <f t="shared" ref="L449" si="872">E449*33000</f>
        <v>1980000</v>
      </c>
      <c r="M449" s="41">
        <f>SUMIF('Target Achieved- Input'!$L$373:$L$466,'Incentive Report- Output'!B449,'Target Achieved- Input'!$M$373:$M$466)</f>
        <v>2741254</v>
      </c>
      <c r="N449" s="41">
        <f>SUMIF('Target Achieved- Input'!$S$373:$S$466,'Incentive Report- Output'!B449,'Target Achieved- Input'!$U$373:$U$466)</f>
        <v>95166.949152542205</v>
      </c>
      <c r="O449" s="41">
        <f>SUMIF('Target Achieved- Input'!$L$373:$L$466,'Incentive Report- Output'!B449,'Target Achieved- Input'!$N$373:$N$466)-N449</f>
        <v>2227929.6610169467</v>
      </c>
      <c r="P449" s="40">
        <f t="shared" ref="P449" si="873">IFERROR(O449/L449,0)</f>
        <v>1.1252170005136095</v>
      </c>
      <c r="Q449" s="40">
        <f t="shared" ref="Q449" si="874">MAX(P449,K449)</f>
        <v>1.1252170005136095</v>
      </c>
      <c r="R449" s="40">
        <v>0</v>
      </c>
      <c r="S449" s="49">
        <f>(LOOKUP(Q449,Policy!$L$12:$M$16)+R449)*O449</f>
        <v>50128.417372881297</v>
      </c>
      <c r="T449" s="185"/>
      <c r="U449" s="156"/>
      <c r="V449" s="51"/>
      <c r="W449" s="156"/>
      <c r="X449" s="397"/>
      <c r="Y449" s="397"/>
      <c r="Z449" s="400"/>
      <c r="AA449" s="55">
        <v>0</v>
      </c>
      <c r="AB449" s="41">
        <v>0</v>
      </c>
      <c r="AC449" s="41">
        <v>0</v>
      </c>
      <c r="AD449" s="41">
        <f t="shared" ref="AD449" si="875">IF(AF449&gt;200000,AF449-200000,0)</f>
        <v>0</v>
      </c>
      <c r="AE449" s="41">
        <f t="shared" ref="AE449" si="876">AF449-AD449</f>
        <v>50128.417372881297</v>
      </c>
      <c r="AF449" s="41">
        <f t="shared" ref="AF449" si="877">S449+W449+AB449+AC449</f>
        <v>50128.417372881297</v>
      </c>
      <c r="AG449" s="31"/>
      <c r="AH449" s="419"/>
      <c r="AI449" s="79" t="s">
        <v>2780</v>
      </c>
      <c r="AJ449" s="112" t="s">
        <v>2781</v>
      </c>
      <c r="AK449" s="195" t="s">
        <v>675</v>
      </c>
      <c r="AL449" s="299">
        <v>52269.673728813497</v>
      </c>
      <c r="AM449" s="299">
        <f t="shared" si="868"/>
        <v>50128.417372881297</v>
      </c>
      <c r="AN449" s="300">
        <f t="shared" si="869"/>
        <v>2141.2563559322007</v>
      </c>
      <c r="AP449" s="172"/>
    </row>
    <row r="450" spans="1:42" ht="15.75" customHeight="1" x14ac:dyDescent="0.2">
      <c r="A450" s="79" t="s">
        <v>2524</v>
      </c>
      <c r="B450" s="112" t="s">
        <v>2523</v>
      </c>
      <c r="C450" s="79" t="s">
        <v>1</v>
      </c>
      <c r="D450" s="1" t="s">
        <v>675</v>
      </c>
      <c r="E450" s="47">
        <f>ROUND(SUMIF('Target Achieved- Input'!$B$373:$B$466,'Incentive Report- Output'!B450,'Target Achieved- Input'!$G$373:$G$466),0)</f>
        <v>130</v>
      </c>
      <c r="F450" s="47">
        <f>ROUND(SUMIF('Target Achieved- Input'!$B$373:$B$466,'Incentive Report- Output'!B450,'Target Achieved- Input'!$H$373:$H$466),0)</f>
        <v>169</v>
      </c>
      <c r="G450" s="47">
        <f>SUMIF('Target Achieved- Input'!$L$373:$L$466,'Incentive Report- Output'!B450,'Target Achieved- Input'!$O$373:$O$466)</f>
        <v>89</v>
      </c>
      <c r="H450" s="39">
        <f>SUMIF('Target Achieved- Input'!$S$373:$S$466,'Incentive Report- Output'!B450,'Target Achieved- Input'!$V$373:$V$466)</f>
        <v>1</v>
      </c>
      <c r="I450" s="48">
        <f>SUMIF('Target Achieved- Input'!$L$373:$L$466,'Incentive Report- Output'!B450,'Target Achieved- Input'!$AC$373:$AC$466)</f>
        <v>0</v>
      </c>
      <c r="J450" s="39">
        <f t="shared" si="860"/>
        <v>88</v>
      </c>
      <c r="K450" s="40">
        <f t="shared" si="861"/>
        <v>0.67692307692307696</v>
      </c>
      <c r="L450" s="41">
        <f t="shared" si="862"/>
        <v>4290000</v>
      </c>
      <c r="M450" s="41">
        <f>SUMIF('Target Achieved- Input'!$L$373:$L$466,'Incentive Report- Output'!B450,'Target Achieved- Input'!$M$373:$M$466)</f>
        <v>5571711</v>
      </c>
      <c r="N450" s="41">
        <f>SUMIF('Target Achieved- Input'!$S$373:$S$466,'Incentive Report- Output'!B450,'Target Achieved- Input'!$U$373:$U$466)</f>
        <v>61016.101694915204</v>
      </c>
      <c r="O450" s="41">
        <f>SUMIF('Target Achieved- Input'!$L$373:$L$466,'Incentive Report- Output'!B450,'Target Achieved- Input'!$N$373:$N$466)-N450</f>
        <v>4660772.8813559264</v>
      </c>
      <c r="P450" s="40">
        <f t="shared" si="863"/>
        <v>1.0864272450713115</v>
      </c>
      <c r="Q450" s="40">
        <f t="shared" si="864"/>
        <v>1.0864272450713115</v>
      </c>
      <c r="R450" s="40">
        <v>0</v>
      </c>
      <c r="S450" s="49">
        <f>(LOOKUP(Q450,Policy!$L$12:$M$16)+R450)*O450</f>
        <v>104867.38983050834</v>
      </c>
      <c r="T450" s="185"/>
      <c r="U450" s="156"/>
      <c r="V450" s="51"/>
      <c r="W450" s="156"/>
      <c r="X450" s="397"/>
      <c r="Y450" s="397"/>
      <c r="Z450" s="400"/>
      <c r="AA450" s="55">
        <v>0</v>
      </c>
      <c r="AB450" s="41">
        <v>0</v>
      </c>
      <c r="AC450" s="41">
        <v>0</v>
      </c>
      <c r="AD450" s="41">
        <f t="shared" si="865"/>
        <v>0</v>
      </c>
      <c r="AE450" s="41">
        <f t="shared" si="866"/>
        <v>104867.38983050834</v>
      </c>
      <c r="AF450" s="41">
        <f t="shared" si="867"/>
        <v>104867.38983050834</v>
      </c>
      <c r="AG450" s="31"/>
      <c r="AH450" s="419"/>
      <c r="AI450" s="22" t="s">
        <v>2524</v>
      </c>
      <c r="AJ450" s="1" t="s">
        <v>2523</v>
      </c>
      <c r="AK450" s="195" t="s">
        <v>675</v>
      </c>
      <c r="AL450" s="299">
        <v>106240.25211864394</v>
      </c>
      <c r="AM450" s="299">
        <f t="shared" si="868"/>
        <v>104867.38983050834</v>
      </c>
      <c r="AN450" s="300">
        <f t="shared" si="869"/>
        <v>1372.8622881355986</v>
      </c>
      <c r="AP450" s="172"/>
    </row>
    <row r="451" spans="1:42" ht="15.75" customHeight="1" x14ac:dyDescent="0.2">
      <c r="A451" s="79" t="s">
        <v>1040</v>
      </c>
      <c r="B451" s="112" t="s">
        <v>1043</v>
      </c>
      <c r="C451" s="79" t="s">
        <v>1</v>
      </c>
      <c r="D451" s="1" t="s">
        <v>675</v>
      </c>
      <c r="E451" s="47">
        <f>ROUND(SUMIF('Target Achieved- Input'!$B$373:$B$466,'Incentive Report- Output'!B451,'Target Achieved- Input'!$G$373:$G$466),0)</f>
        <v>80</v>
      </c>
      <c r="F451" s="47">
        <f>ROUND(SUMIF('Target Achieved- Input'!$B$373:$B$466,'Incentive Report- Output'!B451,'Target Achieved- Input'!$H$373:$H$466),0)</f>
        <v>104</v>
      </c>
      <c r="G451" s="47">
        <f>SUMIF('Target Achieved- Input'!$L$373:$L$466,'Incentive Report- Output'!B451,'Target Achieved- Input'!$O$373:$O$466)</f>
        <v>56</v>
      </c>
      <c r="H451" s="39">
        <f>SUMIF('Target Achieved- Input'!$S$373:$S$466,'Incentive Report- Output'!B451,'Target Achieved- Input'!$V$373:$V$466)</f>
        <v>8</v>
      </c>
      <c r="I451" s="48">
        <f>SUMIF('Target Achieved- Input'!$L$373:$L$466,'Incentive Report- Output'!B451,'Target Achieved- Input'!$AC$373:$AC$466)</f>
        <v>0</v>
      </c>
      <c r="J451" s="39">
        <f t="shared" si="860"/>
        <v>48</v>
      </c>
      <c r="K451" s="40">
        <f t="shared" si="861"/>
        <v>0.6</v>
      </c>
      <c r="L451" s="41">
        <f t="shared" si="862"/>
        <v>2640000</v>
      </c>
      <c r="M451" s="41">
        <f>SUMIF('Target Achieved- Input'!$L$373:$L$466,'Incentive Report- Output'!B451,'Target Achieved- Input'!$M$373:$M$466)</f>
        <v>3249944</v>
      </c>
      <c r="N451" s="41">
        <f>SUMIF('Target Achieved- Input'!$S$373:$S$466,'Incentive Report- Output'!B451,'Target Achieved- Input'!$U$373:$U$466)</f>
        <v>422874.57627118618</v>
      </c>
      <c r="O451" s="41">
        <f>SUMIF('Target Achieved- Input'!$L$373:$L$466,'Incentive Report- Output'!B451,'Target Achieved- Input'!$N$373:$N$466)-N451</f>
        <v>2331315.2542372849</v>
      </c>
      <c r="P451" s="40">
        <f t="shared" si="863"/>
        <v>0.88307395993836546</v>
      </c>
      <c r="Q451" s="40">
        <f t="shared" si="864"/>
        <v>0.88307395993836546</v>
      </c>
      <c r="R451" s="40">
        <v>0</v>
      </c>
      <c r="S451" s="49">
        <f>(LOOKUP(Q451,Policy!$L$12:$M$16)+R451)*O451</f>
        <v>23313.152542372849</v>
      </c>
      <c r="T451" s="185"/>
      <c r="U451" s="156"/>
      <c r="V451" s="51"/>
      <c r="W451" s="156"/>
      <c r="X451" s="398"/>
      <c r="Y451" s="398"/>
      <c r="Z451" s="401"/>
      <c r="AA451" s="55">
        <v>0</v>
      </c>
      <c r="AB451" s="41">
        <v>0</v>
      </c>
      <c r="AC451" s="41">
        <v>0</v>
      </c>
      <c r="AD451" s="41">
        <f t="shared" si="865"/>
        <v>0</v>
      </c>
      <c r="AE451" s="41">
        <f t="shared" si="866"/>
        <v>23313.152542372849</v>
      </c>
      <c r="AF451" s="41">
        <f t="shared" si="867"/>
        <v>23313.152542372849</v>
      </c>
      <c r="AG451" s="31"/>
      <c r="AH451" s="419"/>
      <c r="AI451" s="22" t="s">
        <v>1040</v>
      </c>
      <c r="AJ451" s="1" t="s">
        <v>1043</v>
      </c>
      <c r="AK451" s="195" t="s">
        <v>675</v>
      </c>
      <c r="AL451" s="299">
        <v>61969.271186440594</v>
      </c>
      <c r="AM451" s="299">
        <f t="shared" si="868"/>
        <v>23313.152542372849</v>
      </c>
      <c r="AN451" s="300">
        <f t="shared" si="869"/>
        <v>38656.118644067741</v>
      </c>
    </row>
    <row r="452" spans="1:42" ht="15.75" customHeight="1" x14ac:dyDescent="0.2">
      <c r="A452" s="109" t="s">
        <v>6</v>
      </c>
      <c r="B452" s="109"/>
      <c r="C452" s="109"/>
      <c r="D452" s="292" t="s">
        <v>675</v>
      </c>
      <c r="E452" s="44">
        <f>SUM(E443:E451)</f>
        <v>875</v>
      </c>
      <c r="F452" s="44">
        <f t="shared" ref="F452:J452" si="878">SUM(F443:F451)</f>
        <v>1138</v>
      </c>
      <c r="G452" s="44">
        <f t="shared" si="878"/>
        <v>737</v>
      </c>
      <c r="H452" s="44">
        <f t="shared" si="878"/>
        <v>28</v>
      </c>
      <c r="I452" s="44">
        <f t="shared" si="878"/>
        <v>1</v>
      </c>
      <c r="J452" s="44">
        <f t="shared" si="878"/>
        <v>709</v>
      </c>
      <c r="K452" s="44"/>
      <c r="L452" s="44">
        <f t="shared" ref="L452:O452" si="879">SUM(L443:L451)</f>
        <v>28875000</v>
      </c>
      <c r="M452" s="44">
        <f t="shared" si="879"/>
        <v>45850663</v>
      </c>
      <c r="N452" s="44">
        <f t="shared" si="879"/>
        <v>1414637.2881355919</v>
      </c>
      <c r="O452" s="44">
        <f t="shared" si="879"/>
        <v>37441856.779660977</v>
      </c>
      <c r="P452" s="45"/>
      <c r="Q452" s="46"/>
      <c r="R452" s="46"/>
      <c r="S452" s="44">
        <f t="shared" ref="S452:AF452" si="880">SUM(S443:S451)</f>
        <v>910113.04449152446</v>
      </c>
      <c r="T452" s="44">
        <f t="shared" si="880"/>
        <v>0</v>
      </c>
      <c r="U452" s="44">
        <f t="shared" si="880"/>
        <v>0</v>
      </c>
      <c r="V452" s="44">
        <f t="shared" si="880"/>
        <v>0</v>
      </c>
      <c r="W452" s="44">
        <f t="shared" si="880"/>
        <v>0</v>
      </c>
      <c r="X452" s="44">
        <f t="shared" si="880"/>
        <v>875</v>
      </c>
      <c r="Y452" s="44">
        <f t="shared" si="880"/>
        <v>709</v>
      </c>
      <c r="Z452" s="44">
        <f t="shared" si="880"/>
        <v>0.81028571428571428</v>
      </c>
      <c r="AA452" s="44">
        <f t="shared" si="880"/>
        <v>0</v>
      </c>
      <c r="AB452" s="44">
        <f t="shared" si="880"/>
        <v>0</v>
      </c>
      <c r="AC452" s="44">
        <f t="shared" si="880"/>
        <v>0</v>
      </c>
      <c r="AD452" s="44">
        <f t="shared" si="880"/>
        <v>187250.83050847414</v>
      </c>
      <c r="AE452" s="44">
        <f t="shared" si="880"/>
        <v>722862.21398305031</v>
      </c>
      <c r="AF452" s="44">
        <f t="shared" si="880"/>
        <v>910113.04449152446</v>
      </c>
      <c r="AG452" s="31"/>
      <c r="AH452" s="419"/>
      <c r="AI452" s="43" t="s">
        <v>6</v>
      </c>
      <c r="AJ452" s="43"/>
      <c r="AK452" s="43" t="s">
        <v>675</v>
      </c>
      <c r="AL452" s="308">
        <v>972774.47033898195</v>
      </c>
      <c r="AM452" s="308">
        <f>SUM(AM443:AM451)</f>
        <v>910113.04449152446</v>
      </c>
      <c r="AN452" s="308">
        <f>SUM(AN443:AN451)</f>
        <v>62661.425847457547</v>
      </c>
    </row>
    <row r="453" spans="1:42" ht="15.75" customHeight="1" x14ac:dyDescent="0.2">
      <c r="A453" s="79" t="s">
        <v>41</v>
      </c>
      <c r="B453" s="112" t="s">
        <v>42</v>
      </c>
      <c r="C453" s="79" t="s">
        <v>0</v>
      </c>
      <c r="D453" s="1" t="s">
        <v>931</v>
      </c>
      <c r="E453" s="47">
        <f>ROUND(SUMIF('Target Achieved- Input'!$B$373:$B$466,'Incentive Report- Output'!B453,'Target Achieved- Input'!$G$373:$G$466),0)</f>
        <v>190</v>
      </c>
      <c r="F453" s="47">
        <f>ROUND(SUMIF('Target Achieved- Input'!$B$373:$B$466,'Incentive Report- Output'!B453,'Target Achieved- Input'!$H$373:$H$466),0)</f>
        <v>247</v>
      </c>
      <c r="G453" s="47">
        <f>SUMIF('Target Achieved- Input'!$L$373:$L$466,'Incentive Report- Output'!B453,'Target Achieved- Input'!$O$373:$O$466)</f>
        <v>248</v>
      </c>
      <c r="H453" s="39">
        <f>SUMIF('Target Achieved- Input'!$S$373:$S$466,'Incentive Report- Output'!B453,'Target Achieved- Input'!$V$373:$V$466)</f>
        <v>13</v>
      </c>
      <c r="I453" s="48">
        <f>SUMIF('Target Achieved- Input'!$L$373:$L$466,'Incentive Report- Output'!B453,'Target Achieved- Input'!$AC$373:$AC$466)</f>
        <v>0</v>
      </c>
      <c r="J453" s="39">
        <f t="shared" ref="J453:J460" si="881">G453-H453</f>
        <v>235</v>
      </c>
      <c r="K453" s="40">
        <f t="shared" ref="K453:K460" si="882">IFERROR(J453/E453,0)</f>
        <v>1.236842105263158</v>
      </c>
      <c r="L453" s="41">
        <f t="shared" ref="L453:L460" si="883">E453*33000</f>
        <v>6270000</v>
      </c>
      <c r="M453" s="41">
        <f>SUMIF('Target Achieved- Input'!$L$373:$L$466,'Incentive Report- Output'!B453,'Target Achieved- Input'!$M$373:$M$466)</f>
        <v>15194152</v>
      </c>
      <c r="N453" s="41">
        <f>SUMIF('Target Achieved- Input'!$S$373:$S$466,'Incentive Report- Output'!B453,'Target Achieved- Input'!$U$373:$U$466)</f>
        <v>599861.86440677918</v>
      </c>
      <c r="O453" s="41">
        <f>SUMIF('Target Achieved- Input'!$L$373:$L$466,'Incentive Report- Output'!B453,'Target Achieved- Input'!$N$373:$N$466)-N453</f>
        <v>12276538.135593221</v>
      </c>
      <c r="P453" s="40">
        <f t="shared" ref="P453:P460" si="884">IFERROR(O453/L453,0)</f>
        <v>1.9579805638904657</v>
      </c>
      <c r="Q453" s="40">
        <f t="shared" ref="Q453:Q460" si="885">MAX(P453,K453)</f>
        <v>1.9579805638904657</v>
      </c>
      <c r="R453" s="40">
        <v>0</v>
      </c>
      <c r="S453" s="49">
        <f>(LOOKUP(Q453,Policy!$L$12:$M$16)+R453)*O453</f>
        <v>368296.14406779659</v>
      </c>
      <c r="T453" s="191"/>
      <c r="U453" s="192"/>
      <c r="V453" s="144"/>
      <c r="W453" s="192"/>
      <c r="X453" s="402"/>
      <c r="Y453" s="402"/>
      <c r="Z453" s="402"/>
      <c r="AA453" s="52">
        <v>0</v>
      </c>
      <c r="AB453" s="52">
        <v>0</v>
      </c>
      <c r="AC453" s="52">
        <v>0</v>
      </c>
      <c r="AD453" s="41">
        <f t="shared" ref="AD453:AD460" si="886">IF(AF453&gt;200000,AF453-200000,0)</f>
        <v>168296.14406779659</v>
      </c>
      <c r="AE453" s="41">
        <f t="shared" ref="AE453:AE460" si="887">AF453-AD453</f>
        <v>200000</v>
      </c>
      <c r="AF453" s="41">
        <f t="shared" ref="AF453:AF460" si="888">S453+W453+AB453+AC453</f>
        <v>368296.14406779659</v>
      </c>
      <c r="AG453" s="31"/>
      <c r="AH453" s="419"/>
      <c r="AI453" s="22" t="s">
        <v>41</v>
      </c>
      <c r="AJ453" s="1" t="s">
        <v>42</v>
      </c>
      <c r="AK453" s="195" t="s">
        <v>931</v>
      </c>
      <c r="AL453" s="299">
        <v>386292</v>
      </c>
      <c r="AM453" s="299">
        <f t="shared" ref="AM453:AM460" si="889">AF453</f>
        <v>368296.14406779659</v>
      </c>
      <c r="AN453" s="300">
        <f t="shared" ref="AN453:AN460" si="890">AL453-AM453</f>
        <v>17995.855932203413</v>
      </c>
    </row>
    <row r="454" spans="1:42" ht="15.75" customHeight="1" x14ac:dyDescent="0.2">
      <c r="A454" s="79" t="s">
        <v>1041</v>
      </c>
      <c r="B454" s="112" t="s">
        <v>1042</v>
      </c>
      <c r="C454" s="79" t="s">
        <v>1</v>
      </c>
      <c r="D454" s="1" t="s">
        <v>931</v>
      </c>
      <c r="E454" s="47">
        <f>ROUND(SUMIF('Target Achieved- Input'!$B$373:$B$466,'Incentive Report- Output'!B454,'Target Achieved- Input'!$G$373:$G$466),0)</f>
        <v>0</v>
      </c>
      <c r="F454" s="47">
        <f>ROUND(SUMIF('Target Achieved- Input'!$B$373:$B$466,'Incentive Report- Output'!B454,'Target Achieved- Input'!$H$373:$H$466),0)</f>
        <v>0</v>
      </c>
      <c r="G454" s="47">
        <f>SUMIF('Target Achieved- Input'!$L$373:$L$466,'Incentive Report- Output'!B454,'Target Achieved- Input'!$O$373:$O$466)</f>
        <v>0</v>
      </c>
      <c r="H454" s="39">
        <f>SUMIF('Target Achieved- Input'!$S$373:$S$466,'Incentive Report- Output'!B454,'Target Achieved- Input'!$V$373:$V$466)</f>
        <v>0</v>
      </c>
      <c r="I454" s="48">
        <f>SUMIF('Target Achieved- Input'!$L$373:$L$466,'Incentive Report- Output'!B454,'Target Achieved- Input'!$AC$373:$AC$466)</f>
        <v>0</v>
      </c>
      <c r="J454" s="39">
        <f t="shared" si="881"/>
        <v>0</v>
      </c>
      <c r="K454" s="40">
        <f t="shared" si="882"/>
        <v>0</v>
      </c>
      <c r="L454" s="41">
        <f t="shared" si="883"/>
        <v>0</v>
      </c>
      <c r="M454" s="41">
        <f>SUMIF('Target Achieved- Input'!$L$373:$L$466,'Incentive Report- Output'!B454,'Target Achieved- Input'!$M$373:$M$466)</f>
        <v>0</v>
      </c>
      <c r="N454" s="41">
        <f>SUMIF('Target Achieved- Input'!$S$373:$S$466,'Incentive Report- Output'!B454,'Target Achieved- Input'!$U$373:$U$466)</f>
        <v>0</v>
      </c>
      <c r="O454" s="41">
        <f>SUMIF('Target Achieved- Input'!$L$373:$L$466,'Incentive Report- Output'!B454,'Target Achieved- Input'!$N$373:$N$466)-N454</f>
        <v>0</v>
      </c>
      <c r="P454" s="40">
        <f t="shared" si="884"/>
        <v>0</v>
      </c>
      <c r="Q454" s="40">
        <f t="shared" si="885"/>
        <v>0</v>
      </c>
      <c r="R454" s="40">
        <v>0</v>
      </c>
      <c r="S454" s="49">
        <f>(LOOKUP(Q454,Policy!$L$12:$M$16)+R454)*O454</f>
        <v>0</v>
      </c>
      <c r="T454" s="191"/>
      <c r="U454" s="192"/>
      <c r="V454" s="144"/>
      <c r="W454" s="192"/>
      <c r="X454" s="403"/>
      <c r="Y454" s="403"/>
      <c r="Z454" s="403"/>
      <c r="AA454" s="52">
        <v>0</v>
      </c>
      <c r="AB454" s="52">
        <v>0</v>
      </c>
      <c r="AC454" s="52">
        <v>0</v>
      </c>
      <c r="AD454" s="41">
        <f t="shared" si="886"/>
        <v>0</v>
      </c>
      <c r="AE454" s="41">
        <f t="shared" si="887"/>
        <v>0</v>
      </c>
      <c r="AF454" s="41">
        <f t="shared" si="888"/>
        <v>0</v>
      </c>
      <c r="AG454" s="31"/>
      <c r="AH454" s="419"/>
      <c r="AI454" s="22" t="s">
        <v>1041</v>
      </c>
      <c r="AJ454" s="1" t="s">
        <v>1042</v>
      </c>
      <c r="AK454" s="195" t="s">
        <v>931</v>
      </c>
      <c r="AL454" s="299">
        <v>0</v>
      </c>
      <c r="AM454" s="299">
        <f t="shared" si="889"/>
        <v>0</v>
      </c>
      <c r="AN454" s="300">
        <f t="shared" si="890"/>
        <v>0</v>
      </c>
    </row>
    <row r="455" spans="1:42" ht="15.75" customHeight="1" x14ac:dyDescent="0.2">
      <c r="A455" s="79" t="s">
        <v>304</v>
      </c>
      <c r="B455" s="112" t="s">
        <v>306</v>
      </c>
      <c r="C455" s="79" t="s">
        <v>1</v>
      </c>
      <c r="D455" s="1" t="s">
        <v>931</v>
      </c>
      <c r="E455" s="47">
        <f>ROUND(SUMIF('Target Achieved- Input'!$B$373:$B$466,'Incentive Report- Output'!B455,'Target Achieved- Input'!$G$373:$G$466),0)</f>
        <v>0</v>
      </c>
      <c r="F455" s="47">
        <f>ROUND(SUMIF('Target Achieved- Input'!$B$373:$B$466,'Incentive Report- Output'!B455,'Target Achieved- Input'!$H$373:$H$466),0)</f>
        <v>0</v>
      </c>
      <c r="G455" s="47">
        <f>SUMIF('Target Achieved- Input'!$L$373:$L$466,'Incentive Report- Output'!B455,'Target Achieved- Input'!$O$373:$O$466)</f>
        <v>0</v>
      </c>
      <c r="H455" s="39">
        <f>SUMIF('Target Achieved- Input'!$S$373:$S$466,'Incentive Report- Output'!B455,'Target Achieved- Input'!$V$373:$V$466)</f>
        <v>0</v>
      </c>
      <c r="I455" s="48">
        <f>SUMIF('Target Achieved- Input'!$L$373:$L$466,'Incentive Report- Output'!B455,'Target Achieved- Input'!$AC$373:$AC$466)</f>
        <v>0</v>
      </c>
      <c r="J455" s="39">
        <f t="shared" si="881"/>
        <v>0</v>
      </c>
      <c r="K455" s="40">
        <f t="shared" si="882"/>
        <v>0</v>
      </c>
      <c r="L455" s="41">
        <f t="shared" si="883"/>
        <v>0</v>
      </c>
      <c r="M455" s="41">
        <f>SUMIF('Target Achieved- Input'!$L$373:$L$466,'Incentive Report- Output'!B455,'Target Achieved- Input'!$M$373:$M$466)</f>
        <v>0</v>
      </c>
      <c r="N455" s="41">
        <f>SUMIF('Target Achieved- Input'!$S$373:$S$466,'Incentive Report- Output'!B455,'Target Achieved- Input'!$U$373:$U$466)</f>
        <v>0</v>
      </c>
      <c r="O455" s="41">
        <f>SUMIF('Target Achieved- Input'!$L$373:$L$466,'Incentive Report- Output'!B455,'Target Achieved- Input'!$N$373:$N$466)-N455</f>
        <v>0</v>
      </c>
      <c r="P455" s="40">
        <f t="shared" si="884"/>
        <v>0</v>
      </c>
      <c r="Q455" s="40">
        <f t="shared" si="885"/>
        <v>0</v>
      </c>
      <c r="R455" s="40">
        <v>0</v>
      </c>
      <c r="S455" s="49">
        <f>(LOOKUP(Q455,Policy!$L$12:$M$16)+R455)*O455</f>
        <v>0</v>
      </c>
      <c r="T455" s="191"/>
      <c r="U455" s="192"/>
      <c r="V455" s="144"/>
      <c r="W455" s="192"/>
      <c r="X455" s="403"/>
      <c r="Y455" s="403"/>
      <c r="Z455" s="403"/>
      <c r="AA455" s="52">
        <v>0</v>
      </c>
      <c r="AB455" s="52">
        <v>0</v>
      </c>
      <c r="AC455" s="52">
        <v>0</v>
      </c>
      <c r="AD455" s="41">
        <f t="shared" si="886"/>
        <v>0</v>
      </c>
      <c r="AE455" s="41">
        <f t="shared" si="887"/>
        <v>0</v>
      </c>
      <c r="AF455" s="41">
        <f t="shared" si="888"/>
        <v>0</v>
      </c>
      <c r="AG455" s="31"/>
      <c r="AH455" s="419"/>
      <c r="AI455" s="22" t="s">
        <v>304</v>
      </c>
      <c r="AJ455" s="1" t="s">
        <v>306</v>
      </c>
      <c r="AK455" s="195" t="s">
        <v>931</v>
      </c>
      <c r="AL455" s="299">
        <v>0</v>
      </c>
      <c r="AM455" s="299">
        <f t="shared" si="889"/>
        <v>0</v>
      </c>
      <c r="AN455" s="300">
        <f t="shared" si="890"/>
        <v>0</v>
      </c>
    </row>
    <row r="456" spans="1:42" ht="15.75" customHeight="1" x14ac:dyDescent="0.2">
      <c r="A456" s="79" t="s">
        <v>659</v>
      </c>
      <c r="B456" s="112" t="s">
        <v>660</v>
      </c>
      <c r="C456" s="79" t="s">
        <v>1</v>
      </c>
      <c r="D456" s="1" t="s">
        <v>931</v>
      </c>
      <c r="E456" s="47">
        <f>ROUND(SUMIF('Target Achieved- Input'!$B$373:$B$466,'Incentive Report- Output'!B456,'Target Achieved- Input'!$G$373:$G$466),0)</f>
        <v>210</v>
      </c>
      <c r="F456" s="47">
        <f>ROUND(SUMIF('Target Achieved- Input'!$B$373:$B$466,'Incentive Report- Output'!B456,'Target Achieved- Input'!$H$373:$H$466),0)</f>
        <v>273</v>
      </c>
      <c r="G456" s="47">
        <f>SUMIF('Target Achieved- Input'!$L$373:$L$466,'Incentive Report- Output'!B456,'Target Achieved- Input'!$O$373:$O$466)</f>
        <v>143</v>
      </c>
      <c r="H456" s="39">
        <f>SUMIF('Target Achieved- Input'!$S$373:$S$466,'Incentive Report- Output'!B456,'Target Achieved- Input'!$V$373:$V$466)</f>
        <v>3</v>
      </c>
      <c r="I456" s="48">
        <f>SUMIF('Target Achieved- Input'!$L$373:$L$466,'Incentive Report- Output'!B456,'Target Achieved- Input'!$AC$373:$AC$466)</f>
        <v>0</v>
      </c>
      <c r="J456" s="39">
        <f t="shared" si="881"/>
        <v>140</v>
      </c>
      <c r="K456" s="40">
        <f t="shared" si="882"/>
        <v>0.66666666666666663</v>
      </c>
      <c r="L456" s="41">
        <f t="shared" si="883"/>
        <v>6930000</v>
      </c>
      <c r="M456" s="41">
        <f>SUMIF('Target Achieved- Input'!$L$373:$L$466,'Incentive Report- Output'!B456,'Target Achieved- Input'!$M$373:$M$466)</f>
        <v>9385507</v>
      </c>
      <c r="N456" s="41">
        <f>SUMIF('Target Achieved- Input'!$S$373:$S$466,'Incentive Report- Output'!B456,'Target Achieved- Input'!$U$373:$U$466)</f>
        <v>180505.93220338982</v>
      </c>
      <c r="O456" s="41">
        <f>SUMIF('Target Achieved- Input'!$L$373:$L$466,'Incentive Report- Output'!B456,'Target Achieved- Input'!$N$373:$N$466)-N456</f>
        <v>7773313.5593220368</v>
      </c>
      <c r="P456" s="40">
        <f t="shared" si="884"/>
        <v>1.1216902683004382</v>
      </c>
      <c r="Q456" s="40">
        <f t="shared" si="885"/>
        <v>1.1216902683004382</v>
      </c>
      <c r="R456" s="40">
        <v>0</v>
      </c>
      <c r="S456" s="49">
        <f>(LOOKUP(Q456,Policy!$L$12:$M$16)+R456)*O456</f>
        <v>174899.55508474581</v>
      </c>
      <c r="T456" s="185"/>
      <c r="U456" s="156"/>
      <c r="V456" s="51"/>
      <c r="W456" s="156"/>
      <c r="X456" s="403"/>
      <c r="Y456" s="403"/>
      <c r="Z456" s="403"/>
      <c r="AA456" s="52">
        <v>0</v>
      </c>
      <c r="AB456" s="52">
        <v>0</v>
      </c>
      <c r="AC456" s="52">
        <v>0</v>
      </c>
      <c r="AD456" s="41">
        <f t="shared" si="886"/>
        <v>0</v>
      </c>
      <c r="AE456" s="41">
        <f t="shared" si="887"/>
        <v>174899.55508474581</v>
      </c>
      <c r="AF456" s="41">
        <f t="shared" si="888"/>
        <v>174899.55508474581</v>
      </c>
      <c r="AG456" s="31"/>
      <c r="AH456" s="419"/>
      <c r="AI456" s="22" t="s">
        <v>659</v>
      </c>
      <c r="AJ456" s="1" t="s">
        <v>660</v>
      </c>
      <c r="AK456" s="195" t="s">
        <v>931</v>
      </c>
      <c r="AL456" s="299">
        <v>178960.93855932209</v>
      </c>
      <c r="AM456" s="299">
        <f t="shared" si="889"/>
        <v>174899.55508474581</v>
      </c>
      <c r="AN456" s="300">
        <f t="shared" si="890"/>
        <v>4061.383474576287</v>
      </c>
    </row>
    <row r="457" spans="1:42" ht="15.75" customHeight="1" x14ac:dyDescent="0.2">
      <c r="A457" s="79" t="s">
        <v>117</v>
      </c>
      <c r="B457" s="112" t="s">
        <v>196</v>
      </c>
      <c r="C457" s="79" t="s">
        <v>1185</v>
      </c>
      <c r="D457" s="1" t="s">
        <v>931</v>
      </c>
      <c r="E457" s="47">
        <f>ROUND(SUMIF('Target Achieved- Input'!$B$373:$B$466,'Incentive Report- Output'!B457,'Target Achieved- Input'!$G$373:$G$466),0)</f>
        <v>280</v>
      </c>
      <c r="F457" s="47">
        <f>ROUND(SUMIF('Target Achieved- Input'!$B$373:$B$466,'Incentive Report- Output'!B457,'Target Achieved- Input'!$H$373:$H$466),0)</f>
        <v>364</v>
      </c>
      <c r="G457" s="47">
        <f>SUMIF('Target Achieved- Input'!$L$373:$L$466,'Incentive Report- Output'!B457,'Target Achieved- Input'!$O$373:$O$466)</f>
        <v>206</v>
      </c>
      <c r="H457" s="39">
        <f>SUMIF('Target Achieved- Input'!$S$373:$S$466,'Incentive Report- Output'!B457,'Target Achieved- Input'!$V$373:$V$466)</f>
        <v>7</v>
      </c>
      <c r="I457" s="48">
        <f>SUMIF('Target Achieved- Input'!$L$373:$L$466,'Incentive Report- Output'!B457,'Target Achieved- Input'!$AC$373:$AC$466)</f>
        <v>0</v>
      </c>
      <c r="J457" s="39">
        <f t="shared" si="881"/>
        <v>199</v>
      </c>
      <c r="K457" s="40">
        <f t="shared" si="882"/>
        <v>0.71071428571428574</v>
      </c>
      <c r="L457" s="41">
        <f t="shared" si="883"/>
        <v>9240000</v>
      </c>
      <c r="M457" s="41">
        <f>SUMIF('Target Achieved- Input'!$L$373:$L$466,'Incentive Report- Output'!B457,'Target Achieved- Input'!$M$373:$M$466)</f>
        <v>12709344</v>
      </c>
      <c r="N457" s="41">
        <f>SUMIF('Target Achieved- Input'!$S$373:$S$466,'Incentive Report- Output'!B457,'Target Achieved- Input'!$U$373:$U$466)</f>
        <v>332197.45762711822</v>
      </c>
      <c r="O457" s="41">
        <f>SUMIF('Target Achieved- Input'!$L$373:$L$466,'Incentive Report- Output'!B457,'Target Achieved- Input'!$N$373:$N$466)-N457</f>
        <v>10438433.050847458</v>
      </c>
      <c r="P457" s="40">
        <f t="shared" si="884"/>
        <v>1.1297005466285128</v>
      </c>
      <c r="Q457" s="40">
        <f t="shared" si="885"/>
        <v>1.1297005466285128</v>
      </c>
      <c r="R457" s="40">
        <v>0</v>
      </c>
      <c r="S457" s="49">
        <f>(LOOKUP(Q457,Policy!$L$12:$M$16)+R457)*O457</f>
        <v>234864.74364406778</v>
      </c>
      <c r="T457" s="191">
        <f>L455</f>
        <v>0</v>
      </c>
      <c r="U457" s="192">
        <f>O455</f>
        <v>0</v>
      </c>
      <c r="V457" s="51">
        <f>IFERROR(U457/T457,0)</f>
        <v>0</v>
      </c>
      <c r="W457" s="156">
        <f>LOOKUP(V457,Policy!$L$18:$M$21)*U457</f>
        <v>0</v>
      </c>
      <c r="X457" s="403"/>
      <c r="Y457" s="403"/>
      <c r="Z457" s="403"/>
      <c r="AA457" s="52">
        <v>0</v>
      </c>
      <c r="AB457" s="52">
        <v>0</v>
      </c>
      <c r="AC457" s="52">
        <v>0</v>
      </c>
      <c r="AD457" s="41">
        <f t="shared" si="886"/>
        <v>34864.743644067785</v>
      </c>
      <c r="AE457" s="41">
        <f t="shared" si="887"/>
        <v>200000</v>
      </c>
      <c r="AF457" s="41">
        <f t="shared" si="888"/>
        <v>234864.74364406778</v>
      </c>
      <c r="AG457" s="31"/>
      <c r="AH457" s="419"/>
      <c r="AI457" s="22" t="s">
        <v>117</v>
      </c>
      <c r="AJ457" s="1" t="s">
        <v>196</v>
      </c>
      <c r="AK457" s="195" t="s">
        <v>931</v>
      </c>
      <c r="AL457" s="299">
        <v>242339.18644067794</v>
      </c>
      <c r="AM457" s="299">
        <f t="shared" si="889"/>
        <v>234864.74364406778</v>
      </c>
      <c r="AN457" s="300">
        <f t="shared" si="890"/>
        <v>7474.4427966101503</v>
      </c>
    </row>
    <row r="458" spans="1:42" ht="15.75" customHeight="1" x14ac:dyDescent="0.2">
      <c r="A458" s="79" t="s">
        <v>1432</v>
      </c>
      <c r="B458" s="112" t="s">
        <v>1431</v>
      </c>
      <c r="C458" s="79" t="s">
        <v>1</v>
      </c>
      <c r="D458" s="1" t="s">
        <v>931</v>
      </c>
      <c r="E458" s="47">
        <f>ROUND(SUMIF('Target Achieved- Input'!$B$373:$B$466,'Incentive Report- Output'!B458,'Target Achieved- Input'!$G$373:$G$466),0)</f>
        <v>290</v>
      </c>
      <c r="F458" s="47">
        <f>ROUND(SUMIF('Target Achieved- Input'!$B$373:$B$466,'Incentive Report- Output'!B458,'Target Achieved- Input'!$H$373:$H$466),0)</f>
        <v>377</v>
      </c>
      <c r="G458" s="47">
        <f>SUMIF('Target Achieved- Input'!$L$373:$L$466,'Incentive Report- Output'!B458,'Target Achieved- Input'!$O$373:$O$466)</f>
        <v>192</v>
      </c>
      <c r="H458" s="39">
        <f>SUMIF('Target Achieved- Input'!$S$373:$S$466,'Incentive Report- Output'!B458,'Target Achieved- Input'!$V$373:$V$466)</f>
        <v>0</v>
      </c>
      <c r="I458" s="48">
        <f>SUMIF('Target Achieved- Input'!$L$373:$L$466,'Incentive Report- Output'!B458,'Target Achieved- Input'!$AC$373:$AC$466)</f>
        <v>0</v>
      </c>
      <c r="J458" s="39">
        <f t="shared" si="881"/>
        <v>192</v>
      </c>
      <c r="K458" s="40">
        <f t="shared" si="882"/>
        <v>0.66206896551724137</v>
      </c>
      <c r="L458" s="41">
        <f t="shared" si="883"/>
        <v>9570000</v>
      </c>
      <c r="M458" s="41">
        <f>SUMIF('Target Achieved- Input'!$L$373:$L$466,'Incentive Report- Output'!B458,'Target Achieved- Input'!$M$373:$M$466)</f>
        <v>11858908</v>
      </c>
      <c r="N458" s="41">
        <f>SUMIF('Target Achieved- Input'!$S$373:$S$466,'Incentive Report- Output'!B458,'Target Achieved- Input'!$U$373:$U$466)</f>
        <v>0</v>
      </c>
      <c r="O458" s="41">
        <f>SUMIF('Target Achieved- Input'!$L$373:$L$466,'Incentive Report- Output'!B458,'Target Achieved- Input'!$N$373:$N$466)-N458</f>
        <v>10049922.033898307</v>
      </c>
      <c r="P458" s="40">
        <f t="shared" si="884"/>
        <v>1.0501485928838357</v>
      </c>
      <c r="Q458" s="40">
        <f t="shared" si="885"/>
        <v>1.0501485928838357</v>
      </c>
      <c r="R458" s="40">
        <v>0</v>
      </c>
      <c r="S458" s="49">
        <f>(LOOKUP(Q458,Policy!$L$12:$M$16)+R458)*O458</f>
        <v>226123.24576271189</v>
      </c>
      <c r="T458" s="191"/>
      <c r="U458" s="192"/>
      <c r="V458" s="51"/>
      <c r="W458" s="156"/>
      <c r="X458" s="403"/>
      <c r="Y458" s="403"/>
      <c r="Z458" s="403"/>
      <c r="AA458" s="52">
        <v>0</v>
      </c>
      <c r="AB458" s="52">
        <v>0</v>
      </c>
      <c r="AC458" s="52">
        <v>0</v>
      </c>
      <c r="AD458" s="41">
        <f t="shared" si="886"/>
        <v>26123.245762711886</v>
      </c>
      <c r="AE458" s="41">
        <f t="shared" si="887"/>
        <v>200000</v>
      </c>
      <c r="AF458" s="41">
        <f t="shared" si="888"/>
        <v>226123.24576271189</v>
      </c>
      <c r="AG458" s="31"/>
      <c r="AH458" s="419"/>
      <c r="AI458" s="79" t="s">
        <v>1432</v>
      </c>
      <c r="AJ458" s="112" t="s">
        <v>1431</v>
      </c>
      <c r="AK458" s="195" t="s">
        <v>931</v>
      </c>
      <c r="AL458" s="299">
        <v>226123.24576271189</v>
      </c>
      <c r="AM458" s="299">
        <f t="shared" si="889"/>
        <v>226123.24576271189</v>
      </c>
      <c r="AN458" s="300">
        <f t="shared" si="890"/>
        <v>0</v>
      </c>
    </row>
    <row r="459" spans="1:42" ht="15.75" customHeight="1" x14ac:dyDescent="0.2">
      <c r="A459" s="79" t="s">
        <v>2520</v>
      </c>
      <c r="B459" s="112" t="s">
        <v>2521</v>
      </c>
      <c r="C459" s="79" t="s">
        <v>1</v>
      </c>
      <c r="D459" s="1" t="s">
        <v>931</v>
      </c>
      <c r="E459" s="47">
        <f>ROUND(SUMIF('Target Achieved- Input'!$B$373:$B$466,'Incentive Report- Output'!B459,'Target Achieved- Input'!$G$373:$G$466),0)</f>
        <v>40</v>
      </c>
      <c r="F459" s="47">
        <f>ROUND(SUMIF('Target Achieved- Input'!$B$373:$B$466,'Incentive Report- Output'!B459,'Target Achieved- Input'!$H$373:$H$466),0)</f>
        <v>52</v>
      </c>
      <c r="G459" s="47">
        <f>SUMIF('Target Achieved- Input'!$L$373:$L$466,'Incentive Report- Output'!B459,'Target Achieved- Input'!$O$373:$O$466)</f>
        <v>46</v>
      </c>
      <c r="H459" s="39">
        <f>SUMIF('Target Achieved- Input'!$S$373:$S$466,'Incentive Report- Output'!B459,'Target Achieved- Input'!$V$373:$V$466)</f>
        <v>11</v>
      </c>
      <c r="I459" s="48">
        <f>SUMIF('Target Achieved- Input'!$L$373:$L$466,'Incentive Report- Output'!B459,'Target Achieved- Input'!$AC$373:$AC$466)</f>
        <v>0</v>
      </c>
      <c r="J459" s="39">
        <f t="shared" si="881"/>
        <v>35</v>
      </c>
      <c r="K459" s="40">
        <f t="shared" si="882"/>
        <v>0.875</v>
      </c>
      <c r="L459" s="41">
        <f t="shared" si="883"/>
        <v>1320000</v>
      </c>
      <c r="M459" s="41">
        <f>SUMIF('Target Achieved- Input'!$L$373:$L$466,'Incentive Report- Output'!B459,'Target Achieved- Input'!$M$373:$M$466)</f>
        <v>2433254</v>
      </c>
      <c r="N459" s="41">
        <f>SUMIF('Target Achieved- Input'!$S$373:$S$466,'Incentive Report- Output'!B459,'Target Achieved- Input'!$U$373:$U$466)</f>
        <v>515244.91525423666</v>
      </c>
      <c r="O459" s="41">
        <f>SUMIF('Target Achieved- Input'!$L$373:$L$466,'Incentive Report- Output'!B459,'Target Achieved- Input'!$N$373:$N$466)-N459</f>
        <v>1546834.74576271</v>
      </c>
      <c r="P459" s="40">
        <f t="shared" si="884"/>
        <v>1.1718445043656893</v>
      </c>
      <c r="Q459" s="40">
        <f t="shared" si="885"/>
        <v>1.1718445043656893</v>
      </c>
      <c r="R459" s="40">
        <v>0</v>
      </c>
      <c r="S459" s="49">
        <f>(LOOKUP(Q459,Policy!$L$12:$M$16)+R459)*O459</f>
        <v>34803.781779660974</v>
      </c>
      <c r="T459" s="191"/>
      <c r="U459" s="192"/>
      <c r="V459" s="51"/>
      <c r="W459" s="156"/>
      <c r="X459" s="403"/>
      <c r="Y459" s="403"/>
      <c r="Z459" s="403"/>
      <c r="AA459" s="52">
        <v>0</v>
      </c>
      <c r="AB459" s="52">
        <v>0</v>
      </c>
      <c r="AC459" s="52">
        <v>0</v>
      </c>
      <c r="AD459" s="41">
        <f t="shared" si="886"/>
        <v>0</v>
      </c>
      <c r="AE459" s="41">
        <f t="shared" si="887"/>
        <v>34803.781779660974</v>
      </c>
      <c r="AF459" s="41">
        <f t="shared" si="888"/>
        <v>34803.781779660974</v>
      </c>
      <c r="AG459" s="31"/>
      <c r="AH459" s="419"/>
      <c r="AI459" s="79" t="s">
        <v>2520</v>
      </c>
      <c r="AJ459" s="112" t="s">
        <v>2521</v>
      </c>
      <c r="AK459" s="195" t="s">
        <v>931</v>
      </c>
      <c r="AL459" s="299">
        <v>61862.3898305084</v>
      </c>
      <c r="AM459" s="299">
        <f t="shared" si="889"/>
        <v>34803.781779660974</v>
      </c>
      <c r="AN459" s="300">
        <f t="shared" si="890"/>
        <v>27058.608050847426</v>
      </c>
    </row>
    <row r="460" spans="1:42" ht="15.75" customHeight="1" x14ac:dyDescent="0.2">
      <c r="A460" s="79" t="s">
        <v>765</v>
      </c>
      <c r="B460" s="112" t="s">
        <v>766</v>
      </c>
      <c r="C460" s="79" t="s">
        <v>1</v>
      </c>
      <c r="D460" s="1" t="s">
        <v>931</v>
      </c>
      <c r="E460" s="47">
        <f>ROUND(SUMIF('Target Achieved- Input'!$B$373:$B$466,'Incentive Report- Output'!B460,'Target Achieved- Input'!$G$373:$G$466),0)</f>
        <v>240</v>
      </c>
      <c r="F460" s="47">
        <f>ROUND(SUMIF('Target Achieved- Input'!$B$373:$B$466,'Incentive Report- Output'!B460,'Target Achieved- Input'!$H$373:$H$466),0)</f>
        <v>312</v>
      </c>
      <c r="G460" s="47">
        <f>SUMIF('Target Achieved- Input'!$L$373:$L$466,'Incentive Report- Output'!B460,'Target Achieved- Input'!$O$373:$O$466)</f>
        <v>324</v>
      </c>
      <c r="H460" s="39">
        <f>SUMIF('Target Achieved- Input'!$S$373:$S$466,'Incentive Report- Output'!B460,'Target Achieved- Input'!$V$373:$V$466)</f>
        <v>4</v>
      </c>
      <c r="I460" s="48">
        <f>SUMIF('Target Achieved- Input'!$L$373:$L$466,'Incentive Report- Output'!B460,'Target Achieved- Input'!$AC$373:$AC$466)</f>
        <v>0</v>
      </c>
      <c r="J460" s="39">
        <f t="shared" si="881"/>
        <v>320</v>
      </c>
      <c r="K460" s="40">
        <f t="shared" si="882"/>
        <v>1.3333333333333333</v>
      </c>
      <c r="L460" s="41">
        <f t="shared" si="883"/>
        <v>7920000</v>
      </c>
      <c r="M460" s="41">
        <f>SUMIF('Target Achieved- Input'!$L$373:$L$466,'Incentive Report- Output'!B460,'Target Achieved- Input'!$M$373:$M$466)</f>
        <v>20693576</v>
      </c>
      <c r="N460" s="41">
        <f>SUMIF('Target Achieved- Input'!$S$373:$S$466,'Incentive Report- Output'!B460,'Target Achieved- Input'!$U$373:$U$466)</f>
        <v>227962.71186440659</v>
      </c>
      <c r="O460" s="41">
        <f>SUMIF('Target Achieved- Input'!$L$373:$L$466,'Incentive Report- Output'!B460,'Target Achieved- Input'!$N$373:$N$466)-N460</f>
        <v>17308966.101694893</v>
      </c>
      <c r="P460" s="40">
        <f t="shared" si="884"/>
        <v>2.1854755178907692</v>
      </c>
      <c r="Q460" s="40">
        <f t="shared" si="885"/>
        <v>2.1854755178907692</v>
      </c>
      <c r="R460" s="40">
        <v>0</v>
      </c>
      <c r="S460" s="49">
        <f>(LOOKUP(Q460,Policy!$L$12:$M$16)+R460)*O460</f>
        <v>519268.98305084679</v>
      </c>
      <c r="T460" s="185"/>
      <c r="U460" s="156"/>
      <c r="V460" s="51"/>
      <c r="W460" s="156"/>
      <c r="X460" s="404"/>
      <c r="Y460" s="404"/>
      <c r="Z460" s="404"/>
      <c r="AA460" s="52">
        <v>0</v>
      </c>
      <c r="AB460" s="52">
        <v>0</v>
      </c>
      <c r="AC460" s="52">
        <v>0</v>
      </c>
      <c r="AD460" s="41">
        <f t="shared" si="886"/>
        <v>319268.98305084679</v>
      </c>
      <c r="AE460" s="41">
        <f t="shared" si="887"/>
        <v>200000</v>
      </c>
      <c r="AF460" s="41">
        <f t="shared" si="888"/>
        <v>519268.98305084679</v>
      </c>
      <c r="AG460" s="31"/>
      <c r="AH460" s="419"/>
      <c r="AI460" s="22" t="s">
        <v>765</v>
      </c>
      <c r="AJ460" s="1" t="s">
        <v>766</v>
      </c>
      <c r="AK460" s="195" t="s">
        <v>931</v>
      </c>
      <c r="AL460" s="299">
        <v>526107.86440677906</v>
      </c>
      <c r="AM460" s="299">
        <f t="shared" si="889"/>
        <v>519268.98305084679</v>
      </c>
      <c r="AN460" s="300">
        <f t="shared" si="890"/>
        <v>6838.8813559322734</v>
      </c>
    </row>
    <row r="461" spans="1:42" ht="15.75" customHeight="1" x14ac:dyDescent="0.2">
      <c r="A461" s="109" t="s">
        <v>6</v>
      </c>
      <c r="B461" s="109"/>
      <c r="C461" s="109"/>
      <c r="D461" s="292" t="s">
        <v>931</v>
      </c>
      <c r="E461" s="102">
        <f>SUM(E453:E460)</f>
        <v>1250</v>
      </c>
      <c r="F461" s="102">
        <f t="shared" ref="F461:J461" si="891">SUM(F453:F460)</f>
        <v>1625</v>
      </c>
      <c r="G461" s="102">
        <f t="shared" si="891"/>
        <v>1159</v>
      </c>
      <c r="H461" s="102">
        <f t="shared" si="891"/>
        <v>38</v>
      </c>
      <c r="I461" s="102">
        <f t="shared" si="891"/>
        <v>0</v>
      </c>
      <c r="J461" s="102">
        <f t="shared" si="891"/>
        <v>1121</v>
      </c>
      <c r="K461" s="102"/>
      <c r="L461" s="102">
        <f t="shared" ref="L461:O461" si="892">SUM(L453:L460)</f>
        <v>41250000</v>
      </c>
      <c r="M461" s="102">
        <f t="shared" si="892"/>
        <v>72274741</v>
      </c>
      <c r="N461" s="102">
        <f t="shared" si="892"/>
        <v>1855772.8813559306</v>
      </c>
      <c r="O461" s="102">
        <f t="shared" si="892"/>
        <v>59394007.627118632</v>
      </c>
      <c r="P461" s="45"/>
      <c r="Q461" s="46"/>
      <c r="R461" s="46"/>
      <c r="S461" s="102">
        <f>SUM(S453:S460)</f>
        <v>1558256.4533898297</v>
      </c>
      <c r="T461" s="102">
        <f t="shared" ref="T461:W461" si="893">SUM(T453:T460)</f>
        <v>0</v>
      </c>
      <c r="U461" s="102">
        <f t="shared" si="893"/>
        <v>0</v>
      </c>
      <c r="V461" s="102">
        <f t="shared" si="893"/>
        <v>0</v>
      </c>
      <c r="W461" s="102">
        <f t="shared" si="893"/>
        <v>0</v>
      </c>
      <c r="X461" s="102">
        <f>SUM(X454:X460)</f>
        <v>0</v>
      </c>
      <c r="Y461" s="102">
        <f>SUM(Y454:Y460)</f>
        <v>0</v>
      </c>
      <c r="Z461" s="103">
        <f>SUM(Z454:Z460)</f>
        <v>0</v>
      </c>
      <c r="AA461" s="102">
        <f t="shared" ref="AA461:AF461" si="894">SUM(AA453:AA460)</f>
        <v>0</v>
      </c>
      <c r="AB461" s="102">
        <f t="shared" si="894"/>
        <v>0</v>
      </c>
      <c r="AC461" s="102">
        <f t="shared" si="894"/>
        <v>0</v>
      </c>
      <c r="AD461" s="102">
        <f t="shared" si="894"/>
        <v>548553.11652542301</v>
      </c>
      <c r="AE461" s="102">
        <f t="shared" si="894"/>
        <v>1009703.3368644068</v>
      </c>
      <c r="AF461" s="102">
        <f t="shared" si="894"/>
        <v>1558256.4533898297</v>
      </c>
      <c r="AG461" s="31"/>
      <c r="AH461" s="419"/>
      <c r="AI461" s="43" t="s">
        <v>6</v>
      </c>
      <c r="AJ461" s="43"/>
      <c r="AK461" s="43" t="s">
        <v>931</v>
      </c>
      <c r="AL461" s="303">
        <v>1621685.6249999995</v>
      </c>
      <c r="AM461" s="303">
        <f>SUM(AM453:AM460)</f>
        <v>1558256.4533898297</v>
      </c>
      <c r="AN461" s="303">
        <f>SUM(AN453:AN460)</f>
        <v>63429.171610169549</v>
      </c>
    </row>
    <row r="462" spans="1:42" ht="15.75" customHeight="1" x14ac:dyDescent="0.2">
      <c r="A462" s="42" t="s">
        <v>240</v>
      </c>
      <c r="B462" s="42" t="s">
        <v>241</v>
      </c>
      <c r="C462" s="79" t="s">
        <v>1</v>
      </c>
      <c r="D462" s="293" t="s">
        <v>1182</v>
      </c>
      <c r="E462" s="47">
        <f>ROUND(SUMIF('Target Achieved- Input'!$B$373:$B$466,'Incentive Report- Output'!B462,'Target Achieved- Input'!$G$373:$G$466),0)</f>
        <v>170</v>
      </c>
      <c r="F462" s="47">
        <f>ROUND(SUMIF('Target Achieved- Input'!$B$373:$B$466,'Incentive Report- Output'!B462,'Target Achieved- Input'!$H$373:$H$466),0)</f>
        <v>221</v>
      </c>
      <c r="G462" s="47">
        <f>SUMIF('Target Achieved- Input'!$L$373:$L$466,'Incentive Report- Output'!B462,'Target Achieved- Input'!$O$373:$O$466)</f>
        <v>143</v>
      </c>
      <c r="H462" s="39">
        <f>SUMIF('Target Achieved- Input'!$S$373:$S$466,'Incentive Report- Output'!B462,'Target Achieved- Input'!$V$373:$V$466)</f>
        <v>10</v>
      </c>
      <c r="I462" s="48">
        <f>SUMIF('Target Achieved- Input'!$L$373:$L$466,'Incentive Report- Output'!B462,'Target Achieved- Input'!$AC$373:$AC$466)</f>
        <v>0</v>
      </c>
      <c r="J462" s="39">
        <f t="shared" ref="J462:J465" si="895">G462-H462</f>
        <v>133</v>
      </c>
      <c r="K462" s="40">
        <f t="shared" ref="K462:K465" si="896">IFERROR(J462/E462,0)</f>
        <v>0.78235294117647058</v>
      </c>
      <c r="L462" s="41">
        <f t="shared" ref="L462:L465" si="897">E462*33000</f>
        <v>5610000</v>
      </c>
      <c r="M462" s="41">
        <f>SUMIF('Target Achieved- Input'!$L$373:$L$466,'Incentive Report- Output'!B462,'Target Achieved- Input'!$M$373:$M$466)</f>
        <v>8659257</v>
      </c>
      <c r="N462" s="41">
        <f>SUMIF('Target Achieved- Input'!$S$373:$S$466,'Incentive Report- Output'!B462,'Target Achieved- Input'!$U$373:$U$466)</f>
        <v>481601.69491525367</v>
      </c>
      <c r="O462" s="41">
        <f>SUMIF('Target Achieved- Input'!$L$373:$L$466,'Incentive Report- Output'!B462,'Target Achieved- Input'!$N$373:$N$466)-N462</f>
        <v>6856751.6949152555</v>
      </c>
      <c r="P462" s="40">
        <f t="shared" ref="P462:P465" si="898">IFERROR(O462/L462,0)</f>
        <v>1.2222373787727727</v>
      </c>
      <c r="Q462" s="40">
        <f t="shared" ref="Q462:Q465" si="899">MAX(P462,K462)</f>
        <v>1.2222373787727727</v>
      </c>
      <c r="R462" s="40">
        <v>0</v>
      </c>
      <c r="S462" s="49">
        <f>(LOOKUP(Q462,Policy!$L$12:$M$16)+R462)*O462</f>
        <v>154276.91313559323</v>
      </c>
      <c r="T462" s="191"/>
      <c r="U462" s="192"/>
      <c r="V462" s="144"/>
      <c r="W462" s="192"/>
      <c r="X462" s="385"/>
      <c r="Y462" s="385"/>
      <c r="Z462" s="385"/>
      <c r="AA462" s="52">
        <v>0</v>
      </c>
      <c r="AB462" s="52">
        <v>0</v>
      </c>
      <c r="AC462" s="52">
        <v>0</v>
      </c>
      <c r="AD462" s="41">
        <f t="shared" ref="AD462:AD465" si="900">IF(AF462&gt;200000,AF462-200000,0)</f>
        <v>0</v>
      </c>
      <c r="AE462" s="41">
        <f t="shared" ref="AE462:AE465" si="901">AF462-AD462</f>
        <v>154276.91313559323</v>
      </c>
      <c r="AF462" s="41">
        <f>S462+W462+AB462+AC462</f>
        <v>154276.91313559323</v>
      </c>
      <c r="AG462" s="32"/>
      <c r="AH462" s="419"/>
      <c r="AI462" s="22" t="s">
        <v>240</v>
      </c>
      <c r="AJ462" s="1" t="s">
        <v>241</v>
      </c>
      <c r="AK462" s="195" t="s">
        <v>1182</v>
      </c>
      <c r="AL462" s="309">
        <v>220150.60169491527</v>
      </c>
      <c r="AM462" s="299">
        <f t="shared" ref="AM462:AM465" si="902">AF462</f>
        <v>154276.91313559323</v>
      </c>
      <c r="AN462" s="300">
        <f t="shared" ref="AN462:AN465" si="903">AL462-AM462</f>
        <v>65873.688559322036</v>
      </c>
    </row>
    <row r="463" spans="1:42" ht="15.75" customHeight="1" x14ac:dyDescent="0.2">
      <c r="A463" s="42" t="s">
        <v>352</v>
      </c>
      <c r="B463" s="42" t="s">
        <v>289</v>
      </c>
      <c r="C463" s="79" t="s">
        <v>1185</v>
      </c>
      <c r="D463" s="293" t="s">
        <v>1182</v>
      </c>
      <c r="E463" s="47">
        <f>ROUND(SUMIF('Target Achieved- Input'!$B$373:$B$466,'Incentive Report- Output'!B463,'Target Achieved- Input'!$G$373:$G$466),0)</f>
        <v>190</v>
      </c>
      <c r="F463" s="47">
        <f>ROUND(SUMIF('Target Achieved- Input'!$B$373:$B$466,'Incentive Report- Output'!B463,'Target Achieved- Input'!$H$373:$H$466),0)</f>
        <v>247</v>
      </c>
      <c r="G463" s="47">
        <f>SUMIF('Target Achieved- Input'!$L$373:$L$466,'Incentive Report- Output'!B463,'Target Achieved- Input'!$O$373:$O$466)</f>
        <v>166</v>
      </c>
      <c r="H463" s="39">
        <f>SUMIF('Target Achieved- Input'!$S$373:$S$466,'Incentive Report- Output'!B463,'Target Achieved- Input'!$V$373:$V$466)</f>
        <v>12</v>
      </c>
      <c r="I463" s="48">
        <f>SUMIF('Target Achieved- Input'!$L$373:$L$466,'Incentive Report- Output'!B463,'Target Achieved- Input'!$AC$373:$AC$466)</f>
        <v>0</v>
      </c>
      <c r="J463" s="39">
        <f t="shared" si="895"/>
        <v>154</v>
      </c>
      <c r="K463" s="40">
        <f t="shared" si="896"/>
        <v>0.81052631578947365</v>
      </c>
      <c r="L463" s="41">
        <f t="shared" si="897"/>
        <v>6270000</v>
      </c>
      <c r="M463" s="41">
        <f>SUMIF('Target Achieved- Input'!$L$373:$L$466,'Incentive Report- Output'!B463,'Target Achieved- Input'!$M$373:$M$466)</f>
        <v>9733884</v>
      </c>
      <c r="N463" s="41">
        <f>SUMIF('Target Achieved- Input'!$S$373:$S$466,'Incentive Report- Output'!B463,'Target Achieved- Input'!$U$373:$U$466)</f>
        <v>569142.37288135535</v>
      </c>
      <c r="O463" s="41">
        <f>SUMIF('Target Achieved- Input'!$L$373:$L$466,'Incentive Report- Output'!B463,'Target Achieved- Input'!$N$373:$N$466)-N463</f>
        <v>7679911.8644067803</v>
      </c>
      <c r="P463" s="40">
        <f t="shared" si="898"/>
        <v>1.2248663260616874</v>
      </c>
      <c r="Q463" s="40">
        <f t="shared" si="899"/>
        <v>1.2248663260616874</v>
      </c>
      <c r="R463" s="40">
        <v>0</v>
      </c>
      <c r="S463" s="49">
        <f>(LOOKUP(Q463,Policy!$L$12:$M$16)+R463)*O463</f>
        <v>172798.01694915254</v>
      </c>
      <c r="T463" s="191"/>
      <c r="U463" s="192"/>
      <c r="V463" s="51"/>
      <c r="W463" s="156"/>
      <c r="X463" s="386"/>
      <c r="Y463" s="386"/>
      <c r="Z463" s="386"/>
      <c r="AA463" s="52">
        <v>0</v>
      </c>
      <c r="AB463" s="52">
        <v>0</v>
      </c>
      <c r="AC463" s="52">
        <v>0</v>
      </c>
      <c r="AD463" s="41">
        <f t="shared" si="900"/>
        <v>0</v>
      </c>
      <c r="AE463" s="41">
        <f t="shared" si="901"/>
        <v>172798.01694915254</v>
      </c>
      <c r="AF463" s="41">
        <f>S463+W463+AB463+AC463</f>
        <v>172798.01694915254</v>
      </c>
      <c r="AG463" s="32"/>
      <c r="AH463" s="419"/>
      <c r="AI463" s="22" t="s">
        <v>352</v>
      </c>
      <c r="AJ463" s="1" t="s">
        <v>289</v>
      </c>
      <c r="AK463" s="195" t="s">
        <v>1182</v>
      </c>
      <c r="AL463" s="309">
        <v>247471.62711864407</v>
      </c>
      <c r="AM463" s="299">
        <f t="shared" si="902"/>
        <v>172798.01694915254</v>
      </c>
      <c r="AN463" s="300">
        <f t="shared" si="903"/>
        <v>74673.610169491527</v>
      </c>
    </row>
    <row r="464" spans="1:42" ht="15.75" customHeight="1" x14ac:dyDescent="0.2">
      <c r="A464" s="42" t="s">
        <v>1186</v>
      </c>
      <c r="B464" s="42" t="s">
        <v>1187</v>
      </c>
      <c r="C464" s="79" t="s">
        <v>1</v>
      </c>
      <c r="D464" s="293" t="s">
        <v>1182</v>
      </c>
      <c r="E464" s="47">
        <f>ROUND(SUMIF('Target Achieved- Input'!$B$373:$B$466,'Incentive Report- Output'!B464,'Target Achieved- Input'!$G$373:$G$466),0)</f>
        <v>0</v>
      </c>
      <c r="F464" s="47">
        <f>ROUND(SUMIF('Target Achieved- Input'!$B$373:$B$466,'Incentive Report- Output'!B464,'Target Achieved- Input'!$H$373:$H$466),0)</f>
        <v>0</v>
      </c>
      <c r="G464" s="47">
        <f>SUMIF('Target Achieved- Input'!$L$373:$L$466,'Incentive Report- Output'!B464,'Target Achieved- Input'!$O$373:$O$466)</f>
        <v>0</v>
      </c>
      <c r="H464" s="39">
        <f>SUMIF('Target Achieved- Input'!$S$373:$S$466,'Incentive Report- Output'!B464,'Target Achieved- Input'!$V$373:$V$466)</f>
        <v>0</v>
      </c>
      <c r="I464" s="48">
        <f>SUMIF('Target Achieved- Input'!$L$373:$L$466,'Incentive Report- Output'!B464,'Target Achieved- Input'!$AC$373:$AC$466)</f>
        <v>0</v>
      </c>
      <c r="J464" s="39">
        <f t="shared" si="895"/>
        <v>0</v>
      </c>
      <c r="K464" s="40">
        <f t="shared" si="896"/>
        <v>0</v>
      </c>
      <c r="L464" s="41">
        <f t="shared" si="897"/>
        <v>0</v>
      </c>
      <c r="M464" s="41">
        <f>SUMIF('Target Achieved- Input'!$L$373:$L$466,'Incentive Report- Output'!B464,'Target Achieved- Input'!$M$373:$M$466)</f>
        <v>0</v>
      </c>
      <c r="N464" s="41">
        <f>SUMIF('Target Achieved- Input'!$S$373:$S$466,'Incentive Report- Output'!B464,'Target Achieved- Input'!$U$373:$U$466)</f>
        <v>0</v>
      </c>
      <c r="O464" s="41">
        <f>SUMIF('Target Achieved- Input'!$L$373:$L$466,'Incentive Report- Output'!B464,'Target Achieved- Input'!$N$373:$N$466)-N464</f>
        <v>0</v>
      </c>
      <c r="P464" s="40">
        <f t="shared" si="898"/>
        <v>0</v>
      </c>
      <c r="Q464" s="40">
        <f t="shared" si="899"/>
        <v>0</v>
      </c>
      <c r="R464" s="40">
        <v>0</v>
      </c>
      <c r="S464" s="49">
        <f>(LOOKUP(Q464,Policy!$L$12:$M$16)+R464)*O464</f>
        <v>0</v>
      </c>
      <c r="T464" s="191"/>
      <c r="U464" s="192"/>
      <c r="V464" s="144"/>
      <c r="W464" s="192"/>
      <c r="X464" s="386"/>
      <c r="Y464" s="386"/>
      <c r="Z464" s="386"/>
      <c r="AA464" s="52">
        <v>0</v>
      </c>
      <c r="AB464" s="52">
        <v>0</v>
      </c>
      <c r="AC464" s="52">
        <v>0</v>
      </c>
      <c r="AD464" s="41">
        <f t="shared" si="900"/>
        <v>0</v>
      </c>
      <c r="AE464" s="41">
        <f t="shared" si="901"/>
        <v>0</v>
      </c>
      <c r="AF464" s="41">
        <f>S464+W464+AB464+AC464</f>
        <v>0</v>
      </c>
      <c r="AG464" s="32"/>
      <c r="AH464" s="419"/>
      <c r="AI464" s="22" t="s">
        <v>1186</v>
      </c>
      <c r="AJ464" s="1" t="s">
        <v>1187</v>
      </c>
      <c r="AK464" s="195" t="s">
        <v>1182</v>
      </c>
      <c r="AL464" s="309">
        <v>0</v>
      </c>
      <c r="AM464" s="299">
        <f t="shared" si="902"/>
        <v>0</v>
      </c>
      <c r="AN464" s="300">
        <f t="shared" si="903"/>
        <v>0</v>
      </c>
    </row>
    <row r="465" spans="1:40" ht="15.75" customHeight="1" x14ac:dyDescent="0.2">
      <c r="A465" s="42" t="s">
        <v>230</v>
      </c>
      <c r="B465" s="42" t="s">
        <v>35</v>
      </c>
      <c r="C465" s="79" t="s">
        <v>1</v>
      </c>
      <c r="D465" s="293" t="s">
        <v>1182</v>
      </c>
      <c r="E465" s="47">
        <f>ROUND(SUMIF('Target Achieved- Input'!$B$373:$B$466,'Incentive Report- Output'!B465,'Target Achieved- Input'!$G$373:$G$466),0)</f>
        <v>125</v>
      </c>
      <c r="F465" s="47">
        <f>ROUND(SUMIF('Target Achieved- Input'!$B$373:$B$466,'Incentive Report- Output'!B465,'Target Achieved- Input'!$H$373:$H$466),0)</f>
        <v>163</v>
      </c>
      <c r="G465" s="47">
        <f>SUMIF('Target Achieved- Input'!$L$373:$L$466,'Incentive Report- Output'!B465,'Target Achieved- Input'!$O$373:$O$466)</f>
        <v>100</v>
      </c>
      <c r="H465" s="39">
        <f>SUMIF('Target Achieved- Input'!$S$373:$S$466,'Incentive Report- Output'!B465,'Target Achieved- Input'!$V$373:$V$466)</f>
        <v>25</v>
      </c>
      <c r="I465" s="48">
        <f>SUMIF('Target Achieved- Input'!$L$373:$L$466,'Incentive Report- Output'!B465,'Target Achieved- Input'!$AC$373:$AC$466)</f>
        <v>1</v>
      </c>
      <c r="J465" s="39">
        <f t="shared" si="895"/>
        <v>75</v>
      </c>
      <c r="K465" s="40">
        <f t="shared" si="896"/>
        <v>0.6</v>
      </c>
      <c r="L465" s="41">
        <f t="shared" si="897"/>
        <v>4125000</v>
      </c>
      <c r="M465" s="41">
        <f>SUMIF('Target Achieved- Input'!$L$373:$L$466,'Incentive Report- Output'!B465,'Target Achieved- Input'!$M$373:$M$466)</f>
        <v>5984800</v>
      </c>
      <c r="N465" s="41">
        <f>SUMIF('Target Achieved- Input'!$S$373:$S$466,'Incentive Report- Output'!B465,'Target Achieved- Input'!$U$373:$U$466)</f>
        <v>1114300.8474576259</v>
      </c>
      <c r="O465" s="41">
        <f>SUMIF('Target Achieved- Input'!$L$373:$L$466,'Incentive Report- Output'!B465,'Target Achieved- Input'!$N$373:$N$466)-N465</f>
        <v>3957563.5593220284</v>
      </c>
      <c r="P465" s="40">
        <f t="shared" si="898"/>
        <v>0.95940934771443109</v>
      </c>
      <c r="Q465" s="40">
        <f t="shared" si="899"/>
        <v>0.95940934771443109</v>
      </c>
      <c r="R465" s="40">
        <v>0</v>
      </c>
      <c r="S465" s="49">
        <f>(LOOKUP(Q465,Policy!$L$12:$M$16)+R465)*O465</f>
        <v>39575.635593220286</v>
      </c>
      <c r="T465" s="185"/>
      <c r="U465" s="156"/>
      <c r="V465" s="51"/>
      <c r="W465" s="156"/>
      <c r="X465" s="387"/>
      <c r="Y465" s="387"/>
      <c r="Z465" s="387"/>
      <c r="AA465" s="52">
        <v>0</v>
      </c>
      <c r="AB465" s="52">
        <v>0</v>
      </c>
      <c r="AC465" s="52">
        <v>0</v>
      </c>
      <c r="AD465" s="41">
        <f t="shared" si="900"/>
        <v>0</v>
      </c>
      <c r="AE465" s="41">
        <f t="shared" si="901"/>
        <v>39575.635593220286</v>
      </c>
      <c r="AF465" s="41">
        <f>S465+W465+AB465+AC465</f>
        <v>39575.635593220286</v>
      </c>
      <c r="AG465" s="32"/>
      <c r="AH465" s="419"/>
      <c r="AI465" s="22" t="s">
        <v>230</v>
      </c>
      <c r="AJ465" s="1" t="s">
        <v>35</v>
      </c>
      <c r="AK465" s="195" t="s">
        <v>1182</v>
      </c>
      <c r="AL465" s="309">
        <v>114116.94915254222</v>
      </c>
      <c r="AM465" s="299">
        <f t="shared" si="902"/>
        <v>39575.635593220286</v>
      </c>
      <c r="AN465" s="300">
        <f t="shared" si="903"/>
        <v>74541.313559321934</v>
      </c>
    </row>
    <row r="466" spans="1:40" ht="15.75" customHeight="1" x14ac:dyDescent="0.2">
      <c r="A466" s="109" t="s">
        <v>6</v>
      </c>
      <c r="B466" s="109"/>
      <c r="C466" s="109"/>
      <c r="D466" s="292" t="s">
        <v>1182</v>
      </c>
      <c r="E466" s="88">
        <f t="shared" ref="E466:J466" si="904">SUM(E462:E465)</f>
        <v>485</v>
      </c>
      <c r="F466" s="88">
        <f t="shared" si="904"/>
        <v>631</v>
      </c>
      <c r="G466" s="88">
        <f t="shared" si="904"/>
        <v>409</v>
      </c>
      <c r="H466" s="88">
        <f t="shared" si="904"/>
        <v>47</v>
      </c>
      <c r="I466" s="88">
        <f t="shared" si="904"/>
        <v>1</v>
      </c>
      <c r="J466" s="88">
        <f t="shared" si="904"/>
        <v>362</v>
      </c>
      <c r="K466" s="45"/>
      <c r="L466" s="88">
        <f>SUM(L462:L465)</f>
        <v>16005000</v>
      </c>
      <c r="M466" s="88">
        <f>SUM(M462:M465)</f>
        <v>24377941</v>
      </c>
      <c r="N466" s="88">
        <f>SUM(N462:N465)</f>
        <v>2165044.9152542348</v>
      </c>
      <c r="O466" s="88">
        <f>SUM(O462:O465)</f>
        <v>18494227.118644066</v>
      </c>
      <c r="P466" s="45"/>
      <c r="Q466" s="46"/>
      <c r="R466" s="237"/>
      <c r="S466" s="88">
        <f t="shared" ref="S466:AF466" si="905">SUM(S462:S465)</f>
        <v>366650.56567796605</v>
      </c>
      <c r="T466" s="88">
        <f t="shared" si="905"/>
        <v>0</v>
      </c>
      <c r="U466" s="88">
        <f t="shared" si="905"/>
        <v>0</v>
      </c>
      <c r="V466" s="88">
        <f t="shared" si="905"/>
        <v>0</v>
      </c>
      <c r="W466" s="88">
        <f t="shared" si="905"/>
        <v>0</v>
      </c>
      <c r="X466" s="88">
        <f t="shared" si="905"/>
        <v>0</v>
      </c>
      <c r="Y466" s="88">
        <f t="shared" si="905"/>
        <v>0</v>
      </c>
      <c r="Z466" s="88">
        <f t="shared" si="905"/>
        <v>0</v>
      </c>
      <c r="AA466" s="88">
        <f t="shared" si="905"/>
        <v>0</v>
      </c>
      <c r="AB466" s="88">
        <f t="shared" si="905"/>
        <v>0</v>
      </c>
      <c r="AC466" s="88">
        <f t="shared" si="905"/>
        <v>0</v>
      </c>
      <c r="AD466" s="88">
        <f t="shared" si="905"/>
        <v>0</v>
      </c>
      <c r="AE466" s="88">
        <f t="shared" si="905"/>
        <v>366650.56567796605</v>
      </c>
      <c r="AF466" s="88">
        <f t="shared" si="905"/>
        <v>366650.56567796605</v>
      </c>
      <c r="AG466" s="31"/>
      <c r="AH466" s="419"/>
      <c r="AI466" s="43" t="s">
        <v>6</v>
      </c>
      <c r="AJ466" s="43"/>
      <c r="AK466" s="43" t="s">
        <v>1182</v>
      </c>
      <c r="AL466" s="307">
        <v>581739.17796610156</v>
      </c>
      <c r="AM466" s="307">
        <f>SUM(AM462:AM465)</f>
        <v>366650.56567796605</v>
      </c>
      <c r="AN466" s="307">
        <f>SUM(AN462:AN465)</f>
        <v>215088.61228813551</v>
      </c>
    </row>
    <row r="467" spans="1:40" ht="15.75" customHeight="1" x14ac:dyDescent="0.2">
      <c r="A467" s="42" t="s">
        <v>57</v>
      </c>
      <c r="B467" s="42" t="s">
        <v>58</v>
      </c>
      <c r="C467" s="42" t="s">
        <v>0</v>
      </c>
      <c r="D467" s="293" t="s">
        <v>1183</v>
      </c>
      <c r="E467" s="47">
        <f>ROUND(SUMIF('Target Achieved- Input'!$B$373:$B$466,'Incentive Report- Output'!B467,'Target Achieved- Input'!$G$373:$G$466),0)</f>
        <v>160</v>
      </c>
      <c r="F467" s="47">
        <f>ROUND(SUMIF('Target Achieved- Input'!$B$373:$B$466,'Incentive Report- Output'!B467,'Target Achieved- Input'!$H$373:$H$466),0)</f>
        <v>208</v>
      </c>
      <c r="G467" s="47">
        <f>SUMIF('Target Achieved- Input'!$L$373:$L$466,'Incentive Report- Output'!B467,'Target Achieved- Input'!$O$373:$O$466)</f>
        <v>138</v>
      </c>
      <c r="H467" s="39">
        <f>SUMIF('Target Achieved- Input'!$S$373:$S$466,'Incentive Report- Output'!B467,'Target Achieved- Input'!$V$373:$V$466)</f>
        <v>39</v>
      </c>
      <c r="I467" s="48">
        <f>SUMIF('Target Achieved- Input'!$L$373:$L$466,'Incentive Report- Output'!B467,'Target Achieved- Input'!$AC$373:$AC$466)</f>
        <v>0</v>
      </c>
      <c r="J467" s="39">
        <f t="shared" ref="J467:J472" si="906">G467-H467</f>
        <v>99</v>
      </c>
      <c r="K467" s="40">
        <f t="shared" ref="K467:K472" si="907">IFERROR(J467/E467,0)</f>
        <v>0.61875000000000002</v>
      </c>
      <c r="L467" s="41">
        <f t="shared" ref="L467:L472" si="908">E467*33000</f>
        <v>5280000</v>
      </c>
      <c r="M467" s="41">
        <f>SUMIF('Target Achieved- Input'!$L$373:$L$466,'Incentive Report- Output'!B467,'Target Achieved- Input'!$M$373:$M$466)</f>
        <v>9014362</v>
      </c>
      <c r="N467" s="41">
        <f>SUMIF('Target Achieved- Input'!$S$373:$S$466,'Incentive Report- Output'!B467,'Target Achieved- Input'!$U$373:$U$466)</f>
        <v>1996153.3898305071</v>
      </c>
      <c r="O467" s="41">
        <f>SUMIF('Target Achieved- Input'!$L$373:$L$466,'Incentive Report- Output'!B467,'Target Achieved- Input'!$N$373:$N$466)-N467</f>
        <v>5643136.4406779688</v>
      </c>
      <c r="P467" s="40">
        <f t="shared" ref="P467:P472" si="909">IFERROR(O467/L467,0)</f>
        <v>1.0687758410374941</v>
      </c>
      <c r="Q467" s="40">
        <f t="shared" ref="Q467:Q472" si="910">MAX(P467,K467)</f>
        <v>1.0687758410374941</v>
      </c>
      <c r="R467" s="40">
        <v>0</v>
      </c>
      <c r="S467" s="49">
        <f>(LOOKUP(Q467,Policy!$L$12:$M$16)+R467)*O467</f>
        <v>126970.56991525429</v>
      </c>
      <c r="T467" s="191"/>
      <c r="U467" s="192"/>
      <c r="V467" s="144"/>
      <c r="W467" s="192"/>
      <c r="X467" s="385"/>
      <c r="Y467" s="385"/>
      <c r="Z467" s="385"/>
      <c r="AA467" s="52">
        <v>0</v>
      </c>
      <c r="AB467" s="52">
        <v>0</v>
      </c>
      <c r="AC467" s="52">
        <v>0</v>
      </c>
      <c r="AD467" s="41">
        <f t="shared" ref="AD467:AD472" si="911">IF(AF467&gt;200000,AF467-200000,0)</f>
        <v>0</v>
      </c>
      <c r="AE467" s="41">
        <f t="shared" ref="AE467:AE472" si="912">AF467-AD467</f>
        <v>126970.56991525429</v>
      </c>
      <c r="AF467" s="41">
        <f t="shared" ref="AF467:AF472" si="913">S467+W467+AB467+AC467</f>
        <v>126970.56991525429</v>
      </c>
      <c r="AG467" s="32"/>
      <c r="AH467" s="419"/>
      <c r="AI467" s="289" t="s">
        <v>57</v>
      </c>
      <c r="AJ467" s="289" t="s">
        <v>58</v>
      </c>
      <c r="AK467" s="289" t="s">
        <v>1183</v>
      </c>
      <c r="AL467" s="309">
        <v>229178.69491525428</v>
      </c>
      <c r="AM467" s="299">
        <f t="shared" ref="AM467:AM472" si="914">AF467</f>
        <v>126970.56991525429</v>
      </c>
      <c r="AN467" s="300">
        <f t="shared" ref="AN467:AN472" si="915">AL467-AM467</f>
        <v>102208.12499999999</v>
      </c>
    </row>
    <row r="468" spans="1:40" ht="15.75" customHeight="1" x14ac:dyDescent="0.2">
      <c r="A468" s="42" t="s">
        <v>207</v>
      </c>
      <c r="B468" s="42" t="s">
        <v>201</v>
      </c>
      <c r="C468" s="79" t="s">
        <v>1</v>
      </c>
      <c r="D468" s="293" t="s">
        <v>1183</v>
      </c>
      <c r="E468" s="47">
        <f>ROUND(SUMIF('Target Achieved- Input'!$B$373:$B$466,'Incentive Report- Output'!B468,'Target Achieved- Input'!$G$373:$G$466),0)</f>
        <v>180</v>
      </c>
      <c r="F468" s="47">
        <f>ROUND(SUMIF('Target Achieved- Input'!$B$373:$B$466,'Incentive Report- Output'!B468,'Target Achieved- Input'!$H$373:$H$466),0)</f>
        <v>234</v>
      </c>
      <c r="G468" s="47">
        <f>SUMIF('Target Achieved- Input'!$L$373:$L$466,'Incentive Report- Output'!B468,'Target Achieved- Input'!$O$373:$O$466)</f>
        <v>111</v>
      </c>
      <c r="H468" s="39">
        <f>SUMIF('Target Achieved- Input'!$S$373:$S$466,'Incentive Report- Output'!B468,'Target Achieved- Input'!$V$373:$V$466)</f>
        <v>6</v>
      </c>
      <c r="I468" s="48">
        <f>SUMIF('Target Achieved- Input'!$L$373:$L$466,'Incentive Report- Output'!B468,'Target Achieved- Input'!$AC$373:$AC$466)</f>
        <v>1</v>
      </c>
      <c r="J468" s="39">
        <f t="shared" si="906"/>
        <v>105</v>
      </c>
      <c r="K468" s="40">
        <f t="shared" si="907"/>
        <v>0.58333333333333337</v>
      </c>
      <c r="L468" s="41">
        <f t="shared" si="908"/>
        <v>5940000</v>
      </c>
      <c r="M468" s="41">
        <f>SUMIF('Target Achieved- Input'!$L$373:$L$466,'Incentive Report- Output'!B468,'Target Achieved- Input'!$M$373:$M$466)</f>
        <v>6613489</v>
      </c>
      <c r="N468" s="41">
        <f>SUMIF('Target Achieved- Input'!$S$373:$S$466,'Incentive Report- Output'!B468,'Target Achieved- Input'!$U$373:$U$466)</f>
        <v>285588.13559322001</v>
      </c>
      <c r="O468" s="41">
        <f>SUMIF('Target Achieved- Input'!$L$373:$L$466,'Incentive Report- Output'!B468,'Target Achieved- Input'!$N$373:$N$466)-N468</f>
        <v>5319063.5593220303</v>
      </c>
      <c r="P468" s="40">
        <f t="shared" si="909"/>
        <v>0.8954652456771095</v>
      </c>
      <c r="Q468" s="40">
        <f t="shared" si="910"/>
        <v>0.8954652456771095</v>
      </c>
      <c r="R468" s="40">
        <v>0</v>
      </c>
      <c r="S468" s="49">
        <f>(LOOKUP(Q468,Policy!$L$12:$M$16)+R468)*O468</f>
        <v>53190.635593220301</v>
      </c>
      <c r="T468" s="191"/>
      <c r="U468" s="192"/>
      <c r="V468" s="144"/>
      <c r="W468" s="192"/>
      <c r="X468" s="386"/>
      <c r="Y468" s="386"/>
      <c r="Z468" s="386"/>
      <c r="AA468" s="52">
        <v>0</v>
      </c>
      <c r="AB468" s="52">
        <v>0</v>
      </c>
      <c r="AC468" s="52">
        <v>0</v>
      </c>
      <c r="AD468" s="41">
        <f t="shared" si="911"/>
        <v>0</v>
      </c>
      <c r="AE468" s="41">
        <f t="shared" si="912"/>
        <v>53190.635593220301</v>
      </c>
      <c r="AF468" s="41">
        <f t="shared" si="913"/>
        <v>53190.635593220301</v>
      </c>
      <c r="AG468" s="32"/>
      <c r="AH468" s="419"/>
      <c r="AI468" s="289" t="s">
        <v>207</v>
      </c>
      <c r="AJ468" s="289" t="s">
        <v>201</v>
      </c>
      <c r="AK468" s="289" t="s">
        <v>1183</v>
      </c>
      <c r="AL468" s="309">
        <v>56046.516949152501</v>
      </c>
      <c r="AM468" s="299">
        <f t="shared" si="914"/>
        <v>53190.635593220301</v>
      </c>
      <c r="AN468" s="300">
        <f t="shared" si="915"/>
        <v>2855.8813559322007</v>
      </c>
    </row>
    <row r="469" spans="1:40" ht="15.75" customHeight="1" x14ac:dyDescent="0.2">
      <c r="A469" s="42" t="s">
        <v>299</v>
      </c>
      <c r="B469" s="42" t="s">
        <v>290</v>
      </c>
      <c r="C469" s="79" t="s">
        <v>1</v>
      </c>
      <c r="D469" s="293" t="s">
        <v>1183</v>
      </c>
      <c r="E469" s="47">
        <f>ROUND(SUMIF('Target Achieved- Input'!$B$373:$B$466,'Incentive Report- Output'!B469,'Target Achieved- Input'!$G$373:$G$466),0)</f>
        <v>140</v>
      </c>
      <c r="F469" s="47">
        <f>ROUND(SUMIF('Target Achieved- Input'!$B$373:$B$466,'Incentive Report- Output'!B469,'Target Achieved- Input'!$H$373:$H$466),0)</f>
        <v>182</v>
      </c>
      <c r="G469" s="47">
        <f>SUMIF('Target Achieved- Input'!$L$373:$L$466,'Incentive Report- Output'!B469,'Target Achieved- Input'!$O$373:$O$466)</f>
        <v>90</v>
      </c>
      <c r="H469" s="39">
        <f>SUMIF('Target Achieved- Input'!$S$373:$S$466,'Incentive Report- Output'!B469,'Target Achieved- Input'!$V$373:$V$466)</f>
        <v>9</v>
      </c>
      <c r="I469" s="48">
        <f>SUMIF('Target Achieved- Input'!$L$373:$L$466,'Incentive Report- Output'!B469,'Target Achieved- Input'!$AC$373:$AC$466)</f>
        <v>0</v>
      </c>
      <c r="J469" s="39">
        <f t="shared" si="906"/>
        <v>81</v>
      </c>
      <c r="K469" s="40">
        <f t="shared" si="907"/>
        <v>0.57857142857142863</v>
      </c>
      <c r="L469" s="41">
        <f t="shared" si="908"/>
        <v>4620000</v>
      </c>
      <c r="M469" s="41">
        <f>SUMIF('Target Achieved- Input'!$L$373:$L$466,'Incentive Report- Output'!B469,'Target Achieved- Input'!$M$373:$M$466)</f>
        <v>5367910</v>
      </c>
      <c r="N469" s="41">
        <f>SUMIF('Target Achieved- Input'!$S$373:$S$466,'Incentive Report- Output'!B469,'Target Achieved- Input'!$U$373:$U$466)</f>
        <v>443212.7118644063</v>
      </c>
      <c r="O469" s="41">
        <f>SUMIF('Target Achieved- Input'!$L$373:$L$466,'Incentive Report- Output'!B469,'Target Achieved- Input'!$N$373:$N$466)-N469</f>
        <v>4105863.5593220284</v>
      </c>
      <c r="P469" s="40">
        <f t="shared" si="909"/>
        <v>0.88871505613030921</v>
      </c>
      <c r="Q469" s="40">
        <f t="shared" si="910"/>
        <v>0.88871505613030921</v>
      </c>
      <c r="R469" s="40">
        <v>0</v>
      </c>
      <c r="S469" s="49">
        <f>(LOOKUP(Q469,Policy!$L$12:$M$16)+R469)*O469</f>
        <v>41058.635593220286</v>
      </c>
      <c r="T469" s="191"/>
      <c r="U469" s="192"/>
      <c r="V469" s="144"/>
      <c r="W469" s="192"/>
      <c r="X469" s="386"/>
      <c r="Y469" s="386"/>
      <c r="Z469" s="386"/>
      <c r="AA469" s="52">
        <v>0</v>
      </c>
      <c r="AB469" s="52">
        <v>0</v>
      </c>
      <c r="AC469" s="52">
        <v>0</v>
      </c>
      <c r="AD469" s="41">
        <f t="shared" si="911"/>
        <v>0</v>
      </c>
      <c r="AE469" s="41">
        <f t="shared" si="912"/>
        <v>41058.635593220286</v>
      </c>
      <c r="AF469" s="41">
        <f t="shared" si="913"/>
        <v>41058.635593220286</v>
      </c>
      <c r="AG469" s="32"/>
      <c r="AH469" s="419"/>
      <c r="AI469" s="289" t="s">
        <v>299</v>
      </c>
      <c r="AJ469" s="289" t="s">
        <v>290</v>
      </c>
      <c r="AK469" s="289" t="s">
        <v>1183</v>
      </c>
      <c r="AL469" s="309">
        <v>45490.76271186435</v>
      </c>
      <c r="AM469" s="299">
        <f t="shared" si="914"/>
        <v>41058.635593220286</v>
      </c>
      <c r="AN469" s="300">
        <f t="shared" si="915"/>
        <v>4432.1271186440645</v>
      </c>
    </row>
    <row r="470" spans="1:40" ht="15.75" customHeight="1" x14ac:dyDescent="0.2">
      <c r="A470" s="42" t="s">
        <v>837</v>
      </c>
      <c r="B470" s="42" t="s">
        <v>838</v>
      </c>
      <c r="C470" s="79" t="s">
        <v>1</v>
      </c>
      <c r="D470" s="293" t="s">
        <v>1183</v>
      </c>
      <c r="E470" s="47">
        <f>ROUND(SUMIF('Target Achieved- Input'!$B$373:$B$466,'Incentive Report- Output'!B470,'Target Achieved- Input'!$G$373:$G$466),0)</f>
        <v>200</v>
      </c>
      <c r="F470" s="47">
        <f>ROUND(SUMIF('Target Achieved- Input'!$B$373:$B$466,'Incentive Report- Output'!B470,'Target Achieved- Input'!$H$373:$H$466),0)</f>
        <v>260</v>
      </c>
      <c r="G470" s="47">
        <f>SUMIF('Target Achieved- Input'!$L$373:$L$466,'Incentive Report- Output'!B470,'Target Achieved- Input'!$O$373:$O$466)</f>
        <v>144</v>
      </c>
      <c r="H470" s="39">
        <f>SUMIF('Target Achieved- Input'!$S$373:$S$466,'Incentive Report- Output'!B470,'Target Achieved- Input'!$V$373:$V$466)</f>
        <v>5</v>
      </c>
      <c r="I470" s="48">
        <f>SUMIF('Target Achieved- Input'!$L$373:$L$466,'Incentive Report- Output'!B470,'Target Achieved- Input'!$AC$373:$AC$466)</f>
        <v>0</v>
      </c>
      <c r="J470" s="39">
        <f t="shared" si="906"/>
        <v>139</v>
      </c>
      <c r="K470" s="40">
        <f t="shared" si="907"/>
        <v>0.69499999999999995</v>
      </c>
      <c r="L470" s="41">
        <f t="shared" si="908"/>
        <v>6600000</v>
      </c>
      <c r="M470" s="41">
        <f>SUMIF('Target Achieved- Input'!$L$373:$L$466,'Incentive Report- Output'!B470,'Target Achieved- Input'!$M$373:$M$466)</f>
        <v>8562856</v>
      </c>
      <c r="N470" s="41">
        <f>SUMIF('Target Achieved- Input'!$S$373:$S$466,'Incentive Report- Output'!B470,'Target Achieved- Input'!$U$373:$U$466)</f>
        <v>277961.86440677947</v>
      </c>
      <c r="O470" s="41">
        <f>SUMIF('Target Achieved- Input'!$L$373:$L$466,'Incentive Report- Output'!B470,'Target Achieved- Input'!$N$373:$N$466)-N470</f>
        <v>6978695.7627118621</v>
      </c>
      <c r="P470" s="40">
        <f t="shared" si="909"/>
        <v>1.0573781458654337</v>
      </c>
      <c r="Q470" s="40">
        <f t="shared" si="910"/>
        <v>1.0573781458654337</v>
      </c>
      <c r="R470" s="40">
        <v>0</v>
      </c>
      <c r="S470" s="49">
        <f>(LOOKUP(Q470,Policy!$L$12:$M$16)+R470)*O470</f>
        <v>157020.65466101689</v>
      </c>
      <c r="T470" s="185"/>
      <c r="U470" s="156"/>
      <c r="V470" s="51"/>
      <c r="W470" s="156"/>
      <c r="X470" s="386"/>
      <c r="Y470" s="386"/>
      <c r="Z470" s="386"/>
      <c r="AA470" s="52">
        <v>0</v>
      </c>
      <c r="AB470" s="52">
        <v>0</v>
      </c>
      <c r="AC470" s="52">
        <v>0</v>
      </c>
      <c r="AD470" s="41">
        <f t="shared" si="911"/>
        <v>0</v>
      </c>
      <c r="AE470" s="41">
        <f t="shared" si="912"/>
        <v>157020.65466101689</v>
      </c>
      <c r="AF470" s="41">
        <f t="shared" si="913"/>
        <v>157020.65466101689</v>
      </c>
      <c r="AG470" s="32"/>
      <c r="AH470" s="419"/>
      <c r="AI470" s="289" t="s">
        <v>837</v>
      </c>
      <c r="AJ470" s="289" t="s">
        <v>838</v>
      </c>
      <c r="AK470" s="289" t="s">
        <v>1183</v>
      </c>
      <c r="AL470" s="309">
        <v>163274.79661016943</v>
      </c>
      <c r="AM470" s="299">
        <f t="shared" si="914"/>
        <v>157020.65466101689</v>
      </c>
      <c r="AN470" s="300">
        <f t="shared" si="915"/>
        <v>6254.1419491525448</v>
      </c>
    </row>
    <row r="471" spans="1:40" ht="15.75" customHeight="1" x14ac:dyDescent="0.2">
      <c r="A471" s="42" t="s">
        <v>221</v>
      </c>
      <c r="B471" s="42" t="s">
        <v>45</v>
      </c>
      <c r="C471" s="79" t="s">
        <v>1</v>
      </c>
      <c r="D471" s="293" t="s">
        <v>1183</v>
      </c>
      <c r="E471" s="47">
        <f>ROUND(SUMIF('Target Achieved- Input'!$B$373:$B$466,'Incentive Report- Output'!B471,'Target Achieved- Input'!$G$373:$G$466),0)</f>
        <v>200</v>
      </c>
      <c r="F471" s="47">
        <f>ROUND(SUMIF('Target Achieved- Input'!$B$373:$B$466,'Incentive Report- Output'!B471,'Target Achieved- Input'!$H$373:$H$466),0)</f>
        <v>260</v>
      </c>
      <c r="G471" s="47">
        <f>SUMIF('Target Achieved- Input'!$L$373:$L$466,'Incentive Report- Output'!B471,'Target Achieved- Input'!$O$373:$O$466)</f>
        <v>146</v>
      </c>
      <c r="H471" s="39">
        <f>SUMIF('Target Achieved- Input'!$S$373:$S$466,'Incentive Report- Output'!B471,'Target Achieved- Input'!$V$373:$V$466)</f>
        <v>13</v>
      </c>
      <c r="I471" s="48">
        <f>SUMIF('Target Achieved- Input'!$L$373:$L$466,'Incentive Report- Output'!B471,'Target Achieved- Input'!$AC$373:$AC$466)</f>
        <v>0</v>
      </c>
      <c r="J471" s="39">
        <f t="shared" si="906"/>
        <v>133</v>
      </c>
      <c r="K471" s="40">
        <f t="shared" si="907"/>
        <v>0.66500000000000004</v>
      </c>
      <c r="L471" s="41">
        <f t="shared" si="908"/>
        <v>6600000</v>
      </c>
      <c r="M471" s="41">
        <f>SUMIF('Target Achieved- Input'!$L$373:$L$466,'Incentive Report- Output'!B471,'Target Achieved- Input'!$M$373:$M$466)</f>
        <v>9498154</v>
      </c>
      <c r="N471" s="41">
        <f>SUMIF('Target Achieved- Input'!$S$373:$S$466,'Incentive Report- Output'!B471,'Target Achieved- Input'!$U$373:$U$466)</f>
        <v>668887.28813559271</v>
      </c>
      <c r="O471" s="41">
        <f>SUMIF('Target Achieved- Input'!$L$373:$L$466,'Incentive Report- Output'!B471,'Target Achieved- Input'!$N$373:$N$466)-N471</f>
        <v>7380395.7627118696</v>
      </c>
      <c r="P471" s="40">
        <f t="shared" si="909"/>
        <v>1.1182417822290711</v>
      </c>
      <c r="Q471" s="40">
        <f t="shared" si="910"/>
        <v>1.1182417822290711</v>
      </c>
      <c r="R471" s="40">
        <v>0</v>
      </c>
      <c r="S471" s="49">
        <f>(LOOKUP(Q471,Policy!$L$12:$M$16)+R471)*O471</f>
        <v>166058.90466101706</v>
      </c>
      <c r="T471" s="191"/>
      <c r="U471" s="192"/>
      <c r="V471" s="144"/>
      <c r="W471" s="192"/>
      <c r="X471" s="386"/>
      <c r="Y471" s="386"/>
      <c r="Z471" s="386"/>
      <c r="AA471" s="52">
        <v>0</v>
      </c>
      <c r="AB471" s="52">
        <v>0</v>
      </c>
      <c r="AC471" s="52">
        <v>0</v>
      </c>
      <c r="AD471" s="41">
        <f t="shared" si="911"/>
        <v>0</v>
      </c>
      <c r="AE471" s="41">
        <f t="shared" si="912"/>
        <v>166058.90466101706</v>
      </c>
      <c r="AF471" s="41">
        <f t="shared" si="913"/>
        <v>166058.90466101706</v>
      </c>
      <c r="AG471" s="32"/>
      <c r="AH471" s="419"/>
      <c r="AI471" s="289" t="s">
        <v>221</v>
      </c>
      <c r="AJ471" s="289" t="s">
        <v>45</v>
      </c>
      <c r="AK471" s="289" t="s">
        <v>1183</v>
      </c>
      <c r="AL471" s="309">
        <v>181108.8686440679</v>
      </c>
      <c r="AM471" s="299">
        <f t="shared" si="914"/>
        <v>166058.90466101706</v>
      </c>
      <c r="AN471" s="300">
        <f t="shared" si="915"/>
        <v>15049.963983050839</v>
      </c>
    </row>
    <row r="472" spans="1:40" ht="15.75" customHeight="1" x14ac:dyDescent="0.2">
      <c r="A472" s="42" t="s">
        <v>1165</v>
      </c>
      <c r="B472" s="42" t="s">
        <v>1166</v>
      </c>
      <c r="C472" s="79" t="s">
        <v>1</v>
      </c>
      <c r="D472" s="293" t="s">
        <v>1183</v>
      </c>
      <c r="E472" s="47">
        <f>ROUND(SUMIF('Target Achieved- Input'!$B$373:$B$466,'Incentive Report- Output'!B472,'Target Achieved- Input'!$G$373:$G$466),0)</f>
        <v>235</v>
      </c>
      <c r="F472" s="47">
        <f>ROUND(SUMIF('Target Achieved- Input'!$B$373:$B$466,'Incentive Report- Output'!B472,'Target Achieved- Input'!$H$373:$H$466),0)</f>
        <v>306</v>
      </c>
      <c r="G472" s="47">
        <f>SUMIF('Target Achieved- Input'!$L$373:$L$466,'Incentive Report- Output'!B472,'Target Achieved- Input'!$O$373:$O$466)</f>
        <v>192</v>
      </c>
      <c r="H472" s="39">
        <f>SUMIF('Target Achieved- Input'!$S$373:$S$466,'Incentive Report- Output'!B472,'Target Achieved- Input'!$V$373:$V$466)</f>
        <v>4</v>
      </c>
      <c r="I472" s="48">
        <f>SUMIF('Target Achieved- Input'!$L$373:$L$466,'Incentive Report- Output'!B472,'Target Achieved- Input'!$AC$373:$AC$466)</f>
        <v>1</v>
      </c>
      <c r="J472" s="39">
        <f t="shared" si="906"/>
        <v>188</v>
      </c>
      <c r="K472" s="40">
        <f t="shared" si="907"/>
        <v>0.8</v>
      </c>
      <c r="L472" s="41">
        <f t="shared" si="908"/>
        <v>7755000</v>
      </c>
      <c r="M472" s="41">
        <f>SUMIF('Target Achieved- Input'!$L$373:$L$466,'Incentive Report- Output'!B472,'Target Achieved- Input'!$M$373:$M$466)</f>
        <v>12233408</v>
      </c>
      <c r="N472" s="41">
        <f>SUMIF('Target Achieved- Input'!$S$373:$S$466,'Incentive Report- Output'!B472,'Target Achieved- Input'!$U$373:$U$466)</f>
        <v>198301.69491525419</v>
      </c>
      <c r="O472" s="41">
        <f>SUMIF('Target Achieved- Input'!$L$373:$L$466,'Incentive Report- Output'!B472,'Target Achieved- Input'!$N$373:$N$466)-N472</f>
        <v>10168993.220338998</v>
      </c>
      <c r="P472" s="40">
        <f t="shared" si="909"/>
        <v>1.3112821689669889</v>
      </c>
      <c r="Q472" s="40">
        <f t="shared" si="910"/>
        <v>1.3112821689669889</v>
      </c>
      <c r="R472" s="40">
        <v>0</v>
      </c>
      <c r="S472" s="49">
        <f>(LOOKUP(Q472,Policy!$L$12:$M$16)+R472)*O472</f>
        <v>305069.79661016993</v>
      </c>
      <c r="T472" s="185"/>
      <c r="U472" s="156"/>
      <c r="V472" s="51"/>
      <c r="W472" s="156"/>
      <c r="X472" s="387"/>
      <c r="Y472" s="387"/>
      <c r="Z472" s="387"/>
      <c r="AA472" s="52">
        <v>0</v>
      </c>
      <c r="AB472" s="52">
        <v>0</v>
      </c>
      <c r="AC472" s="52">
        <v>0</v>
      </c>
      <c r="AD472" s="41">
        <f t="shared" si="911"/>
        <v>105069.79661016993</v>
      </c>
      <c r="AE472" s="41">
        <f t="shared" si="912"/>
        <v>200000</v>
      </c>
      <c r="AF472" s="41">
        <f t="shared" si="913"/>
        <v>305069.79661016993</v>
      </c>
      <c r="AG472" s="32"/>
      <c r="AH472" s="419"/>
      <c r="AI472" s="289" t="s">
        <v>1165</v>
      </c>
      <c r="AJ472" s="289" t="s">
        <v>1166</v>
      </c>
      <c r="AK472" s="289" t="s">
        <v>1183</v>
      </c>
      <c r="AL472" s="309">
        <v>311018.84745762753</v>
      </c>
      <c r="AM472" s="299">
        <f t="shared" si="914"/>
        <v>305069.79661016993</v>
      </c>
      <c r="AN472" s="300">
        <f t="shared" si="915"/>
        <v>5949.0508474576054</v>
      </c>
    </row>
    <row r="473" spans="1:40" ht="15.75" customHeight="1" x14ac:dyDescent="0.2">
      <c r="A473" s="109" t="s">
        <v>6</v>
      </c>
      <c r="B473" s="109"/>
      <c r="C473" s="109"/>
      <c r="D473" s="292" t="s">
        <v>1183</v>
      </c>
      <c r="E473" s="88">
        <f t="shared" ref="E473:J473" si="916">SUM(E467:E472)</f>
        <v>1115</v>
      </c>
      <c r="F473" s="88">
        <f t="shared" si="916"/>
        <v>1450</v>
      </c>
      <c r="G473" s="88">
        <f t="shared" si="916"/>
        <v>821</v>
      </c>
      <c r="H473" s="88">
        <f t="shared" si="916"/>
        <v>76</v>
      </c>
      <c r="I473" s="88">
        <f t="shared" si="916"/>
        <v>2</v>
      </c>
      <c r="J473" s="88">
        <f t="shared" si="916"/>
        <v>745</v>
      </c>
      <c r="K473" s="88"/>
      <c r="L473" s="88">
        <f>SUM(L467:L472)</f>
        <v>36795000</v>
      </c>
      <c r="M473" s="88">
        <f>SUM(M467:M472)</f>
        <v>51290179</v>
      </c>
      <c r="N473" s="88">
        <f>SUM(N467:N472)</f>
        <v>3870105.0847457596</v>
      </c>
      <c r="O473" s="88">
        <f>SUM(O467:O472)</f>
        <v>39596148.305084758</v>
      </c>
      <c r="P473" s="88"/>
      <c r="Q473" s="88"/>
      <c r="R473" s="88"/>
      <c r="S473" s="88">
        <f>SUM(S467:S472)</f>
        <v>849369.19703389879</v>
      </c>
      <c r="T473" s="88">
        <f>SUM(T467:T472)</f>
        <v>0</v>
      </c>
      <c r="U473" s="88">
        <f>SUM(U467:U472)</f>
        <v>0</v>
      </c>
      <c r="V473" s="88">
        <f>SUM(V467:V472)</f>
        <v>0</v>
      </c>
      <c r="W473" s="88">
        <f>SUM(W467:W472)</f>
        <v>0</v>
      </c>
      <c r="X473" s="88">
        <f>SUM(X468:X472)</f>
        <v>0</v>
      </c>
      <c r="Y473" s="88">
        <f>SUM(Y468:Y472)</f>
        <v>0</v>
      </c>
      <c r="Z473" s="88">
        <f>SUM(Z468:Z472)</f>
        <v>0</v>
      </c>
      <c r="AA473" s="88">
        <f t="shared" ref="AA473:AF473" si="917">SUM(AA467:AA472)</f>
        <v>0</v>
      </c>
      <c r="AB473" s="88">
        <f t="shared" si="917"/>
        <v>0</v>
      </c>
      <c r="AC473" s="88">
        <f t="shared" si="917"/>
        <v>0</v>
      </c>
      <c r="AD473" s="88">
        <f t="shared" si="917"/>
        <v>105069.79661016993</v>
      </c>
      <c r="AE473" s="88">
        <f t="shared" si="917"/>
        <v>744299.40042372886</v>
      </c>
      <c r="AF473" s="88">
        <f t="shared" si="917"/>
        <v>849369.19703389879</v>
      </c>
      <c r="AG473" s="31"/>
      <c r="AH473" s="419"/>
      <c r="AI473" s="43" t="s">
        <v>6</v>
      </c>
      <c r="AJ473" s="43"/>
      <c r="AK473" s="43" t="s">
        <v>1183</v>
      </c>
      <c r="AL473" s="307">
        <v>986118.48728813604</v>
      </c>
      <c r="AM473" s="307">
        <f>SUM(AM467:AM472)</f>
        <v>849369.19703389879</v>
      </c>
      <c r="AN473" s="307">
        <f>SUM(AN468:AN472)</f>
        <v>34541.165254237254</v>
      </c>
    </row>
    <row r="474" spans="1:40" ht="15.75" customHeight="1" x14ac:dyDescent="0.2">
      <c r="A474" s="42" t="s">
        <v>216</v>
      </c>
      <c r="B474" s="42" t="s">
        <v>18</v>
      </c>
      <c r="C474" s="42" t="s">
        <v>0</v>
      </c>
      <c r="D474" s="293" t="s">
        <v>1184</v>
      </c>
      <c r="E474" s="47">
        <f>ROUND(SUMIF('Target Achieved- Input'!$B$373:$B$466,'Incentive Report- Output'!B474,'Target Achieved- Input'!$G$373:$G$466),0)</f>
        <v>120</v>
      </c>
      <c r="F474" s="47">
        <f>ROUND(SUMIF('Target Achieved- Input'!$B$373:$B$466,'Incentive Report- Output'!B474,'Target Achieved- Input'!$H$373:$H$466),0)</f>
        <v>156</v>
      </c>
      <c r="G474" s="47">
        <f>SUMIF('Target Achieved- Input'!$L$373:$L$466,'Incentive Report- Output'!B474,'Target Achieved- Input'!$O$373:$O$466)</f>
        <v>61</v>
      </c>
      <c r="H474" s="39">
        <f>SUMIF('Target Achieved- Input'!$S$373:$S$466,'Incentive Report- Output'!B474,'Target Achieved- Input'!$V$373:$V$466)</f>
        <v>10</v>
      </c>
      <c r="I474" s="48">
        <f>SUMIF('Target Achieved- Input'!$L$373:$L$466,'Incentive Report- Output'!B474,'Target Achieved- Input'!$AC$373:$AC$466)</f>
        <v>0</v>
      </c>
      <c r="J474" s="39">
        <f t="shared" ref="J474:J479" si="918">G474-H474</f>
        <v>51</v>
      </c>
      <c r="K474" s="40">
        <f t="shared" ref="K474:K479" si="919">IFERROR(J474/E474,0)</f>
        <v>0.42499999999999999</v>
      </c>
      <c r="L474" s="41">
        <f t="shared" ref="L474:L479" si="920">E474*33000</f>
        <v>3960000</v>
      </c>
      <c r="M474" s="41">
        <f>SUMIF('Target Achieved- Input'!$L$373:$L$466,'Incentive Report- Output'!B474,'Target Achieved- Input'!$M$373:$M$466)</f>
        <v>3613939</v>
      </c>
      <c r="N474" s="41">
        <f>SUMIF('Target Achieved- Input'!$S$373:$S$466,'Incentive Report- Output'!B474,'Target Achieved- Input'!$U$373:$U$466)</f>
        <v>453381.35593220271</v>
      </c>
      <c r="O474" s="41">
        <f>SUMIF('Target Achieved- Input'!$L$373:$L$466,'Incentive Report- Output'!B474,'Target Achieved- Input'!$N$373:$N$466)-N474</f>
        <v>2609278.813559318</v>
      </c>
      <c r="P474" s="40">
        <f t="shared" ref="P474:P479" si="921">IFERROR(O474/L474,0)</f>
        <v>0.65890879130285807</v>
      </c>
      <c r="Q474" s="40">
        <f t="shared" ref="Q474:Q479" si="922">MAX(P474,K474)</f>
        <v>0.65890879130285807</v>
      </c>
      <c r="R474" s="40">
        <v>0</v>
      </c>
      <c r="S474" s="49">
        <f>(LOOKUP(Q474,Policy!$L$12:$M$16)+R474)*O474</f>
        <v>13046.394067796589</v>
      </c>
      <c r="T474" s="191"/>
      <c r="U474" s="192"/>
      <c r="V474" s="144"/>
      <c r="W474" s="192"/>
      <c r="X474" s="385"/>
      <c r="Y474" s="385"/>
      <c r="Z474" s="388"/>
      <c r="AA474" s="52">
        <v>0</v>
      </c>
      <c r="AB474" s="52">
        <v>0</v>
      </c>
      <c r="AC474" s="52">
        <v>0</v>
      </c>
      <c r="AD474" s="41">
        <f t="shared" ref="AD474:AD479" si="923">IF(AF474&gt;200000,AF474-200000,0)</f>
        <v>0</v>
      </c>
      <c r="AE474" s="41">
        <f t="shared" ref="AE474:AE479" si="924">AF474-AD474</f>
        <v>13046.394067796589</v>
      </c>
      <c r="AF474" s="41">
        <f>S474+W474+AB474+AC474</f>
        <v>13046.394067796589</v>
      </c>
      <c r="AG474" s="32"/>
      <c r="AH474" s="419"/>
      <c r="AI474" s="289" t="s">
        <v>216</v>
      </c>
      <c r="AJ474" s="289" t="s">
        <v>18</v>
      </c>
      <c r="AK474" s="289" t="s">
        <v>1184</v>
      </c>
      <c r="AL474" s="309">
        <v>15313.300847457604</v>
      </c>
      <c r="AM474" s="299">
        <f t="shared" ref="AM474:AM479" si="925">AF474</f>
        <v>13046.394067796589</v>
      </c>
      <c r="AN474" s="300">
        <f t="shared" ref="AN474:AN479" si="926">AL474-AM474</f>
        <v>2266.9067796610143</v>
      </c>
    </row>
    <row r="475" spans="1:40" ht="15.75" customHeight="1" x14ac:dyDescent="0.2">
      <c r="A475" s="42" t="s">
        <v>701</v>
      </c>
      <c r="B475" s="42" t="s">
        <v>702</v>
      </c>
      <c r="C475" s="79" t="s">
        <v>1</v>
      </c>
      <c r="D475" s="293" t="s">
        <v>1184</v>
      </c>
      <c r="E475" s="47">
        <f>ROUND(SUMIF('Target Achieved- Input'!$B$373:$B$466,'Incentive Report- Output'!B475,'Target Achieved- Input'!$G$373:$G$466),0)</f>
        <v>120</v>
      </c>
      <c r="F475" s="47">
        <f>ROUND(SUMIF('Target Achieved- Input'!$B$373:$B$466,'Incentive Report- Output'!B475,'Target Achieved- Input'!$H$373:$H$466),0)</f>
        <v>156</v>
      </c>
      <c r="G475" s="47">
        <f>SUMIF('Target Achieved- Input'!$L$373:$L$466,'Incentive Report- Output'!B475,'Target Achieved- Input'!$O$373:$O$466)</f>
        <v>72</v>
      </c>
      <c r="H475" s="39">
        <f>SUMIF('Target Achieved- Input'!$S$373:$S$466,'Incentive Report- Output'!B475,'Target Achieved- Input'!$V$373:$V$466)</f>
        <v>3</v>
      </c>
      <c r="I475" s="48">
        <f>SUMIF('Target Achieved- Input'!$L$373:$L$466,'Incentive Report- Output'!B475,'Target Achieved- Input'!$AC$373:$AC$466)</f>
        <v>0</v>
      </c>
      <c r="J475" s="39">
        <f t="shared" si="918"/>
        <v>69</v>
      </c>
      <c r="K475" s="40">
        <f t="shared" si="919"/>
        <v>0.57499999999999996</v>
      </c>
      <c r="L475" s="41">
        <f t="shared" si="920"/>
        <v>3960000</v>
      </c>
      <c r="M475" s="41">
        <f>SUMIF('Target Achieved- Input'!$L$373:$L$466,'Incentive Report- Output'!B475,'Target Achieved- Input'!$M$373:$M$466)</f>
        <v>4327578</v>
      </c>
      <c r="N475" s="41">
        <f>SUMIF('Target Achieved- Input'!$S$373:$S$466,'Incentive Report- Output'!B475,'Target Achieved- Input'!$U$373:$U$466)</f>
        <v>173726.2711864406</v>
      </c>
      <c r="O475" s="41">
        <f>SUMIF('Target Achieved- Input'!$L$373:$L$466,'Incentive Report- Output'!B475,'Target Achieved- Input'!$N$373:$N$466)-N475</f>
        <v>3493712.7118644021</v>
      </c>
      <c r="P475" s="40">
        <f t="shared" si="921"/>
        <v>0.88225068481424296</v>
      </c>
      <c r="Q475" s="40">
        <f t="shared" si="922"/>
        <v>0.88225068481424296</v>
      </c>
      <c r="R475" s="40">
        <v>0</v>
      </c>
      <c r="S475" s="49">
        <f>(LOOKUP(Q475,Policy!$L$12:$M$16)+R475)*O475</f>
        <v>34937.127118644021</v>
      </c>
      <c r="T475" s="191"/>
      <c r="U475" s="192"/>
      <c r="V475" s="144"/>
      <c r="W475" s="192"/>
      <c r="X475" s="386"/>
      <c r="Y475" s="386"/>
      <c r="Z475" s="389"/>
      <c r="AA475" s="52">
        <v>0</v>
      </c>
      <c r="AB475" s="52">
        <v>0</v>
      </c>
      <c r="AC475" s="52">
        <v>0</v>
      </c>
      <c r="AD475" s="41">
        <f t="shared" si="923"/>
        <v>0</v>
      </c>
      <c r="AE475" s="41">
        <f t="shared" si="924"/>
        <v>34937.127118644021</v>
      </c>
      <c r="AF475" s="41">
        <f>S475+W475+AB475+AC475</f>
        <v>34937.127118644021</v>
      </c>
      <c r="AG475" s="32"/>
      <c r="AH475" s="419"/>
      <c r="AI475" s="289" t="s">
        <v>701</v>
      </c>
      <c r="AJ475" s="289" t="s">
        <v>702</v>
      </c>
      <c r="AK475" s="289" t="s">
        <v>1184</v>
      </c>
      <c r="AL475" s="309">
        <v>36674.389830508429</v>
      </c>
      <c r="AM475" s="299">
        <f t="shared" si="925"/>
        <v>34937.127118644021</v>
      </c>
      <c r="AN475" s="300">
        <f t="shared" si="926"/>
        <v>1737.2627118644086</v>
      </c>
    </row>
    <row r="476" spans="1:40" ht="15.75" customHeight="1" x14ac:dyDescent="0.2">
      <c r="A476" s="42" t="s">
        <v>671</v>
      </c>
      <c r="B476" s="42" t="s">
        <v>200</v>
      </c>
      <c r="C476" s="79" t="s">
        <v>1</v>
      </c>
      <c r="D476" s="293" t="s">
        <v>1184</v>
      </c>
      <c r="E476" s="47">
        <f>ROUND(SUMIF('Target Achieved- Input'!$B$373:$B$466,'Incentive Report- Output'!B476,'Target Achieved- Input'!$G$373:$G$466),0)</f>
        <v>200</v>
      </c>
      <c r="F476" s="47">
        <f>ROUND(SUMIF('Target Achieved- Input'!$B$373:$B$466,'Incentive Report- Output'!B476,'Target Achieved- Input'!$H$373:$H$466),0)</f>
        <v>260</v>
      </c>
      <c r="G476" s="47">
        <f>SUMIF('Target Achieved- Input'!$L$373:$L$466,'Incentive Report- Output'!B476,'Target Achieved- Input'!$O$373:$O$466)</f>
        <v>174</v>
      </c>
      <c r="H476" s="39">
        <f>SUMIF('Target Achieved- Input'!$S$373:$S$466,'Incentive Report- Output'!B476,'Target Achieved- Input'!$V$373:$V$466)</f>
        <v>0</v>
      </c>
      <c r="I476" s="48">
        <f>SUMIF('Target Achieved- Input'!$L$373:$L$466,'Incentive Report- Output'!B476,'Target Achieved- Input'!$AC$373:$AC$466)</f>
        <v>0</v>
      </c>
      <c r="J476" s="39">
        <f t="shared" si="918"/>
        <v>174</v>
      </c>
      <c r="K476" s="40">
        <f t="shared" si="919"/>
        <v>0.87</v>
      </c>
      <c r="L476" s="41">
        <f t="shared" si="920"/>
        <v>6600000</v>
      </c>
      <c r="M476" s="41">
        <f>SUMIF('Target Achieved- Input'!$L$373:$L$466,'Incentive Report- Output'!B476,'Target Achieved- Input'!$M$373:$M$466)</f>
        <v>10679826</v>
      </c>
      <c r="N476" s="41">
        <f>SUMIF('Target Achieved- Input'!$S$373:$S$466,'Incentive Report- Output'!B476,'Target Achieved- Input'!$U$373:$U$466)</f>
        <v>0</v>
      </c>
      <c r="O476" s="41">
        <f>SUMIF('Target Achieved- Input'!$L$373:$L$466,'Incentive Report- Output'!B476,'Target Achieved- Input'!$N$373:$N$466)-N476</f>
        <v>9050700.0000000019</v>
      </c>
      <c r="P476" s="40">
        <f t="shared" si="921"/>
        <v>1.3713181818181821</v>
      </c>
      <c r="Q476" s="40">
        <f t="shared" si="922"/>
        <v>1.3713181818181821</v>
      </c>
      <c r="R476" s="40">
        <v>0</v>
      </c>
      <c r="S476" s="49">
        <f>(LOOKUP(Q476,Policy!$L$12:$M$16)+R476)*O476</f>
        <v>271521.00000000006</v>
      </c>
      <c r="T476" s="185"/>
      <c r="U476" s="156"/>
      <c r="V476" s="51"/>
      <c r="W476" s="156"/>
      <c r="X476" s="386"/>
      <c r="Y476" s="386"/>
      <c r="Z476" s="389"/>
      <c r="AA476" s="52">
        <v>0</v>
      </c>
      <c r="AB476" s="52">
        <v>0</v>
      </c>
      <c r="AC476" s="52">
        <v>0</v>
      </c>
      <c r="AD476" s="41">
        <f t="shared" si="923"/>
        <v>71521.000000000058</v>
      </c>
      <c r="AE476" s="41">
        <f t="shared" si="924"/>
        <v>200000</v>
      </c>
      <c r="AF476" s="41">
        <f>S476+W476+AB476+AC476</f>
        <v>271521.00000000006</v>
      </c>
      <c r="AG476" s="32"/>
      <c r="AH476" s="419"/>
      <c r="AI476" s="289" t="s">
        <v>671</v>
      </c>
      <c r="AJ476" s="289" t="s">
        <v>200</v>
      </c>
      <c r="AK476" s="289" t="s">
        <v>1184</v>
      </c>
      <c r="AL476" s="309">
        <v>271521.00000000006</v>
      </c>
      <c r="AM476" s="299">
        <f t="shared" si="925"/>
        <v>271521.00000000006</v>
      </c>
      <c r="AN476" s="300">
        <f t="shared" si="926"/>
        <v>0</v>
      </c>
    </row>
    <row r="477" spans="1:40" ht="15.75" customHeight="1" x14ac:dyDescent="0.2">
      <c r="A477" s="42" t="s">
        <v>19</v>
      </c>
      <c r="B477" s="42" t="s">
        <v>205</v>
      </c>
      <c r="C477" s="79" t="s">
        <v>1185</v>
      </c>
      <c r="D477" s="293" t="s">
        <v>1184</v>
      </c>
      <c r="E477" s="47">
        <f>ROUND(SUMIF('Target Achieved- Input'!$B$373:$B$466,'Incentive Report- Output'!B477,'Target Achieved- Input'!$G$373:$G$466),0)</f>
        <v>140</v>
      </c>
      <c r="F477" s="47">
        <f>ROUND(SUMIF('Target Achieved- Input'!$B$373:$B$466,'Incentive Report- Output'!B477,'Target Achieved- Input'!$H$373:$H$466),0)</f>
        <v>182</v>
      </c>
      <c r="G477" s="47">
        <f>SUMIF('Target Achieved- Input'!$L$373:$L$466,'Incentive Report- Output'!B477,'Target Achieved- Input'!$O$373:$O$466)</f>
        <v>105</v>
      </c>
      <c r="H477" s="39">
        <f>SUMIF('Target Achieved- Input'!$S$373:$S$466,'Incentive Report- Output'!B477,'Target Achieved- Input'!$V$373:$V$466)</f>
        <v>1</v>
      </c>
      <c r="I477" s="48">
        <f>SUMIF('Target Achieved- Input'!$L$373:$L$466,'Incentive Report- Output'!B477,'Target Achieved- Input'!$AC$373:$AC$466)</f>
        <v>0</v>
      </c>
      <c r="J477" s="39">
        <f t="shared" si="918"/>
        <v>104</v>
      </c>
      <c r="K477" s="40">
        <f t="shared" si="919"/>
        <v>0.74285714285714288</v>
      </c>
      <c r="L477" s="41">
        <f t="shared" si="920"/>
        <v>4620000</v>
      </c>
      <c r="M477" s="41">
        <f>SUMIF('Target Achieved- Input'!$L$373:$L$466,'Incentive Report- Output'!B477,'Target Achieved- Input'!$M$373:$M$466)</f>
        <v>5745795</v>
      </c>
      <c r="N477" s="41">
        <f>SUMIF('Target Achieved- Input'!$S$373:$S$466,'Incentive Report- Output'!B477,'Target Achieved- Input'!$U$373:$U$466)</f>
        <v>30507.627118643999</v>
      </c>
      <c r="O477" s="41">
        <f>SUMIF('Target Achieved- Input'!$L$373:$L$466,'Incentive Report- Output'!B477,'Target Achieved- Input'!$N$373:$N$466)-N477</f>
        <v>4838810.1694915211</v>
      </c>
      <c r="P477" s="40">
        <f t="shared" si="921"/>
        <v>1.0473615085479482</v>
      </c>
      <c r="Q477" s="40">
        <f t="shared" si="922"/>
        <v>1.0473615085479482</v>
      </c>
      <c r="R477" s="40">
        <v>0</v>
      </c>
      <c r="S477" s="49">
        <f>(LOOKUP(Q477,Policy!$L$12:$M$16)+R477)*O477</f>
        <v>108873.22881355922</v>
      </c>
      <c r="T477" s="191">
        <f>L476</f>
        <v>6600000</v>
      </c>
      <c r="U477" s="192">
        <f>O476</f>
        <v>9050700.0000000019</v>
      </c>
      <c r="V477" s="51">
        <f>IFERROR(U477/T477,0)</f>
        <v>1.3713181818181821</v>
      </c>
      <c r="W477" s="156">
        <f>LOOKUP(V477,Policy!$L$18:$M$21)*U477</f>
        <v>22626.750000000004</v>
      </c>
      <c r="X477" s="386"/>
      <c r="Y477" s="386"/>
      <c r="Z477" s="389"/>
      <c r="AA477" s="52">
        <v>0</v>
      </c>
      <c r="AB477" s="52">
        <v>0</v>
      </c>
      <c r="AC477" s="52">
        <v>0</v>
      </c>
      <c r="AD477" s="41">
        <f t="shared" si="923"/>
        <v>0</v>
      </c>
      <c r="AE477" s="41">
        <f t="shared" si="924"/>
        <v>131499.97881355922</v>
      </c>
      <c r="AF477" s="41">
        <f>S477+W477+AB477+AC477</f>
        <v>131499.97881355922</v>
      </c>
      <c r="AG477" s="32"/>
      <c r="AH477" s="419"/>
      <c r="AI477" s="289" t="s">
        <v>19</v>
      </c>
      <c r="AJ477" s="289" t="s">
        <v>205</v>
      </c>
      <c r="AK477" s="289" t="s">
        <v>1184</v>
      </c>
      <c r="AL477" s="309">
        <v>132186.40042372872</v>
      </c>
      <c r="AM477" s="299">
        <f t="shared" si="925"/>
        <v>131499.97881355922</v>
      </c>
      <c r="AN477" s="300">
        <f t="shared" si="926"/>
        <v>686.42161016949103</v>
      </c>
    </row>
    <row r="478" spans="1:40" ht="15.75" customHeight="1" x14ac:dyDescent="0.2">
      <c r="A478" s="42" t="s">
        <v>2091</v>
      </c>
      <c r="B478" s="42" t="s">
        <v>2092</v>
      </c>
      <c r="C478" s="79" t="s">
        <v>1</v>
      </c>
      <c r="D478" s="293" t="s">
        <v>1184</v>
      </c>
      <c r="E478" s="47">
        <f>ROUND(SUMIF('Target Achieved- Input'!$B$373:$B$466,'Incentive Report- Output'!B478,'Target Achieved- Input'!$G$373:$G$466),0)</f>
        <v>80</v>
      </c>
      <c r="F478" s="47">
        <f>ROUND(SUMIF('Target Achieved- Input'!$B$373:$B$466,'Incentive Report- Output'!B478,'Target Achieved- Input'!$H$373:$H$466),0)</f>
        <v>104</v>
      </c>
      <c r="G478" s="47">
        <f>SUMIF('Target Achieved- Input'!$L$373:$L$466,'Incentive Report- Output'!B478,'Target Achieved- Input'!$O$373:$O$466)</f>
        <v>34</v>
      </c>
      <c r="H478" s="39">
        <f>SUMIF('Target Achieved- Input'!$S$373:$S$466,'Incentive Report- Output'!B478,'Target Achieved- Input'!$V$373:$V$466)</f>
        <v>8</v>
      </c>
      <c r="I478" s="48">
        <f>SUMIF('Target Achieved- Input'!$L$373:$L$466,'Incentive Report- Output'!B478,'Target Achieved- Input'!$AC$373:$AC$466)</f>
        <v>0</v>
      </c>
      <c r="J478" s="39">
        <f t="shared" si="918"/>
        <v>26</v>
      </c>
      <c r="K478" s="40">
        <f t="shared" si="919"/>
        <v>0.32500000000000001</v>
      </c>
      <c r="L478" s="41">
        <f t="shared" si="920"/>
        <v>2640000</v>
      </c>
      <c r="M478" s="41">
        <f>SUMIF('Target Achieved- Input'!$L$373:$L$466,'Incentive Report- Output'!B478,'Target Achieved- Input'!$M$373:$M$466)</f>
        <v>2133966</v>
      </c>
      <c r="N478" s="41">
        <f>SUMIF('Target Achieved- Input'!$S$373:$S$466,'Incentive Report- Output'!B478,'Target Achieved- Input'!$U$373:$U$466)</f>
        <v>438976.27118644019</v>
      </c>
      <c r="O478" s="41">
        <f>SUMIF('Target Achieved- Input'!$L$373:$L$466,'Incentive Report- Output'!B478,'Target Achieved- Input'!$N$373:$N$466)-N478</f>
        <v>1369469.491525423</v>
      </c>
      <c r="P478" s="40">
        <f t="shared" si="921"/>
        <v>0.51873844375962996</v>
      </c>
      <c r="Q478" s="40">
        <f t="shared" si="922"/>
        <v>0.51873844375962996</v>
      </c>
      <c r="R478" s="40">
        <v>0</v>
      </c>
      <c r="S478" s="49">
        <f>(LOOKUP(Q478,Policy!$L$12:$M$16)+R478)*O478</f>
        <v>6847.3474576271155</v>
      </c>
      <c r="T478" s="191"/>
      <c r="U478" s="192"/>
      <c r="V478" s="144"/>
      <c r="W478" s="192"/>
      <c r="X478" s="386"/>
      <c r="Y478" s="386"/>
      <c r="Z478" s="389"/>
      <c r="AA478" s="52">
        <v>0</v>
      </c>
      <c r="AB478" s="52">
        <v>0</v>
      </c>
      <c r="AC478" s="52">
        <v>0</v>
      </c>
      <c r="AD478" s="41">
        <f t="shared" si="923"/>
        <v>0</v>
      </c>
      <c r="AE478" s="41">
        <f t="shared" si="924"/>
        <v>6847.3474576271155</v>
      </c>
      <c r="AF478" s="41">
        <f t="shared" ref="AF478" si="927">S478+W478+AB478+AC478</f>
        <v>6847.3474576271155</v>
      </c>
      <c r="AG478" s="32"/>
      <c r="AH478" s="419"/>
      <c r="AI478" s="289" t="s">
        <v>2091</v>
      </c>
      <c r="AJ478" s="289" t="s">
        <v>2092</v>
      </c>
      <c r="AK478" s="289" t="s">
        <v>1183</v>
      </c>
      <c r="AL478" s="309">
        <v>9042.2288135593171</v>
      </c>
      <c r="AM478" s="299">
        <f t="shared" si="925"/>
        <v>6847.3474576271155</v>
      </c>
      <c r="AN478" s="300">
        <f t="shared" si="926"/>
        <v>2194.8813559322016</v>
      </c>
    </row>
    <row r="479" spans="1:40" ht="15.75" customHeight="1" x14ac:dyDescent="0.2">
      <c r="A479" s="42" t="s">
        <v>333</v>
      </c>
      <c r="B479" s="42" t="s">
        <v>340</v>
      </c>
      <c r="C479" s="79" t="s">
        <v>1</v>
      </c>
      <c r="D479" s="293" t="s">
        <v>1184</v>
      </c>
      <c r="E479" s="47">
        <f>ROUND(SUMIF('Target Achieved- Input'!$B$373:$B$466,'Incentive Report- Output'!B479,'Target Achieved- Input'!$G$373:$G$466),0)</f>
        <v>0</v>
      </c>
      <c r="F479" s="47">
        <f>ROUND(SUMIF('Target Achieved- Input'!$B$373:$B$466,'Incentive Report- Output'!B479,'Target Achieved- Input'!$H$373:$H$466),0)</f>
        <v>0</v>
      </c>
      <c r="G479" s="47">
        <f>SUMIF('Target Achieved- Input'!$L$373:$L$466,'Incentive Report- Output'!B479,'Target Achieved- Input'!$O$373:$O$466)</f>
        <v>0</v>
      </c>
      <c r="H479" s="39">
        <f>SUMIF('Target Achieved- Input'!$S$373:$S$466,'Incentive Report- Output'!B479,'Target Achieved- Input'!$V$373:$V$466)</f>
        <v>0</v>
      </c>
      <c r="I479" s="48">
        <f>SUMIF('Target Achieved- Input'!$L$373:$L$466,'Incentive Report- Output'!B479,'Target Achieved- Input'!$AC$373:$AC$466)</f>
        <v>0</v>
      </c>
      <c r="J479" s="39">
        <f t="shared" si="918"/>
        <v>0</v>
      </c>
      <c r="K479" s="40">
        <f t="shared" si="919"/>
        <v>0</v>
      </c>
      <c r="L479" s="41">
        <f t="shared" si="920"/>
        <v>0</v>
      </c>
      <c r="M479" s="41">
        <f>SUMIF('Target Achieved- Input'!$L$373:$L$466,'Incentive Report- Output'!B479,'Target Achieved- Input'!$M$373:$M$466)</f>
        <v>0</v>
      </c>
      <c r="N479" s="41">
        <f>SUMIF('Target Achieved- Input'!$S$373:$S$466,'Incentive Report- Output'!B479,'Target Achieved- Input'!$U$373:$U$466)</f>
        <v>0</v>
      </c>
      <c r="O479" s="41">
        <f>SUMIF('Target Achieved- Input'!$L$373:$L$466,'Incentive Report- Output'!B479,'Target Achieved- Input'!$N$373:$N$466)-N479</f>
        <v>0</v>
      </c>
      <c r="P479" s="40">
        <f t="shared" si="921"/>
        <v>0</v>
      </c>
      <c r="Q479" s="40">
        <f t="shared" si="922"/>
        <v>0</v>
      </c>
      <c r="R479" s="40">
        <v>0</v>
      </c>
      <c r="S479" s="49">
        <f>(LOOKUP(Q479,Policy!$L$12:$M$16)+R479)*O479</f>
        <v>0</v>
      </c>
      <c r="T479" s="185"/>
      <c r="U479" s="156"/>
      <c r="V479" s="51"/>
      <c r="W479" s="156"/>
      <c r="X479" s="387"/>
      <c r="Y479" s="387"/>
      <c r="Z479" s="390"/>
      <c r="AA479" s="52">
        <v>0</v>
      </c>
      <c r="AB479" s="52">
        <v>0</v>
      </c>
      <c r="AC479" s="52">
        <v>0</v>
      </c>
      <c r="AD479" s="41">
        <f t="shared" si="923"/>
        <v>0</v>
      </c>
      <c r="AE479" s="41">
        <f t="shared" si="924"/>
        <v>0</v>
      </c>
      <c r="AF479" s="41">
        <f>S479+W479+AB479+AC479</f>
        <v>0</v>
      </c>
      <c r="AG479" s="32"/>
      <c r="AH479" s="419"/>
      <c r="AI479" s="289" t="s">
        <v>333</v>
      </c>
      <c r="AJ479" s="289" t="s">
        <v>340</v>
      </c>
      <c r="AK479" s="289" t="s">
        <v>1184</v>
      </c>
      <c r="AL479" s="309">
        <v>0</v>
      </c>
      <c r="AM479" s="299">
        <f t="shared" si="925"/>
        <v>0</v>
      </c>
      <c r="AN479" s="300">
        <f t="shared" si="926"/>
        <v>0</v>
      </c>
    </row>
    <row r="480" spans="1:40" ht="15.75" customHeight="1" x14ac:dyDescent="0.2">
      <c r="A480" s="109" t="s">
        <v>6</v>
      </c>
      <c r="B480" s="109"/>
      <c r="C480" s="109"/>
      <c r="D480" s="292" t="s">
        <v>1184</v>
      </c>
      <c r="E480" s="88">
        <f>SUM(E474:E479)</f>
        <v>660</v>
      </c>
      <c r="F480" s="88">
        <f t="shared" ref="F480:J480" si="928">SUM(F474:F479)</f>
        <v>858</v>
      </c>
      <c r="G480" s="88">
        <f t="shared" si="928"/>
        <v>446</v>
      </c>
      <c r="H480" s="88">
        <f t="shared" si="928"/>
        <v>22</v>
      </c>
      <c r="I480" s="88">
        <f t="shared" si="928"/>
        <v>0</v>
      </c>
      <c r="J480" s="88">
        <f t="shared" si="928"/>
        <v>424</v>
      </c>
      <c r="K480" s="88"/>
      <c r="L480" s="88">
        <f t="shared" ref="L480:O480" si="929">SUM(L474:L479)</f>
        <v>21780000</v>
      </c>
      <c r="M480" s="88">
        <f t="shared" si="929"/>
        <v>26501104</v>
      </c>
      <c r="N480" s="88">
        <f t="shared" si="929"/>
        <v>1096591.5254237275</v>
      </c>
      <c r="O480" s="88">
        <f t="shared" si="929"/>
        <v>21361971.186440665</v>
      </c>
      <c r="P480" s="88"/>
      <c r="Q480" s="88"/>
      <c r="R480" s="88"/>
      <c r="S480" s="88">
        <f t="shared" ref="S480:AF480" si="930">SUM(S474:S479)</f>
        <v>435225.09745762701</v>
      </c>
      <c r="T480" s="88">
        <f t="shared" si="930"/>
        <v>6600000</v>
      </c>
      <c r="U480" s="88">
        <f t="shared" si="930"/>
        <v>9050700.0000000019</v>
      </c>
      <c r="V480" s="88">
        <f t="shared" si="930"/>
        <v>1.3713181818181821</v>
      </c>
      <c r="W480" s="88">
        <f t="shared" si="930"/>
        <v>22626.750000000004</v>
      </c>
      <c r="X480" s="88">
        <f t="shared" si="930"/>
        <v>0</v>
      </c>
      <c r="Y480" s="88">
        <f t="shared" si="930"/>
        <v>0</v>
      </c>
      <c r="Z480" s="88">
        <f t="shared" si="930"/>
        <v>0</v>
      </c>
      <c r="AA480" s="88">
        <f t="shared" si="930"/>
        <v>0</v>
      </c>
      <c r="AB480" s="88">
        <f t="shared" si="930"/>
        <v>0</v>
      </c>
      <c r="AC480" s="88">
        <f t="shared" si="930"/>
        <v>0</v>
      </c>
      <c r="AD480" s="88">
        <f t="shared" si="930"/>
        <v>71521.000000000058</v>
      </c>
      <c r="AE480" s="88">
        <f t="shared" si="930"/>
        <v>386330.84745762695</v>
      </c>
      <c r="AF480" s="88">
        <f t="shared" si="930"/>
        <v>457851.84745762701</v>
      </c>
      <c r="AG480" s="31"/>
      <c r="AH480" s="419"/>
      <c r="AI480" s="286" t="s">
        <v>6</v>
      </c>
      <c r="AJ480" s="287"/>
      <c r="AK480" s="288" t="s">
        <v>1184</v>
      </c>
      <c r="AL480" s="303">
        <v>464737.31991525419</v>
      </c>
      <c r="AM480" s="303">
        <f>SUM(AM474:AM479)</f>
        <v>457851.84745762701</v>
      </c>
      <c r="AN480" s="307">
        <f>SUM(AN474:AN479)</f>
        <v>6885.4724576271155</v>
      </c>
    </row>
    <row r="481" spans="1:40" ht="15.75" customHeight="1" x14ac:dyDescent="0.2">
      <c r="A481" s="391" t="s">
        <v>101</v>
      </c>
      <c r="B481" s="391"/>
      <c r="C481" s="391"/>
      <c r="D481" s="392"/>
      <c r="E481" s="106">
        <f t="shared" ref="E481:J481" si="931">E393+E398+E407+E411+E420+E428+E433+E438+E442+E452+E461+E466+E473+E480</f>
        <v>14545</v>
      </c>
      <c r="F481" s="106">
        <f t="shared" si="931"/>
        <v>18912</v>
      </c>
      <c r="G481" s="106">
        <f t="shared" si="931"/>
        <v>15335</v>
      </c>
      <c r="H481" s="106">
        <f t="shared" si="931"/>
        <v>411</v>
      </c>
      <c r="I481" s="106">
        <f t="shared" si="931"/>
        <v>30</v>
      </c>
      <c r="J481" s="106">
        <f t="shared" si="931"/>
        <v>14924</v>
      </c>
      <c r="K481" s="107"/>
      <c r="L481" s="106">
        <f>L393+L398+L407+L411+L420+L428+L433+L438+L442+L452+L461+L466+L473+L480</f>
        <v>479985000</v>
      </c>
      <c r="M481" s="106">
        <f>M393+M398+M407+M411+M420+M428+M433+M438+M442+M452+M461+M466+M473+M480</f>
        <v>985717015</v>
      </c>
      <c r="N481" s="106">
        <f>N393+N398+N407+N411+N420+N428+N433+N438+N442+N452+N461+N466+N473+N480</f>
        <v>20479100.84745761</v>
      </c>
      <c r="O481" s="106">
        <f>O393+O398+O407+O411+O420+O428+O433+O438+O442+O452+O461+O466+O473+O480</f>
        <v>814874301.6949147</v>
      </c>
      <c r="P481" s="107"/>
      <c r="Q481" s="108"/>
      <c r="R481" s="238"/>
      <c r="S481" s="106">
        <f>S393+S398+S407+S411+S420+S428+S433+S438+S442+S452+S461+S466+S473+S480</f>
        <v>22289282.654661004</v>
      </c>
      <c r="T481" s="106">
        <f>T393+T398+T407+T411+T420+T428+T433+T438+T442+T452+T461+T466+T473+T480</f>
        <v>37785000</v>
      </c>
      <c r="U481" s="106">
        <f>U393+U398+U407+U411+U420+U428+U433+U438+U442+U452+U461+U466+U473+U480</f>
        <v>59796215.254237384</v>
      </c>
      <c r="V481" s="106"/>
      <c r="W481" s="106">
        <f>W393+W398+W407+W411+W420+W428+W433+W438+W442+W452+W461+W466+W473+W480</f>
        <v>124826.13262711889</v>
      </c>
      <c r="X481" s="106">
        <f>X393+X398+X407+X411+X420+X428+X433+X438+X442+X452+X461+X466+X473+X480</f>
        <v>8775</v>
      </c>
      <c r="Y481" s="106">
        <f>Y393+Y398+Y407+Y411+Y420+Y428+Y433+Y438+Y442+Y452+Y461+Y466+Y473+Y480</f>
        <v>10349</v>
      </c>
      <c r="Z481" s="173"/>
      <c r="AA481" s="106">
        <f t="shared" ref="AA481:AF481" si="932">AA393+AA398+AA407+AA411+AA420+AA428+AA433+AA438+AA442+AA452+AA461+AA466+AA473+AA480</f>
        <v>0</v>
      </c>
      <c r="AB481" s="106">
        <f t="shared" si="932"/>
        <v>0</v>
      </c>
      <c r="AC481" s="106">
        <f t="shared" si="932"/>
        <v>0</v>
      </c>
      <c r="AD481" s="106">
        <f t="shared" si="932"/>
        <v>10767559.422881339</v>
      </c>
      <c r="AE481" s="106">
        <f t="shared" si="932"/>
        <v>11646549.364406778</v>
      </c>
      <c r="AF481" s="106">
        <f t="shared" si="932"/>
        <v>22414108.787288122</v>
      </c>
      <c r="AG481" s="31"/>
      <c r="AH481" s="419"/>
      <c r="AI481" s="393" t="s">
        <v>9</v>
      </c>
      <c r="AJ481" s="394"/>
      <c r="AK481" s="395"/>
      <c r="AL481" s="173">
        <v>1675005.2489882249</v>
      </c>
      <c r="AM481" s="173">
        <f>AM393+AM398+AM407+AM411+AM420+AM428+AM433+AM438+AM442+AM452+AM461+AM466+AM473+AM480</f>
        <v>22414108.787288122</v>
      </c>
      <c r="AN481" s="173">
        <f>AN393+AN398+AN407+AN411+AN420+AN428+AN433+AN438+AN442+AN452+AN461+AN466+AN473+AN480</f>
        <v>725574.31144067796</v>
      </c>
    </row>
  </sheetData>
  <mergeCells count="260">
    <mergeCell ref="A188:D188"/>
    <mergeCell ref="AI188:AK188"/>
    <mergeCell ref="X175:X180"/>
    <mergeCell ref="Y175:Y180"/>
    <mergeCell ref="Z175:Z180"/>
    <mergeCell ref="X182:X186"/>
    <mergeCell ref="Y182:Y186"/>
    <mergeCell ref="Z182:Z186"/>
    <mergeCell ref="X162:X168"/>
    <mergeCell ref="Y162:Y168"/>
    <mergeCell ref="Z162:Z168"/>
    <mergeCell ref="X170:X173"/>
    <mergeCell ref="Y170:Y173"/>
    <mergeCell ref="Z170:Z173"/>
    <mergeCell ref="X154:X160"/>
    <mergeCell ref="Y154:Y160"/>
    <mergeCell ref="Z154:Z160"/>
    <mergeCell ref="X140:X143"/>
    <mergeCell ref="Y140:Y143"/>
    <mergeCell ref="Z140:Z143"/>
    <mergeCell ref="X145:X148"/>
    <mergeCell ref="Y145:Y148"/>
    <mergeCell ref="Z145:Z148"/>
    <mergeCell ref="Y123:Y130"/>
    <mergeCell ref="Z123:Z130"/>
    <mergeCell ref="X132:X138"/>
    <mergeCell ref="Y132:Y138"/>
    <mergeCell ref="Z132:Z138"/>
    <mergeCell ref="AH97:AH188"/>
    <mergeCell ref="AI97:AK97"/>
    <mergeCell ref="AL97:AN97"/>
    <mergeCell ref="X99:X103"/>
    <mergeCell ref="Y99:Y103"/>
    <mergeCell ref="Z99:Z103"/>
    <mergeCell ref="X105:X108"/>
    <mergeCell ref="Y105:Y108"/>
    <mergeCell ref="Z105:Z108"/>
    <mergeCell ref="X110:X117"/>
    <mergeCell ref="Y110:Y117"/>
    <mergeCell ref="Z110:Z117"/>
    <mergeCell ref="X119:X121"/>
    <mergeCell ref="Y119:Y121"/>
    <mergeCell ref="Z119:Z121"/>
    <mergeCell ref="X123:X130"/>
    <mergeCell ref="X150:X152"/>
    <mergeCell ref="Y150:Y152"/>
    <mergeCell ref="Z150:Z152"/>
    <mergeCell ref="A97:D97"/>
    <mergeCell ref="E97:S97"/>
    <mergeCell ref="T97:W97"/>
    <mergeCell ref="X97:AA97"/>
    <mergeCell ref="AC97:AF97"/>
    <mergeCell ref="Z87:Z91"/>
    <mergeCell ref="Y87:Y91"/>
    <mergeCell ref="X87:X91"/>
    <mergeCell ref="X16:X23"/>
    <mergeCell ref="Y16:Y23"/>
    <mergeCell ref="Z16:Z23"/>
    <mergeCell ref="Z80:Z85"/>
    <mergeCell ref="Y80:Y85"/>
    <mergeCell ref="X80:X85"/>
    <mergeCell ref="X68:X73"/>
    <mergeCell ref="Y68:Y73"/>
    <mergeCell ref="Z68:Z73"/>
    <mergeCell ref="X60:X66"/>
    <mergeCell ref="Y60:Y66"/>
    <mergeCell ref="Z60:Z66"/>
    <mergeCell ref="X56:X58"/>
    <mergeCell ref="Y56:Y58"/>
    <mergeCell ref="Z56:Z58"/>
    <mergeCell ref="X46:X49"/>
    <mergeCell ref="AL3:AN3"/>
    <mergeCell ref="X5:X9"/>
    <mergeCell ref="Y5:Y9"/>
    <mergeCell ref="Z5:Z9"/>
    <mergeCell ref="X11:X14"/>
    <mergeCell ref="Y11:Y14"/>
    <mergeCell ref="Z11:Z14"/>
    <mergeCell ref="X3:AA3"/>
    <mergeCell ref="AC3:AF3"/>
    <mergeCell ref="A93:D93"/>
    <mergeCell ref="AI93:AK93"/>
    <mergeCell ref="Y38:Y44"/>
    <mergeCell ref="Z38:Z44"/>
    <mergeCell ref="X51:X54"/>
    <mergeCell ref="Y51:Y54"/>
    <mergeCell ref="Z51:Z54"/>
    <mergeCell ref="X75:X78"/>
    <mergeCell ref="Y75:Y78"/>
    <mergeCell ref="Z75:Z78"/>
    <mergeCell ref="AH3:AH93"/>
    <mergeCell ref="AI3:AK3"/>
    <mergeCell ref="X38:X44"/>
    <mergeCell ref="A3:D3"/>
    <mergeCell ref="E3:S3"/>
    <mergeCell ref="T3:W3"/>
    <mergeCell ref="Y46:Y49"/>
    <mergeCell ref="Z46:Z49"/>
    <mergeCell ref="X29:X36"/>
    <mergeCell ref="Y29:Y36"/>
    <mergeCell ref="Z29:Z36"/>
    <mergeCell ref="Z25:Z27"/>
    <mergeCell ref="Y25:Y27"/>
    <mergeCell ref="X25:X27"/>
    <mergeCell ref="A192:D192"/>
    <mergeCell ref="E192:S192"/>
    <mergeCell ref="T192:W192"/>
    <mergeCell ref="X192:AA192"/>
    <mergeCell ref="AC192:AF192"/>
    <mergeCell ref="AH192:AH284"/>
    <mergeCell ref="AI192:AK192"/>
    <mergeCell ref="AL192:AN192"/>
    <mergeCell ref="X194:X198"/>
    <mergeCell ref="Y194:Y198"/>
    <mergeCell ref="Z194:Z198"/>
    <mergeCell ref="X200:X203"/>
    <mergeCell ref="Y200:Y203"/>
    <mergeCell ref="Z200:Z203"/>
    <mergeCell ref="X205:X212"/>
    <mergeCell ref="Y205:Y212"/>
    <mergeCell ref="Z205:Z212"/>
    <mergeCell ref="X214:X216"/>
    <mergeCell ref="Y214:Y216"/>
    <mergeCell ref="Z214:Z216"/>
    <mergeCell ref="X218:X225"/>
    <mergeCell ref="Y218:Y225"/>
    <mergeCell ref="Z218:Z225"/>
    <mergeCell ref="X227:X233"/>
    <mergeCell ref="Y227:Y233"/>
    <mergeCell ref="Z227:Z233"/>
    <mergeCell ref="X235:X238"/>
    <mergeCell ref="Y235:Y238"/>
    <mergeCell ref="Z235:Z238"/>
    <mergeCell ref="X240:X243"/>
    <mergeCell ref="Y240:Y243"/>
    <mergeCell ref="Z240:Z243"/>
    <mergeCell ref="X245:X247"/>
    <mergeCell ref="Y245:Y247"/>
    <mergeCell ref="Z245:Z247"/>
    <mergeCell ref="X270:X275"/>
    <mergeCell ref="Y270:Y275"/>
    <mergeCell ref="Z270:Z275"/>
    <mergeCell ref="X277:X282"/>
    <mergeCell ref="Y277:Y282"/>
    <mergeCell ref="Z277:Z282"/>
    <mergeCell ref="A284:D284"/>
    <mergeCell ref="AI284:AK284"/>
    <mergeCell ref="X249:X255"/>
    <mergeCell ref="Y249:Y255"/>
    <mergeCell ref="Z249:Z255"/>
    <mergeCell ref="X257:X263"/>
    <mergeCell ref="Y257:Y263"/>
    <mergeCell ref="Z257:Z263"/>
    <mergeCell ref="X265:X268"/>
    <mergeCell ref="Y265:Y268"/>
    <mergeCell ref="Z265:Z268"/>
    <mergeCell ref="A288:D288"/>
    <mergeCell ref="E288:S288"/>
    <mergeCell ref="T288:W288"/>
    <mergeCell ref="X288:AA288"/>
    <mergeCell ref="AC288:AF288"/>
    <mergeCell ref="AH288:AH382"/>
    <mergeCell ref="AI288:AK288"/>
    <mergeCell ref="AL288:AN288"/>
    <mergeCell ref="X290:X294"/>
    <mergeCell ref="Y290:Y294"/>
    <mergeCell ref="Z290:Z294"/>
    <mergeCell ref="X296:X299"/>
    <mergeCell ref="Y296:Y299"/>
    <mergeCell ref="Z296:Z299"/>
    <mergeCell ref="X301:X308"/>
    <mergeCell ref="Y301:Y308"/>
    <mergeCell ref="Z301:Z308"/>
    <mergeCell ref="X310:X312"/>
    <mergeCell ref="Y310:Y312"/>
    <mergeCell ref="Z310:Z312"/>
    <mergeCell ref="X314:X321"/>
    <mergeCell ref="Y314:Y321"/>
    <mergeCell ref="Z314:Z321"/>
    <mergeCell ref="X323:X329"/>
    <mergeCell ref="Y323:Y329"/>
    <mergeCell ref="Z323:Z329"/>
    <mergeCell ref="X331:X334"/>
    <mergeCell ref="Y331:Y334"/>
    <mergeCell ref="Z331:Z334"/>
    <mergeCell ref="X336:X339"/>
    <mergeCell ref="Y336:Y339"/>
    <mergeCell ref="Z336:Z339"/>
    <mergeCell ref="X341:X343"/>
    <mergeCell ref="Y341:Y343"/>
    <mergeCell ref="Z341:Z343"/>
    <mergeCell ref="X368:X373"/>
    <mergeCell ref="Y368:Y373"/>
    <mergeCell ref="Z368:Z373"/>
    <mergeCell ref="X375:X380"/>
    <mergeCell ref="Y375:Y380"/>
    <mergeCell ref="Z375:Z380"/>
    <mergeCell ref="A382:D382"/>
    <mergeCell ref="AI382:AK382"/>
    <mergeCell ref="X345:X352"/>
    <mergeCell ref="Y345:Y352"/>
    <mergeCell ref="Z345:Z352"/>
    <mergeCell ref="X354:X361"/>
    <mergeCell ref="Y354:Y361"/>
    <mergeCell ref="Z354:Z361"/>
    <mergeCell ref="X363:X366"/>
    <mergeCell ref="Y363:Y366"/>
    <mergeCell ref="Z363:Z366"/>
    <mergeCell ref="A386:D386"/>
    <mergeCell ref="E386:S386"/>
    <mergeCell ref="T386:W386"/>
    <mergeCell ref="X386:AA386"/>
    <mergeCell ref="AC386:AF386"/>
    <mergeCell ref="AH386:AH481"/>
    <mergeCell ref="AI386:AK386"/>
    <mergeCell ref="AL386:AN386"/>
    <mergeCell ref="X388:X392"/>
    <mergeCell ref="Y388:Y392"/>
    <mergeCell ref="Z388:Z392"/>
    <mergeCell ref="X394:X397"/>
    <mergeCell ref="Y394:Y397"/>
    <mergeCell ref="Z394:Z397"/>
    <mergeCell ref="X399:X406"/>
    <mergeCell ref="Y399:Y406"/>
    <mergeCell ref="Z399:Z406"/>
    <mergeCell ref="X408:X410"/>
    <mergeCell ref="Y408:Y410"/>
    <mergeCell ref="Z408:Z410"/>
    <mergeCell ref="X412:X419"/>
    <mergeCell ref="Y412:Y419"/>
    <mergeCell ref="Z412:Z419"/>
    <mergeCell ref="X421:X427"/>
    <mergeCell ref="Y421:Y427"/>
    <mergeCell ref="Z421:Z427"/>
    <mergeCell ref="X429:X432"/>
    <mergeCell ref="Y429:Y432"/>
    <mergeCell ref="Z429:Z432"/>
    <mergeCell ref="X434:X437"/>
    <mergeCell ref="Y434:Y437"/>
    <mergeCell ref="Z434:Z437"/>
    <mergeCell ref="X439:X441"/>
    <mergeCell ref="Y439:Y441"/>
    <mergeCell ref="Z439:Z441"/>
    <mergeCell ref="X467:X472"/>
    <mergeCell ref="Y467:Y472"/>
    <mergeCell ref="Z467:Z472"/>
    <mergeCell ref="X474:X479"/>
    <mergeCell ref="Y474:Y479"/>
    <mergeCell ref="Z474:Z479"/>
    <mergeCell ref="A481:D481"/>
    <mergeCell ref="AI481:AK481"/>
    <mergeCell ref="X443:X451"/>
    <mergeCell ref="Y443:Y451"/>
    <mergeCell ref="Z443:Z451"/>
    <mergeCell ref="X453:X460"/>
    <mergeCell ref="Y453:Y460"/>
    <mergeCell ref="Z453:Z460"/>
    <mergeCell ref="X462:X465"/>
    <mergeCell ref="Y462:Y465"/>
    <mergeCell ref="Z462:Z46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FFFF99"/>
    <outlinePr summaryBelow="0" summaryRight="0"/>
  </sheetPr>
  <dimension ref="A2:AC990"/>
  <sheetViews>
    <sheetView showGridLines="0" topLeftCell="G107" zoomScaleNormal="100" workbookViewId="0">
      <selection activeCell="L121" sqref="L121"/>
    </sheetView>
  </sheetViews>
  <sheetFormatPr baseColWidth="10" defaultColWidth="14.5" defaultRowHeight="15.75" customHeight="1" outlineLevelCol="1" x14ac:dyDescent="0.2"/>
  <cols>
    <col min="1" max="1" width="16.6640625" style="3" hidden="1" customWidth="1" outlineLevel="1" collapsed="1"/>
    <col min="2" max="3" width="17.83203125" style="3" hidden="1" customWidth="1" outlineLevel="1"/>
    <col min="4" max="4" width="18.33203125" style="3" hidden="1" customWidth="1" outlineLevel="1"/>
    <col min="5" max="5" width="15.1640625" style="3" hidden="1" customWidth="1" outlineLevel="1"/>
    <col min="6" max="6" width="15.83203125" style="3" hidden="1" customWidth="1" outlineLevel="1"/>
    <col min="7" max="7" width="14.5" style="3"/>
    <col min="8" max="8" width="16.6640625" style="3" customWidth="1" outlineLevel="1"/>
    <col min="9" max="10" width="17.83203125" style="3" customWidth="1" outlineLevel="1"/>
    <col min="11" max="11" width="18.33203125" style="3" customWidth="1" outlineLevel="1"/>
    <col min="12" max="12" width="15.1640625" style="3" customWidth="1" outlineLevel="1"/>
    <col min="13" max="13" width="15.83203125" style="3" customWidth="1" outlineLevel="1"/>
    <col min="14" max="14" width="14.5" style="3" collapsed="1"/>
    <col min="15" max="15" width="20" style="3" hidden="1" customWidth="1" outlineLevel="1"/>
    <col min="16" max="19" width="14.5" style="3" hidden="1" customWidth="1" outlineLevel="1"/>
    <col min="20" max="20" width="15.83203125" style="3" hidden="1" customWidth="1" outlineLevel="1"/>
    <col min="21" max="21" width="14.5" style="3" collapsed="1"/>
    <col min="22" max="27" width="14.5" style="3" hidden="1" customWidth="1" outlineLevel="1"/>
    <col min="28" max="16384" width="14.5" style="3"/>
  </cols>
  <sheetData>
    <row r="2" spans="1:29" ht="15.75" customHeight="1" x14ac:dyDescent="0.2">
      <c r="A2" s="2" t="s">
        <v>2098</v>
      </c>
      <c r="H2" s="2" t="s">
        <v>933</v>
      </c>
      <c r="O2" s="2" t="s">
        <v>1044</v>
      </c>
      <c r="V2" s="2" t="s">
        <v>1102</v>
      </c>
    </row>
    <row r="3" spans="1:29" ht="15.75" customHeight="1" x14ac:dyDescent="0.2">
      <c r="A3" s="22" t="s">
        <v>640</v>
      </c>
      <c r="B3" s="438" t="s">
        <v>356</v>
      </c>
      <c r="C3" s="439"/>
      <c r="D3" s="439"/>
      <c r="E3" s="439"/>
      <c r="F3" s="440"/>
      <c r="H3" s="22" t="s">
        <v>640</v>
      </c>
      <c r="I3" s="438" t="s">
        <v>932</v>
      </c>
      <c r="J3" s="439"/>
      <c r="K3" s="439"/>
      <c r="L3" s="439"/>
      <c r="M3" s="440"/>
      <c r="O3" s="22" t="s">
        <v>640</v>
      </c>
      <c r="P3" s="438" t="s">
        <v>750</v>
      </c>
      <c r="Q3" s="439"/>
      <c r="R3" s="439"/>
      <c r="S3" s="439"/>
      <c r="T3" s="440"/>
      <c r="V3" s="22" t="s">
        <v>640</v>
      </c>
      <c r="W3" s="438" t="s">
        <v>1103</v>
      </c>
      <c r="X3" s="439"/>
      <c r="Y3" s="439"/>
      <c r="Z3" s="439"/>
      <c r="AA3" s="440"/>
    </row>
    <row r="4" spans="1:29" ht="15.75" customHeight="1" x14ac:dyDescent="0.2">
      <c r="A4" s="63" t="s">
        <v>106</v>
      </c>
      <c r="B4" s="64" t="s">
        <v>107</v>
      </c>
      <c r="C4" s="75" t="s">
        <v>355</v>
      </c>
      <c r="D4" s="153" t="s">
        <v>7</v>
      </c>
      <c r="E4" s="153" t="s">
        <v>5</v>
      </c>
      <c r="F4" s="153" t="s">
        <v>108</v>
      </c>
      <c r="H4" s="63" t="s">
        <v>106</v>
      </c>
      <c r="I4" s="64" t="s">
        <v>107</v>
      </c>
      <c r="J4" s="75" t="s">
        <v>934</v>
      </c>
      <c r="K4" s="153" t="s">
        <v>7</v>
      </c>
      <c r="L4" s="153" t="s">
        <v>5</v>
      </c>
      <c r="M4" s="153" t="s">
        <v>108</v>
      </c>
      <c r="O4" s="63" t="s">
        <v>106</v>
      </c>
      <c r="P4" s="64" t="s">
        <v>107</v>
      </c>
      <c r="Q4" s="75" t="s">
        <v>752</v>
      </c>
      <c r="R4" s="153" t="s">
        <v>7</v>
      </c>
      <c r="S4" s="153" t="s">
        <v>5</v>
      </c>
      <c r="T4" s="153" t="s">
        <v>108</v>
      </c>
      <c r="V4" s="63" t="s">
        <v>106</v>
      </c>
      <c r="W4" s="64" t="s">
        <v>107</v>
      </c>
      <c r="X4" s="75" t="s">
        <v>773</v>
      </c>
      <c r="Y4" s="153" t="s">
        <v>7</v>
      </c>
      <c r="Z4" s="153" t="s">
        <v>5</v>
      </c>
      <c r="AA4" s="153" t="s">
        <v>108</v>
      </c>
    </row>
    <row r="5" spans="1:29" ht="15.75" customHeight="1" x14ac:dyDescent="0.2">
      <c r="A5" s="154">
        <f>INDEX(Policy!$C$34:$C$47,MATCH('RM Calculation Pro Rata'!A3,Policy!$B$34:$B$47,0))</f>
        <v>1250</v>
      </c>
      <c r="B5" s="66">
        <v>33000</v>
      </c>
      <c r="C5" s="66"/>
      <c r="D5" s="118">
        <f>A5*B5</f>
        <v>41250000</v>
      </c>
      <c r="E5" s="60">
        <f>D10/D5</f>
        <v>0.54580597842835077</v>
      </c>
      <c r="F5" s="68" t="str" cm="1">
        <f t="array" ref="F5">_xlfn.IFS(E5&lt;74.99%,"0",E5&lt;=100%,".25%",E5&lt;=130%,".35%",E5&gt;=130%,".50%")</f>
        <v>0</v>
      </c>
      <c r="H5" s="154">
        <f>INDEX(Policy!$Q$35:$Q$48,MATCH('RM Calculation Pro Rata'!H3,Policy!$M$35:$M$48,0))</f>
        <v>2800</v>
      </c>
      <c r="I5" s="66">
        <v>33000</v>
      </c>
      <c r="J5" s="66"/>
      <c r="K5" s="118">
        <f>H5*I5</f>
        <v>92400000</v>
      </c>
      <c r="L5" s="60">
        <f>K10/K5</f>
        <v>0.90937788904431383</v>
      </c>
      <c r="M5" s="68" t="str" cm="1">
        <f t="array" ref="M5">_xlfn.IFS(L5&lt;74.99%,"0",L5&lt;=100%,".25%",L5&lt;=130%,".35%",L5&gt;=130%,".50%")</f>
        <v>.25%</v>
      </c>
      <c r="N5" s="254"/>
      <c r="O5" s="154" t="e">
        <f>INDEX(Policy!$P$34:$P$47,MATCH('RM Calculation Pro Rata'!O3,Policy!$L$34:$L$47,0))</f>
        <v>#N/A</v>
      </c>
      <c r="P5" s="66">
        <v>33000</v>
      </c>
      <c r="Q5" s="66"/>
      <c r="R5" s="118" t="e">
        <f>O5*P5</f>
        <v>#N/A</v>
      </c>
      <c r="S5" s="60" t="e">
        <f>R10/R5</f>
        <v>#REF!</v>
      </c>
      <c r="T5" s="68" t="e">
        <f>LOOKUP(S5,Policy!$L$23:$M$26)</f>
        <v>#REF!</v>
      </c>
      <c r="V5" s="154" t="e">
        <f>INDEX(Policy!$W$34:$W$47,MATCH('RM Calculation Pro Rata'!V3,Policy!$L$34:$L$47,0))</f>
        <v>#N/A</v>
      </c>
      <c r="W5" s="66">
        <v>33000</v>
      </c>
      <c r="X5" s="66"/>
      <c r="Y5" s="118" t="e">
        <f>V5*W5</f>
        <v>#N/A</v>
      </c>
      <c r="Z5" s="60" t="e">
        <f>Y10/Y5</f>
        <v>#REF!</v>
      </c>
      <c r="AA5" s="68" t="e">
        <f>LOOKUP(Z5,Policy!$L$23:$M$26)</f>
        <v>#REF!</v>
      </c>
    </row>
    <row r="6" spans="1:29" ht="15.75" customHeight="1" x14ac:dyDescent="0.2">
      <c r="A6" s="69"/>
      <c r="B6" s="66"/>
      <c r="C6" s="66"/>
      <c r="D6" s="67"/>
      <c r="E6" s="60"/>
      <c r="F6" s="72"/>
      <c r="H6" s="69"/>
      <c r="I6" s="66"/>
      <c r="J6" s="66"/>
      <c r="K6" s="67"/>
      <c r="L6" s="60"/>
      <c r="M6" s="72"/>
      <c r="O6" s="69"/>
      <c r="P6" s="66"/>
      <c r="Q6" s="66"/>
      <c r="R6" s="67"/>
      <c r="S6" s="60"/>
      <c r="T6" s="72"/>
      <c r="V6" s="69"/>
      <c r="W6" s="66"/>
      <c r="X6" s="66"/>
      <c r="Y6" s="67"/>
      <c r="Z6" s="60"/>
      <c r="AA6" s="72"/>
    </row>
    <row r="7" spans="1:29" ht="15.75" customHeight="1" x14ac:dyDescent="0.2">
      <c r="A7" s="69"/>
      <c r="B7" s="66"/>
      <c r="C7" s="73">
        <v>46113</v>
      </c>
      <c r="D7" s="71">
        <f>'Incentive Report- Output'!O10</f>
        <v>6163177.9661016846</v>
      </c>
      <c r="E7" s="60">
        <f>D7/D10</f>
        <v>0.27374265002744352</v>
      </c>
      <c r="F7" s="118">
        <f>E7*F10</f>
        <v>0</v>
      </c>
      <c r="H7" s="69"/>
      <c r="I7" s="66"/>
      <c r="J7" s="73">
        <v>46204</v>
      </c>
      <c r="K7" s="71">
        <f>'Incentive Report- Output'!O295</f>
        <v>5830468.6426100004</v>
      </c>
      <c r="L7" s="60">
        <f>K7/K10</f>
        <v>6.9388436584124871E-2</v>
      </c>
      <c r="M7" s="118">
        <f>L7*M10</f>
        <v>14576.171606525002</v>
      </c>
      <c r="O7" s="69"/>
      <c r="P7" s="66"/>
      <c r="Q7" s="73">
        <v>45931</v>
      </c>
      <c r="R7" s="71" t="e">
        <f>'Incentive Report- Output'!#REF!</f>
        <v>#REF!</v>
      </c>
      <c r="S7" s="60" t="e">
        <f>R7/R10</f>
        <v>#REF!</v>
      </c>
      <c r="T7" s="118" t="e">
        <f>S7*T10</f>
        <v>#REF!</v>
      </c>
      <c r="V7" s="69"/>
      <c r="W7" s="66"/>
      <c r="X7" s="73">
        <v>46023</v>
      </c>
      <c r="Y7" s="71" t="e">
        <f>'Incentive Report- Output'!#REF!</f>
        <v>#REF!</v>
      </c>
      <c r="Z7" s="60" t="e">
        <f>Y7/Y10</f>
        <v>#REF!</v>
      </c>
      <c r="AA7" s="118" t="e">
        <f>Z7*AA10</f>
        <v>#REF!</v>
      </c>
    </row>
    <row r="8" spans="1:29" ht="15.75" customHeight="1" x14ac:dyDescent="0.2">
      <c r="A8" s="69"/>
      <c r="B8" s="66"/>
      <c r="C8" s="73">
        <v>46143</v>
      </c>
      <c r="D8" s="71">
        <f>'Incentive Report- Output'!O104</f>
        <v>10081566.94915254</v>
      </c>
      <c r="E8" s="60">
        <f>D8/D10</f>
        <v>0.44778113957914756</v>
      </c>
      <c r="F8" s="118">
        <f>E8*F10</f>
        <v>0</v>
      </c>
      <c r="H8" s="69"/>
      <c r="I8" s="66"/>
      <c r="J8" s="73">
        <v>46235</v>
      </c>
      <c r="K8" s="71">
        <f>'Incentive Report- Output'!O393</f>
        <v>78196048.305084601</v>
      </c>
      <c r="L8" s="60">
        <f>K8/K10</f>
        <v>0.93061156341587514</v>
      </c>
      <c r="M8" s="118">
        <f>L8*M10</f>
        <v>195490.12076271151</v>
      </c>
      <c r="O8" s="69"/>
      <c r="P8" s="66"/>
      <c r="Q8" s="73">
        <v>45962</v>
      </c>
      <c r="R8" s="71" t="e">
        <f>'Incentive Report- Output'!#REF!</f>
        <v>#REF!</v>
      </c>
      <c r="S8" s="60" t="e">
        <f>R8/R10</f>
        <v>#REF!</v>
      </c>
      <c r="T8" s="118" t="e">
        <f>S8*T10</f>
        <v>#REF!</v>
      </c>
      <c r="V8" s="69"/>
      <c r="W8" s="66"/>
      <c r="X8" s="73">
        <v>46054</v>
      </c>
      <c r="Y8" s="71" t="e">
        <f>'Incentive Report- Output'!#REF!</f>
        <v>#REF!</v>
      </c>
      <c r="Z8" s="60" t="e">
        <f>Y8/Y10</f>
        <v>#REF!</v>
      </c>
      <c r="AA8" s="118" t="e">
        <f>Z8*AA10</f>
        <v>#REF!</v>
      </c>
    </row>
    <row r="9" spans="1:29" ht="15.75" customHeight="1" x14ac:dyDescent="0.2">
      <c r="A9" s="69"/>
      <c r="B9" s="66"/>
      <c r="C9" s="73">
        <v>46174</v>
      </c>
      <c r="D9" s="71">
        <f>'Incentive Report- Output'!O199</f>
        <v>6269751.6949152444</v>
      </c>
      <c r="E9" s="60">
        <f>D9/D10</f>
        <v>0.27847621039340886</v>
      </c>
      <c r="F9" s="118">
        <f>E9*F10</f>
        <v>0</v>
      </c>
      <c r="H9" s="69"/>
      <c r="I9" s="66"/>
      <c r="J9" s="73">
        <v>46266</v>
      </c>
      <c r="K9" s="71">
        <v>0</v>
      </c>
      <c r="L9" s="60">
        <f>K9/K10</f>
        <v>0</v>
      </c>
      <c r="M9" s="118">
        <f>L9*M10</f>
        <v>0</v>
      </c>
      <c r="O9" s="69"/>
      <c r="P9" s="66"/>
      <c r="Q9" s="73">
        <v>45992</v>
      </c>
      <c r="R9" s="71" t="e">
        <f>'Incentive Report- Output'!#REF!</f>
        <v>#REF!</v>
      </c>
      <c r="S9" s="60" t="e">
        <f>R9/R10</f>
        <v>#REF!</v>
      </c>
      <c r="T9" s="118" t="e">
        <f>S9*T10</f>
        <v>#REF!</v>
      </c>
      <c r="V9" s="69"/>
      <c r="W9" s="66"/>
      <c r="X9" s="73">
        <v>46082</v>
      </c>
      <c r="Y9" s="71">
        <f>'Incentive Report- Output'!O10</f>
        <v>6163177.9661016846</v>
      </c>
      <c r="Z9" s="60" t="e">
        <f>Y9/Y10</f>
        <v>#REF!</v>
      </c>
      <c r="AA9" s="118" t="e">
        <f>Z9*AA10</f>
        <v>#REF!</v>
      </c>
      <c r="AB9" s="158"/>
      <c r="AC9" s="158"/>
    </row>
    <row r="10" spans="1:29" ht="15.75" customHeight="1" x14ac:dyDescent="0.2">
      <c r="A10" s="69"/>
      <c r="B10" s="66"/>
      <c r="C10" s="66"/>
      <c r="D10" s="74">
        <f>SUM(D7:D9)</f>
        <v>22514496.61016947</v>
      </c>
      <c r="E10" s="59">
        <v>1</v>
      </c>
      <c r="F10" s="76">
        <f>D10*F5</f>
        <v>0</v>
      </c>
      <c r="H10" s="69"/>
      <c r="I10" s="66"/>
      <c r="J10" s="66"/>
      <c r="K10" s="74">
        <f>SUM(K7:K9)</f>
        <v>84026516.9476946</v>
      </c>
      <c r="L10" s="59">
        <v>1</v>
      </c>
      <c r="M10" s="76">
        <f>K10*M5</f>
        <v>210066.2923692365</v>
      </c>
      <c r="O10" s="69"/>
      <c r="P10" s="66"/>
      <c r="Q10" s="66"/>
      <c r="R10" s="74" t="e">
        <f>SUM(R7:R9)</f>
        <v>#REF!</v>
      </c>
      <c r="S10" s="59">
        <v>1</v>
      </c>
      <c r="T10" s="76" t="e">
        <f>R10*T5</f>
        <v>#REF!</v>
      </c>
      <c r="V10" s="69"/>
      <c r="W10" s="66"/>
      <c r="X10" s="66"/>
      <c r="Y10" s="74" t="e">
        <f>SUM(Y7:Y9)</f>
        <v>#REF!</v>
      </c>
      <c r="Z10" s="59">
        <v>1</v>
      </c>
      <c r="AA10" s="76" t="e">
        <f>Y10*AA5</f>
        <v>#REF!</v>
      </c>
    </row>
    <row r="11" spans="1:29" ht="15.75" customHeight="1" x14ac:dyDescent="0.2">
      <c r="A11" s="62" t="s">
        <v>1141</v>
      </c>
      <c r="B11" s="66"/>
      <c r="C11" s="66"/>
      <c r="D11" s="70"/>
      <c r="E11" s="70"/>
      <c r="F11" s="70"/>
      <c r="H11" s="62" t="s">
        <v>1141</v>
      </c>
      <c r="I11" s="66"/>
      <c r="J11" s="66"/>
      <c r="K11" s="70"/>
      <c r="L11" s="70"/>
      <c r="M11" s="70"/>
      <c r="O11" s="62" t="s">
        <v>920</v>
      </c>
      <c r="P11" s="66"/>
      <c r="Q11" s="66"/>
      <c r="R11" s="70"/>
      <c r="S11" s="70"/>
      <c r="T11" s="70"/>
      <c r="V11" s="62" t="s">
        <v>920</v>
      </c>
      <c r="W11" s="66"/>
      <c r="X11" s="66"/>
      <c r="Y11" s="70"/>
      <c r="Z11" s="70"/>
      <c r="AA11" s="70"/>
    </row>
    <row r="12" spans="1:29" ht="15.75" customHeight="1" x14ac:dyDescent="0.2">
      <c r="A12" s="63" t="s">
        <v>106</v>
      </c>
      <c r="B12" s="64" t="s">
        <v>107</v>
      </c>
      <c r="C12" s="75" t="s">
        <v>355</v>
      </c>
      <c r="D12" s="65" t="s">
        <v>7</v>
      </c>
      <c r="E12" s="65" t="s">
        <v>5</v>
      </c>
      <c r="F12" s="65" t="s">
        <v>108</v>
      </c>
      <c r="H12" s="63" t="s">
        <v>106</v>
      </c>
      <c r="I12" s="64" t="s">
        <v>107</v>
      </c>
      <c r="J12" s="75" t="s">
        <v>934</v>
      </c>
      <c r="K12" s="65" t="s">
        <v>7</v>
      </c>
      <c r="L12" s="65" t="s">
        <v>5</v>
      </c>
      <c r="M12" s="65" t="s">
        <v>108</v>
      </c>
      <c r="O12" s="63" t="s">
        <v>106</v>
      </c>
      <c r="P12" s="64" t="s">
        <v>107</v>
      </c>
      <c r="Q12" s="75" t="s">
        <v>752</v>
      </c>
      <c r="R12" s="65" t="s">
        <v>7</v>
      </c>
      <c r="S12" s="65" t="s">
        <v>5</v>
      </c>
      <c r="T12" s="65" t="s">
        <v>108</v>
      </c>
      <c r="V12" s="63" t="s">
        <v>106</v>
      </c>
      <c r="W12" s="64" t="s">
        <v>107</v>
      </c>
      <c r="X12" s="75" t="s">
        <v>773</v>
      </c>
      <c r="Y12" s="65" t="s">
        <v>7</v>
      </c>
      <c r="Z12" s="65" t="s">
        <v>5</v>
      </c>
      <c r="AA12" s="65" t="s">
        <v>108</v>
      </c>
    </row>
    <row r="13" spans="1:29" ht="15.75" customHeight="1" x14ac:dyDescent="0.2">
      <c r="A13" s="154">
        <f>INDEX(Policy!$C$34:$C$47,MATCH('RM Calculation Pro Rata'!A11,Policy!$B$34:$B$47,0))</f>
        <v>950</v>
      </c>
      <c r="B13" s="66">
        <v>33000</v>
      </c>
      <c r="C13" s="66"/>
      <c r="D13" s="118">
        <f>A13*B13</f>
        <v>31350000</v>
      </c>
      <c r="E13" s="60">
        <f>D18/D13</f>
        <v>0.60331343767739776</v>
      </c>
      <c r="F13" s="68" t="str" cm="1">
        <f t="array" ref="F13">_xlfn.IFS(E13&lt;74.99%,"0",E13&lt;=100%,".25%",E13&lt;=130%,".35%",E13&gt;=130%,".50%")</f>
        <v>0</v>
      </c>
      <c r="H13" s="154">
        <f>INDEX(Policy!$Q$35:$Q$48,MATCH('RM Calculation Pro Rata'!H11,Policy!$M$35:$M$48,0))</f>
        <v>2000</v>
      </c>
      <c r="I13" s="66">
        <v>33000</v>
      </c>
      <c r="J13" s="66"/>
      <c r="K13" s="118">
        <f>H13*I13</f>
        <v>66000000</v>
      </c>
      <c r="L13" s="60">
        <f>K18/K13</f>
        <v>1.1944736645688248</v>
      </c>
      <c r="M13" s="68" t="str" cm="1">
        <f t="array" ref="M13">_xlfn.IFS(L13&lt;74.99%,"0",L13&lt;=100%,".25%",L13&lt;=130%,".35%",L13&gt;=130%,".50%")</f>
        <v>.35%</v>
      </c>
      <c r="O13" s="154" t="e">
        <f>INDEX(Policy!$P$34:$P$47,MATCH('RM Calculation Pro Rata'!O11,Policy!$L$34:$L$47,0))</f>
        <v>#N/A</v>
      </c>
      <c r="P13" s="66">
        <v>33000</v>
      </c>
      <c r="Q13" s="66"/>
      <c r="R13" s="118" t="e">
        <f>O13*P13</f>
        <v>#N/A</v>
      </c>
      <c r="S13" s="60" t="e">
        <f>R18/R13</f>
        <v>#REF!</v>
      </c>
      <c r="T13" s="68">
        <v>0</v>
      </c>
      <c r="V13" s="154" t="e">
        <f>INDEX(Policy!$W$34:$W$47,MATCH('RM Calculation Pro Rata'!V11,Policy!$L$34:$L$47,0))</f>
        <v>#N/A</v>
      </c>
      <c r="W13" s="66">
        <v>33000</v>
      </c>
      <c r="X13" s="66"/>
      <c r="Y13" s="118" t="e">
        <f>V13*W13</f>
        <v>#N/A</v>
      </c>
      <c r="Z13" s="60" t="e">
        <f>Y18/Y13</f>
        <v>#REF!</v>
      </c>
      <c r="AA13" s="68">
        <v>0</v>
      </c>
    </row>
    <row r="14" spans="1:29" ht="15.75" customHeight="1" x14ac:dyDescent="0.2">
      <c r="A14" s="69"/>
      <c r="B14" s="66"/>
      <c r="C14" s="66"/>
      <c r="D14" s="70"/>
      <c r="E14" s="70"/>
      <c r="F14" s="70"/>
      <c r="H14" s="69"/>
      <c r="I14" s="66"/>
      <c r="J14" s="66"/>
      <c r="K14" s="70"/>
      <c r="L14" s="70"/>
      <c r="M14" s="70"/>
      <c r="O14" s="69"/>
      <c r="P14" s="66"/>
      <c r="Q14" s="66"/>
      <c r="R14" s="70"/>
      <c r="S14" s="70"/>
      <c r="T14" s="70"/>
      <c r="V14" s="69"/>
      <c r="W14" s="66"/>
      <c r="X14" s="66"/>
      <c r="Y14" s="70"/>
      <c r="Z14" s="70"/>
      <c r="AA14" s="70"/>
    </row>
    <row r="15" spans="1:29" ht="15.75" customHeight="1" x14ac:dyDescent="0.2">
      <c r="A15" s="69"/>
      <c r="B15" s="66"/>
      <c r="C15" s="73">
        <v>46113</v>
      </c>
      <c r="D15" s="71">
        <f>'Incentive Report- Output'!O15</f>
        <v>3865324.5762711805</v>
      </c>
      <c r="E15" s="60">
        <f>D15/D18</f>
        <v>0.20436448461702444</v>
      </c>
      <c r="F15" s="118">
        <f>E15*F18</f>
        <v>0</v>
      </c>
      <c r="H15" s="69"/>
      <c r="I15" s="66"/>
      <c r="J15" s="73">
        <v>46204</v>
      </c>
      <c r="K15" s="71">
        <f>'Incentive Report- Output'!O300</f>
        <v>7588912.7090000007</v>
      </c>
      <c r="L15" s="60">
        <f>K15/K18</f>
        <v>9.6262922578075921E-2</v>
      </c>
      <c r="M15" s="118">
        <f>L15*M18</f>
        <v>26561.194481500006</v>
      </c>
      <c r="O15" s="69"/>
      <c r="P15" s="66"/>
      <c r="Q15" s="73">
        <v>45931</v>
      </c>
      <c r="R15" s="71" t="e">
        <f>'Incentive Report- Output'!#REF!</f>
        <v>#REF!</v>
      </c>
      <c r="S15" s="60" t="e">
        <f>R15/R18</f>
        <v>#REF!</v>
      </c>
      <c r="T15" s="118" t="e">
        <f>S15*T18</f>
        <v>#REF!</v>
      </c>
      <c r="V15" s="69"/>
      <c r="W15" s="66"/>
      <c r="X15" s="73">
        <v>46023</v>
      </c>
      <c r="Y15" s="71" t="e">
        <f>'Incentive Report- Output'!#REF!</f>
        <v>#REF!</v>
      </c>
      <c r="Z15" s="60" t="e">
        <f>Y15/Y18</f>
        <v>#REF!</v>
      </c>
      <c r="AA15" s="118" t="e">
        <f>Z15*AA18</f>
        <v>#REF!</v>
      </c>
    </row>
    <row r="16" spans="1:29" ht="15.75" customHeight="1" x14ac:dyDescent="0.2">
      <c r="A16" s="69"/>
      <c r="B16" s="66"/>
      <c r="C16" s="73">
        <v>46143</v>
      </c>
      <c r="D16" s="71">
        <f>'Incentive Report- Output'!O109</f>
        <v>7710264.406779659</v>
      </c>
      <c r="E16" s="60">
        <f>D16/D18</f>
        <v>0.40765120254728271</v>
      </c>
      <c r="F16" s="118">
        <f>E16*F18</f>
        <v>0</v>
      </c>
      <c r="H16" s="69"/>
      <c r="I16" s="66"/>
      <c r="J16" s="73">
        <v>46235</v>
      </c>
      <c r="K16" s="71">
        <f>'Incentive Report- Output'!O398</f>
        <v>71246349.152542427</v>
      </c>
      <c r="L16" s="60">
        <f>K16/K18</f>
        <v>0.903737077421924</v>
      </c>
      <c r="M16" s="118">
        <f>L16*M18</f>
        <v>249362.22203389852</v>
      </c>
      <c r="O16" s="69"/>
      <c r="P16" s="66"/>
      <c r="Q16" s="73">
        <v>45962</v>
      </c>
      <c r="R16" s="71" t="e">
        <f>'Incentive Report- Output'!#REF!</f>
        <v>#REF!</v>
      </c>
      <c r="S16" s="60" t="e">
        <f>R16/R18</f>
        <v>#REF!</v>
      </c>
      <c r="T16" s="118" t="e">
        <f>S16*T18</f>
        <v>#REF!</v>
      </c>
      <c r="V16" s="69"/>
      <c r="W16" s="66"/>
      <c r="X16" s="73">
        <v>46054</v>
      </c>
      <c r="Y16" s="71" t="e">
        <f>'Incentive Report- Output'!#REF!</f>
        <v>#REF!</v>
      </c>
      <c r="Z16" s="60" t="e">
        <f>Y16/Y18</f>
        <v>#REF!</v>
      </c>
      <c r="AA16" s="118" t="e">
        <f>Z16*AA18</f>
        <v>#REF!</v>
      </c>
    </row>
    <row r="17" spans="1:29" ht="15.75" customHeight="1" x14ac:dyDescent="0.2">
      <c r="A17" s="69"/>
      <c r="B17" s="66"/>
      <c r="C17" s="73">
        <v>46174</v>
      </c>
      <c r="D17" s="71">
        <f>'Incentive Report- Output'!O204</f>
        <v>7338287.2881355807</v>
      </c>
      <c r="E17" s="60">
        <f>D17/D18</f>
        <v>0.3879843128356929</v>
      </c>
      <c r="F17" s="118">
        <f>E17*F18</f>
        <v>0</v>
      </c>
      <c r="H17" s="69"/>
      <c r="I17" s="66"/>
      <c r="J17" s="73">
        <v>46266</v>
      </c>
      <c r="K17" s="71">
        <v>0</v>
      </c>
      <c r="L17" s="60">
        <f>K17/K18</f>
        <v>0</v>
      </c>
      <c r="M17" s="118">
        <f>L17*M18</f>
        <v>0</v>
      </c>
      <c r="O17" s="69"/>
      <c r="P17" s="66"/>
      <c r="Q17" s="73">
        <v>45992</v>
      </c>
      <c r="R17" s="71" t="e">
        <f>'Incentive Report- Output'!#REF!</f>
        <v>#REF!</v>
      </c>
      <c r="S17" s="60" t="e">
        <f>R17/R18</f>
        <v>#REF!</v>
      </c>
      <c r="T17" s="118" t="e">
        <f>S17*T18</f>
        <v>#REF!</v>
      </c>
      <c r="V17" s="69"/>
      <c r="W17" s="66"/>
      <c r="X17" s="73">
        <v>46082</v>
      </c>
      <c r="Y17" s="71">
        <f>'Incentive Report- Output'!O15</f>
        <v>3865324.5762711805</v>
      </c>
      <c r="Z17" s="60" t="e">
        <f>Y17/Y18</f>
        <v>#REF!</v>
      </c>
      <c r="AA17" s="118" t="e">
        <f>Z17*AA18</f>
        <v>#REF!</v>
      </c>
      <c r="AB17" s="158"/>
      <c r="AC17" s="158"/>
    </row>
    <row r="18" spans="1:29" ht="15.75" customHeight="1" x14ac:dyDescent="0.2">
      <c r="A18" s="69"/>
      <c r="B18" s="66"/>
      <c r="C18" s="66"/>
      <c r="D18" s="74">
        <f>SUM(D15:D17)</f>
        <v>18913876.271186419</v>
      </c>
      <c r="E18" s="59">
        <v>1</v>
      </c>
      <c r="F18" s="76">
        <f>D18*F13</f>
        <v>0</v>
      </c>
      <c r="H18" s="69"/>
      <c r="I18" s="66"/>
      <c r="J18" s="66"/>
      <c r="K18" s="74">
        <f>SUM(K15:K17)</f>
        <v>78835261.861542434</v>
      </c>
      <c r="L18" s="59">
        <v>1</v>
      </c>
      <c r="M18" s="76">
        <f>K18*M13</f>
        <v>275923.41651539854</v>
      </c>
      <c r="O18" s="69"/>
      <c r="P18" s="66"/>
      <c r="Q18" s="66"/>
      <c r="R18" s="74" t="e">
        <f>SUM(R15:R17)</f>
        <v>#REF!</v>
      </c>
      <c r="S18" s="59">
        <v>1</v>
      </c>
      <c r="T18" s="76" t="e">
        <f>R18*T13</f>
        <v>#REF!</v>
      </c>
      <c r="V18" s="69"/>
      <c r="W18" s="66"/>
      <c r="X18" s="66"/>
      <c r="Y18" s="74" t="e">
        <f>SUM(Y15:Y17)</f>
        <v>#REF!</v>
      </c>
      <c r="Z18" s="59">
        <v>1</v>
      </c>
      <c r="AA18" s="76" t="e">
        <f>Y18*AA13</f>
        <v>#REF!</v>
      </c>
    </row>
    <row r="19" spans="1:29" ht="14" x14ac:dyDescent="0.2">
      <c r="A19" s="62" t="s">
        <v>646</v>
      </c>
      <c r="B19" s="66"/>
      <c r="C19" s="66"/>
      <c r="D19" s="70"/>
      <c r="E19" s="70"/>
      <c r="F19" s="70"/>
      <c r="H19" s="62" t="s">
        <v>646</v>
      </c>
      <c r="I19" s="66"/>
      <c r="J19" s="66"/>
      <c r="K19" s="70"/>
      <c r="L19" s="70"/>
      <c r="M19" s="70"/>
      <c r="O19" s="62" t="s">
        <v>646</v>
      </c>
      <c r="P19" s="66"/>
      <c r="Q19" s="66"/>
      <c r="R19" s="70"/>
      <c r="S19" s="70"/>
      <c r="T19" s="70"/>
      <c r="V19" s="62" t="s">
        <v>646</v>
      </c>
      <c r="W19" s="66"/>
      <c r="X19" s="66"/>
      <c r="Y19" s="70"/>
      <c r="Z19" s="70"/>
      <c r="AA19" s="70"/>
    </row>
    <row r="20" spans="1:29" ht="14" x14ac:dyDescent="0.2">
      <c r="A20" s="63" t="s">
        <v>106</v>
      </c>
      <c r="B20" s="64" t="s">
        <v>107</v>
      </c>
      <c r="C20" s="75" t="s">
        <v>355</v>
      </c>
      <c r="D20" s="65" t="s">
        <v>7</v>
      </c>
      <c r="E20" s="65" t="s">
        <v>5</v>
      </c>
      <c r="F20" s="65" t="s">
        <v>108</v>
      </c>
      <c r="H20" s="63" t="s">
        <v>106</v>
      </c>
      <c r="I20" s="64" t="s">
        <v>107</v>
      </c>
      <c r="J20" s="75" t="s">
        <v>934</v>
      </c>
      <c r="K20" s="65" t="s">
        <v>7</v>
      </c>
      <c r="L20" s="65" t="s">
        <v>5</v>
      </c>
      <c r="M20" s="65" t="s">
        <v>108</v>
      </c>
      <c r="O20" s="63" t="s">
        <v>106</v>
      </c>
      <c r="P20" s="64" t="s">
        <v>107</v>
      </c>
      <c r="Q20" s="75" t="s">
        <v>752</v>
      </c>
      <c r="R20" s="65" t="s">
        <v>7</v>
      </c>
      <c r="S20" s="65" t="s">
        <v>5</v>
      </c>
      <c r="T20" s="65" t="s">
        <v>108</v>
      </c>
      <c r="V20" s="63" t="s">
        <v>106</v>
      </c>
      <c r="W20" s="64" t="s">
        <v>107</v>
      </c>
      <c r="X20" s="75" t="s">
        <v>773</v>
      </c>
      <c r="Y20" s="65" t="s">
        <v>7</v>
      </c>
      <c r="Z20" s="65" t="s">
        <v>5</v>
      </c>
      <c r="AA20" s="65" t="s">
        <v>108</v>
      </c>
    </row>
    <row r="21" spans="1:29" ht="14" x14ac:dyDescent="0.2">
      <c r="A21" s="154">
        <f>INDEX(Policy!$C$34:$C$47,MATCH('RM Calculation Pro Rata'!A19,Policy!$B$34:$B$47,0))</f>
        <v>1950</v>
      </c>
      <c r="B21" s="66">
        <v>33000</v>
      </c>
      <c r="C21" s="66"/>
      <c r="D21" s="118">
        <f>A21*B21</f>
        <v>64350000</v>
      </c>
      <c r="E21" s="60">
        <f>D26/D21</f>
        <v>0.60252186796254514</v>
      </c>
      <c r="F21" s="68" t="str" cm="1">
        <f t="array" ref="F21">_xlfn.IFS(E21&lt;74.99%,"0",E21&lt;=100%,".25%",E21&lt;=130%,".35%",E21&gt;=130%,".50%")</f>
        <v>0</v>
      </c>
      <c r="H21" s="154">
        <f>INDEX(Policy!$Q$35:$Q$48,MATCH('RM Calculation Pro Rata'!H19,Policy!$M$35:$M$48,0))</f>
        <v>4800</v>
      </c>
      <c r="I21" s="66">
        <v>33000</v>
      </c>
      <c r="J21" s="66"/>
      <c r="K21" s="118">
        <f>H21*I21</f>
        <v>158400000</v>
      </c>
      <c r="L21" s="60">
        <f>K26/K21</f>
        <v>1.218727770278452</v>
      </c>
      <c r="M21" s="68" t="str" cm="1">
        <f t="array" ref="M21">_xlfn.IFS(L21&lt;74.99%,"0",L21&lt;=100%,".25%",L21&lt;=130%,".35%",L21&gt;=130%,".50%")</f>
        <v>.35%</v>
      </c>
      <c r="N21" s="254"/>
      <c r="O21" s="154" t="e">
        <f>INDEX(Policy!$P$34:$P$47,MATCH('RM Calculation Pro Rata'!O19,Policy!$L$34:$L$47,0))</f>
        <v>#N/A</v>
      </c>
      <c r="P21" s="66">
        <v>33000</v>
      </c>
      <c r="Q21" s="66"/>
      <c r="R21" s="118" t="e">
        <f>O21*P21</f>
        <v>#N/A</v>
      </c>
      <c r="S21" s="244" t="e">
        <f>R26/R21</f>
        <v>#REF!</v>
      </c>
      <c r="T21" s="68" t="e">
        <f>LOOKUP(S21,Policy!$L$23:$M$26)</f>
        <v>#REF!</v>
      </c>
      <c r="V21" s="154" t="e">
        <f>INDEX(Policy!$W$34:$W$47,MATCH('RM Calculation Pro Rata'!V19,Policy!$L$34:$L$47,0))</f>
        <v>#N/A</v>
      </c>
      <c r="W21" s="66">
        <v>33000</v>
      </c>
      <c r="X21" s="66"/>
      <c r="Y21" s="118" t="e">
        <f>V21*W21</f>
        <v>#N/A</v>
      </c>
      <c r="Z21" s="244" t="e">
        <f>Y26/Y21</f>
        <v>#REF!</v>
      </c>
      <c r="AA21" s="68" t="e">
        <f>LOOKUP(Z21,Policy!$L$23:$M$26)</f>
        <v>#REF!</v>
      </c>
    </row>
    <row r="22" spans="1:29" ht="14" x14ac:dyDescent="0.2">
      <c r="A22" s="69"/>
      <c r="B22" s="66"/>
      <c r="C22" s="66"/>
      <c r="D22" s="70"/>
      <c r="E22" s="70"/>
      <c r="F22" s="70"/>
      <c r="H22" s="69"/>
      <c r="I22" s="66"/>
      <c r="J22" s="66"/>
      <c r="K22" s="70"/>
      <c r="L22" s="70"/>
      <c r="M22" s="70"/>
      <c r="O22" s="69"/>
      <c r="P22" s="66"/>
      <c r="Q22" s="66"/>
      <c r="R22" s="70"/>
      <c r="S22" s="70"/>
      <c r="T22" s="70"/>
      <c r="V22" s="69"/>
      <c r="W22" s="66"/>
      <c r="X22" s="66"/>
      <c r="Y22" s="70"/>
      <c r="Z22" s="70"/>
      <c r="AA22" s="70"/>
    </row>
    <row r="23" spans="1:29" ht="14" x14ac:dyDescent="0.2">
      <c r="A23" s="69"/>
      <c r="B23" s="66"/>
      <c r="C23" s="73">
        <v>46113</v>
      </c>
      <c r="D23" s="71">
        <f>'Incentive Report- Output'!O24</f>
        <v>10081111.016949136</v>
      </c>
      <c r="E23" s="60">
        <f>D23/D26</f>
        <v>0.26000819255534474</v>
      </c>
      <c r="F23" s="118">
        <f>E23*F26</f>
        <v>0</v>
      </c>
      <c r="H23" s="69"/>
      <c r="I23" s="66"/>
      <c r="J23" s="73">
        <v>46204</v>
      </c>
      <c r="K23" s="71">
        <f>'Incentive Report- Output'!O309</f>
        <v>6693316.9477000013</v>
      </c>
      <c r="L23" s="60">
        <f>K23/K26</f>
        <v>3.4672048870752224E-2</v>
      </c>
      <c r="M23" s="118">
        <f>L23*M26</f>
        <v>23426.609316950005</v>
      </c>
      <c r="O23" s="69"/>
      <c r="P23" s="66"/>
      <c r="Q23" s="73">
        <v>45931</v>
      </c>
      <c r="R23" s="71" t="e">
        <f>'Incentive Report- Output'!#REF!</f>
        <v>#REF!</v>
      </c>
      <c r="S23" s="60" t="e">
        <f>R23/R26</f>
        <v>#REF!</v>
      </c>
      <c r="T23" s="118" t="e">
        <f>S23*T26</f>
        <v>#REF!</v>
      </c>
      <c r="V23" s="69"/>
      <c r="W23" s="66"/>
      <c r="X23" s="73">
        <v>46023</v>
      </c>
      <c r="Y23" s="71" t="e">
        <f>'Incentive Report- Output'!#REF!</f>
        <v>#REF!</v>
      </c>
      <c r="Z23" s="60" t="e">
        <f>Y23/Y26</f>
        <v>#REF!</v>
      </c>
      <c r="AA23" s="118" t="e">
        <f>Z23*AA26</f>
        <v>#REF!</v>
      </c>
    </row>
    <row r="24" spans="1:29" ht="14" x14ac:dyDescent="0.2">
      <c r="A24" s="69"/>
      <c r="B24" s="66"/>
      <c r="C24" s="73">
        <v>46143</v>
      </c>
      <c r="D24" s="71">
        <f>'Incentive Report- Output'!O118</f>
        <v>19626094.91525422</v>
      </c>
      <c r="E24" s="60">
        <f>D24/D26</f>
        <v>0.5061887977679671</v>
      </c>
      <c r="F24" s="118">
        <f>E24*F26</f>
        <v>0</v>
      </c>
      <c r="H24" s="69"/>
      <c r="I24" s="66"/>
      <c r="J24" s="73">
        <v>46235</v>
      </c>
      <c r="K24" s="71">
        <f>'Incentive Report- Output'!O407</f>
        <v>186353161.86440682</v>
      </c>
      <c r="L24" s="60">
        <f>K24/K26</f>
        <v>0.96532795112924785</v>
      </c>
      <c r="M24" s="118">
        <f>L24*M26</f>
        <v>652236.0665254239</v>
      </c>
      <c r="O24" s="69"/>
      <c r="P24" s="66"/>
      <c r="Q24" s="73">
        <v>45962</v>
      </c>
      <c r="R24" s="71" t="e">
        <f>'Incentive Report- Output'!#REF!</f>
        <v>#REF!</v>
      </c>
      <c r="S24" s="60" t="e">
        <f>R24/R26</f>
        <v>#REF!</v>
      </c>
      <c r="T24" s="118" t="e">
        <f>S24*T26</f>
        <v>#REF!</v>
      </c>
      <c r="V24" s="69"/>
      <c r="W24" s="66"/>
      <c r="X24" s="73">
        <v>46054</v>
      </c>
      <c r="Y24" s="71" t="e">
        <f>'Incentive Report- Output'!#REF!</f>
        <v>#REF!</v>
      </c>
      <c r="Z24" s="60" t="e">
        <f>Y24/Y26</f>
        <v>#REF!</v>
      </c>
      <c r="AA24" s="118" t="e">
        <f>Z24*AA26</f>
        <v>#REF!</v>
      </c>
    </row>
    <row r="25" spans="1:29" ht="14" x14ac:dyDescent="0.2">
      <c r="A25" s="69"/>
      <c r="B25" s="66"/>
      <c r="C25" s="73">
        <v>46174</v>
      </c>
      <c r="D25" s="71">
        <f>'Incentive Report- Output'!O213</f>
        <v>9065076.2711864263</v>
      </c>
      <c r="E25" s="60">
        <f>D25/D26</f>
        <v>0.23380300967668821</v>
      </c>
      <c r="F25" s="118">
        <f>E25*F26</f>
        <v>0</v>
      </c>
      <c r="H25" s="69"/>
      <c r="I25" s="66"/>
      <c r="J25" s="73">
        <v>46266</v>
      </c>
      <c r="K25" s="71">
        <v>0</v>
      </c>
      <c r="L25" s="60">
        <f>K25/K26</f>
        <v>0</v>
      </c>
      <c r="M25" s="118">
        <f>L25*M26</f>
        <v>0</v>
      </c>
      <c r="O25" s="69"/>
      <c r="P25" s="66"/>
      <c r="Q25" s="73">
        <v>45992</v>
      </c>
      <c r="R25" s="71" t="e">
        <f>'Incentive Report- Output'!#REF!</f>
        <v>#REF!</v>
      </c>
      <c r="S25" s="60" t="e">
        <f>R25/R26</f>
        <v>#REF!</v>
      </c>
      <c r="T25" s="118" t="e">
        <f>S25*T26</f>
        <v>#REF!</v>
      </c>
      <c r="V25" s="69"/>
      <c r="W25" s="66"/>
      <c r="X25" s="73">
        <v>46082</v>
      </c>
      <c r="Y25" s="71">
        <f>'Incentive Report- Output'!O24</f>
        <v>10081111.016949136</v>
      </c>
      <c r="Z25" s="60" t="e">
        <f>Y25/Y26</f>
        <v>#REF!</v>
      </c>
      <c r="AA25" s="118" t="e">
        <f>Z25*AA26</f>
        <v>#REF!</v>
      </c>
      <c r="AB25" s="158"/>
      <c r="AC25" s="158"/>
    </row>
    <row r="26" spans="1:29" ht="14" x14ac:dyDescent="0.2">
      <c r="A26" s="69"/>
      <c r="B26" s="66"/>
      <c r="C26" s="66"/>
      <c r="D26" s="74">
        <f>SUM(D23:D25)</f>
        <v>38772282.203389779</v>
      </c>
      <c r="E26" s="59">
        <v>1</v>
      </c>
      <c r="F26" s="76">
        <f>D26*F21</f>
        <v>0</v>
      </c>
      <c r="H26" s="69"/>
      <c r="I26" s="66"/>
      <c r="J26" s="66"/>
      <c r="K26" s="74">
        <f>SUM(K23:K25)</f>
        <v>193046478.81210682</v>
      </c>
      <c r="L26" s="59">
        <v>1</v>
      </c>
      <c r="M26" s="76">
        <f>K26*M21</f>
        <v>675662.67584237386</v>
      </c>
      <c r="O26" s="69"/>
      <c r="P26" s="66"/>
      <c r="Q26" s="66"/>
      <c r="R26" s="74" t="e">
        <f>SUM(R23:R25)</f>
        <v>#REF!</v>
      </c>
      <c r="S26" s="59">
        <v>1</v>
      </c>
      <c r="T26" s="76" t="e">
        <f>R26*T21</f>
        <v>#REF!</v>
      </c>
      <c r="V26" s="69"/>
      <c r="W26" s="66"/>
      <c r="X26" s="66"/>
      <c r="Y26" s="74" t="e">
        <f>SUM(Y23:Y25)</f>
        <v>#REF!</v>
      </c>
      <c r="Z26" s="59">
        <v>1</v>
      </c>
      <c r="AA26" s="76" t="e">
        <f>Y26*AA21</f>
        <v>#REF!</v>
      </c>
    </row>
    <row r="27" spans="1:29" ht="14" x14ac:dyDescent="0.2">
      <c r="A27" s="63" t="s">
        <v>1143</v>
      </c>
      <c r="B27" s="66"/>
      <c r="C27" s="66"/>
      <c r="D27" s="70"/>
      <c r="E27" s="70"/>
      <c r="F27" s="70"/>
      <c r="H27" s="63" t="s">
        <v>1143</v>
      </c>
      <c r="I27" s="66"/>
      <c r="J27" s="66"/>
      <c r="K27" s="70"/>
      <c r="L27" s="70"/>
      <c r="M27" s="70"/>
      <c r="O27" s="62" t="s">
        <v>652</v>
      </c>
      <c r="P27" s="66"/>
      <c r="Q27" s="66"/>
      <c r="R27" s="70"/>
      <c r="S27" s="70"/>
      <c r="T27" s="70"/>
      <c r="V27" s="62" t="s">
        <v>652</v>
      </c>
      <c r="W27" s="66"/>
      <c r="X27" s="66"/>
      <c r="Y27" s="70"/>
      <c r="Z27" s="70"/>
      <c r="AA27" s="70"/>
    </row>
    <row r="28" spans="1:29" ht="14" x14ac:dyDescent="0.2">
      <c r="A28" s="63" t="s">
        <v>106</v>
      </c>
      <c r="B28" s="64" t="s">
        <v>107</v>
      </c>
      <c r="C28" s="75" t="s">
        <v>355</v>
      </c>
      <c r="D28" s="65" t="s">
        <v>7</v>
      </c>
      <c r="E28" s="65" t="s">
        <v>5</v>
      </c>
      <c r="F28" s="65" t="s">
        <v>108</v>
      </c>
      <c r="H28" s="63" t="s">
        <v>106</v>
      </c>
      <c r="I28" s="64" t="s">
        <v>107</v>
      </c>
      <c r="J28" s="75" t="s">
        <v>934</v>
      </c>
      <c r="K28" s="65" t="s">
        <v>7</v>
      </c>
      <c r="L28" s="65" t="s">
        <v>5</v>
      </c>
      <c r="M28" s="65" t="s">
        <v>108</v>
      </c>
      <c r="O28" s="63" t="s">
        <v>106</v>
      </c>
      <c r="P28" s="64" t="s">
        <v>107</v>
      </c>
      <c r="Q28" s="75" t="s">
        <v>752</v>
      </c>
      <c r="R28" s="65" t="s">
        <v>7</v>
      </c>
      <c r="S28" s="65" t="s">
        <v>5</v>
      </c>
      <c r="T28" s="65" t="s">
        <v>108</v>
      </c>
      <c r="V28" s="63" t="s">
        <v>106</v>
      </c>
      <c r="W28" s="64" t="s">
        <v>107</v>
      </c>
      <c r="X28" s="75" t="s">
        <v>773</v>
      </c>
      <c r="Y28" s="65" t="s">
        <v>7</v>
      </c>
      <c r="Z28" s="65" t="s">
        <v>5</v>
      </c>
      <c r="AA28" s="65" t="s">
        <v>108</v>
      </c>
    </row>
    <row r="29" spans="1:29" ht="14" x14ac:dyDescent="0.2">
      <c r="A29" s="154">
        <f>INDEX(Policy!$C$34:$C$47,MATCH('RM Calculation Pro Rata'!A27,Policy!$B$34:$B$47,0))</f>
        <v>700</v>
      </c>
      <c r="B29" s="66">
        <v>33000</v>
      </c>
      <c r="C29" s="66"/>
      <c r="D29" s="118">
        <f>A29*B29</f>
        <v>23100000</v>
      </c>
      <c r="E29" s="77">
        <f>D34/D29</f>
        <v>0.49617073886565366</v>
      </c>
      <c r="F29" s="68" t="str" cm="1">
        <f t="array" ref="F29">_xlfn.IFS(E29&lt;74.99%,"0",E29&lt;=100%,".25%",E29&lt;=130%,".35%",E29&gt;=130%,".50%")</f>
        <v>0</v>
      </c>
      <c r="H29" s="154">
        <f>INDEX(Policy!$Q$35:$Q$48,MATCH('RM Calculation Pro Rata'!H27,Policy!$M$35:$M$48,0))</f>
        <v>1600</v>
      </c>
      <c r="I29" s="66">
        <v>33000</v>
      </c>
      <c r="J29" s="66"/>
      <c r="K29" s="118">
        <f>H29*I29</f>
        <v>52800000</v>
      </c>
      <c r="L29" s="77">
        <f>K34/K29</f>
        <v>0.74260236903007737</v>
      </c>
      <c r="M29" s="68" t="str" cm="1">
        <f t="array" ref="M29">_xlfn.IFS(L29&lt;74.99%,"0",L29&lt;=100%,".25%",L29&lt;=130%,".35%",L29&gt;=130%,".50%")</f>
        <v>0</v>
      </c>
      <c r="N29" s="254"/>
      <c r="O29" s="154" t="e">
        <f>INDEX(Policy!$P$34:$P$47,MATCH('RM Calculation Pro Rata'!O27,Policy!$L$34:$L$47,0))</f>
        <v>#N/A</v>
      </c>
      <c r="P29" s="66">
        <v>33000</v>
      </c>
      <c r="Q29" s="66"/>
      <c r="R29" s="118" t="e">
        <f>O29*P29</f>
        <v>#N/A</v>
      </c>
      <c r="S29" s="77" t="e">
        <f>R34/R29</f>
        <v>#REF!</v>
      </c>
      <c r="T29" s="68" t="e">
        <f>LOOKUP(S29,Policy!$L$23:$M$26)</f>
        <v>#REF!</v>
      </c>
      <c r="V29" s="154" t="e">
        <f>INDEX(Policy!$W$34:$W$47,MATCH('RM Calculation Pro Rata'!V27,Policy!$L$34:$L$47,0))</f>
        <v>#N/A</v>
      </c>
      <c r="W29" s="66">
        <v>33000</v>
      </c>
      <c r="X29" s="66"/>
      <c r="Y29" s="118" t="e">
        <f>V29*W29</f>
        <v>#N/A</v>
      </c>
      <c r="Z29" s="77" t="e">
        <f>Y34/Y29</f>
        <v>#REF!</v>
      </c>
      <c r="AA29" s="68" t="e">
        <f>LOOKUP(Z29,Policy!$L$23:$M$26)</f>
        <v>#REF!</v>
      </c>
    </row>
    <row r="30" spans="1:29" ht="14" x14ac:dyDescent="0.2">
      <c r="A30" s="69"/>
      <c r="B30" s="66"/>
      <c r="C30" s="66"/>
      <c r="D30" s="67"/>
      <c r="E30" s="60"/>
      <c r="F30" s="72"/>
      <c r="H30" s="69"/>
      <c r="I30" s="66"/>
      <c r="J30" s="66"/>
      <c r="K30" s="67"/>
      <c r="L30" s="60"/>
      <c r="M30" s="72"/>
      <c r="O30" s="69"/>
      <c r="P30" s="66"/>
      <c r="Q30" s="66"/>
      <c r="R30" s="67"/>
      <c r="S30" s="60"/>
      <c r="T30" s="72"/>
      <c r="V30" s="69"/>
      <c r="W30" s="66"/>
      <c r="X30" s="66"/>
      <c r="Y30" s="67"/>
      <c r="Z30" s="60"/>
      <c r="AA30" s="72"/>
    </row>
    <row r="31" spans="1:29" ht="14" x14ac:dyDescent="0.2">
      <c r="A31" s="69"/>
      <c r="B31" s="66"/>
      <c r="C31" s="73">
        <v>46113</v>
      </c>
      <c r="D31" s="71">
        <f>'Incentive Report- Output'!O28</f>
        <v>2748870.3389830478</v>
      </c>
      <c r="E31" s="60">
        <f>D31/D34</f>
        <v>0.23983420756602289</v>
      </c>
      <c r="F31" s="118">
        <f>E31*F34</f>
        <v>0</v>
      </c>
      <c r="H31" s="69"/>
      <c r="I31" s="66"/>
      <c r="J31" s="73">
        <v>46204</v>
      </c>
      <c r="K31" s="71">
        <f>'Incentive Report- Output'!O313</f>
        <v>1781400.8475000001</v>
      </c>
      <c r="L31" s="60">
        <f>K31/K34</f>
        <v>4.5432998629992553E-2</v>
      </c>
      <c r="M31" s="118">
        <f>L31*M34</f>
        <v>0</v>
      </c>
      <c r="O31" s="69"/>
      <c r="P31" s="66"/>
      <c r="Q31" s="73">
        <v>45931</v>
      </c>
      <c r="R31" s="71" t="e">
        <f>'Incentive Report- Output'!#REF!</f>
        <v>#REF!</v>
      </c>
      <c r="S31" s="60" t="e">
        <f>R31/R34</f>
        <v>#REF!</v>
      </c>
      <c r="T31" s="118" t="e">
        <f>S31*T34</f>
        <v>#REF!</v>
      </c>
      <c r="V31" s="69"/>
      <c r="W31" s="66"/>
      <c r="X31" s="73">
        <v>46023</v>
      </c>
      <c r="Y31" s="71" t="e">
        <f>'Incentive Report- Output'!#REF!</f>
        <v>#REF!</v>
      </c>
      <c r="Z31" s="60" t="e">
        <f>Y31/Y34</f>
        <v>#REF!</v>
      </c>
      <c r="AA31" s="118" t="e">
        <f>Z31*AA34</f>
        <v>#REF!</v>
      </c>
    </row>
    <row r="32" spans="1:29" ht="14" x14ac:dyDescent="0.2">
      <c r="A32" s="69"/>
      <c r="B32" s="66"/>
      <c r="C32" s="73">
        <v>46143</v>
      </c>
      <c r="D32" s="71">
        <f>'Incentive Report- Output'!O122</f>
        <v>5752403.3898305045</v>
      </c>
      <c r="E32" s="60">
        <f>D32/D34</f>
        <v>0.50188729858771663</v>
      </c>
      <c r="F32" s="118">
        <f>E32*F34</f>
        <v>0</v>
      </c>
      <c r="H32" s="69"/>
      <c r="I32" s="66"/>
      <c r="J32" s="73">
        <v>46235</v>
      </c>
      <c r="K32" s="71">
        <f>'Incentive Report- Output'!O411</f>
        <v>37428004.237288088</v>
      </c>
      <c r="L32" s="60">
        <f>K32/K34</f>
        <v>0.9545670013700075</v>
      </c>
      <c r="M32" s="118">
        <f>L32*M34</f>
        <v>0</v>
      </c>
      <c r="O32" s="69"/>
      <c r="P32" s="66"/>
      <c r="Q32" s="73">
        <v>45962</v>
      </c>
      <c r="R32" s="71" t="e">
        <f>'Incentive Report- Output'!#REF!</f>
        <v>#REF!</v>
      </c>
      <c r="S32" s="60" t="e">
        <f>R32/R34</f>
        <v>#REF!</v>
      </c>
      <c r="T32" s="118" t="e">
        <f>S32*T34</f>
        <v>#REF!</v>
      </c>
      <c r="V32" s="69"/>
      <c r="W32" s="66"/>
      <c r="X32" s="73">
        <v>46054</v>
      </c>
      <c r="Y32" s="71" t="e">
        <f>'Incentive Report- Output'!#REF!</f>
        <v>#REF!</v>
      </c>
      <c r="Z32" s="60" t="e">
        <f>Y32/Y34</f>
        <v>#REF!</v>
      </c>
      <c r="AA32" s="118" t="e">
        <f>Z32*AA34</f>
        <v>#REF!</v>
      </c>
    </row>
    <row r="33" spans="1:29" ht="14" x14ac:dyDescent="0.2">
      <c r="A33" s="69"/>
      <c r="B33" s="66"/>
      <c r="C33" s="73">
        <v>46174</v>
      </c>
      <c r="D33" s="71">
        <f>'Incentive Report- Output'!O217</f>
        <v>2960270.3389830468</v>
      </c>
      <c r="E33" s="60">
        <f>D33/D34</f>
        <v>0.25827849384626045</v>
      </c>
      <c r="F33" s="118">
        <f>E33*F34</f>
        <v>0</v>
      </c>
      <c r="H33" s="69"/>
      <c r="I33" s="66"/>
      <c r="J33" s="73">
        <v>46266</v>
      </c>
      <c r="K33" s="71">
        <v>0</v>
      </c>
      <c r="L33" s="60">
        <f>K33/K34</f>
        <v>0</v>
      </c>
      <c r="M33" s="118">
        <f>L33*M34</f>
        <v>0</v>
      </c>
      <c r="O33" s="69"/>
      <c r="P33" s="66"/>
      <c r="Q33" s="73">
        <v>45992</v>
      </c>
      <c r="R33" s="71" t="e">
        <f>'Incentive Report- Output'!#REF!</f>
        <v>#REF!</v>
      </c>
      <c r="S33" s="60" t="e">
        <f>R33/R34</f>
        <v>#REF!</v>
      </c>
      <c r="T33" s="118" t="e">
        <f>S33*T34</f>
        <v>#REF!</v>
      </c>
      <c r="V33" s="69"/>
      <c r="W33" s="66"/>
      <c r="X33" s="73">
        <v>46082</v>
      </c>
      <c r="Y33" s="71">
        <f>'Incentive Report- Output'!O28</f>
        <v>2748870.3389830478</v>
      </c>
      <c r="Z33" s="60" t="e">
        <f>Y33/Y34</f>
        <v>#REF!</v>
      </c>
      <c r="AA33" s="118" t="e">
        <f>Z33*AA34</f>
        <v>#REF!</v>
      </c>
      <c r="AB33" s="158"/>
      <c r="AC33" s="158"/>
    </row>
    <row r="34" spans="1:29" ht="14" x14ac:dyDescent="0.2">
      <c r="A34" s="69"/>
      <c r="B34" s="66"/>
      <c r="C34" s="66"/>
      <c r="D34" s="74">
        <f>SUM(D31:D33)</f>
        <v>11461544.067796599</v>
      </c>
      <c r="E34" s="59">
        <v>1</v>
      </c>
      <c r="F34" s="76">
        <f>D34*F29</f>
        <v>0</v>
      </c>
      <c r="H34" s="69"/>
      <c r="I34" s="66"/>
      <c r="J34" s="66"/>
      <c r="K34" s="74">
        <f>SUM(K31:K33)</f>
        <v>39209405.084788084</v>
      </c>
      <c r="L34" s="59">
        <v>1</v>
      </c>
      <c r="M34" s="76">
        <f>K34*M29</f>
        <v>0</v>
      </c>
      <c r="O34" s="69"/>
      <c r="P34" s="66"/>
      <c r="Q34" s="66"/>
      <c r="R34" s="74" t="e">
        <f>SUM(R31:R33)</f>
        <v>#REF!</v>
      </c>
      <c r="S34" s="59">
        <v>1</v>
      </c>
      <c r="T34" s="76" t="e">
        <f>R34*T29</f>
        <v>#REF!</v>
      </c>
      <c r="V34" s="69"/>
      <c r="W34" s="66"/>
      <c r="X34" s="66"/>
      <c r="Y34" s="74" t="e">
        <f>SUM(Y31:Y33)</f>
        <v>#REF!</v>
      </c>
      <c r="Z34" s="59">
        <v>1</v>
      </c>
      <c r="AA34" s="76" t="e">
        <f>Y34*AA29</f>
        <v>#REF!</v>
      </c>
    </row>
    <row r="35" spans="1:29" ht="14" x14ac:dyDescent="0.2">
      <c r="A35" s="69"/>
      <c r="B35" s="66"/>
      <c r="C35" s="66"/>
      <c r="D35" s="70"/>
      <c r="E35" s="70"/>
      <c r="F35" s="70"/>
      <c r="H35" s="69"/>
      <c r="I35" s="66"/>
      <c r="J35" s="66"/>
      <c r="K35" s="70"/>
      <c r="L35" s="70"/>
      <c r="M35" s="70"/>
      <c r="O35" s="69"/>
      <c r="P35" s="66"/>
      <c r="Q35" s="66"/>
      <c r="R35" s="70"/>
      <c r="S35" s="70"/>
      <c r="T35" s="70"/>
      <c r="V35" s="69"/>
      <c r="W35" s="66"/>
      <c r="X35" s="66"/>
      <c r="Y35" s="70"/>
      <c r="Z35" s="70"/>
      <c r="AA35" s="70"/>
    </row>
    <row r="36" spans="1:29" ht="14" x14ac:dyDescent="0.2">
      <c r="A36" s="42" t="s">
        <v>1144</v>
      </c>
      <c r="B36" s="66"/>
      <c r="C36" s="66"/>
      <c r="D36" s="70"/>
      <c r="E36" s="70"/>
      <c r="F36" s="70"/>
      <c r="H36" s="42" t="s">
        <v>1144</v>
      </c>
      <c r="I36" s="66"/>
      <c r="J36" s="66"/>
      <c r="K36" s="70"/>
      <c r="L36" s="70"/>
      <c r="M36" s="70"/>
      <c r="O36" s="42" t="s">
        <v>649</v>
      </c>
      <c r="P36" s="66"/>
      <c r="Q36" s="66"/>
      <c r="R36" s="70"/>
      <c r="S36" s="70"/>
      <c r="T36" s="70"/>
      <c r="V36" s="42" t="s">
        <v>649</v>
      </c>
      <c r="W36" s="66"/>
      <c r="X36" s="66"/>
      <c r="Y36" s="70"/>
      <c r="Z36" s="70"/>
      <c r="AA36" s="70"/>
    </row>
    <row r="37" spans="1:29" ht="14" x14ac:dyDescent="0.2">
      <c r="A37" s="63" t="s">
        <v>106</v>
      </c>
      <c r="B37" s="64" t="s">
        <v>107</v>
      </c>
      <c r="C37" s="75" t="s">
        <v>355</v>
      </c>
      <c r="D37" s="65" t="s">
        <v>7</v>
      </c>
      <c r="E37" s="65" t="s">
        <v>5</v>
      </c>
      <c r="F37" s="65" t="s">
        <v>108</v>
      </c>
      <c r="H37" s="63" t="s">
        <v>106</v>
      </c>
      <c r="I37" s="64" t="s">
        <v>107</v>
      </c>
      <c r="J37" s="75" t="s">
        <v>934</v>
      </c>
      <c r="K37" s="65" t="s">
        <v>7</v>
      </c>
      <c r="L37" s="65" t="s">
        <v>5</v>
      </c>
      <c r="M37" s="65" t="s">
        <v>108</v>
      </c>
      <c r="O37" s="63" t="s">
        <v>106</v>
      </c>
      <c r="P37" s="64" t="s">
        <v>107</v>
      </c>
      <c r="Q37" s="75" t="s">
        <v>752</v>
      </c>
      <c r="R37" s="65" t="s">
        <v>7</v>
      </c>
      <c r="S37" s="65" t="s">
        <v>5</v>
      </c>
      <c r="T37" s="65" t="s">
        <v>108</v>
      </c>
      <c r="V37" s="63" t="s">
        <v>106</v>
      </c>
      <c r="W37" s="64" t="s">
        <v>107</v>
      </c>
      <c r="X37" s="75" t="s">
        <v>773</v>
      </c>
      <c r="Y37" s="65" t="s">
        <v>7</v>
      </c>
      <c r="Z37" s="65" t="s">
        <v>5</v>
      </c>
      <c r="AA37" s="65" t="s">
        <v>108</v>
      </c>
    </row>
    <row r="38" spans="1:29" ht="14" x14ac:dyDescent="0.2">
      <c r="A38" s="154">
        <f>INDEX(Policy!$C$34:$C$47,MATCH('RM Calculation Pro Rata'!A36,Policy!$B$34:$B$47,0))</f>
        <v>1600</v>
      </c>
      <c r="B38" s="66">
        <v>33000</v>
      </c>
      <c r="C38" s="66"/>
      <c r="D38" s="118">
        <f>A38*B38</f>
        <v>52800000</v>
      </c>
      <c r="E38" s="60">
        <f>D43/D38</f>
        <v>1.1353794619928079</v>
      </c>
      <c r="F38" s="68" t="str" cm="1">
        <f t="array" ref="F38">_xlfn.IFS(E38&lt;74.99%,"0",E38&lt;=100%,".25%",E38&lt;=130%,".35%",E38&gt;=130%,".50%")</f>
        <v>.35%</v>
      </c>
      <c r="H38" s="154">
        <f>INDEX(Policy!$Q$35:$Q$48,MATCH('RM Calculation Pro Rata'!H36,Policy!$M$35:$M$48,0))</f>
        <v>3350</v>
      </c>
      <c r="I38" s="66">
        <v>33000</v>
      </c>
      <c r="J38" s="66"/>
      <c r="K38" s="118">
        <f>H38*I38</f>
        <v>110550000</v>
      </c>
      <c r="L38" s="60">
        <f>K43/K38</f>
        <v>0.74283575954016412</v>
      </c>
      <c r="M38" s="68" t="str" cm="1">
        <f t="array" ref="M38">_xlfn.IFS(L38&lt;74.99%,"0",L38&lt;=100%,".25%",L38&lt;=130%,".35%",L38&gt;=130%,".50%")</f>
        <v>0</v>
      </c>
      <c r="N38" s="254"/>
      <c r="O38" s="154" t="e">
        <f>INDEX(Policy!$P$34:$P$47,MATCH('RM Calculation Pro Rata'!O36,Policy!$L$34:$L$47,0))</f>
        <v>#N/A</v>
      </c>
      <c r="P38" s="66">
        <v>33000</v>
      </c>
      <c r="Q38" s="66"/>
      <c r="R38" s="118" t="e">
        <f>O38*P38</f>
        <v>#N/A</v>
      </c>
      <c r="S38" s="244" t="e">
        <f>R43/R38</f>
        <v>#REF!</v>
      </c>
      <c r="T38" s="68" t="e">
        <f>LOOKUP(S38,Policy!$L$23:$M$26)</f>
        <v>#REF!</v>
      </c>
      <c r="V38" s="154" t="e">
        <f>INDEX(Policy!$W$34:$W$47,MATCH('RM Calculation Pro Rata'!V36,Policy!$L$34:$L$47,0))</f>
        <v>#N/A</v>
      </c>
      <c r="W38" s="66">
        <v>33000</v>
      </c>
      <c r="X38" s="66"/>
      <c r="Y38" s="118" t="e">
        <f>V38*W38</f>
        <v>#N/A</v>
      </c>
      <c r="Z38" s="244" t="e">
        <f>Y43/Y38</f>
        <v>#REF!</v>
      </c>
      <c r="AA38" s="68" t="e">
        <f>LOOKUP(Z38,Policy!$L$23:$M$26)</f>
        <v>#REF!</v>
      </c>
    </row>
    <row r="39" spans="1:29" ht="14" x14ac:dyDescent="0.2">
      <c r="A39" s="69"/>
      <c r="B39" s="66"/>
      <c r="C39" s="66"/>
      <c r="D39" s="67"/>
      <c r="E39" s="60"/>
      <c r="F39" s="72"/>
      <c r="H39" s="69"/>
      <c r="I39" s="66"/>
      <c r="J39" s="66"/>
      <c r="K39" s="67"/>
      <c r="L39" s="60"/>
      <c r="M39" s="72"/>
      <c r="O39" s="69"/>
      <c r="P39" s="66"/>
      <c r="Q39" s="66"/>
      <c r="R39" s="67"/>
      <c r="S39" s="60"/>
      <c r="T39" s="72"/>
      <c r="V39" s="69"/>
      <c r="W39" s="66"/>
      <c r="X39" s="66"/>
      <c r="Y39" s="67"/>
      <c r="Z39" s="60"/>
      <c r="AA39" s="72"/>
    </row>
    <row r="40" spans="1:29" ht="14" x14ac:dyDescent="0.2">
      <c r="A40" s="69"/>
      <c r="B40" s="66"/>
      <c r="C40" s="73">
        <v>46113</v>
      </c>
      <c r="D40" s="71">
        <f>'Incentive Report- Output'!O37</f>
        <v>16438305.084745737</v>
      </c>
      <c r="E40" s="60">
        <f>D40/D43</f>
        <v>0.27420923675111725</v>
      </c>
      <c r="F40" s="118">
        <f>E40*F43</f>
        <v>57534.067796610077</v>
      </c>
      <c r="H40" s="69"/>
      <c r="I40" s="66"/>
      <c r="J40" s="73">
        <v>46204</v>
      </c>
      <c r="K40" s="71">
        <f>'Incentive Report- Output'!O322</f>
        <v>13076141.52225</v>
      </c>
      <c r="L40" s="60">
        <f>K40/K43</f>
        <v>0.15923116155270212</v>
      </c>
      <c r="M40" s="118">
        <f>L40*M43</f>
        <v>0</v>
      </c>
      <c r="O40" s="69"/>
      <c r="P40" s="66"/>
      <c r="Q40" s="73">
        <v>45931</v>
      </c>
      <c r="R40" s="71" t="e">
        <f>'Incentive Report- Output'!#REF!</f>
        <v>#REF!</v>
      </c>
      <c r="S40" s="60" t="e">
        <f>R40/R43</f>
        <v>#REF!</v>
      </c>
      <c r="T40" s="118" t="e">
        <f>S40*T43</f>
        <v>#REF!</v>
      </c>
      <c r="V40" s="69"/>
      <c r="W40" s="66"/>
      <c r="X40" s="73">
        <v>46023</v>
      </c>
      <c r="Y40" s="71" t="e">
        <f>'Incentive Report- Output'!#REF!</f>
        <v>#REF!</v>
      </c>
      <c r="Z40" s="60" t="e">
        <f>Y40/Y43</f>
        <v>#REF!</v>
      </c>
      <c r="AA40" s="118" t="e">
        <f>Z40*AA43</f>
        <v>#REF!</v>
      </c>
    </row>
    <row r="41" spans="1:29" ht="14" x14ac:dyDescent="0.2">
      <c r="A41" s="69"/>
      <c r="B41" s="66"/>
      <c r="C41" s="73">
        <v>46143</v>
      </c>
      <c r="D41" s="71">
        <f>'Incentive Report- Output'!O131</f>
        <v>21114459.322033886</v>
      </c>
      <c r="E41" s="60">
        <f>D41/D43</f>
        <v>0.35221269743193717</v>
      </c>
      <c r="F41" s="118">
        <f>E41*F43</f>
        <v>73900.607627118603</v>
      </c>
      <c r="H41" s="69"/>
      <c r="I41" s="66"/>
      <c r="J41" s="73">
        <v>46235</v>
      </c>
      <c r="K41" s="71">
        <f>'Incentive Report- Output'!O420</f>
        <v>69044351.694915146</v>
      </c>
      <c r="L41" s="60">
        <f>K41/K43</f>
        <v>0.84076883844729788</v>
      </c>
      <c r="M41" s="118">
        <f>L41*M43</f>
        <v>0</v>
      </c>
      <c r="O41" s="69"/>
      <c r="P41" s="66"/>
      <c r="Q41" s="73">
        <v>45962</v>
      </c>
      <c r="R41" s="71" t="e">
        <f>'Incentive Report- Output'!#REF!</f>
        <v>#REF!</v>
      </c>
      <c r="S41" s="60" t="e">
        <f>R41/R43</f>
        <v>#REF!</v>
      </c>
      <c r="T41" s="118" t="e">
        <f>S41*T43</f>
        <v>#REF!</v>
      </c>
      <c r="V41" s="69"/>
      <c r="W41" s="66"/>
      <c r="X41" s="73">
        <v>46054</v>
      </c>
      <c r="Y41" s="71" t="e">
        <f>'Incentive Report- Output'!#REF!</f>
        <v>#REF!</v>
      </c>
      <c r="Z41" s="60" t="e">
        <f>Y41/Y43</f>
        <v>#REF!</v>
      </c>
      <c r="AA41" s="118" t="e">
        <f>Z41*AA43</f>
        <v>#REF!</v>
      </c>
    </row>
    <row r="42" spans="1:29" ht="14" x14ac:dyDescent="0.2">
      <c r="A42" s="69"/>
      <c r="B42" s="66"/>
      <c r="C42" s="73">
        <v>46174</v>
      </c>
      <c r="D42" s="71">
        <f>'Incentive Report- Output'!O226</f>
        <v>22395271.186440632</v>
      </c>
      <c r="E42" s="60">
        <f>D42/D43</f>
        <v>0.37357806581694558</v>
      </c>
      <c r="F42" s="118">
        <f>E42*F43</f>
        <v>78383.44915254222</v>
      </c>
      <c r="H42" s="69"/>
      <c r="I42" s="66"/>
      <c r="J42" s="73">
        <v>46266</v>
      </c>
      <c r="K42" s="71">
        <v>0</v>
      </c>
      <c r="L42" s="60">
        <f>K42/K43</f>
        <v>0</v>
      </c>
      <c r="M42" s="118">
        <f>L42*M43</f>
        <v>0</v>
      </c>
      <c r="O42" s="69"/>
      <c r="P42" s="66"/>
      <c r="Q42" s="73">
        <v>45992</v>
      </c>
      <c r="R42" s="71" t="e">
        <f>'Incentive Report- Output'!#REF!</f>
        <v>#REF!</v>
      </c>
      <c r="S42" s="60" t="e">
        <f>R42/R43</f>
        <v>#REF!</v>
      </c>
      <c r="T42" s="118" t="e">
        <f>S42*T43</f>
        <v>#REF!</v>
      </c>
      <c r="V42" s="69"/>
      <c r="W42" s="66"/>
      <c r="X42" s="73">
        <v>46082</v>
      </c>
      <c r="Y42" s="71">
        <f>'Incentive Report- Output'!O37</f>
        <v>16438305.084745737</v>
      </c>
      <c r="Z42" s="60" t="e">
        <f>Y42/Y43</f>
        <v>#REF!</v>
      </c>
      <c r="AA42" s="118" t="e">
        <f>Z42*AA43</f>
        <v>#REF!</v>
      </c>
      <c r="AB42" s="158"/>
      <c r="AC42" s="158"/>
    </row>
    <row r="43" spans="1:29" ht="14" x14ac:dyDescent="0.2">
      <c r="A43" s="69"/>
      <c r="B43" s="66"/>
      <c r="C43" s="73"/>
      <c r="D43" s="74">
        <f>SUM(D40:D42)</f>
        <v>59948035.593220256</v>
      </c>
      <c r="E43" s="59">
        <v>1</v>
      </c>
      <c r="F43" s="76">
        <f>F38*D43</f>
        <v>209818.1245762709</v>
      </c>
      <c r="H43" s="69"/>
      <c r="I43" s="66"/>
      <c r="J43" s="73"/>
      <c r="K43" s="74">
        <f>SUM(K40:K42)</f>
        <v>82120493.217165142</v>
      </c>
      <c r="L43" s="59">
        <v>1</v>
      </c>
      <c r="M43" s="76">
        <f>M38*K43</f>
        <v>0</v>
      </c>
      <c r="O43" s="69"/>
      <c r="P43" s="66"/>
      <c r="Q43" s="73"/>
      <c r="R43" s="74" t="e">
        <f>SUM(R40:R42)</f>
        <v>#REF!</v>
      </c>
      <c r="S43" s="59">
        <v>1</v>
      </c>
      <c r="T43" s="76" t="e">
        <f>T38*R43</f>
        <v>#REF!</v>
      </c>
      <c r="V43" s="69"/>
      <c r="W43" s="66"/>
      <c r="X43" s="73"/>
      <c r="Y43" s="74" t="e">
        <f>SUM(Y40:Y42)</f>
        <v>#REF!</v>
      </c>
      <c r="Z43" s="59">
        <v>1</v>
      </c>
      <c r="AA43" s="76" t="e">
        <f>AA38*Y43</f>
        <v>#REF!</v>
      </c>
    </row>
    <row r="44" spans="1:29" ht="14" x14ac:dyDescent="0.2">
      <c r="A44" s="42" t="s">
        <v>1147</v>
      </c>
      <c r="B44" s="66"/>
      <c r="C44" s="66"/>
      <c r="D44" s="70"/>
      <c r="E44" s="70"/>
      <c r="F44" s="70"/>
      <c r="H44" s="42" t="s">
        <v>3410</v>
      </c>
      <c r="I44" s="66"/>
      <c r="J44" s="66"/>
      <c r="K44" s="70"/>
      <c r="L44" s="70"/>
      <c r="M44" s="70"/>
      <c r="O44" s="42" t="s">
        <v>921</v>
      </c>
      <c r="P44" s="66"/>
      <c r="Q44" s="66"/>
      <c r="R44" s="70"/>
      <c r="S44" s="70"/>
      <c r="T44" s="70"/>
      <c r="V44" s="42" t="s">
        <v>921</v>
      </c>
      <c r="W44" s="66"/>
      <c r="X44" s="66"/>
      <c r="Y44" s="70"/>
      <c r="Z44" s="70"/>
      <c r="AA44" s="70"/>
    </row>
    <row r="45" spans="1:29" ht="14" x14ac:dyDescent="0.2">
      <c r="A45" s="63" t="s">
        <v>106</v>
      </c>
      <c r="B45" s="64" t="s">
        <v>107</v>
      </c>
      <c r="C45" s="75" t="s">
        <v>355</v>
      </c>
      <c r="D45" s="65" t="s">
        <v>7</v>
      </c>
      <c r="E45" s="65" t="s">
        <v>5</v>
      </c>
      <c r="F45" s="65" t="s">
        <v>108</v>
      </c>
      <c r="H45" s="63" t="s">
        <v>106</v>
      </c>
      <c r="I45" s="64" t="s">
        <v>107</v>
      </c>
      <c r="J45" s="75" t="s">
        <v>934</v>
      </c>
      <c r="K45" s="65" t="s">
        <v>7</v>
      </c>
      <c r="L45" s="65" t="s">
        <v>5</v>
      </c>
      <c r="M45" s="65" t="s">
        <v>108</v>
      </c>
      <c r="O45" s="63" t="s">
        <v>106</v>
      </c>
      <c r="P45" s="64" t="s">
        <v>107</v>
      </c>
      <c r="Q45" s="75" t="s">
        <v>752</v>
      </c>
      <c r="R45" s="65" t="s">
        <v>7</v>
      </c>
      <c r="S45" s="65" t="s">
        <v>5</v>
      </c>
      <c r="T45" s="65" t="s">
        <v>108</v>
      </c>
      <c r="V45" s="63" t="s">
        <v>106</v>
      </c>
      <c r="W45" s="64" t="s">
        <v>107</v>
      </c>
      <c r="X45" s="75" t="s">
        <v>773</v>
      </c>
      <c r="Y45" s="65" t="s">
        <v>7</v>
      </c>
      <c r="Z45" s="65" t="s">
        <v>5</v>
      </c>
      <c r="AA45" s="65" t="s">
        <v>108</v>
      </c>
    </row>
    <row r="46" spans="1:29" ht="14" x14ac:dyDescent="0.2">
      <c r="A46" s="154">
        <f>INDEX(Policy!$C$34:$C$47,MATCH('RM Calculation Pro Rata'!A44,Policy!$B$34:$B$47,0))</f>
        <v>1450</v>
      </c>
      <c r="B46" s="66">
        <v>33000</v>
      </c>
      <c r="C46" s="66"/>
      <c r="D46" s="118">
        <f>A46*B46</f>
        <v>47850000</v>
      </c>
      <c r="E46" s="60">
        <f>D51/D46</f>
        <v>0.88024639144218231</v>
      </c>
      <c r="F46" s="68">
        <v>0</v>
      </c>
      <c r="H46" s="154">
        <f>INDEX(Policy!$Q$35:$Q$48,MATCH('RM Calculation Pro Rata'!H44,Policy!$M$35:$M$48,0))</f>
        <v>3600</v>
      </c>
      <c r="I46" s="66">
        <v>33000</v>
      </c>
      <c r="J46" s="66"/>
      <c r="K46" s="118">
        <f>H46*I46</f>
        <v>118800000</v>
      </c>
      <c r="L46" s="60">
        <f>K51/K46</f>
        <v>0.57240401185936585</v>
      </c>
      <c r="M46" s="68" t="str" cm="1">
        <f t="array" ref="M46">_xlfn.IFS(L46&lt;74.99%,"0",L46&lt;=100%,".25%",L46&lt;=130%,".35%",L46&gt;=130%,".50%")</f>
        <v>0</v>
      </c>
      <c r="N46" s="254"/>
      <c r="O46" s="154" t="e">
        <f>INDEX(Policy!$P$34:$P$47,MATCH('RM Calculation Pro Rata'!O44,Policy!$L$34:$L$47,0))</f>
        <v>#N/A</v>
      </c>
      <c r="P46" s="66">
        <v>33000</v>
      </c>
      <c r="Q46" s="66"/>
      <c r="R46" s="118" t="e">
        <f>O46*P46</f>
        <v>#N/A</v>
      </c>
      <c r="S46" s="244" t="e">
        <f>R51/R46</f>
        <v>#REF!</v>
      </c>
      <c r="T46" s="68" t="e">
        <f>LOOKUP(S46,Policy!$L$23:$M$26)</f>
        <v>#REF!</v>
      </c>
      <c r="V46" s="154" t="e">
        <f>INDEX(Policy!$W$34:$W$47,MATCH('RM Calculation Pro Rata'!V44,Policy!$L$34:$L$47,0))</f>
        <v>#N/A</v>
      </c>
      <c r="W46" s="66">
        <v>33000</v>
      </c>
      <c r="X46" s="66"/>
      <c r="Y46" s="118" t="e">
        <f>V46*W46</f>
        <v>#N/A</v>
      </c>
      <c r="Z46" s="244" t="e">
        <f>Y51/Y46</f>
        <v>#REF!</v>
      </c>
      <c r="AA46" s="68" t="e">
        <f>LOOKUP(Z46,Policy!$L$23:$M$26)</f>
        <v>#REF!</v>
      </c>
    </row>
    <row r="47" spans="1:29" ht="14" x14ac:dyDescent="0.2">
      <c r="A47" s="69"/>
      <c r="B47" s="66"/>
      <c r="C47" s="66"/>
      <c r="D47" s="67"/>
      <c r="E47" s="60"/>
      <c r="F47" s="72"/>
      <c r="H47" s="69"/>
      <c r="I47" s="66"/>
      <c r="J47" s="66"/>
      <c r="K47" s="67"/>
      <c r="L47" s="60"/>
      <c r="M47" s="72"/>
      <c r="O47" s="69"/>
      <c r="P47" s="66"/>
      <c r="Q47" s="66"/>
      <c r="R47" s="67"/>
      <c r="S47" s="60"/>
      <c r="T47" s="72"/>
      <c r="V47" s="69"/>
      <c r="W47" s="66"/>
      <c r="X47" s="66"/>
      <c r="Y47" s="67"/>
      <c r="Z47" s="60"/>
      <c r="AA47" s="72"/>
    </row>
    <row r="48" spans="1:29" ht="14" x14ac:dyDescent="0.2">
      <c r="A48" s="69"/>
      <c r="B48" s="66"/>
      <c r="C48" s="73">
        <v>46113</v>
      </c>
      <c r="D48" s="71">
        <f>'Incentive Report- Output'!O45</f>
        <v>11627406.779661</v>
      </c>
      <c r="E48" s="60">
        <f>D48/D51</f>
        <v>0.27605566947152654</v>
      </c>
      <c r="F48" s="118">
        <f>E48*F51</f>
        <v>0</v>
      </c>
      <c r="H48" s="69"/>
      <c r="I48" s="66"/>
      <c r="J48" s="73">
        <v>46204</v>
      </c>
      <c r="K48" s="71">
        <f>'Incentive Report- Output'!O330</f>
        <v>12050011.863129998</v>
      </c>
      <c r="L48" s="60">
        <f>K48/K51</f>
        <v>0.1772018961912756</v>
      </c>
      <c r="M48" s="118">
        <f>L48*M51</f>
        <v>0</v>
      </c>
      <c r="O48" s="69"/>
      <c r="P48" s="66"/>
      <c r="Q48" s="73">
        <v>45931</v>
      </c>
      <c r="R48" s="71" t="e">
        <f>'Incentive Report- Output'!#REF!</f>
        <v>#REF!</v>
      </c>
      <c r="S48" s="60" t="e">
        <f>R48/R51</f>
        <v>#REF!</v>
      </c>
      <c r="T48" s="118" t="e">
        <f>S48*T51</f>
        <v>#REF!</v>
      </c>
      <c r="V48" s="69"/>
      <c r="W48" s="66"/>
      <c r="X48" s="73">
        <v>46023</v>
      </c>
      <c r="Y48" s="71" t="e">
        <f>'Incentive Report- Output'!#REF!</f>
        <v>#REF!</v>
      </c>
      <c r="Z48" s="60" t="e">
        <f>Y48/Y51</f>
        <v>#REF!</v>
      </c>
      <c r="AA48" s="118" t="e">
        <f>Z48*AA51</f>
        <v>#REF!</v>
      </c>
    </row>
    <row r="49" spans="1:29" ht="14" x14ac:dyDescent="0.2">
      <c r="A49" s="69"/>
      <c r="B49" s="66"/>
      <c r="C49" s="73">
        <v>46143</v>
      </c>
      <c r="D49" s="71">
        <f>'Incentive Report- Output'!O139</f>
        <v>16583771.186440671</v>
      </c>
      <c r="E49" s="60">
        <f>D49/D51</f>
        <v>0.39372872593083613</v>
      </c>
      <c r="F49" s="118">
        <v>0</v>
      </c>
      <c r="H49" s="69"/>
      <c r="I49" s="66"/>
      <c r="J49" s="73">
        <v>46235</v>
      </c>
      <c r="K49" s="71">
        <f>'Incentive Report- Output'!O428</f>
        <v>55951584.745762669</v>
      </c>
      <c r="L49" s="60">
        <f>K49/K51</f>
        <v>0.82279810380872442</v>
      </c>
      <c r="M49" s="118">
        <f>L49*M51</f>
        <v>0</v>
      </c>
      <c r="O49" s="69"/>
      <c r="P49" s="66"/>
      <c r="Q49" s="73">
        <v>45962</v>
      </c>
      <c r="R49" s="71" t="e">
        <f>'Incentive Report- Output'!#REF!</f>
        <v>#REF!</v>
      </c>
      <c r="S49" s="60" t="e">
        <f>R49/R51</f>
        <v>#REF!</v>
      </c>
      <c r="T49" s="118" t="e">
        <f>S49*T51</f>
        <v>#REF!</v>
      </c>
      <c r="V49" s="69"/>
      <c r="W49" s="66"/>
      <c r="X49" s="73">
        <v>46054</v>
      </c>
      <c r="Y49" s="71" t="e">
        <f>'Incentive Report- Output'!#REF!</f>
        <v>#REF!</v>
      </c>
      <c r="Z49" s="60" t="e">
        <f>Y49/Y51</f>
        <v>#REF!</v>
      </c>
      <c r="AA49" s="118" t="e">
        <f>Z49*AA51</f>
        <v>#REF!</v>
      </c>
    </row>
    <row r="50" spans="1:29" ht="14" x14ac:dyDescent="0.2">
      <c r="A50" s="69"/>
      <c r="B50" s="66"/>
      <c r="C50" s="73">
        <v>46174</v>
      </c>
      <c r="D50" s="71">
        <f>'Incentive Report- Output'!O234</f>
        <v>13908611.864406761</v>
      </c>
      <c r="E50" s="60">
        <f>D50/D51</f>
        <v>0.33021560459763744</v>
      </c>
      <c r="F50" s="118">
        <v>0</v>
      </c>
      <c r="H50" s="69"/>
      <c r="I50" s="66"/>
      <c r="J50" s="73">
        <v>46266</v>
      </c>
      <c r="K50" s="71">
        <v>0</v>
      </c>
      <c r="L50" s="60">
        <f>K50/K51</f>
        <v>0</v>
      </c>
      <c r="M50" s="118">
        <f>L50*M51</f>
        <v>0</v>
      </c>
      <c r="O50" s="69"/>
      <c r="P50" s="66"/>
      <c r="Q50" s="73">
        <v>45992</v>
      </c>
      <c r="R50" s="71" t="e">
        <f>'Incentive Report- Output'!#REF!</f>
        <v>#REF!</v>
      </c>
      <c r="S50" s="60" t="e">
        <f>R50/R51</f>
        <v>#REF!</v>
      </c>
      <c r="T50" s="118" t="e">
        <f>S50*T51</f>
        <v>#REF!</v>
      </c>
      <c r="V50" s="69"/>
      <c r="W50" s="66"/>
      <c r="X50" s="73">
        <v>46082</v>
      </c>
      <c r="Y50" s="71">
        <f>'Incentive Report- Output'!O45</f>
        <v>11627406.779661</v>
      </c>
      <c r="Z50" s="60" t="e">
        <f>Y50/Y51</f>
        <v>#REF!</v>
      </c>
      <c r="AA50" s="118" t="e">
        <f>Z50*AA51</f>
        <v>#REF!</v>
      </c>
      <c r="AB50" s="158"/>
      <c r="AC50" s="158"/>
    </row>
    <row r="51" spans="1:29" ht="14" x14ac:dyDescent="0.2">
      <c r="A51" s="69"/>
      <c r="B51" s="66"/>
      <c r="C51" s="73"/>
      <c r="D51" s="74">
        <f>SUM(D48:D50)</f>
        <v>42119789.830508426</v>
      </c>
      <c r="E51" s="59">
        <v>1</v>
      </c>
      <c r="F51" s="76">
        <f>F46*D51</f>
        <v>0</v>
      </c>
      <c r="H51" s="69"/>
      <c r="I51" s="66"/>
      <c r="J51" s="73"/>
      <c r="K51" s="74">
        <f>SUM(K48:K50)</f>
        <v>68001596.608892664</v>
      </c>
      <c r="L51" s="59">
        <v>1</v>
      </c>
      <c r="M51" s="76">
        <f>M46*K51</f>
        <v>0</v>
      </c>
      <c r="O51" s="69"/>
      <c r="P51" s="66"/>
      <c r="Q51" s="73"/>
      <c r="R51" s="74" t="e">
        <f>SUM(R48:R50)</f>
        <v>#REF!</v>
      </c>
      <c r="S51" s="59">
        <v>1</v>
      </c>
      <c r="T51" s="76" t="e">
        <f>T46*R51</f>
        <v>#REF!</v>
      </c>
      <c r="V51" s="69"/>
      <c r="W51" s="66"/>
      <c r="X51" s="73"/>
      <c r="Y51" s="74" t="e">
        <f>SUM(Y48:Y50)</f>
        <v>#REF!</v>
      </c>
      <c r="Z51" s="59">
        <v>1</v>
      </c>
      <c r="AA51" s="76" t="e">
        <f>AA46*Y51</f>
        <v>#REF!</v>
      </c>
    </row>
    <row r="52" spans="1:29" ht="14" x14ac:dyDescent="0.2">
      <c r="A52" s="42" t="s">
        <v>1149</v>
      </c>
      <c r="B52" s="66"/>
      <c r="C52" s="66"/>
      <c r="D52" s="70"/>
      <c r="E52" s="70"/>
      <c r="F52" s="70"/>
      <c r="H52" s="42" t="s">
        <v>1149</v>
      </c>
      <c r="I52" s="66"/>
      <c r="J52" s="66"/>
      <c r="K52" s="70"/>
      <c r="L52" s="70"/>
      <c r="M52" s="70"/>
      <c r="O52" s="42" t="s">
        <v>923</v>
      </c>
      <c r="P52" s="66"/>
      <c r="Q52" s="66"/>
      <c r="R52" s="70"/>
      <c r="S52" s="70"/>
      <c r="T52" s="70"/>
      <c r="V52" s="42" t="s">
        <v>923</v>
      </c>
      <c r="W52" s="66"/>
      <c r="X52" s="66"/>
      <c r="Y52" s="70"/>
      <c r="Z52" s="70"/>
      <c r="AA52" s="70"/>
    </row>
    <row r="53" spans="1:29" ht="14" x14ac:dyDescent="0.2">
      <c r="A53" s="63" t="s">
        <v>106</v>
      </c>
      <c r="B53" s="64" t="s">
        <v>107</v>
      </c>
      <c r="C53" s="75" t="s">
        <v>355</v>
      </c>
      <c r="D53" s="65" t="s">
        <v>7</v>
      </c>
      <c r="E53" s="65" t="s">
        <v>5</v>
      </c>
      <c r="F53" s="65" t="s">
        <v>108</v>
      </c>
      <c r="H53" s="63" t="s">
        <v>106</v>
      </c>
      <c r="I53" s="64" t="s">
        <v>107</v>
      </c>
      <c r="J53" s="75" t="s">
        <v>934</v>
      </c>
      <c r="K53" s="65" t="s">
        <v>7</v>
      </c>
      <c r="L53" s="65" t="s">
        <v>5</v>
      </c>
      <c r="M53" s="65" t="s">
        <v>108</v>
      </c>
      <c r="O53" s="63" t="s">
        <v>106</v>
      </c>
      <c r="P53" s="64" t="s">
        <v>107</v>
      </c>
      <c r="Q53" s="75" t="s">
        <v>752</v>
      </c>
      <c r="R53" s="65" t="s">
        <v>7</v>
      </c>
      <c r="S53" s="65" t="s">
        <v>5</v>
      </c>
      <c r="T53" s="65" t="s">
        <v>108</v>
      </c>
      <c r="V53" s="63" t="s">
        <v>106</v>
      </c>
      <c r="W53" s="64" t="s">
        <v>107</v>
      </c>
      <c r="X53" s="75" t="s">
        <v>773</v>
      </c>
      <c r="Y53" s="65" t="s">
        <v>7</v>
      </c>
      <c r="Z53" s="65" t="s">
        <v>5</v>
      </c>
      <c r="AA53" s="65" t="s">
        <v>108</v>
      </c>
    </row>
    <row r="54" spans="1:29" ht="14" x14ac:dyDescent="0.2">
      <c r="A54" s="154">
        <f>INDEX(Policy!$C$34:$C$47,MATCH('RM Calculation Pro Rata'!A52,Policy!$B$34:$B$47,0))</f>
        <v>850</v>
      </c>
      <c r="B54" s="66">
        <v>33000</v>
      </c>
      <c r="C54" s="66"/>
      <c r="D54" s="118">
        <f>A54*B54</f>
        <v>28050000</v>
      </c>
      <c r="E54" s="60">
        <f>D59/D54</f>
        <v>0.7207786035831889</v>
      </c>
      <c r="F54" s="68" t="str" cm="1">
        <f t="array" ref="F54">_xlfn.IFS(E54&lt;74.99%,"0",E54&lt;=100%,".25%",E54&lt;=130%,".35%",E54&gt;=130%,".50%")</f>
        <v>0</v>
      </c>
      <c r="H54" s="154">
        <f>INDEX(Policy!$Q$35:$Q$48,MATCH('RM Calculation Pro Rata'!H52,Policy!$M$35:$M$48,0))</f>
        <v>1900</v>
      </c>
      <c r="I54" s="66">
        <v>33000</v>
      </c>
      <c r="J54" s="66"/>
      <c r="K54" s="118">
        <f>H54*I54</f>
        <v>62700000</v>
      </c>
      <c r="L54" s="60">
        <f>K59/K54</f>
        <v>1.1212368961631363</v>
      </c>
      <c r="M54" s="68" t="str" cm="1">
        <f t="array" ref="M54">_xlfn.IFS(L54&lt;74.99%,"0",L54&lt;=100%,".25%",L54&lt;=130%,".35%",L54&gt;=130%,".50%")</f>
        <v>.35%</v>
      </c>
      <c r="N54" s="254"/>
      <c r="O54" s="154" t="e">
        <f>INDEX(Policy!$P$34:$P$47,MATCH('RM Calculation Pro Rata'!O52,Policy!$L$34:$L$47,0))</f>
        <v>#N/A</v>
      </c>
      <c r="P54" s="66">
        <v>33000</v>
      </c>
      <c r="Q54" s="66"/>
      <c r="R54" s="118" t="e">
        <f>O54*P54</f>
        <v>#N/A</v>
      </c>
      <c r="S54" s="60" t="e">
        <f>R59/R54</f>
        <v>#REF!</v>
      </c>
      <c r="T54" s="68">
        <v>0</v>
      </c>
      <c r="V54" s="154" t="e">
        <f>INDEX(Policy!$W$34:$W$47,MATCH('RM Calculation Pro Rata'!V52,Policy!$L$34:$L$47,0))</f>
        <v>#N/A</v>
      </c>
      <c r="W54" s="66">
        <v>33000</v>
      </c>
      <c r="X54" s="66"/>
      <c r="Y54" s="118" t="e">
        <f>V54*W54</f>
        <v>#N/A</v>
      </c>
      <c r="Z54" s="60" t="e">
        <f>Y59/Y54</f>
        <v>#REF!</v>
      </c>
      <c r="AA54" s="68">
        <v>0</v>
      </c>
    </row>
    <row r="55" spans="1:29" ht="14" x14ac:dyDescent="0.2">
      <c r="A55" s="69"/>
      <c r="B55" s="66"/>
      <c r="C55" s="66"/>
      <c r="D55" s="67"/>
      <c r="E55" s="60"/>
      <c r="F55" s="72"/>
      <c r="H55" s="69"/>
      <c r="I55" s="66"/>
      <c r="J55" s="66"/>
      <c r="K55" s="67"/>
      <c r="L55" s="60"/>
      <c r="M55" s="72"/>
      <c r="O55" s="69"/>
      <c r="P55" s="66"/>
      <c r="Q55" s="66"/>
      <c r="R55" s="67"/>
      <c r="S55" s="60"/>
      <c r="T55" s="72"/>
      <c r="V55" s="69"/>
      <c r="W55" s="66"/>
      <c r="X55" s="66"/>
      <c r="Y55" s="67"/>
      <c r="Z55" s="60"/>
      <c r="AA55" s="72"/>
    </row>
    <row r="56" spans="1:29" ht="14" x14ac:dyDescent="0.2">
      <c r="A56" s="69"/>
      <c r="B56" s="66"/>
      <c r="C56" s="73">
        <v>46113</v>
      </c>
      <c r="D56" s="71">
        <f>'Incentive Report- Output'!O50</f>
        <v>6170417.7966101579</v>
      </c>
      <c r="E56" s="60">
        <f>D56/D59</f>
        <v>0.30519669006869271</v>
      </c>
      <c r="F56" s="118">
        <f>E56*F59</f>
        <v>0</v>
      </c>
      <c r="H56" s="69"/>
      <c r="I56" s="66"/>
      <c r="J56" s="73">
        <v>46204</v>
      </c>
      <c r="K56" s="71">
        <f>'Incentive Report- Output'!O335</f>
        <v>2475327.9657000001</v>
      </c>
      <c r="L56" s="60">
        <f>K56/K59</f>
        <v>3.5210146097173135E-2</v>
      </c>
      <c r="M56" s="118">
        <f>L56*M59</f>
        <v>0</v>
      </c>
      <c r="O56" s="69"/>
      <c r="P56" s="66"/>
      <c r="Q56" s="73">
        <v>45931</v>
      </c>
      <c r="R56" s="71" t="e">
        <f>'Incentive Report- Output'!#REF!</f>
        <v>#REF!</v>
      </c>
      <c r="S56" s="60" t="e">
        <f>R56/R59</f>
        <v>#REF!</v>
      </c>
      <c r="T56" s="118" t="e">
        <f>S56*T59</f>
        <v>#REF!</v>
      </c>
      <c r="V56" s="69"/>
      <c r="W56" s="66"/>
      <c r="X56" s="73">
        <v>46023</v>
      </c>
      <c r="Y56" s="71" t="e">
        <f>'Incentive Report- Output'!#REF!</f>
        <v>#REF!</v>
      </c>
      <c r="Z56" s="60" t="e">
        <f>Y56/Y59</f>
        <v>#REF!</v>
      </c>
      <c r="AA56" s="118" t="e">
        <f>Z56*AA59</f>
        <v>#REF!</v>
      </c>
    </row>
    <row r="57" spans="1:29" ht="14" x14ac:dyDescent="0.2">
      <c r="A57" s="69"/>
      <c r="B57" s="66"/>
      <c r="C57" s="73">
        <v>46143</v>
      </c>
      <c r="D57" s="71">
        <f>'Incentive Report- Output'!O144</f>
        <v>6900089.8305084724</v>
      </c>
      <c r="E57" s="60">
        <f>D57/D59</f>
        <v>0.34128719429740112</v>
      </c>
      <c r="F57" s="118">
        <f>E57*F59</f>
        <v>0</v>
      </c>
      <c r="H57" s="69"/>
      <c r="I57" s="66"/>
      <c r="J57" s="73">
        <v>46235</v>
      </c>
      <c r="K57" s="71">
        <f>'Incentive Report- Output'!O433</f>
        <v>67826225.423728645</v>
      </c>
      <c r="L57" s="60">
        <f>K57/K59</f>
        <v>0.9647898539028269</v>
      </c>
      <c r="M57" s="118">
        <f>L57*M59</f>
        <v>0</v>
      </c>
      <c r="O57" s="69"/>
      <c r="P57" s="66"/>
      <c r="Q57" s="73">
        <v>45962</v>
      </c>
      <c r="R57" s="71" t="e">
        <f>'Incentive Report- Output'!#REF!</f>
        <v>#REF!</v>
      </c>
      <c r="S57" s="60" t="e">
        <f>R57/R59</f>
        <v>#REF!</v>
      </c>
      <c r="T57" s="118" t="e">
        <f>S57*T59</f>
        <v>#REF!</v>
      </c>
      <c r="V57" s="69"/>
      <c r="W57" s="66"/>
      <c r="X57" s="73">
        <v>46054</v>
      </c>
      <c r="Y57" s="71" t="e">
        <f>'Incentive Report- Output'!#REF!</f>
        <v>#REF!</v>
      </c>
      <c r="Z57" s="60" t="e">
        <f>Y57/Y59</f>
        <v>#REF!</v>
      </c>
      <c r="AA57" s="118" t="e">
        <f>Z57*AA59</f>
        <v>#REF!</v>
      </c>
    </row>
    <row r="58" spans="1:29" ht="14" x14ac:dyDescent="0.2">
      <c r="A58" s="69"/>
      <c r="B58" s="66"/>
      <c r="C58" s="73">
        <v>46174</v>
      </c>
      <c r="D58" s="71">
        <f>'Incentive Report- Output'!O239</f>
        <v>7147332.2033898188</v>
      </c>
      <c r="E58" s="60">
        <f>D58/D59</f>
        <v>0.35351611563390617</v>
      </c>
      <c r="F58" s="118">
        <f>E58*F59</f>
        <v>0</v>
      </c>
      <c r="H58" s="69"/>
      <c r="I58" s="66"/>
      <c r="J58" s="73">
        <v>46266</v>
      </c>
      <c r="K58" s="71">
        <v>0</v>
      </c>
      <c r="L58" s="60">
        <f>K58/K59</f>
        <v>0</v>
      </c>
      <c r="M58" s="118">
        <f>L58*M59</f>
        <v>0</v>
      </c>
      <c r="O58" s="69"/>
      <c r="P58" s="66"/>
      <c r="Q58" s="73">
        <v>45992</v>
      </c>
      <c r="R58" s="71" t="e">
        <f>'Incentive Report- Output'!#REF!</f>
        <v>#REF!</v>
      </c>
      <c r="S58" s="60" t="e">
        <f>R58/R59</f>
        <v>#REF!</v>
      </c>
      <c r="T58" s="118" t="e">
        <f>S58*T59</f>
        <v>#REF!</v>
      </c>
      <c r="V58" s="69"/>
      <c r="W58" s="66"/>
      <c r="X58" s="73">
        <v>46082</v>
      </c>
      <c r="Y58" s="71">
        <f>'Incentive Report- Output'!O50</f>
        <v>6170417.7966101579</v>
      </c>
      <c r="Z58" s="60" t="e">
        <f>Y58/Y59</f>
        <v>#REF!</v>
      </c>
      <c r="AA58" s="118" t="e">
        <f>Z58*AA59</f>
        <v>#REF!</v>
      </c>
      <c r="AB58" s="158"/>
      <c r="AC58" s="158"/>
    </row>
    <row r="59" spans="1:29" ht="14" x14ac:dyDescent="0.2">
      <c r="A59" s="69"/>
      <c r="B59" s="66"/>
      <c r="C59" s="73"/>
      <c r="D59" s="74">
        <f>SUM(D56:D58)</f>
        <v>20217839.830508448</v>
      </c>
      <c r="E59" s="59">
        <v>1</v>
      </c>
      <c r="F59" s="76">
        <v>0</v>
      </c>
      <c r="H59" s="69"/>
      <c r="I59" s="66"/>
      <c r="J59" s="73"/>
      <c r="K59" s="74">
        <f>SUM(K56:K58)</f>
        <v>70301553.389428645</v>
      </c>
      <c r="L59" s="59">
        <v>1</v>
      </c>
      <c r="M59" s="76">
        <v>0</v>
      </c>
      <c r="O59" s="69"/>
      <c r="P59" s="66"/>
      <c r="Q59" s="73"/>
      <c r="R59" s="74" t="e">
        <f>SUM(R56:R58)</f>
        <v>#REF!</v>
      </c>
      <c r="S59" s="59">
        <v>1</v>
      </c>
      <c r="T59" s="76">
        <v>0</v>
      </c>
      <c r="V59" s="69"/>
      <c r="W59" s="66"/>
      <c r="X59" s="73"/>
      <c r="Y59" s="74" t="e">
        <f>SUM(Y56:Y58)</f>
        <v>#REF!</v>
      </c>
      <c r="Z59" s="59">
        <v>1</v>
      </c>
      <c r="AA59" s="76">
        <v>0</v>
      </c>
    </row>
    <row r="60" spans="1:29" ht="14" x14ac:dyDescent="0.2">
      <c r="A60" s="63" t="s">
        <v>1154</v>
      </c>
      <c r="B60" s="66"/>
      <c r="C60" s="66"/>
      <c r="D60" s="70"/>
      <c r="E60" s="70"/>
      <c r="F60" s="70"/>
      <c r="H60" s="63" t="s">
        <v>1154</v>
      </c>
      <c r="I60" s="66"/>
      <c r="J60" s="66"/>
      <c r="K60" s="70"/>
      <c r="L60" s="70"/>
      <c r="M60" s="70"/>
      <c r="O60" s="63" t="s">
        <v>922</v>
      </c>
      <c r="P60" s="66"/>
      <c r="Q60" s="66"/>
      <c r="R60" s="70"/>
      <c r="S60" s="70"/>
      <c r="T60" s="70"/>
      <c r="V60" s="63" t="s">
        <v>922</v>
      </c>
      <c r="W60" s="66"/>
      <c r="X60" s="66"/>
      <c r="Y60" s="70"/>
      <c r="Z60" s="70"/>
      <c r="AA60" s="70"/>
    </row>
    <row r="61" spans="1:29" ht="14" x14ac:dyDescent="0.2">
      <c r="A61" s="63" t="s">
        <v>106</v>
      </c>
      <c r="B61" s="64" t="s">
        <v>107</v>
      </c>
      <c r="C61" s="75" t="s">
        <v>355</v>
      </c>
      <c r="D61" s="65" t="s">
        <v>7</v>
      </c>
      <c r="E61" s="65" t="s">
        <v>5</v>
      </c>
      <c r="F61" s="65" t="s">
        <v>108</v>
      </c>
      <c r="H61" s="63" t="s">
        <v>106</v>
      </c>
      <c r="I61" s="64" t="s">
        <v>107</v>
      </c>
      <c r="J61" s="75" t="s">
        <v>934</v>
      </c>
      <c r="K61" s="65" t="s">
        <v>7</v>
      </c>
      <c r="L61" s="65" t="s">
        <v>5</v>
      </c>
      <c r="M61" s="65" t="s">
        <v>108</v>
      </c>
      <c r="O61" s="63" t="s">
        <v>106</v>
      </c>
      <c r="P61" s="64" t="s">
        <v>107</v>
      </c>
      <c r="Q61" s="75" t="s">
        <v>752</v>
      </c>
      <c r="R61" s="65" t="s">
        <v>7</v>
      </c>
      <c r="S61" s="65" t="s">
        <v>5</v>
      </c>
      <c r="T61" s="65" t="s">
        <v>108</v>
      </c>
      <c r="V61" s="63" t="s">
        <v>106</v>
      </c>
      <c r="W61" s="64" t="s">
        <v>107</v>
      </c>
      <c r="X61" s="75" t="s">
        <v>773</v>
      </c>
      <c r="Y61" s="65" t="s">
        <v>7</v>
      </c>
      <c r="Z61" s="65" t="s">
        <v>5</v>
      </c>
      <c r="AA61" s="65" t="s">
        <v>108</v>
      </c>
    </row>
    <row r="62" spans="1:29" ht="14" x14ac:dyDescent="0.2">
      <c r="A62" s="154">
        <f>INDEX(Policy!$C$34:$C$47,MATCH('RM Calculation Pro Rata'!A60,Policy!$B$34:$B$47,0))</f>
        <v>1100</v>
      </c>
      <c r="B62" s="66">
        <v>33000</v>
      </c>
      <c r="C62" s="66"/>
      <c r="D62" s="118">
        <f>A62*B62</f>
        <v>36300000</v>
      </c>
      <c r="E62" s="60">
        <f>D67/D62</f>
        <v>0.30820952981276523</v>
      </c>
      <c r="F62" s="68" t="str" cm="1">
        <f t="array" ref="F62">_xlfn.IFS(E62&lt;74.99%,"0",E62&lt;=100%,".25%",E62&lt;=130%,".35%",E62&gt;=130%,".50%")</f>
        <v>0</v>
      </c>
      <c r="H62" s="154">
        <f>INDEX(Policy!$Q$35:$Q$48,MATCH('RM Calculation Pro Rata'!H60,Policy!$M$35:$M$48,0))</f>
        <v>2500</v>
      </c>
      <c r="I62" s="66">
        <v>33000</v>
      </c>
      <c r="J62" s="66"/>
      <c r="K62" s="118">
        <f>H62*I62</f>
        <v>82500000</v>
      </c>
      <c r="L62" s="60">
        <f>K67/K62</f>
        <v>0.58036701592330708</v>
      </c>
      <c r="M62" s="68" t="str" cm="1">
        <f t="array" ref="M62">_xlfn.IFS(L62&lt;74.99%,"0",L62&lt;=100%,".25%",L62&lt;=130%,".35%",L62&gt;=130%,".50%")</f>
        <v>0</v>
      </c>
      <c r="O62" s="154" t="e">
        <f>INDEX(Policy!$P$34:$P$47,MATCH('RM Calculation Pro Rata'!O60,Policy!$L$34:$L$47,0))</f>
        <v>#N/A</v>
      </c>
      <c r="P62" s="66">
        <v>33000</v>
      </c>
      <c r="Q62" s="66"/>
      <c r="R62" s="118" t="e">
        <f>O62*P62</f>
        <v>#N/A</v>
      </c>
      <c r="S62" s="60" t="e">
        <f>R67/R62</f>
        <v>#REF!</v>
      </c>
      <c r="T62" s="68">
        <v>0</v>
      </c>
      <c r="V62" s="154" t="e">
        <f>INDEX(Policy!$W$34:$W$47,MATCH('RM Calculation Pro Rata'!V60,Policy!$L$34:$L$47,0))</f>
        <v>#N/A</v>
      </c>
      <c r="W62" s="66">
        <v>33000</v>
      </c>
      <c r="X62" s="66"/>
      <c r="Y62" s="118" t="e">
        <f>V62*W62</f>
        <v>#N/A</v>
      </c>
      <c r="Z62" s="60" t="e">
        <f>Y67/Y62</f>
        <v>#REF!</v>
      </c>
      <c r="AA62" s="68">
        <v>0</v>
      </c>
    </row>
    <row r="63" spans="1:29" ht="14" x14ac:dyDescent="0.2">
      <c r="A63" s="69"/>
      <c r="B63" s="66"/>
      <c r="C63" s="66"/>
      <c r="D63" s="67"/>
      <c r="E63" s="60"/>
      <c r="F63" s="72"/>
      <c r="H63" s="69"/>
      <c r="I63" s="66"/>
      <c r="J63" s="66"/>
      <c r="K63" s="67"/>
      <c r="L63" s="60"/>
      <c r="M63" s="72"/>
      <c r="O63" s="69"/>
      <c r="P63" s="66"/>
      <c r="Q63" s="66"/>
      <c r="R63" s="67"/>
      <c r="S63" s="60"/>
      <c r="T63" s="72"/>
      <c r="V63" s="69"/>
      <c r="W63" s="66"/>
      <c r="X63" s="66"/>
      <c r="Y63" s="67"/>
      <c r="Z63" s="60"/>
      <c r="AA63" s="72"/>
    </row>
    <row r="64" spans="1:29" ht="14" x14ac:dyDescent="0.2">
      <c r="A64" s="69"/>
      <c r="B64" s="66"/>
      <c r="C64" s="73">
        <v>46113</v>
      </c>
      <c r="D64" s="71">
        <f>'Incentive Report- Output'!O55</f>
        <v>2872903.3898305055</v>
      </c>
      <c r="E64" s="60">
        <f>D64/D67</f>
        <v>0.25678422117753674</v>
      </c>
      <c r="F64" s="118">
        <f>E64*F67</f>
        <v>0</v>
      </c>
      <c r="H64" s="69"/>
      <c r="I64" s="66"/>
      <c r="J64" s="73">
        <v>46204</v>
      </c>
      <c r="K64" s="71">
        <f>'Incentive Report- Output'!O340</f>
        <v>1059976.2712999994</v>
      </c>
      <c r="L64" s="60">
        <f>K64/K67</f>
        <v>2.213805553273657E-2</v>
      </c>
      <c r="M64" s="118">
        <f>L64*M67</f>
        <v>0</v>
      </c>
      <c r="O64" s="69"/>
      <c r="P64" s="66"/>
      <c r="Q64" s="73">
        <v>45931</v>
      </c>
      <c r="R64" s="71" t="e">
        <f>'Incentive Report- Output'!#REF!</f>
        <v>#REF!</v>
      </c>
      <c r="S64" s="60" t="e">
        <f>R64/R67</f>
        <v>#REF!</v>
      </c>
      <c r="T64" s="118" t="e">
        <f>S64*T67</f>
        <v>#REF!</v>
      </c>
      <c r="V64" s="69"/>
      <c r="W64" s="66"/>
      <c r="X64" s="73">
        <v>46023</v>
      </c>
      <c r="Y64" s="71" t="e">
        <f>'Incentive Report- Output'!#REF!</f>
        <v>#REF!</v>
      </c>
      <c r="Z64" s="60" t="e">
        <f>Y64/Y67</f>
        <v>#REF!</v>
      </c>
      <c r="AA64" s="118" t="e">
        <f>Z64*AA67</f>
        <v>#REF!</v>
      </c>
    </row>
    <row r="65" spans="1:29" ht="14" x14ac:dyDescent="0.2">
      <c r="A65" s="69"/>
      <c r="B65" s="66"/>
      <c r="C65" s="73">
        <v>46143</v>
      </c>
      <c r="D65" s="71">
        <f>'Incentive Report- Output'!O149</f>
        <v>3753432.20338983</v>
      </c>
      <c r="E65" s="60">
        <f>D65/D67</f>
        <v>0.3354871481240469</v>
      </c>
      <c r="F65" s="118">
        <f>E65*F67</f>
        <v>0</v>
      </c>
      <c r="H65" s="69"/>
      <c r="I65" s="66"/>
      <c r="J65" s="73">
        <v>46235</v>
      </c>
      <c r="K65" s="71">
        <f>'Incentive Report- Output'!O438</f>
        <v>46820302.54237283</v>
      </c>
      <c r="L65" s="60">
        <f>K65/K67</f>
        <v>0.97786194446726338</v>
      </c>
      <c r="M65" s="118">
        <f>L65*M67</f>
        <v>0</v>
      </c>
      <c r="O65" s="69"/>
      <c r="P65" s="66"/>
      <c r="Q65" s="73">
        <v>45962</v>
      </c>
      <c r="R65" s="71" t="e">
        <f>'Incentive Report- Output'!#REF!</f>
        <v>#REF!</v>
      </c>
      <c r="S65" s="60" t="e">
        <f>R65/R67</f>
        <v>#REF!</v>
      </c>
      <c r="T65" s="118" t="e">
        <f>S65*T67</f>
        <v>#REF!</v>
      </c>
      <c r="V65" s="69"/>
      <c r="W65" s="66"/>
      <c r="X65" s="73">
        <v>46054</v>
      </c>
      <c r="Y65" s="71" t="e">
        <f>'Incentive Report- Output'!#REF!</f>
        <v>#REF!</v>
      </c>
      <c r="Z65" s="60" t="e">
        <f>Y65/Y67</f>
        <v>#REF!</v>
      </c>
      <c r="AA65" s="118" t="e">
        <f>Z65*AA67</f>
        <v>#REF!</v>
      </c>
    </row>
    <row r="66" spans="1:29" ht="14" x14ac:dyDescent="0.2">
      <c r="A66" s="69"/>
      <c r="B66" s="66"/>
      <c r="C66" s="73">
        <v>46174</v>
      </c>
      <c r="D66" s="71">
        <f>'Incentive Report- Output'!O244</f>
        <v>4561670.338983044</v>
      </c>
      <c r="E66" s="60">
        <f>D66/D67</f>
        <v>0.40772863069841647</v>
      </c>
      <c r="F66" s="118">
        <f>E66*F67</f>
        <v>0</v>
      </c>
      <c r="H66" s="69"/>
      <c r="I66" s="66"/>
      <c r="J66" s="73">
        <v>46266</v>
      </c>
      <c r="K66" s="71">
        <v>0</v>
      </c>
      <c r="L66" s="60">
        <f>K66/K67</f>
        <v>0</v>
      </c>
      <c r="M66" s="118">
        <f>L66*M67</f>
        <v>0</v>
      </c>
      <c r="O66" s="69"/>
      <c r="P66" s="66"/>
      <c r="Q66" s="73">
        <v>45992</v>
      </c>
      <c r="R66" s="71" t="e">
        <f>'Incentive Report- Output'!#REF!</f>
        <v>#REF!</v>
      </c>
      <c r="S66" s="60" t="e">
        <f>R66/R67</f>
        <v>#REF!</v>
      </c>
      <c r="T66" s="118" t="e">
        <f>S66*T67</f>
        <v>#REF!</v>
      </c>
      <c r="V66" s="69"/>
      <c r="W66" s="66"/>
      <c r="X66" s="73">
        <v>46082</v>
      </c>
      <c r="Y66" s="71">
        <f>'Incentive Report- Output'!O55</f>
        <v>2872903.3898305055</v>
      </c>
      <c r="Z66" s="60" t="e">
        <f>Y66/Y67</f>
        <v>#REF!</v>
      </c>
      <c r="AA66" s="118" t="e">
        <f>Z66*AA67</f>
        <v>#REF!</v>
      </c>
      <c r="AB66" s="158"/>
      <c r="AC66" s="158"/>
    </row>
    <row r="67" spans="1:29" ht="14" x14ac:dyDescent="0.2">
      <c r="A67" s="69"/>
      <c r="B67" s="66"/>
      <c r="C67" s="66"/>
      <c r="D67" s="74">
        <f>SUM(D64:D66)</f>
        <v>11188005.932203379</v>
      </c>
      <c r="E67" s="59">
        <v>1</v>
      </c>
      <c r="F67" s="76">
        <f>D67*F62</f>
        <v>0</v>
      </c>
      <c r="H67" s="69"/>
      <c r="I67" s="66"/>
      <c r="J67" s="66"/>
      <c r="K67" s="74">
        <f>SUM(K64:K66)</f>
        <v>47880278.813672833</v>
      </c>
      <c r="L67" s="59">
        <v>1</v>
      </c>
      <c r="M67" s="76">
        <f>K67*M62</f>
        <v>0</v>
      </c>
      <c r="O67" s="69"/>
      <c r="P67" s="66"/>
      <c r="Q67" s="66"/>
      <c r="R67" s="74" t="e">
        <f>SUM(R64:R66)</f>
        <v>#REF!</v>
      </c>
      <c r="S67" s="59">
        <v>1</v>
      </c>
      <c r="T67" s="76" t="e">
        <f>R67*T62</f>
        <v>#REF!</v>
      </c>
      <c r="V67" s="69"/>
      <c r="W67" s="66"/>
      <c r="X67" s="66"/>
      <c r="Y67" s="74" t="e">
        <f>SUM(Y64:Y66)</f>
        <v>#REF!</v>
      </c>
      <c r="Z67" s="59">
        <v>1</v>
      </c>
      <c r="AA67" s="76" t="e">
        <f>Y67*AA62</f>
        <v>#REF!</v>
      </c>
    </row>
    <row r="68" spans="1:29" ht="14" x14ac:dyDescent="0.2">
      <c r="A68" s="42" t="s">
        <v>1155</v>
      </c>
      <c r="B68" s="66"/>
      <c r="C68" s="66"/>
      <c r="D68" s="70"/>
      <c r="E68" s="70"/>
      <c r="F68" s="70"/>
      <c r="H68" s="42" t="s">
        <v>1155</v>
      </c>
      <c r="I68" s="66"/>
      <c r="J68" s="66"/>
      <c r="K68" s="70"/>
      <c r="L68" s="70"/>
      <c r="M68" s="70"/>
      <c r="O68" s="42" t="s">
        <v>926</v>
      </c>
      <c r="P68" s="66"/>
      <c r="Q68" s="66"/>
      <c r="R68" s="70"/>
      <c r="S68" s="70"/>
      <c r="T68" s="70"/>
      <c r="V68" s="42" t="s">
        <v>926</v>
      </c>
      <c r="W68" s="66"/>
      <c r="X68" s="66"/>
      <c r="Y68" s="70"/>
      <c r="Z68" s="70"/>
      <c r="AA68" s="70"/>
    </row>
    <row r="69" spans="1:29" ht="14" x14ac:dyDescent="0.2">
      <c r="A69" s="63" t="s">
        <v>106</v>
      </c>
      <c r="B69" s="64" t="s">
        <v>107</v>
      </c>
      <c r="C69" s="75" t="s">
        <v>355</v>
      </c>
      <c r="D69" s="65" t="s">
        <v>7</v>
      </c>
      <c r="E69" s="65" t="s">
        <v>5</v>
      </c>
      <c r="F69" s="65" t="s">
        <v>108</v>
      </c>
      <c r="H69" s="63" t="s">
        <v>106</v>
      </c>
      <c r="I69" s="64" t="s">
        <v>107</v>
      </c>
      <c r="J69" s="75" t="s">
        <v>934</v>
      </c>
      <c r="K69" s="65" t="s">
        <v>7</v>
      </c>
      <c r="L69" s="65" t="s">
        <v>5</v>
      </c>
      <c r="M69" s="65" t="s">
        <v>108</v>
      </c>
      <c r="O69" s="63" t="s">
        <v>106</v>
      </c>
      <c r="P69" s="64" t="s">
        <v>107</v>
      </c>
      <c r="Q69" s="75" t="s">
        <v>752</v>
      </c>
      <c r="R69" s="65" t="s">
        <v>7</v>
      </c>
      <c r="S69" s="65" t="s">
        <v>5</v>
      </c>
      <c r="T69" s="65" t="s">
        <v>108</v>
      </c>
      <c r="V69" s="63" t="s">
        <v>106</v>
      </c>
      <c r="W69" s="64" t="s">
        <v>107</v>
      </c>
      <c r="X69" s="75" t="s">
        <v>773</v>
      </c>
      <c r="Y69" s="65" t="s">
        <v>7</v>
      </c>
      <c r="Z69" s="65" t="s">
        <v>5</v>
      </c>
      <c r="AA69" s="65" t="s">
        <v>108</v>
      </c>
    </row>
    <row r="70" spans="1:29" ht="14" x14ac:dyDescent="0.2">
      <c r="A70" s="154">
        <f>INDEX(Policy!$C$34:$C$47,MATCH('RM Calculation Pro Rata'!A68,Policy!$B$34:$B$47,0))</f>
        <v>750</v>
      </c>
      <c r="B70" s="66">
        <v>33000</v>
      </c>
      <c r="C70" s="66"/>
      <c r="D70" s="118">
        <f>A70*B70</f>
        <v>24750000</v>
      </c>
      <c r="E70" s="60">
        <f>D75/D70</f>
        <v>0.49858305084745713</v>
      </c>
      <c r="F70" s="68" t="str" cm="1">
        <f t="array" ref="F70">_xlfn.IFS(E70&lt;74.99%,"0",E70&lt;=100%,".25%",E70&lt;=130%,".35%",E70&gt;=130%,".50%")</f>
        <v>0</v>
      </c>
      <c r="H70" s="154">
        <f>INDEX(Policy!$Q$35:$Q$48,MATCH('RM Calculation Pro Rata'!H68,Policy!$M$35:$M$48,0))</f>
        <v>1400</v>
      </c>
      <c r="I70" s="66">
        <v>33000</v>
      </c>
      <c r="J70" s="66"/>
      <c r="K70" s="118">
        <f>H70*I70</f>
        <v>46200000</v>
      </c>
      <c r="L70" s="60">
        <f>K75/K70</f>
        <v>0.65700994203624252</v>
      </c>
      <c r="M70" s="68" t="str" cm="1">
        <f t="array" ref="M70">_xlfn.IFS(L70&lt;74.99%,"0",L70&lt;=100%,".25%",L70&lt;=130%,".35%",L70&gt;=130%,".50%")</f>
        <v>0</v>
      </c>
      <c r="N70" s="254"/>
      <c r="O70" s="154" t="e">
        <f>INDEX(Policy!$P$34:$P$47,MATCH('RM Calculation Pro Rata'!O68,Policy!$L$34:$L$47,0))</f>
        <v>#N/A</v>
      </c>
      <c r="P70" s="66">
        <v>33000</v>
      </c>
      <c r="Q70" s="66"/>
      <c r="R70" s="118" t="e">
        <f>O70*P70</f>
        <v>#N/A</v>
      </c>
      <c r="S70" s="244" t="e">
        <f>R75/R70</f>
        <v>#REF!</v>
      </c>
      <c r="T70" s="68" t="e">
        <f>LOOKUP(S70,Policy!$L$23:$M$26)</f>
        <v>#REF!</v>
      </c>
      <c r="V70" s="154" t="e">
        <f>INDEX(Policy!$W$34:$W$47,MATCH('RM Calculation Pro Rata'!V68,Policy!$L$34:$L$47,0))</f>
        <v>#N/A</v>
      </c>
      <c r="W70" s="66">
        <v>33000</v>
      </c>
      <c r="X70" s="66"/>
      <c r="Y70" s="118" t="e">
        <f>V70*W70</f>
        <v>#N/A</v>
      </c>
      <c r="Z70" s="244" t="e">
        <f>Y75/Y70</f>
        <v>#REF!</v>
      </c>
      <c r="AA70" s="68" t="e">
        <f>LOOKUP(Z70,Policy!$L$23:$M$26)</f>
        <v>#REF!</v>
      </c>
    </row>
    <row r="71" spans="1:29" ht="14" x14ac:dyDescent="0.2">
      <c r="A71" s="69"/>
      <c r="B71" s="66"/>
      <c r="C71" s="66"/>
      <c r="D71" s="67"/>
      <c r="E71" s="60"/>
      <c r="F71" s="72"/>
      <c r="H71" s="69"/>
      <c r="I71" s="66"/>
      <c r="J71" s="66"/>
      <c r="K71" s="67"/>
      <c r="L71" s="60"/>
      <c r="M71" s="72"/>
      <c r="O71" s="69"/>
      <c r="P71" s="66"/>
      <c r="Q71" s="66"/>
      <c r="R71" s="67"/>
      <c r="S71" s="60"/>
      <c r="T71" s="72"/>
      <c r="V71" s="69"/>
      <c r="W71" s="66"/>
      <c r="X71" s="66"/>
      <c r="Y71" s="67"/>
      <c r="Z71" s="60"/>
      <c r="AA71" s="72"/>
    </row>
    <row r="72" spans="1:29" ht="14" x14ac:dyDescent="0.2">
      <c r="A72" s="69"/>
      <c r="B72" s="66"/>
      <c r="C72" s="73">
        <v>46113</v>
      </c>
      <c r="D72" s="71">
        <f>'Incentive Report- Output'!O59</f>
        <v>4467779.6610169439</v>
      </c>
      <c r="E72" s="60">
        <f>D72/D75</f>
        <v>0.3620587375227643</v>
      </c>
      <c r="F72" s="118">
        <f>E72*F75</f>
        <v>0</v>
      </c>
      <c r="H72" s="69"/>
      <c r="I72" s="66"/>
      <c r="J72" s="73">
        <v>46204</v>
      </c>
      <c r="K72" s="71">
        <f>'Incentive Report- Output'!O344</f>
        <v>4633796.6102099996</v>
      </c>
      <c r="L72" s="60">
        <f>K72/K75</f>
        <v>0.152659224022961</v>
      </c>
      <c r="M72" s="118">
        <f>L72*M75</f>
        <v>0</v>
      </c>
      <c r="O72" s="69"/>
      <c r="P72" s="66"/>
      <c r="Q72" s="73">
        <v>45931</v>
      </c>
      <c r="R72" s="71" t="e">
        <f>'Incentive Report- Output'!#REF!</f>
        <v>#REF!</v>
      </c>
      <c r="S72" s="60" t="e">
        <f>R72/R75</f>
        <v>#REF!</v>
      </c>
      <c r="T72" s="118" t="e">
        <f>S72*T75</f>
        <v>#REF!</v>
      </c>
      <c r="V72" s="69"/>
      <c r="W72" s="66"/>
      <c r="X72" s="73">
        <v>46023</v>
      </c>
      <c r="Y72" s="71" t="e">
        <f>'Incentive Report- Output'!#REF!</f>
        <v>#REF!</v>
      </c>
      <c r="Z72" s="60" t="e">
        <f>Y72/Y75</f>
        <v>#REF!</v>
      </c>
      <c r="AA72" s="118" t="e">
        <f>Z72*AA75</f>
        <v>#REF!</v>
      </c>
    </row>
    <row r="73" spans="1:29" ht="14" x14ac:dyDescent="0.2">
      <c r="A73" s="69"/>
      <c r="B73" s="66"/>
      <c r="C73" s="73">
        <v>46143</v>
      </c>
      <c r="D73" s="71">
        <f>'Incentive Report- Output'!O153</f>
        <v>3827838.1355932187</v>
      </c>
      <c r="E73" s="60">
        <f>D73/D75</f>
        <v>0.31019932672752204</v>
      </c>
      <c r="F73" s="118">
        <f>E73*F75</f>
        <v>0</v>
      </c>
      <c r="H73" s="69"/>
      <c r="I73" s="66"/>
      <c r="J73" s="73">
        <v>46235</v>
      </c>
      <c r="K73" s="71">
        <f>'Incentive Report- Output'!O442</f>
        <v>25720062.711864408</v>
      </c>
      <c r="L73" s="60">
        <f>K73/K75</f>
        <v>0.84734077597703905</v>
      </c>
      <c r="M73" s="118">
        <f>L73*M75</f>
        <v>0</v>
      </c>
      <c r="O73" s="69"/>
      <c r="P73" s="66"/>
      <c r="Q73" s="73">
        <v>45962</v>
      </c>
      <c r="R73" s="71" t="e">
        <f>'Incentive Report- Output'!#REF!</f>
        <v>#REF!</v>
      </c>
      <c r="S73" s="60" t="e">
        <f>R73/R75</f>
        <v>#REF!</v>
      </c>
      <c r="T73" s="118" t="e">
        <f>S73*T75</f>
        <v>#REF!</v>
      </c>
      <c r="V73" s="69"/>
      <c r="W73" s="66"/>
      <c r="X73" s="73">
        <v>46054</v>
      </c>
      <c r="Y73" s="71" t="e">
        <f>'Incentive Report- Output'!#REF!</f>
        <v>#REF!</v>
      </c>
      <c r="Z73" s="60" t="e">
        <f>Y73/Y75</f>
        <v>#REF!</v>
      </c>
      <c r="AA73" s="118" t="e">
        <f>Z73*AA75</f>
        <v>#REF!</v>
      </c>
    </row>
    <row r="74" spans="1:29" ht="14" x14ac:dyDescent="0.2">
      <c r="A74" s="69"/>
      <c r="B74" s="66"/>
      <c r="C74" s="73">
        <v>46174</v>
      </c>
      <c r="D74" s="71">
        <f>'Incentive Report- Output'!O248</f>
        <v>4044312.7118644016</v>
      </c>
      <c r="E74" s="60">
        <f>D74/D75</f>
        <v>0.32774193574971361</v>
      </c>
      <c r="F74" s="118">
        <f>E74*F75</f>
        <v>0</v>
      </c>
      <c r="H74" s="69"/>
      <c r="I74" s="66"/>
      <c r="J74" s="73">
        <v>46266</v>
      </c>
      <c r="K74" s="71">
        <v>0</v>
      </c>
      <c r="L74" s="60">
        <f>K74/K75</f>
        <v>0</v>
      </c>
      <c r="M74" s="118">
        <f>L74*M75</f>
        <v>0</v>
      </c>
      <c r="O74" s="69"/>
      <c r="P74" s="66"/>
      <c r="Q74" s="73">
        <v>45992</v>
      </c>
      <c r="R74" s="71" t="e">
        <f>'Incentive Report- Output'!#REF!</f>
        <v>#REF!</v>
      </c>
      <c r="S74" s="60" t="e">
        <f>R74/R75</f>
        <v>#REF!</v>
      </c>
      <c r="T74" s="118" t="e">
        <f>S74*T75</f>
        <v>#REF!</v>
      </c>
      <c r="V74" s="69"/>
      <c r="W74" s="66"/>
      <c r="X74" s="73">
        <v>46082</v>
      </c>
      <c r="Y74" s="71">
        <f>'Incentive Report- Output'!O59</f>
        <v>4467779.6610169439</v>
      </c>
      <c r="Z74" s="60" t="e">
        <f>Y74/Y75</f>
        <v>#REF!</v>
      </c>
      <c r="AA74" s="118" t="e">
        <f>Z74*AA75</f>
        <v>#REF!</v>
      </c>
      <c r="AB74" s="158"/>
      <c r="AC74" s="158"/>
    </row>
    <row r="75" spans="1:29" ht="14" x14ac:dyDescent="0.2">
      <c r="A75" s="69"/>
      <c r="B75" s="66"/>
      <c r="C75" s="73"/>
      <c r="D75" s="74">
        <f>SUM(D72:D74)</f>
        <v>12339930.508474564</v>
      </c>
      <c r="E75" s="59">
        <v>1</v>
      </c>
      <c r="F75" s="76">
        <f>F70*D75</f>
        <v>0</v>
      </c>
      <c r="H75" s="69"/>
      <c r="I75" s="66"/>
      <c r="J75" s="73"/>
      <c r="K75" s="74">
        <f>SUM(K72:K74)</f>
        <v>30353859.322074406</v>
      </c>
      <c r="L75" s="59">
        <v>1</v>
      </c>
      <c r="M75" s="76">
        <f>M70*K75</f>
        <v>0</v>
      </c>
      <c r="O75" s="69"/>
      <c r="P75" s="66"/>
      <c r="Q75" s="73"/>
      <c r="R75" s="74" t="e">
        <f>SUM(R72:R74)</f>
        <v>#REF!</v>
      </c>
      <c r="S75" s="59">
        <v>1</v>
      </c>
      <c r="T75" s="76" t="e">
        <f>T70*R75</f>
        <v>#REF!</v>
      </c>
      <c r="V75" s="69"/>
      <c r="W75" s="66"/>
      <c r="X75" s="73"/>
      <c r="Y75" s="74" t="e">
        <f>SUM(Y72:Y74)</f>
        <v>#REF!</v>
      </c>
      <c r="Z75" s="59">
        <v>1</v>
      </c>
      <c r="AA75" s="76" t="e">
        <f>AA70*Y75</f>
        <v>#REF!</v>
      </c>
    </row>
    <row r="76" spans="1:29" ht="14" x14ac:dyDescent="0.2">
      <c r="A76" s="42" t="s">
        <v>1158</v>
      </c>
      <c r="B76" s="66"/>
      <c r="C76" s="66"/>
      <c r="D76" s="70"/>
      <c r="E76" s="70"/>
      <c r="F76" s="70"/>
      <c r="H76" s="42" t="s">
        <v>1158</v>
      </c>
      <c r="I76" s="66"/>
      <c r="J76" s="66"/>
      <c r="K76" s="70"/>
      <c r="L76" s="70"/>
      <c r="M76" s="70"/>
      <c r="O76" s="42" t="s">
        <v>927</v>
      </c>
      <c r="P76" s="66"/>
      <c r="Q76" s="66"/>
      <c r="R76" s="70"/>
      <c r="S76" s="70"/>
      <c r="T76" s="70"/>
      <c r="V76" s="42" t="s">
        <v>927</v>
      </c>
      <c r="W76" s="66"/>
      <c r="X76" s="66"/>
      <c r="Y76" s="70"/>
      <c r="Z76" s="70"/>
      <c r="AA76" s="70"/>
    </row>
    <row r="77" spans="1:29" ht="14" x14ac:dyDescent="0.2">
      <c r="A77" s="63" t="s">
        <v>106</v>
      </c>
      <c r="B77" s="64" t="s">
        <v>107</v>
      </c>
      <c r="C77" s="75" t="s">
        <v>355</v>
      </c>
      <c r="D77" s="65" t="s">
        <v>7</v>
      </c>
      <c r="E77" s="65" t="s">
        <v>5</v>
      </c>
      <c r="F77" s="65" t="s">
        <v>108</v>
      </c>
      <c r="H77" s="63" t="s">
        <v>106</v>
      </c>
      <c r="I77" s="64" t="s">
        <v>107</v>
      </c>
      <c r="J77" s="75" t="s">
        <v>934</v>
      </c>
      <c r="K77" s="65" t="s">
        <v>7</v>
      </c>
      <c r="L77" s="65" t="s">
        <v>5</v>
      </c>
      <c r="M77" s="65" t="s">
        <v>108</v>
      </c>
      <c r="O77" s="63" t="s">
        <v>106</v>
      </c>
      <c r="P77" s="64" t="s">
        <v>107</v>
      </c>
      <c r="Q77" s="75" t="s">
        <v>752</v>
      </c>
      <c r="R77" s="65" t="s">
        <v>7</v>
      </c>
      <c r="S77" s="65" t="s">
        <v>5</v>
      </c>
      <c r="T77" s="65" t="s">
        <v>108</v>
      </c>
      <c r="V77" s="63" t="s">
        <v>106</v>
      </c>
      <c r="W77" s="64" t="s">
        <v>107</v>
      </c>
      <c r="X77" s="75" t="s">
        <v>773</v>
      </c>
      <c r="Y77" s="65" t="s">
        <v>7</v>
      </c>
      <c r="Z77" s="65" t="s">
        <v>5</v>
      </c>
      <c r="AA77" s="65" t="s">
        <v>108</v>
      </c>
    </row>
    <row r="78" spans="1:29" ht="14" x14ac:dyDescent="0.2">
      <c r="A78" s="154">
        <f>INDEX(Policy!$C$34:$C$47,MATCH('RM Calculation Pro Rata'!A76,Policy!$B$34:$B$47,0))</f>
        <v>1250</v>
      </c>
      <c r="B78" s="66">
        <v>33000</v>
      </c>
      <c r="C78" s="66"/>
      <c r="D78" s="118">
        <f>A78*B78</f>
        <v>41250000</v>
      </c>
      <c r="E78" s="60">
        <f>D83/D78</f>
        <v>0.32471585002568032</v>
      </c>
      <c r="F78" s="68" t="str" cm="1">
        <f t="array" ref="F78">_xlfn.IFS(E78&lt;74.99%,"0",E78&lt;=100%,".25%",E78&lt;=130%,".35%",E78&gt;=130%,".50%")</f>
        <v>0</v>
      </c>
      <c r="H78" s="154">
        <f>INDEX(Policy!$Q$35:$Q$48,MATCH('RM Calculation Pro Rata'!H76,Policy!$M$35:$M$48,0))</f>
        <v>2300</v>
      </c>
      <c r="I78" s="66">
        <v>33000</v>
      </c>
      <c r="J78" s="66"/>
      <c r="K78" s="118">
        <f>H78*I78</f>
        <v>75900000</v>
      </c>
      <c r="L78" s="60">
        <f>K83/K78</f>
        <v>0.57278468548064532</v>
      </c>
      <c r="M78" s="68" t="str" cm="1">
        <f t="array" ref="M78">_xlfn.IFS(L78&lt;74.99%,"0",L78&lt;=100%,".25%",L78&lt;=130%,".35%",L78&gt;=130%,".50%")</f>
        <v>0</v>
      </c>
      <c r="N78" s="254"/>
      <c r="O78" s="154" t="e">
        <f>INDEX(Policy!$P$34:$P$47,MATCH('RM Calculation Pro Rata'!O76,Policy!$L$34:$L$47,0))</f>
        <v>#N/A</v>
      </c>
      <c r="P78" s="66">
        <v>33000</v>
      </c>
      <c r="Q78" s="66"/>
      <c r="R78" s="118" t="e">
        <f>O78*P78</f>
        <v>#N/A</v>
      </c>
      <c r="S78" s="60" t="e">
        <f>R83/R78</f>
        <v>#REF!</v>
      </c>
      <c r="T78" s="68" t="e">
        <f>LOOKUP(S78,Policy!$L$23:$M$26)</f>
        <v>#REF!</v>
      </c>
      <c r="V78" s="154" t="e">
        <f>INDEX(Policy!$W$34:$W$47,MATCH('RM Calculation Pro Rata'!V76,Policy!$L$34:$L$47,0))</f>
        <v>#N/A</v>
      </c>
      <c r="W78" s="66">
        <v>33000</v>
      </c>
      <c r="X78" s="66"/>
      <c r="Y78" s="118" t="e">
        <f>V78*W78</f>
        <v>#N/A</v>
      </c>
      <c r="Z78" s="60" t="e">
        <f>Y83/Y78</f>
        <v>#REF!</v>
      </c>
      <c r="AA78" s="68" t="e">
        <f>LOOKUP(Z78,Policy!$L$23:$M$26)</f>
        <v>#REF!</v>
      </c>
    </row>
    <row r="79" spans="1:29" ht="14" x14ac:dyDescent="0.2">
      <c r="A79" s="69"/>
      <c r="B79" s="66"/>
      <c r="C79" s="66"/>
      <c r="D79" s="67"/>
      <c r="E79" s="60"/>
      <c r="F79" s="72"/>
      <c r="H79" s="69"/>
      <c r="I79" s="66"/>
      <c r="J79" s="66"/>
      <c r="K79" s="67"/>
      <c r="L79" s="60"/>
      <c r="M79" s="72"/>
      <c r="O79" s="69"/>
      <c r="P79" s="66"/>
      <c r="Q79" s="66"/>
      <c r="R79" s="67"/>
      <c r="S79" s="60"/>
      <c r="T79" s="72"/>
      <c r="V79" s="69"/>
      <c r="W79" s="66"/>
      <c r="X79" s="66"/>
      <c r="Y79" s="67"/>
      <c r="Z79" s="60"/>
      <c r="AA79" s="72"/>
    </row>
    <row r="80" spans="1:29" ht="14" x14ac:dyDescent="0.2">
      <c r="A80" s="69"/>
      <c r="B80" s="66"/>
      <c r="C80" s="73">
        <v>46113</v>
      </c>
      <c r="D80" s="71">
        <f>'Incentive Report- Output'!O67</f>
        <v>4066309.3220338933</v>
      </c>
      <c r="E80" s="60">
        <f>D80/D83</f>
        <v>0.30357987045558177</v>
      </c>
      <c r="F80" s="118">
        <f>E80*F83</f>
        <v>0</v>
      </c>
      <c r="H80" s="69"/>
      <c r="I80" s="66"/>
      <c r="J80" s="73">
        <v>46204</v>
      </c>
      <c r="K80" s="71">
        <f>'Incentive Report- Output'!O353</f>
        <v>6032500.8483199999</v>
      </c>
      <c r="L80" s="60">
        <f>K80/K83</f>
        <v>0.13875997662671294</v>
      </c>
      <c r="M80" s="118">
        <f>L80*M83</f>
        <v>0</v>
      </c>
      <c r="O80" s="69"/>
      <c r="P80" s="66"/>
      <c r="Q80" s="73">
        <v>45931</v>
      </c>
      <c r="R80" s="71" t="e">
        <f>'Incentive Report- Output'!#REF!</f>
        <v>#REF!</v>
      </c>
      <c r="S80" s="60" t="e">
        <f>R80/R83</f>
        <v>#REF!</v>
      </c>
      <c r="T80" s="118" t="e">
        <f>S80*T83</f>
        <v>#REF!</v>
      </c>
      <c r="V80" s="69"/>
      <c r="W80" s="66"/>
      <c r="X80" s="73">
        <v>46023</v>
      </c>
      <c r="Y80" s="71" t="e">
        <f>'Incentive Report- Output'!#REF!</f>
        <v>#REF!</v>
      </c>
      <c r="Z80" s="60" t="e">
        <f>Y80/Y83</f>
        <v>#REF!</v>
      </c>
      <c r="AA80" s="118" t="e">
        <f>Z80*AA83</f>
        <v>#REF!</v>
      </c>
    </row>
    <row r="81" spans="1:29" ht="14" x14ac:dyDescent="0.2">
      <c r="A81" s="69"/>
      <c r="B81" s="66"/>
      <c r="C81" s="73">
        <v>46143</v>
      </c>
      <c r="D81" s="71">
        <f>'Incentive Report- Output'!O161</f>
        <v>4636420.3389830515</v>
      </c>
      <c r="E81" s="60">
        <f>D81/D83</f>
        <v>0.34614284709213455</v>
      </c>
      <c r="F81" s="118">
        <f>E81*F83</f>
        <v>0</v>
      </c>
      <c r="H81" s="69"/>
      <c r="I81" s="66"/>
      <c r="J81" s="73">
        <v>46235</v>
      </c>
      <c r="K81" s="71">
        <f>'Incentive Report- Output'!O452</f>
        <v>37441856.779660977</v>
      </c>
      <c r="L81" s="60">
        <f>K81/K83</f>
        <v>0.86124002337328709</v>
      </c>
      <c r="M81" s="118">
        <f>L81*M83</f>
        <v>0</v>
      </c>
      <c r="O81" s="69"/>
      <c r="P81" s="66"/>
      <c r="Q81" s="73">
        <v>45962</v>
      </c>
      <c r="R81" s="71" t="e">
        <f>'Incentive Report- Output'!#REF!</f>
        <v>#REF!</v>
      </c>
      <c r="S81" s="60" t="e">
        <f>R81/R83</f>
        <v>#REF!</v>
      </c>
      <c r="T81" s="118" t="e">
        <f>S81*T83</f>
        <v>#REF!</v>
      </c>
      <c r="V81" s="69"/>
      <c r="W81" s="66"/>
      <c r="X81" s="73">
        <v>46054</v>
      </c>
      <c r="Y81" s="71" t="e">
        <f>'Incentive Report- Output'!#REF!</f>
        <v>#REF!</v>
      </c>
      <c r="Z81" s="60" t="e">
        <f>Y81/Y83</f>
        <v>#REF!</v>
      </c>
      <c r="AA81" s="118" t="e">
        <f>Z81*AA83</f>
        <v>#REF!</v>
      </c>
    </row>
    <row r="82" spans="1:29" ht="14" x14ac:dyDescent="0.2">
      <c r="A82" s="69"/>
      <c r="B82" s="66"/>
      <c r="C82" s="73">
        <v>46174</v>
      </c>
      <c r="D82" s="71">
        <f>'Incentive Report- Output'!O256</f>
        <v>4691799.1525423676</v>
      </c>
      <c r="E82" s="60">
        <f>D82/D83</f>
        <v>0.35027728245228368</v>
      </c>
      <c r="F82" s="118">
        <f>E82*F83</f>
        <v>0</v>
      </c>
      <c r="H82" s="69"/>
      <c r="I82" s="66"/>
      <c r="J82" s="73">
        <v>46266</v>
      </c>
      <c r="K82" s="71">
        <v>0</v>
      </c>
      <c r="L82" s="60">
        <f>K82/K83</f>
        <v>0</v>
      </c>
      <c r="M82" s="118">
        <f>L82*M83</f>
        <v>0</v>
      </c>
      <c r="O82" s="69"/>
      <c r="P82" s="66"/>
      <c r="Q82" s="73">
        <v>45992</v>
      </c>
      <c r="R82" s="71" t="e">
        <f>'Incentive Report- Output'!#REF!</f>
        <v>#REF!</v>
      </c>
      <c r="S82" s="60" t="e">
        <f>R82/R83</f>
        <v>#REF!</v>
      </c>
      <c r="T82" s="118" t="e">
        <f>S82*T83</f>
        <v>#REF!</v>
      </c>
      <c r="V82" s="69"/>
      <c r="W82" s="66"/>
      <c r="X82" s="73">
        <v>46082</v>
      </c>
      <c r="Y82" s="71">
        <f>'Incentive Report- Output'!O67</f>
        <v>4066309.3220338933</v>
      </c>
      <c r="Z82" s="60" t="e">
        <f>Y82/Y83</f>
        <v>#REF!</v>
      </c>
      <c r="AA82" s="118" t="e">
        <f>Z82*AA83</f>
        <v>#REF!</v>
      </c>
      <c r="AB82" s="158"/>
      <c r="AC82" s="158"/>
    </row>
    <row r="83" spans="1:29" ht="14" x14ac:dyDescent="0.2">
      <c r="A83" s="42"/>
      <c r="B83" s="66"/>
      <c r="C83" s="66"/>
      <c r="D83" s="74">
        <f>SUM(D80:D82)</f>
        <v>13394528.813559312</v>
      </c>
      <c r="E83" s="70"/>
      <c r="F83" s="76">
        <f>F78*D83</f>
        <v>0</v>
      </c>
      <c r="H83" s="42"/>
      <c r="I83" s="66"/>
      <c r="J83" s="66"/>
      <c r="K83" s="74">
        <f>SUM(K80:K82)</f>
        <v>43474357.627980977</v>
      </c>
      <c r="L83" s="70"/>
      <c r="M83" s="76">
        <f>M78*K83</f>
        <v>0</v>
      </c>
      <c r="O83" s="42"/>
      <c r="P83" s="66"/>
      <c r="Q83" s="66"/>
      <c r="R83" s="74" t="e">
        <f>SUM(R80:R82)</f>
        <v>#REF!</v>
      </c>
      <c r="S83" s="70"/>
      <c r="T83" s="76" t="e">
        <f>T78*R83</f>
        <v>#REF!</v>
      </c>
      <c r="V83" s="42"/>
      <c r="W83" s="66"/>
      <c r="X83" s="66"/>
      <c r="Y83" s="74" t="e">
        <f>SUM(Y80:Y82)</f>
        <v>#REF!</v>
      </c>
      <c r="Z83" s="70"/>
      <c r="AA83" s="76" t="e">
        <f>AA78*Y83</f>
        <v>#REF!</v>
      </c>
    </row>
    <row r="84" spans="1:29" ht="14" x14ac:dyDescent="0.2">
      <c r="A84" s="42" t="s">
        <v>1161</v>
      </c>
      <c r="B84" s="66"/>
      <c r="C84" s="66"/>
      <c r="D84" s="74"/>
      <c r="E84" s="70"/>
      <c r="F84" s="76"/>
      <c r="H84" s="42" t="s">
        <v>1161</v>
      </c>
      <c r="I84" s="66"/>
      <c r="J84" s="66"/>
      <c r="K84" s="74"/>
      <c r="L84" s="70"/>
      <c r="M84" s="76"/>
      <c r="O84" s="42" t="s">
        <v>924</v>
      </c>
      <c r="P84" s="66"/>
      <c r="Q84" s="66"/>
      <c r="R84" s="74"/>
      <c r="S84" s="70"/>
      <c r="T84" s="76"/>
      <c r="V84" s="42" t="s">
        <v>924</v>
      </c>
      <c r="W84" s="66"/>
      <c r="X84" s="66"/>
      <c r="Y84" s="74"/>
      <c r="Z84" s="70"/>
      <c r="AA84" s="76"/>
    </row>
    <row r="85" spans="1:29" ht="14" x14ac:dyDescent="0.2">
      <c r="A85" s="63" t="s">
        <v>106</v>
      </c>
      <c r="B85" s="64" t="s">
        <v>107</v>
      </c>
      <c r="C85" s="75" t="s">
        <v>355</v>
      </c>
      <c r="D85" s="65" t="s">
        <v>7</v>
      </c>
      <c r="E85" s="65" t="s">
        <v>5</v>
      </c>
      <c r="F85" s="65" t="s">
        <v>108</v>
      </c>
      <c r="H85" s="63" t="s">
        <v>106</v>
      </c>
      <c r="I85" s="64" t="s">
        <v>107</v>
      </c>
      <c r="J85" s="75" t="s">
        <v>934</v>
      </c>
      <c r="K85" s="65" t="s">
        <v>7</v>
      </c>
      <c r="L85" s="65" t="s">
        <v>5</v>
      </c>
      <c r="M85" s="65" t="s">
        <v>108</v>
      </c>
      <c r="O85" s="63" t="s">
        <v>106</v>
      </c>
      <c r="P85" s="64" t="s">
        <v>107</v>
      </c>
      <c r="Q85" s="75" t="s">
        <v>752</v>
      </c>
      <c r="R85" s="65" t="s">
        <v>7</v>
      </c>
      <c r="S85" s="65" t="s">
        <v>5</v>
      </c>
      <c r="T85" s="65" t="s">
        <v>108</v>
      </c>
      <c r="V85" s="63" t="s">
        <v>106</v>
      </c>
      <c r="W85" s="64" t="s">
        <v>107</v>
      </c>
      <c r="X85" s="75" t="s">
        <v>773</v>
      </c>
      <c r="Y85" s="65" t="s">
        <v>7</v>
      </c>
      <c r="Z85" s="65" t="s">
        <v>5</v>
      </c>
      <c r="AA85" s="65" t="s">
        <v>108</v>
      </c>
    </row>
    <row r="86" spans="1:29" ht="14" x14ac:dyDescent="0.2">
      <c r="A86" s="154">
        <f>INDEX(Policy!$C$34:$C$47,MATCH('RM Calculation Pro Rata'!A84,Policy!$B$34:$B$47,0))</f>
        <v>1300</v>
      </c>
      <c r="B86" s="66">
        <v>33000</v>
      </c>
      <c r="C86" s="66"/>
      <c r="D86" s="118">
        <f>A86*B86</f>
        <v>42900000</v>
      </c>
      <c r="E86" s="60">
        <f>D91/D86</f>
        <v>0.64348917466713995</v>
      </c>
      <c r="F86" s="68" t="str" cm="1">
        <f t="array" ref="F86">_xlfn.IFS(E86&lt;74.99%,"0",E86&lt;=100%,".25%",E86&lt;=130%,".35%",E86&gt;=130%,".50%")</f>
        <v>0</v>
      </c>
      <c r="H86" s="154">
        <f>INDEX(Policy!$Q$35:$Q$48,MATCH('RM Calculation Pro Rata'!H84,Policy!$M$35:$M$48,0))</f>
        <v>2400</v>
      </c>
      <c r="I86" s="66">
        <v>33000</v>
      </c>
      <c r="J86" s="66"/>
      <c r="K86" s="118">
        <f>H86*I86</f>
        <v>79200000</v>
      </c>
      <c r="L86" s="60">
        <f>K91/K86</f>
        <v>0.85070118559998265</v>
      </c>
      <c r="M86" s="68" t="str" cm="1">
        <f t="array" ref="M86">_xlfn.IFS(L86&lt;74.99%,"0",L86&lt;=100%,".25%",L86&lt;=130%,".35%",L86&gt;=130%,".50%")</f>
        <v>.25%</v>
      </c>
      <c r="O86" s="154" t="e">
        <f>INDEX(Policy!$P$34:$P$47,MATCH('RM Calculation Pro Rata'!O84,Policy!$L$34:$L$47,0))</f>
        <v>#N/A</v>
      </c>
      <c r="P86" s="66">
        <v>33000</v>
      </c>
      <c r="Q86" s="66"/>
      <c r="R86" s="118" t="e">
        <f>O86*P86</f>
        <v>#N/A</v>
      </c>
      <c r="S86" s="60" t="e">
        <f>R91/R86</f>
        <v>#REF!</v>
      </c>
      <c r="T86" s="68">
        <v>0</v>
      </c>
      <c r="V86" s="154" t="e">
        <f>INDEX(Policy!$W$34:$W$47,MATCH('RM Calculation Pro Rata'!V84,Policy!$L$34:$L$47,0))</f>
        <v>#N/A</v>
      </c>
      <c r="W86" s="66">
        <v>33000</v>
      </c>
      <c r="X86" s="66"/>
      <c r="Y86" s="118" t="e">
        <f>V86*W86</f>
        <v>#N/A</v>
      </c>
      <c r="Z86" s="60" t="e">
        <f>Y91/Y86</f>
        <v>#REF!</v>
      </c>
      <c r="AA86" s="68">
        <v>0</v>
      </c>
    </row>
    <row r="87" spans="1:29" ht="14" x14ac:dyDescent="0.2">
      <c r="A87" s="69"/>
      <c r="B87" s="66"/>
      <c r="C87" s="66"/>
      <c r="D87" s="67"/>
      <c r="E87" s="60"/>
      <c r="F87" s="72"/>
      <c r="H87" s="69"/>
      <c r="I87" s="66"/>
      <c r="J87" s="66"/>
      <c r="K87" s="67"/>
      <c r="L87" s="60"/>
      <c r="M87" s="72"/>
      <c r="O87" s="69"/>
      <c r="P87" s="66"/>
      <c r="Q87" s="66"/>
      <c r="R87" s="67"/>
      <c r="S87" s="60"/>
      <c r="T87" s="72"/>
      <c r="V87" s="69"/>
      <c r="W87" s="66"/>
      <c r="X87" s="66"/>
      <c r="Y87" s="67"/>
      <c r="Z87" s="60"/>
      <c r="AA87" s="72"/>
    </row>
    <row r="88" spans="1:29" ht="14" x14ac:dyDescent="0.2">
      <c r="A88" s="69"/>
      <c r="B88" s="66"/>
      <c r="C88" s="73">
        <v>46113</v>
      </c>
      <c r="D88" s="71">
        <f>'Incentive Report- Output'!O74</f>
        <v>8036655.9322033785</v>
      </c>
      <c r="E88" s="60">
        <f>D88/D91</f>
        <v>0.29112321463869406</v>
      </c>
      <c r="F88" s="118">
        <f>E88*F91</f>
        <v>0</v>
      </c>
      <c r="H88" s="69"/>
      <c r="I88" s="66"/>
      <c r="J88" s="73">
        <v>46204</v>
      </c>
      <c r="K88" s="71">
        <f>'Incentive Report- Output'!O362</f>
        <v>7981526.2723999973</v>
      </c>
      <c r="L88" s="60">
        <f>K88/K91</f>
        <v>0.11846327309707631</v>
      </c>
      <c r="M88" s="118">
        <f>L88*M91</f>
        <v>19953.815680999996</v>
      </c>
      <c r="O88" s="69"/>
      <c r="P88" s="66"/>
      <c r="Q88" s="73">
        <v>45931</v>
      </c>
      <c r="R88" s="71" t="e">
        <f>'Incentive Report- Output'!#REF!</f>
        <v>#REF!</v>
      </c>
      <c r="S88" s="60" t="e">
        <f>R88/R91</f>
        <v>#REF!</v>
      </c>
      <c r="T88" s="118" t="e">
        <f>S88*T91</f>
        <v>#REF!</v>
      </c>
      <c r="V88" s="69"/>
      <c r="W88" s="66"/>
      <c r="X88" s="73">
        <v>46023</v>
      </c>
      <c r="Y88" s="71" t="e">
        <f>'Incentive Report- Output'!#REF!</f>
        <v>#REF!</v>
      </c>
      <c r="Z88" s="60" t="e">
        <f>Y88/Y91</f>
        <v>#REF!</v>
      </c>
      <c r="AA88" s="118" t="e">
        <f>Z88*AA91</f>
        <v>#REF!</v>
      </c>
    </row>
    <row r="89" spans="1:29" ht="14" x14ac:dyDescent="0.2">
      <c r="A89" s="69"/>
      <c r="B89" s="66"/>
      <c r="C89" s="73">
        <v>46143</v>
      </c>
      <c r="D89" s="71">
        <f>'Incentive Report- Output'!O169</f>
        <v>7780560.169491522</v>
      </c>
      <c r="E89" s="60">
        <f>D89/D91</f>
        <v>0.28184629369981501</v>
      </c>
      <c r="F89" s="118">
        <f>E89*F91</f>
        <v>0</v>
      </c>
      <c r="H89" s="69"/>
      <c r="I89" s="66"/>
      <c r="J89" s="73">
        <v>46235</v>
      </c>
      <c r="K89" s="71">
        <f>'Incentive Report- Output'!O461</f>
        <v>59394007.627118632</v>
      </c>
      <c r="L89" s="60">
        <f>K89/K91</f>
        <v>0.88153672690292373</v>
      </c>
      <c r="M89" s="118">
        <f>L89*M91</f>
        <v>148485.01906779659</v>
      </c>
      <c r="O89" s="69"/>
      <c r="P89" s="66"/>
      <c r="Q89" s="73">
        <v>45962</v>
      </c>
      <c r="R89" s="71" t="e">
        <f>'Incentive Report- Output'!#REF!</f>
        <v>#REF!</v>
      </c>
      <c r="S89" s="60" t="e">
        <f>R89/R91</f>
        <v>#REF!</v>
      </c>
      <c r="T89" s="118" t="e">
        <f>S89*T91</f>
        <v>#REF!</v>
      </c>
      <c r="V89" s="69"/>
      <c r="W89" s="66"/>
      <c r="X89" s="73">
        <v>46054</v>
      </c>
      <c r="Y89" s="71" t="e">
        <f>'Incentive Report- Output'!#REF!</f>
        <v>#REF!</v>
      </c>
      <c r="Z89" s="60" t="e">
        <f>Y89/Y91</f>
        <v>#REF!</v>
      </c>
      <c r="AA89" s="118" t="e">
        <f>Z89*AA91</f>
        <v>#REF!</v>
      </c>
    </row>
    <row r="90" spans="1:29" ht="14" x14ac:dyDescent="0.2">
      <c r="A90" s="69"/>
      <c r="B90" s="66"/>
      <c r="C90" s="73">
        <v>46174</v>
      </c>
      <c r="D90" s="71">
        <f>'Incentive Report- Output'!O264</f>
        <v>11788469.491525404</v>
      </c>
      <c r="E90" s="60">
        <f>D90/D91</f>
        <v>0.42703049166149093</v>
      </c>
      <c r="F90" s="118">
        <f>E90*F91</f>
        <v>0</v>
      </c>
      <c r="H90" s="69"/>
      <c r="I90" s="66"/>
      <c r="J90" s="73">
        <v>46266</v>
      </c>
      <c r="K90" s="71">
        <v>0</v>
      </c>
      <c r="L90" s="60">
        <f>K90/K91</f>
        <v>0</v>
      </c>
      <c r="M90" s="118">
        <f>L90*M91</f>
        <v>0</v>
      </c>
      <c r="O90" s="69"/>
      <c r="P90" s="66"/>
      <c r="Q90" s="73">
        <v>45992</v>
      </c>
      <c r="R90" s="71" t="e">
        <f>'Incentive Report- Output'!#REF!</f>
        <v>#REF!</v>
      </c>
      <c r="S90" s="60" t="e">
        <f>R90/R91</f>
        <v>#REF!</v>
      </c>
      <c r="T90" s="118" t="e">
        <f>S90*T91</f>
        <v>#REF!</v>
      </c>
      <c r="V90" s="69"/>
      <c r="W90" s="66"/>
      <c r="X90" s="73">
        <v>46082</v>
      </c>
      <c r="Y90" s="71">
        <f>'Incentive Report- Output'!O74</f>
        <v>8036655.9322033785</v>
      </c>
      <c r="Z90" s="60" t="e">
        <f>Y90/Y91</f>
        <v>#REF!</v>
      </c>
      <c r="AA90" s="118" t="e">
        <f>Z90*AA91</f>
        <v>#REF!</v>
      </c>
      <c r="AB90" s="158"/>
      <c r="AC90" s="158"/>
    </row>
    <row r="91" spans="1:29" ht="14" x14ac:dyDescent="0.2">
      <c r="A91" s="69"/>
      <c r="B91" s="66"/>
      <c r="C91" s="73"/>
      <c r="D91" s="74">
        <f>SUM(D88:D90)</f>
        <v>27605685.593220305</v>
      </c>
      <c r="E91" s="59">
        <v>1</v>
      </c>
      <c r="F91" s="76">
        <f>F86*D91</f>
        <v>0</v>
      </c>
      <c r="H91" s="69"/>
      <c r="I91" s="66"/>
      <c r="J91" s="73"/>
      <c r="K91" s="74">
        <f>SUM(K88:K90)</f>
        <v>67375533.899518624</v>
      </c>
      <c r="L91" s="59">
        <v>1</v>
      </c>
      <c r="M91" s="76">
        <f>M86*K91</f>
        <v>168438.83474879657</v>
      </c>
      <c r="O91" s="69"/>
      <c r="P91" s="66"/>
      <c r="Q91" s="73"/>
      <c r="R91" s="74" t="e">
        <f>SUM(R88:R90)</f>
        <v>#REF!</v>
      </c>
      <c r="S91" s="59">
        <v>1</v>
      </c>
      <c r="T91" s="76" t="e">
        <f>T86*R91</f>
        <v>#REF!</v>
      </c>
      <c r="V91" s="69"/>
      <c r="W91" s="66"/>
      <c r="X91" s="73"/>
      <c r="Y91" s="74" t="e">
        <f>SUM(Y88:Y90)</f>
        <v>#REF!</v>
      </c>
      <c r="Z91" s="59">
        <v>1</v>
      </c>
      <c r="AA91" s="76" t="e">
        <f>AA86*Y91</f>
        <v>#REF!</v>
      </c>
    </row>
    <row r="92" spans="1:29" ht="14" x14ac:dyDescent="0.2">
      <c r="A92" s="42" t="s">
        <v>1162</v>
      </c>
      <c r="B92" s="66"/>
      <c r="C92" s="66"/>
      <c r="D92" s="74"/>
      <c r="E92" s="70"/>
      <c r="F92" s="76"/>
      <c r="H92" s="42" t="s">
        <v>3414</v>
      </c>
      <c r="I92" s="66"/>
      <c r="J92" s="66"/>
      <c r="K92" s="74"/>
      <c r="L92" s="70"/>
      <c r="M92" s="76"/>
      <c r="R92" s="160"/>
      <c r="T92" s="160"/>
      <c r="Y92" s="160"/>
      <c r="AA92" s="160"/>
    </row>
    <row r="93" spans="1:29" ht="14" x14ac:dyDescent="0.2">
      <c r="A93" s="63" t="s">
        <v>106</v>
      </c>
      <c r="B93" s="64" t="s">
        <v>107</v>
      </c>
      <c r="C93" s="75" t="s">
        <v>355</v>
      </c>
      <c r="D93" s="65" t="s">
        <v>7</v>
      </c>
      <c r="E93" s="65" t="s">
        <v>5</v>
      </c>
      <c r="F93" s="65" t="s">
        <v>108</v>
      </c>
      <c r="H93" s="63" t="s">
        <v>106</v>
      </c>
      <c r="I93" s="64" t="s">
        <v>107</v>
      </c>
      <c r="J93" s="75" t="s">
        <v>934</v>
      </c>
      <c r="K93" s="65" t="s">
        <v>7</v>
      </c>
      <c r="L93" s="65" t="s">
        <v>5</v>
      </c>
      <c r="M93" s="65" t="s">
        <v>108</v>
      </c>
      <c r="R93" s="160"/>
      <c r="T93" s="160"/>
      <c r="Y93" s="160"/>
      <c r="AA93" s="160"/>
    </row>
    <row r="94" spans="1:29" ht="14" x14ac:dyDescent="0.2">
      <c r="A94" s="154">
        <f>INDEX(Policy!$C$34:$C$47,MATCH('RM Calculation Pro Rata'!A92,Policy!$B$34:$B$47,0))</f>
        <v>750</v>
      </c>
      <c r="B94" s="66">
        <v>33000</v>
      </c>
      <c r="C94" s="66"/>
      <c r="D94" s="118">
        <f>A94*B94</f>
        <v>24750000</v>
      </c>
      <c r="E94" s="60">
        <f>D99/D94</f>
        <v>0.41412001369628448</v>
      </c>
      <c r="F94" s="68">
        <v>0</v>
      </c>
      <c r="H94" s="154">
        <f>INDEX(Policy!$Q$35:$Q$48,MATCH('RM Calculation Pro Rata'!H92,Policy!$M$35:$M$48,0))</f>
        <v>1600</v>
      </c>
      <c r="I94" s="66">
        <v>33000</v>
      </c>
      <c r="J94" s="66"/>
      <c r="K94" s="118">
        <f>H94*I94</f>
        <v>52800000</v>
      </c>
      <c r="L94" s="60">
        <f>K99/K94</f>
        <v>0.44891907420746341</v>
      </c>
      <c r="M94" s="68">
        <v>0</v>
      </c>
      <c r="R94" s="160"/>
      <c r="T94" s="160"/>
      <c r="Y94" s="160"/>
      <c r="AA94" s="160"/>
    </row>
    <row r="95" spans="1:29" ht="14" x14ac:dyDescent="0.2">
      <c r="A95" s="69"/>
      <c r="B95" s="66"/>
      <c r="C95" s="66"/>
      <c r="D95" s="67"/>
      <c r="E95" s="60"/>
      <c r="F95" s="72"/>
      <c r="H95" s="69"/>
      <c r="I95" s="66"/>
      <c r="J95" s="66"/>
      <c r="K95" s="67"/>
      <c r="L95" s="60"/>
      <c r="M95" s="72"/>
      <c r="R95" s="160"/>
      <c r="T95" s="160"/>
      <c r="Y95" s="160"/>
      <c r="AA95" s="160"/>
    </row>
    <row r="96" spans="1:29" ht="14" x14ac:dyDescent="0.2">
      <c r="A96" s="69"/>
      <c r="B96" s="66"/>
      <c r="C96" s="73">
        <v>46113</v>
      </c>
      <c r="D96" s="71">
        <f>'Incentive Report- Output'!O79</f>
        <v>2779727.1186440648</v>
      </c>
      <c r="E96" s="60">
        <f>D96/D99</f>
        <v>0.27120690403596709</v>
      </c>
      <c r="F96" s="118">
        <f>E96*F99</f>
        <v>0</v>
      </c>
      <c r="H96" s="69"/>
      <c r="I96" s="66"/>
      <c r="J96" s="73">
        <v>46204</v>
      </c>
      <c r="K96" s="71">
        <f>'Incentive Report- Output'!O367</f>
        <v>5208699.9995100005</v>
      </c>
      <c r="L96" s="60">
        <f>K96/K99</f>
        <v>0.21974923069820596</v>
      </c>
      <c r="M96" s="118">
        <f>L96*M99</f>
        <v>0</v>
      </c>
      <c r="R96" s="160"/>
      <c r="T96" s="160"/>
      <c r="Y96" s="160"/>
      <c r="AA96" s="160"/>
    </row>
    <row r="97" spans="1:27" ht="14" x14ac:dyDescent="0.2">
      <c r="A97" s="69"/>
      <c r="B97" s="66"/>
      <c r="C97" s="73">
        <v>46143</v>
      </c>
      <c r="D97" s="71">
        <f>'Incentive Report- Output'!O174</f>
        <v>3097770.3389830496</v>
      </c>
      <c r="E97" s="60">
        <f>D97/D99</f>
        <v>0.30223711436101514</v>
      </c>
      <c r="F97" s="118">
        <f>E97*F99</f>
        <v>0</v>
      </c>
      <c r="H97" s="69"/>
      <c r="I97" s="66"/>
      <c r="J97" s="73">
        <v>46235</v>
      </c>
      <c r="K97" s="71">
        <f>'Incentive Report- Output'!O466</f>
        <v>18494227.118644066</v>
      </c>
      <c r="L97" s="60">
        <f>K97/K99</f>
        <v>0.78025076930179404</v>
      </c>
      <c r="M97" s="118">
        <f>L97*M99</f>
        <v>0</v>
      </c>
      <c r="R97" s="160"/>
      <c r="T97" s="160"/>
      <c r="Y97" s="160"/>
      <c r="AA97" s="160"/>
    </row>
    <row r="98" spans="1:27" ht="14" x14ac:dyDescent="0.2">
      <c r="A98" s="69"/>
      <c r="B98" s="66"/>
      <c r="C98" s="73">
        <v>46174</v>
      </c>
      <c r="D98" s="71">
        <f>'Incentive Report- Output'!O269</f>
        <v>4371972.8813559273</v>
      </c>
      <c r="E98" s="60">
        <f>D98/D99</f>
        <v>0.42655598160301789</v>
      </c>
      <c r="F98" s="118">
        <f>E98*F99</f>
        <v>0</v>
      </c>
      <c r="H98" s="69"/>
      <c r="I98" s="66"/>
      <c r="J98" s="73">
        <v>46266</v>
      </c>
      <c r="K98" s="71">
        <v>0</v>
      </c>
      <c r="L98" s="60">
        <f>K98/K99</f>
        <v>0</v>
      </c>
      <c r="M98" s="118">
        <f>L98*M99</f>
        <v>0</v>
      </c>
      <c r="R98" s="160"/>
      <c r="T98" s="160"/>
      <c r="Y98" s="160"/>
      <c r="AA98" s="160"/>
    </row>
    <row r="99" spans="1:27" ht="14" x14ac:dyDescent="0.2">
      <c r="A99" s="69"/>
      <c r="B99" s="66"/>
      <c r="C99" s="73"/>
      <c r="D99" s="74">
        <f>SUM(D96:D98)</f>
        <v>10249470.33898304</v>
      </c>
      <c r="E99" s="59">
        <v>1</v>
      </c>
      <c r="F99" s="76">
        <f>F94*D99</f>
        <v>0</v>
      </c>
      <c r="H99" s="69"/>
      <c r="I99" s="66"/>
      <c r="J99" s="73"/>
      <c r="K99" s="74">
        <f>SUM(K96:K98)</f>
        <v>23702927.118154068</v>
      </c>
      <c r="L99" s="59">
        <v>1</v>
      </c>
      <c r="M99" s="76">
        <f>M94*K99</f>
        <v>0</v>
      </c>
      <c r="R99" s="160"/>
      <c r="T99" s="160"/>
      <c r="Y99" s="160"/>
      <c r="AA99" s="160"/>
    </row>
    <row r="100" spans="1:27" ht="14" x14ac:dyDescent="0.2">
      <c r="A100" s="42" t="s">
        <v>1163</v>
      </c>
      <c r="B100" s="66"/>
      <c r="C100" s="66"/>
      <c r="D100" s="74"/>
      <c r="E100" s="70"/>
      <c r="F100" s="76"/>
      <c r="H100" s="42" t="s">
        <v>1163</v>
      </c>
      <c r="I100" s="66"/>
      <c r="J100" s="66"/>
      <c r="K100" s="74"/>
      <c r="L100" s="70"/>
      <c r="M100" s="76"/>
      <c r="R100" s="160"/>
      <c r="T100" s="160"/>
      <c r="Y100" s="160"/>
      <c r="AA100" s="160"/>
    </row>
    <row r="101" spans="1:27" ht="14" x14ac:dyDescent="0.2">
      <c r="A101" s="63" t="s">
        <v>106</v>
      </c>
      <c r="B101" s="64" t="s">
        <v>107</v>
      </c>
      <c r="C101" s="75" t="s">
        <v>355</v>
      </c>
      <c r="D101" s="65" t="s">
        <v>7</v>
      </c>
      <c r="E101" s="65" t="s">
        <v>5</v>
      </c>
      <c r="F101" s="65" t="s">
        <v>108</v>
      </c>
      <c r="H101" s="63" t="s">
        <v>106</v>
      </c>
      <c r="I101" s="64" t="s">
        <v>107</v>
      </c>
      <c r="J101" s="75" t="s">
        <v>934</v>
      </c>
      <c r="K101" s="65" t="s">
        <v>7</v>
      </c>
      <c r="L101" s="65" t="s">
        <v>5</v>
      </c>
      <c r="M101" s="65" t="s">
        <v>108</v>
      </c>
      <c r="R101" s="160"/>
      <c r="T101" s="160"/>
      <c r="Y101" s="160"/>
      <c r="AA101" s="160"/>
    </row>
    <row r="102" spans="1:27" ht="14" x14ac:dyDescent="0.2">
      <c r="A102" s="154">
        <f>INDEX(Policy!$C$34:$C$47,MATCH('RM Calculation Pro Rata'!A100,Policy!$B$34:$B$47,0))</f>
        <v>1200</v>
      </c>
      <c r="B102" s="66">
        <v>33000</v>
      </c>
      <c r="C102" s="66"/>
      <c r="D102" s="118">
        <f>A102*B102</f>
        <v>39600000</v>
      </c>
      <c r="E102" s="60">
        <f>D107/D102</f>
        <v>0.41511374336586165</v>
      </c>
      <c r="F102" s="68" t="str" cm="1">
        <f t="array" ref="F102">_xlfn.IFS(E102&lt;74.99%,"0",E102&lt;=100%,".25%",E102&lt;=130%,".35%",E102&gt;=130%,".50%")</f>
        <v>0</v>
      </c>
      <c r="H102" s="154">
        <f>INDEX(Policy!$Q$35:$Q$48,MATCH('RM Calculation Pro Rata'!H100,Policy!$M$35:$M$48,0))</f>
        <v>2750</v>
      </c>
      <c r="I102" s="66">
        <v>33000</v>
      </c>
      <c r="J102" s="66"/>
      <c r="K102" s="118">
        <f>H102*I102</f>
        <v>90750000</v>
      </c>
      <c r="L102" s="60">
        <f>K107/K102</f>
        <v>0.47672052107641599</v>
      </c>
      <c r="M102" s="68" t="str" cm="1">
        <f t="array" ref="M102">_xlfn.IFS(L102&lt;74.99%,"0",L102&lt;=100%,".25%",L102&lt;=130%,".35%",L102&gt;=130%,".50%")</f>
        <v>0</v>
      </c>
      <c r="R102" s="160"/>
      <c r="T102" s="160"/>
      <c r="Y102" s="160"/>
      <c r="AA102" s="160"/>
    </row>
    <row r="103" spans="1:27" ht="14" x14ac:dyDescent="0.2">
      <c r="A103" s="69"/>
      <c r="B103" s="66"/>
      <c r="C103" s="66"/>
      <c r="D103" s="67"/>
      <c r="E103" s="60"/>
      <c r="F103" s="72"/>
      <c r="H103" s="69"/>
      <c r="I103" s="66"/>
      <c r="J103" s="66"/>
      <c r="K103" s="67"/>
      <c r="L103" s="60"/>
      <c r="M103" s="72"/>
      <c r="R103" s="160"/>
      <c r="T103" s="160"/>
      <c r="Y103" s="160"/>
      <c r="AA103" s="160"/>
    </row>
    <row r="104" spans="1:27" ht="14" x14ac:dyDescent="0.2">
      <c r="A104" s="69"/>
      <c r="B104" s="66"/>
      <c r="C104" s="73">
        <v>46113</v>
      </c>
      <c r="D104" s="71">
        <f>'Incentive Report- Output'!O86</f>
        <v>2556173.728813556</v>
      </c>
      <c r="E104" s="60">
        <f>D104/D107</f>
        <v>0.15549916780234083</v>
      </c>
      <c r="F104" s="118">
        <f>E104*F107</f>
        <v>0</v>
      </c>
      <c r="H104" s="69"/>
      <c r="I104" s="66"/>
      <c r="J104" s="73">
        <v>46204</v>
      </c>
      <c r="K104" s="71">
        <f>'Incentive Report- Output'!O374</f>
        <v>3666238.9825999993</v>
      </c>
      <c r="L104" s="60">
        <f>K104/K107</f>
        <v>8.47442596780517E-2</v>
      </c>
      <c r="M104" s="118">
        <f>L104*M107</f>
        <v>0</v>
      </c>
      <c r="R104" s="160"/>
      <c r="T104" s="160"/>
      <c r="Y104" s="160"/>
      <c r="AA104" s="160"/>
    </row>
    <row r="105" spans="1:27" ht="14" x14ac:dyDescent="0.2">
      <c r="A105" s="69"/>
      <c r="B105" s="66"/>
      <c r="C105" s="73">
        <v>46143</v>
      </c>
      <c r="D105" s="71">
        <f>'Incentive Report- Output'!O181</f>
        <v>8651734.7457627095</v>
      </c>
      <c r="E105" s="60">
        <f>D105/D107</f>
        <v>0.52630912282990028</v>
      </c>
      <c r="F105" s="118">
        <f>E105*F107</f>
        <v>0</v>
      </c>
      <c r="H105" s="69"/>
      <c r="I105" s="66"/>
      <c r="J105" s="73">
        <v>46235</v>
      </c>
      <c r="K105" s="71">
        <f>'Incentive Report- Output'!O473</f>
        <v>39596148.305084758</v>
      </c>
      <c r="L105" s="60">
        <f>K105/K107</f>
        <v>0.91525574032194834</v>
      </c>
      <c r="M105" s="118">
        <f>L105*M107</f>
        <v>0</v>
      </c>
      <c r="R105" s="160"/>
      <c r="T105" s="160"/>
      <c r="Y105" s="160"/>
      <c r="AA105" s="160"/>
    </row>
    <row r="106" spans="1:27" ht="14" x14ac:dyDescent="0.2">
      <c r="A106" s="69"/>
      <c r="B106" s="66"/>
      <c r="C106" s="73">
        <v>46174</v>
      </c>
      <c r="D106" s="71">
        <f>'Incentive Report- Output'!O276</f>
        <v>5230595.7627118556</v>
      </c>
      <c r="E106" s="60">
        <f>D106/D107</f>
        <v>0.31819170936775892</v>
      </c>
      <c r="F106" s="118">
        <f>E106*F107</f>
        <v>0</v>
      </c>
      <c r="H106" s="69"/>
      <c r="I106" s="66"/>
      <c r="J106" s="73">
        <v>46266</v>
      </c>
      <c r="K106" s="71">
        <v>0</v>
      </c>
      <c r="L106" s="60">
        <f>K106/K107</f>
        <v>0</v>
      </c>
      <c r="M106" s="118">
        <f>L106*M107</f>
        <v>0</v>
      </c>
      <c r="R106" s="160"/>
      <c r="T106" s="160"/>
      <c r="Y106" s="160"/>
      <c r="AA106" s="160"/>
    </row>
    <row r="107" spans="1:27" ht="14" x14ac:dyDescent="0.2">
      <c r="A107" s="69"/>
      <c r="B107" s="66"/>
      <c r="C107" s="73"/>
      <c r="D107" s="74">
        <f>SUM(D104:D106)</f>
        <v>16438504.237288121</v>
      </c>
      <c r="E107" s="59">
        <v>1</v>
      </c>
      <c r="F107" s="76">
        <f>F102*D107</f>
        <v>0</v>
      </c>
      <c r="H107" s="69"/>
      <c r="I107" s="66"/>
      <c r="J107" s="73"/>
      <c r="K107" s="74">
        <f>SUM(K104:K106)</f>
        <v>43262387.287684754</v>
      </c>
      <c r="L107" s="59">
        <v>1</v>
      </c>
      <c r="M107" s="76">
        <f>M102*K107</f>
        <v>0</v>
      </c>
      <c r="R107" s="160"/>
      <c r="T107" s="160"/>
      <c r="Y107" s="160"/>
      <c r="AA107" s="160"/>
    </row>
    <row r="108" spans="1:27" ht="14" x14ac:dyDescent="0.2">
      <c r="A108" s="42" t="s">
        <v>1169</v>
      </c>
      <c r="B108" s="66"/>
      <c r="C108" s="66"/>
      <c r="D108" s="74"/>
      <c r="E108" s="70"/>
      <c r="F108" s="76"/>
      <c r="H108" s="42" t="s">
        <v>1169</v>
      </c>
      <c r="I108" s="66"/>
      <c r="J108" s="66"/>
      <c r="K108" s="74"/>
      <c r="L108" s="70"/>
      <c r="M108" s="76"/>
      <c r="R108" s="160"/>
      <c r="T108" s="160"/>
      <c r="Y108" s="160"/>
      <c r="AA108" s="160"/>
    </row>
    <row r="109" spans="1:27" ht="14" x14ac:dyDescent="0.2">
      <c r="A109" s="63" t="s">
        <v>106</v>
      </c>
      <c r="B109" s="64" t="s">
        <v>107</v>
      </c>
      <c r="C109" s="75" t="s">
        <v>355</v>
      </c>
      <c r="D109" s="65" t="s">
        <v>7</v>
      </c>
      <c r="E109" s="65" t="s">
        <v>5</v>
      </c>
      <c r="F109" s="65" t="s">
        <v>108</v>
      </c>
      <c r="H109" s="63" t="s">
        <v>106</v>
      </c>
      <c r="I109" s="64" t="s">
        <v>107</v>
      </c>
      <c r="J109" s="75" t="s">
        <v>934</v>
      </c>
      <c r="K109" s="65" t="s">
        <v>7</v>
      </c>
      <c r="L109" s="65" t="s">
        <v>5</v>
      </c>
      <c r="M109" s="65" t="s">
        <v>108</v>
      </c>
      <c r="R109" s="160"/>
      <c r="T109" s="160"/>
      <c r="Y109" s="160"/>
      <c r="AA109" s="160"/>
    </row>
    <row r="110" spans="1:27" ht="14" x14ac:dyDescent="0.2">
      <c r="A110" s="154">
        <f>INDEX(Policy!$C$34:$C$47,MATCH('RM Calculation Pro Rata'!A108,Policy!$B$34:$B$47,0))</f>
        <v>950</v>
      </c>
      <c r="B110" s="66">
        <v>33000</v>
      </c>
      <c r="C110" s="66"/>
      <c r="D110" s="118">
        <f>A110*B110</f>
        <v>31350000</v>
      </c>
      <c r="E110" s="60">
        <f>D115/D110</f>
        <v>0.55740799610737102</v>
      </c>
      <c r="F110" s="68" t="str" cm="1">
        <f t="array" ref="F110">_xlfn.IFS(E110&lt;74.99%,"0",E110&lt;=100%,".25%",E110&lt;=130%,".35%",E110&gt;=130%,".50%")</f>
        <v>0</v>
      </c>
      <c r="H110" s="154">
        <f>INDEX(Policy!$Q$35:$Q$48,MATCH('RM Calculation Pro Rata'!H108,Policy!$M$35:$M$48,0))</f>
        <v>2000</v>
      </c>
      <c r="I110" s="66">
        <v>33000</v>
      </c>
      <c r="J110" s="66"/>
      <c r="K110" s="118">
        <f>H110*I110</f>
        <v>66000000</v>
      </c>
      <c r="L110" s="60">
        <f>K115/K110</f>
        <v>0.39639595532319194</v>
      </c>
      <c r="M110" s="68" t="str" cm="1">
        <f t="array" ref="M110">_xlfn.IFS(L110&lt;74.99%,"0",L110&lt;=100%,".25%",L110&lt;=130%,".35%",L110&gt;=130%,".50%")</f>
        <v>0</v>
      </c>
      <c r="R110" s="160"/>
      <c r="T110" s="160"/>
      <c r="Y110" s="160"/>
      <c r="AA110" s="160"/>
    </row>
    <row r="111" spans="1:27" ht="14" x14ac:dyDescent="0.2">
      <c r="A111" s="69"/>
      <c r="B111" s="66"/>
      <c r="C111" s="66"/>
      <c r="D111" s="67"/>
      <c r="E111" s="60"/>
      <c r="F111" s="72"/>
      <c r="H111" s="69"/>
      <c r="I111" s="66"/>
      <c r="J111" s="66"/>
      <c r="K111" s="67"/>
      <c r="L111" s="60"/>
      <c r="M111" s="72"/>
      <c r="R111" s="160"/>
      <c r="T111" s="160"/>
      <c r="Y111" s="160"/>
      <c r="AA111" s="160"/>
    </row>
    <row r="112" spans="1:27" ht="14" x14ac:dyDescent="0.2">
      <c r="A112" s="69"/>
      <c r="B112" s="66"/>
      <c r="C112" s="73">
        <v>46113</v>
      </c>
      <c r="D112" s="71">
        <f>'Incentive Report- Output'!O92</f>
        <v>7912255.9322033804</v>
      </c>
      <c r="E112" s="60">
        <f>D112/D115</f>
        <v>0.45278245199826928</v>
      </c>
      <c r="F112" s="118">
        <f>E112*F115</f>
        <v>0</v>
      </c>
      <c r="H112" s="69"/>
      <c r="I112" s="66"/>
      <c r="J112" s="73">
        <v>46204</v>
      </c>
      <c r="K112" s="71">
        <f>'Incentive Report- Output'!O381</f>
        <v>4800161.8648900008</v>
      </c>
      <c r="L112" s="60">
        <f>K112/K115</f>
        <v>0.18347746552133115</v>
      </c>
      <c r="M112" s="118">
        <f>L112*M115</f>
        <v>0</v>
      </c>
      <c r="R112" s="160"/>
      <c r="T112" s="160"/>
      <c r="Y112" s="160"/>
      <c r="AA112" s="160"/>
    </row>
    <row r="113" spans="1:27" ht="14" x14ac:dyDescent="0.2">
      <c r="A113" s="69"/>
      <c r="B113" s="66"/>
      <c r="C113" s="73">
        <v>46143</v>
      </c>
      <c r="D113" s="71">
        <f>'Incentive Report- Output'!O187</f>
        <v>2898376.2711864403</v>
      </c>
      <c r="E113" s="60">
        <f>D113/D115</f>
        <v>0.16586090315154181</v>
      </c>
      <c r="F113" s="118">
        <f>E113*F115</f>
        <v>0</v>
      </c>
      <c r="H113" s="69"/>
      <c r="I113" s="66"/>
      <c r="J113" s="73">
        <v>46235</v>
      </c>
      <c r="K113" s="71">
        <f>'Incentive Report- Output'!O480</f>
        <v>21361971.186440665</v>
      </c>
      <c r="L113" s="60">
        <f>K113/K115</f>
        <v>0.81652253447866885</v>
      </c>
      <c r="M113" s="118">
        <f>L113*M115</f>
        <v>0</v>
      </c>
      <c r="R113" s="160"/>
      <c r="T113" s="160"/>
      <c r="Y113" s="160"/>
      <c r="AA113" s="160"/>
    </row>
    <row r="114" spans="1:27" ht="14" x14ac:dyDescent="0.2">
      <c r="A114" s="69"/>
      <c r="B114" s="66"/>
      <c r="C114" s="73">
        <v>46174</v>
      </c>
      <c r="D114" s="71">
        <f>'Incentive Report- Output'!O283</f>
        <v>6664108.4745762609</v>
      </c>
      <c r="E114" s="60">
        <f>D114/D115</f>
        <v>0.38135664485018894</v>
      </c>
      <c r="F114" s="118">
        <f>E114*F115</f>
        <v>0</v>
      </c>
      <c r="H114" s="69"/>
      <c r="I114" s="66"/>
      <c r="J114" s="73">
        <v>46266</v>
      </c>
      <c r="K114" s="71">
        <v>0</v>
      </c>
      <c r="L114" s="60">
        <f>K114/K115</f>
        <v>0</v>
      </c>
      <c r="M114" s="118">
        <f>L114*M115</f>
        <v>0</v>
      </c>
      <c r="R114" s="160"/>
      <c r="T114" s="160"/>
      <c r="Y114" s="160"/>
      <c r="AA114" s="160"/>
    </row>
    <row r="115" spans="1:27" ht="14" x14ac:dyDescent="0.2">
      <c r="A115" s="69"/>
      <c r="B115" s="66"/>
      <c r="C115" s="73"/>
      <c r="D115" s="74">
        <f>SUM(D112:D114)</f>
        <v>17474740.677966081</v>
      </c>
      <c r="E115" s="59">
        <v>1</v>
      </c>
      <c r="F115" s="76">
        <f>F110*D115</f>
        <v>0</v>
      </c>
      <c r="H115" s="69"/>
      <c r="I115" s="66"/>
      <c r="J115" s="73"/>
      <c r="K115" s="74">
        <f>SUM(K112:K114)</f>
        <v>26162133.051330667</v>
      </c>
      <c r="L115" s="59">
        <v>1</v>
      </c>
      <c r="M115" s="76">
        <f>M110*K115</f>
        <v>0</v>
      </c>
      <c r="R115" s="160"/>
      <c r="T115" s="160"/>
      <c r="Y115" s="160"/>
      <c r="AA115" s="160"/>
    </row>
    <row r="116" spans="1:27" ht="14" x14ac:dyDescent="0.2">
      <c r="B116" s="342"/>
      <c r="C116" s="343"/>
      <c r="D116" s="344"/>
      <c r="E116" s="345"/>
      <c r="F116" s="346"/>
      <c r="I116" s="342"/>
      <c r="J116" s="343"/>
      <c r="K116" s="344"/>
      <c r="L116" s="345"/>
      <c r="M116" s="346"/>
      <c r="R116" s="160"/>
      <c r="T116" s="160"/>
      <c r="Y116" s="160"/>
      <c r="AA116" s="160"/>
    </row>
    <row r="117" spans="1:27" ht="14" x14ac:dyDescent="0.2">
      <c r="B117" s="342"/>
      <c r="C117" s="343"/>
      <c r="D117" s="344"/>
      <c r="E117" s="345"/>
      <c r="F117" s="346"/>
      <c r="I117" s="342"/>
      <c r="J117" s="343"/>
      <c r="K117" s="344"/>
      <c r="L117" s="345"/>
      <c r="M117" s="346"/>
      <c r="R117" s="160"/>
      <c r="T117" s="160"/>
      <c r="Y117" s="160"/>
      <c r="AA117" s="160"/>
    </row>
    <row r="118" spans="1:27" ht="14" x14ac:dyDescent="0.2">
      <c r="B118" s="342"/>
      <c r="C118" s="343"/>
      <c r="D118" s="344"/>
      <c r="E118" s="345"/>
      <c r="F118" s="346"/>
      <c r="I118" s="342"/>
      <c r="J118" s="343"/>
      <c r="K118" s="344"/>
      <c r="L118" s="345"/>
      <c r="M118" s="346"/>
      <c r="R118" s="160"/>
      <c r="T118" s="160"/>
      <c r="Y118" s="160"/>
      <c r="AA118" s="160"/>
    </row>
    <row r="119" spans="1:27" ht="14" x14ac:dyDescent="0.2">
      <c r="B119" s="342"/>
      <c r="C119" s="343"/>
      <c r="D119" s="344"/>
      <c r="E119" s="345"/>
      <c r="F119" s="346"/>
      <c r="I119" s="342"/>
      <c r="J119" s="343"/>
      <c r="K119" s="344"/>
      <c r="L119" s="345"/>
      <c r="M119" s="346"/>
      <c r="R119" s="160"/>
      <c r="T119" s="160"/>
      <c r="Y119" s="160"/>
      <c r="AA119" s="160"/>
    </row>
    <row r="120" spans="1:27" ht="14" x14ac:dyDescent="0.2">
      <c r="A120" s="62" t="s">
        <v>109</v>
      </c>
      <c r="B120" s="78" t="s">
        <v>2095</v>
      </c>
      <c r="C120" s="78" t="s">
        <v>2096</v>
      </c>
      <c r="D120" s="78" t="s">
        <v>2097</v>
      </c>
      <c r="E120" s="79" t="s">
        <v>243</v>
      </c>
      <c r="H120" s="62" t="s">
        <v>109</v>
      </c>
      <c r="I120" s="78" t="s">
        <v>3405</v>
      </c>
      <c r="J120" s="78" t="s">
        <v>3406</v>
      </c>
      <c r="K120" s="78" t="s">
        <v>3407</v>
      </c>
      <c r="L120" s="79" t="s">
        <v>243</v>
      </c>
      <c r="O120" s="62" t="s">
        <v>109</v>
      </c>
      <c r="P120" s="78" t="s">
        <v>1045</v>
      </c>
      <c r="Q120" s="78" t="s">
        <v>1046</v>
      </c>
      <c r="R120" s="78" t="s">
        <v>1047</v>
      </c>
      <c r="S120" s="79" t="s">
        <v>243</v>
      </c>
      <c r="V120" s="62" t="s">
        <v>109</v>
      </c>
      <c r="W120" s="78" t="s">
        <v>1104</v>
      </c>
      <c r="X120" s="78" t="s">
        <v>1105</v>
      </c>
      <c r="Y120" s="78" t="s">
        <v>1106</v>
      </c>
      <c r="Z120" s="79" t="s">
        <v>243</v>
      </c>
    </row>
    <row r="121" spans="1:27" ht="14" x14ac:dyDescent="0.2">
      <c r="A121" s="114" t="s">
        <v>640</v>
      </c>
      <c r="B121" s="80">
        <f>F7</f>
        <v>0</v>
      </c>
      <c r="C121" s="80">
        <f>F8</f>
        <v>0</v>
      </c>
      <c r="D121" s="80">
        <f>F9</f>
        <v>0</v>
      </c>
      <c r="E121" s="61">
        <f t="shared" ref="E121" si="0">B121+C121+D121</f>
        <v>0</v>
      </c>
      <c r="F121" s="160"/>
      <c r="H121" s="114" t="s">
        <v>640</v>
      </c>
      <c r="I121" s="80">
        <f>M7</f>
        <v>14576.171606525002</v>
      </c>
      <c r="J121" s="80">
        <f>M8</f>
        <v>195490.12076271151</v>
      </c>
      <c r="K121" s="80">
        <f>M9</f>
        <v>0</v>
      </c>
      <c r="L121" s="61">
        <f t="shared" ref="L121" si="1">I121+J121+K121</f>
        <v>210066.2923692365</v>
      </c>
      <c r="M121" s="160"/>
      <c r="O121" s="114" t="s">
        <v>640</v>
      </c>
      <c r="P121" s="80" t="e">
        <f>T7</f>
        <v>#REF!</v>
      </c>
      <c r="Q121" s="80" t="e">
        <f>T8</f>
        <v>#REF!</v>
      </c>
      <c r="R121" s="80" t="e">
        <f>T9</f>
        <v>#REF!</v>
      </c>
      <c r="S121" s="61" t="e">
        <f t="shared" ref="S121" si="2">P121+Q121+R121</f>
        <v>#REF!</v>
      </c>
      <c r="T121" s="160"/>
      <c r="V121" s="114" t="s">
        <v>640</v>
      </c>
      <c r="W121" s="80" t="e">
        <f>AA7</f>
        <v>#REF!</v>
      </c>
      <c r="X121" s="80" t="e">
        <f>AA8</f>
        <v>#REF!</v>
      </c>
      <c r="Y121" s="80" t="e">
        <f>AA9</f>
        <v>#REF!</v>
      </c>
      <c r="Z121" s="61" t="e">
        <f t="shared" ref="Z121" si="3">W121+X121+Y121</f>
        <v>#REF!</v>
      </c>
      <c r="AA121" s="160"/>
    </row>
    <row r="122" spans="1:27" ht="14" x14ac:dyDescent="0.2">
      <c r="A122" s="114" t="s">
        <v>1141</v>
      </c>
      <c r="B122" s="80">
        <f>F15</f>
        <v>0</v>
      </c>
      <c r="C122" s="80">
        <f>F16</f>
        <v>0</v>
      </c>
      <c r="D122" s="80">
        <f>F17</f>
        <v>0</v>
      </c>
      <c r="E122" s="61">
        <f>B122+C122+D122</f>
        <v>0</v>
      </c>
      <c r="F122" s="158"/>
      <c r="H122" s="114" t="s">
        <v>1141</v>
      </c>
      <c r="I122" s="80">
        <f>M15</f>
        <v>26561.194481500006</v>
      </c>
      <c r="J122" s="80">
        <f>M16</f>
        <v>249362.22203389852</v>
      </c>
      <c r="K122" s="80">
        <f>M17</f>
        <v>0</v>
      </c>
      <c r="L122" s="61">
        <f>I122+J122+K122</f>
        <v>275923.41651539854</v>
      </c>
      <c r="M122" s="158"/>
      <c r="O122" s="114" t="s">
        <v>920</v>
      </c>
      <c r="P122" s="80" t="e">
        <f>T15</f>
        <v>#REF!</v>
      </c>
      <c r="Q122" s="80" t="e">
        <f>T16</f>
        <v>#REF!</v>
      </c>
      <c r="R122" s="80" t="e">
        <f>T17</f>
        <v>#REF!</v>
      </c>
      <c r="S122" s="61" t="e">
        <f>P122+Q122+R122</f>
        <v>#REF!</v>
      </c>
      <c r="T122" s="158"/>
      <c r="V122" s="114" t="s">
        <v>920</v>
      </c>
      <c r="W122" s="80" t="e">
        <f>AA15</f>
        <v>#REF!</v>
      </c>
      <c r="X122" s="80" t="e">
        <f>AA16</f>
        <v>#REF!</v>
      </c>
      <c r="Y122" s="80" t="e">
        <f>AA17</f>
        <v>#REF!</v>
      </c>
      <c r="Z122" s="61" t="e">
        <f>W122+X122+Y122</f>
        <v>#REF!</v>
      </c>
      <c r="AA122" s="158"/>
    </row>
    <row r="123" spans="1:27" ht="14" x14ac:dyDescent="0.2">
      <c r="A123" s="114" t="s">
        <v>646</v>
      </c>
      <c r="B123" s="80">
        <f>F23</f>
        <v>0</v>
      </c>
      <c r="C123" s="80">
        <f>F24</f>
        <v>0</v>
      </c>
      <c r="D123" s="80">
        <f>F25</f>
        <v>0</v>
      </c>
      <c r="E123" s="61">
        <f t="shared" ref="E123:E134" si="4">B123+C123+D123</f>
        <v>0</v>
      </c>
      <c r="H123" s="114" t="s">
        <v>646</v>
      </c>
      <c r="I123" s="80">
        <f>M23</f>
        <v>23426.609316950005</v>
      </c>
      <c r="J123" s="80">
        <f>M24</f>
        <v>652236.0665254239</v>
      </c>
      <c r="K123" s="80">
        <f>M25</f>
        <v>0</v>
      </c>
      <c r="L123" s="61">
        <f t="shared" ref="L123:L134" si="5">I123+J123+K123</f>
        <v>675662.67584237386</v>
      </c>
      <c r="O123" s="114" t="s">
        <v>646</v>
      </c>
      <c r="P123" s="80" t="e">
        <f>T23</f>
        <v>#REF!</v>
      </c>
      <c r="Q123" s="80" t="e">
        <f>T24</f>
        <v>#REF!</v>
      </c>
      <c r="R123" s="80" t="e">
        <f>T25</f>
        <v>#REF!</v>
      </c>
      <c r="S123" s="61" t="e">
        <f t="shared" ref="S123:S131" si="6">P123+Q123+R123</f>
        <v>#REF!</v>
      </c>
      <c r="V123" s="114" t="s">
        <v>646</v>
      </c>
      <c r="W123" s="80" t="e">
        <f>AA23</f>
        <v>#REF!</v>
      </c>
      <c r="X123" s="80" t="e">
        <f>AA24</f>
        <v>#REF!</v>
      </c>
      <c r="Y123" s="80" t="e">
        <f>AA25</f>
        <v>#REF!</v>
      </c>
      <c r="Z123" s="61" t="e">
        <f t="shared" ref="Z123:Z131" si="7">W123+X123+Y123</f>
        <v>#REF!</v>
      </c>
    </row>
    <row r="124" spans="1:27" ht="14" x14ac:dyDescent="0.2">
      <c r="A124" s="114" t="s">
        <v>1143</v>
      </c>
      <c r="B124" s="80">
        <f>F31</f>
        <v>0</v>
      </c>
      <c r="C124" s="80">
        <f>F32</f>
        <v>0</v>
      </c>
      <c r="D124" s="80">
        <f>F33</f>
        <v>0</v>
      </c>
      <c r="E124" s="61">
        <f t="shared" si="4"/>
        <v>0</v>
      </c>
      <c r="H124" s="114" t="s">
        <v>1143</v>
      </c>
      <c r="I124" s="80">
        <f>M31</f>
        <v>0</v>
      </c>
      <c r="J124" s="80">
        <f>M32</f>
        <v>0</v>
      </c>
      <c r="K124" s="80">
        <f>M33</f>
        <v>0</v>
      </c>
      <c r="L124" s="61">
        <f t="shared" si="5"/>
        <v>0</v>
      </c>
      <c r="O124" s="114" t="s">
        <v>652</v>
      </c>
      <c r="P124" s="80" t="e">
        <f>T31</f>
        <v>#REF!</v>
      </c>
      <c r="Q124" s="80" t="e">
        <f>T32</f>
        <v>#REF!</v>
      </c>
      <c r="R124" s="80" t="e">
        <f>T33</f>
        <v>#REF!</v>
      </c>
      <c r="S124" s="61" t="e">
        <f t="shared" si="6"/>
        <v>#REF!</v>
      </c>
      <c r="V124" s="114" t="s">
        <v>652</v>
      </c>
      <c r="W124" s="80" t="e">
        <f>AA31</f>
        <v>#REF!</v>
      </c>
      <c r="X124" s="80" t="e">
        <f>AA32</f>
        <v>#REF!</v>
      </c>
      <c r="Y124" s="80" t="e">
        <f>AA33</f>
        <v>#REF!</v>
      </c>
      <c r="Z124" s="61" t="e">
        <f t="shared" si="7"/>
        <v>#REF!</v>
      </c>
    </row>
    <row r="125" spans="1:27" ht="14" x14ac:dyDescent="0.2">
      <c r="A125" s="114" t="s">
        <v>1144</v>
      </c>
      <c r="B125" s="80">
        <f>F40</f>
        <v>57534.067796610077</v>
      </c>
      <c r="C125" s="80">
        <f>F41</f>
        <v>73900.607627118603</v>
      </c>
      <c r="D125" s="80">
        <f>F42</f>
        <v>78383.44915254222</v>
      </c>
      <c r="E125" s="61">
        <f t="shared" si="4"/>
        <v>209818.1245762709</v>
      </c>
      <c r="H125" s="114" t="s">
        <v>1144</v>
      </c>
      <c r="I125" s="80">
        <f>M40</f>
        <v>0</v>
      </c>
      <c r="J125" s="80">
        <f>M41</f>
        <v>0</v>
      </c>
      <c r="K125" s="80">
        <f>M42</f>
        <v>0</v>
      </c>
      <c r="L125" s="61">
        <f t="shared" si="5"/>
        <v>0</v>
      </c>
      <c r="O125" s="114" t="s">
        <v>649</v>
      </c>
      <c r="P125" s="80" t="e">
        <f>T40</f>
        <v>#REF!</v>
      </c>
      <c r="Q125" s="80" t="e">
        <f>T41</f>
        <v>#REF!</v>
      </c>
      <c r="R125" s="80" t="e">
        <f>T42</f>
        <v>#REF!</v>
      </c>
      <c r="S125" s="61" t="e">
        <f t="shared" si="6"/>
        <v>#REF!</v>
      </c>
      <c r="V125" s="114" t="s">
        <v>649</v>
      </c>
      <c r="W125" s="80" t="e">
        <f>AA40</f>
        <v>#REF!</v>
      </c>
      <c r="X125" s="80" t="e">
        <f>AA41</f>
        <v>#REF!</v>
      </c>
      <c r="Y125" s="80" t="e">
        <f>AA42</f>
        <v>#REF!</v>
      </c>
      <c r="Z125" s="61" t="e">
        <f t="shared" si="7"/>
        <v>#REF!</v>
      </c>
    </row>
    <row r="126" spans="1:27" ht="14" x14ac:dyDescent="0.2">
      <c r="A126" s="114" t="s">
        <v>1147</v>
      </c>
      <c r="B126" s="80">
        <f>F48</f>
        <v>0</v>
      </c>
      <c r="C126" s="80">
        <f>F49</f>
        <v>0</v>
      </c>
      <c r="D126" s="80">
        <f>F50</f>
        <v>0</v>
      </c>
      <c r="E126" s="61">
        <f t="shared" si="4"/>
        <v>0</v>
      </c>
      <c r="H126" s="114" t="s">
        <v>3410</v>
      </c>
      <c r="I126" s="80">
        <f>M48</f>
        <v>0</v>
      </c>
      <c r="J126" s="80">
        <f>M49</f>
        <v>0</v>
      </c>
      <c r="K126" s="80">
        <f>M50</f>
        <v>0</v>
      </c>
      <c r="L126" s="61">
        <f t="shared" si="5"/>
        <v>0</v>
      </c>
      <c r="O126" s="114" t="s">
        <v>921</v>
      </c>
      <c r="P126" s="80" t="e">
        <f>T48</f>
        <v>#REF!</v>
      </c>
      <c r="Q126" s="80" t="e">
        <f>T49</f>
        <v>#REF!</v>
      </c>
      <c r="R126" s="80" t="e">
        <f>T50</f>
        <v>#REF!</v>
      </c>
      <c r="S126" s="61" t="e">
        <f t="shared" si="6"/>
        <v>#REF!</v>
      </c>
      <c r="V126" s="114" t="s">
        <v>921</v>
      </c>
      <c r="W126" s="80" t="e">
        <f>AA48</f>
        <v>#REF!</v>
      </c>
      <c r="X126" s="80" t="e">
        <f>AA49</f>
        <v>#REF!</v>
      </c>
      <c r="Y126" s="80" t="e">
        <f>AA50</f>
        <v>#REF!</v>
      </c>
      <c r="Z126" s="61" t="e">
        <f t="shared" si="7"/>
        <v>#REF!</v>
      </c>
    </row>
    <row r="127" spans="1:27" ht="14" x14ac:dyDescent="0.2">
      <c r="A127" s="114" t="s">
        <v>1149</v>
      </c>
      <c r="B127" s="80">
        <f>F56</f>
        <v>0</v>
      </c>
      <c r="C127" s="80">
        <f>F57</f>
        <v>0</v>
      </c>
      <c r="D127" s="80">
        <f>F58</f>
        <v>0</v>
      </c>
      <c r="E127" s="61">
        <f t="shared" si="4"/>
        <v>0</v>
      </c>
      <c r="H127" s="114" t="s">
        <v>1149</v>
      </c>
      <c r="I127" s="80">
        <f>M56</f>
        <v>0</v>
      </c>
      <c r="J127" s="80">
        <f>M57</f>
        <v>0</v>
      </c>
      <c r="K127" s="80">
        <f>M58</f>
        <v>0</v>
      </c>
      <c r="L127" s="61">
        <f t="shared" si="5"/>
        <v>0</v>
      </c>
      <c r="O127" s="114" t="s">
        <v>923</v>
      </c>
      <c r="P127" s="80" t="e">
        <f>T56</f>
        <v>#REF!</v>
      </c>
      <c r="Q127" s="80" t="e">
        <f>T57</f>
        <v>#REF!</v>
      </c>
      <c r="R127" s="80" t="e">
        <f>T58</f>
        <v>#REF!</v>
      </c>
      <c r="S127" s="61" t="e">
        <f t="shared" si="6"/>
        <v>#REF!</v>
      </c>
      <c r="V127" s="114" t="s">
        <v>923</v>
      </c>
      <c r="W127" s="80" t="e">
        <f>AA56</f>
        <v>#REF!</v>
      </c>
      <c r="X127" s="80" t="e">
        <f>AA57</f>
        <v>#REF!</v>
      </c>
      <c r="Y127" s="80" t="e">
        <f>AA58</f>
        <v>#REF!</v>
      </c>
      <c r="Z127" s="61" t="e">
        <f t="shared" si="7"/>
        <v>#REF!</v>
      </c>
    </row>
    <row r="128" spans="1:27" ht="14" x14ac:dyDescent="0.2">
      <c r="A128" s="114" t="s">
        <v>1154</v>
      </c>
      <c r="B128" s="80">
        <f>F64</f>
        <v>0</v>
      </c>
      <c r="C128" s="80">
        <f>F65</f>
        <v>0</v>
      </c>
      <c r="D128" s="80">
        <f>F66</f>
        <v>0</v>
      </c>
      <c r="E128" s="61">
        <f t="shared" si="4"/>
        <v>0</v>
      </c>
      <c r="H128" s="114" t="s">
        <v>1154</v>
      </c>
      <c r="I128" s="80">
        <f>M64</f>
        <v>0</v>
      </c>
      <c r="J128" s="80">
        <f>M65</f>
        <v>0</v>
      </c>
      <c r="K128" s="80">
        <f>M66</f>
        <v>0</v>
      </c>
      <c r="L128" s="61">
        <f t="shared" si="5"/>
        <v>0</v>
      </c>
      <c r="O128" s="114" t="s">
        <v>922</v>
      </c>
      <c r="P128" s="80" t="e">
        <f>T64</f>
        <v>#REF!</v>
      </c>
      <c r="Q128" s="80" t="e">
        <f>T65</f>
        <v>#REF!</v>
      </c>
      <c r="R128" s="80" t="e">
        <f>T66</f>
        <v>#REF!</v>
      </c>
      <c r="S128" s="61" t="e">
        <f t="shared" si="6"/>
        <v>#REF!</v>
      </c>
      <c r="V128" s="114" t="s">
        <v>922</v>
      </c>
      <c r="W128" s="80" t="e">
        <f>AA64</f>
        <v>#REF!</v>
      </c>
      <c r="X128" s="80" t="e">
        <f>AA65</f>
        <v>#REF!</v>
      </c>
      <c r="Y128" s="80" t="e">
        <f>AA66</f>
        <v>#REF!</v>
      </c>
      <c r="Z128" s="61" t="e">
        <f t="shared" si="7"/>
        <v>#REF!</v>
      </c>
    </row>
    <row r="129" spans="1:26" ht="14" x14ac:dyDescent="0.2">
      <c r="A129" s="114" t="s">
        <v>1155</v>
      </c>
      <c r="B129" s="80">
        <f>F72</f>
        <v>0</v>
      </c>
      <c r="C129" s="80">
        <f>F73</f>
        <v>0</v>
      </c>
      <c r="D129" s="80">
        <f>F74</f>
        <v>0</v>
      </c>
      <c r="E129" s="61">
        <f t="shared" si="4"/>
        <v>0</v>
      </c>
      <c r="H129" s="114" t="s">
        <v>1155</v>
      </c>
      <c r="I129" s="80">
        <f>M72</f>
        <v>0</v>
      </c>
      <c r="J129" s="80">
        <f>M73</f>
        <v>0</v>
      </c>
      <c r="K129" s="80">
        <f>M74</f>
        <v>0</v>
      </c>
      <c r="L129" s="61">
        <f t="shared" si="5"/>
        <v>0</v>
      </c>
      <c r="O129" s="114" t="s">
        <v>926</v>
      </c>
      <c r="P129" s="80" t="e">
        <f>T72</f>
        <v>#REF!</v>
      </c>
      <c r="Q129" s="80" t="e">
        <f>T73</f>
        <v>#REF!</v>
      </c>
      <c r="R129" s="80" t="e">
        <f>T74</f>
        <v>#REF!</v>
      </c>
      <c r="S129" s="61" t="e">
        <f t="shared" si="6"/>
        <v>#REF!</v>
      </c>
      <c r="V129" s="114" t="s">
        <v>926</v>
      </c>
      <c r="W129" s="80" t="e">
        <f>AA72</f>
        <v>#REF!</v>
      </c>
      <c r="X129" s="80" t="e">
        <f>AA73</f>
        <v>#REF!</v>
      </c>
      <c r="Y129" s="80" t="e">
        <f>AA74</f>
        <v>#REF!</v>
      </c>
      <c r="Z129" s="61" t="e">
        <f t="shared" si="7"/>
        <v>#REF!</v>
      </c>
    </row>
    <row r="130" spans="1:26" ht="14" x14ac:dyDescent="0.2">
      <c r="A130" s="114" t="s">
        <v>1158</v>
      </c>
      <c r="B130" s="80">
        <f>F80</f>
        <v>0</v>
      </c>
      <c r="C130" s="80">
        <f>F81</f>
        <v>0</v>
      </c>
      <c r="D130" s="80">
        <f>F82</f>
        <v>0</v>
      </c>
      <c r="E130" s="61">
        <f t="shared" si="4"/>
        <v>0</v>
      </c>
      <c r="H130" s="114" t="s">
        <v>1158</v>
      </c>
      <c r="I130" s="80">
        <f>M80</f>
        <v>0</v>
      </c>
      <c r="J130" s="80">
        <f>M81</f>
        <v>0</v>
      </c>
      <c r="K130" s="80">
        <f>M82</f>
        <v>0</v>
      </c>
      <c r="L130" s="61">
        <f t="shared" si="5"/>
        <v>0</v>
      </c>
      <c r="O130" s="114" t="s">
        <v>927</v>
      </c>
      <c r="P130" s="80" t="e">
        <f>T80</f>
        <v>#REF!</v>
      </c>
      <c r="Q130" s="80" t="e">
        <f>T81</f>
        <v>#REF!</v>
      </c>
      <c r="R130" s="80" t="e">
        <f>T82</f>
        <v>#REF!</v>
      </c>
      <c r="S130" s="61" t="e">
        <f t="shared" si="6"/>
        <v>#REF!</v>
      </c>
      <c r="V130" s="114" t="s">
        <v>927</v>
      </c>
      <c r="W130" s="80" t="e">
        <f>AA80</f>
        <v>#REF!</v>
      </c>
      <c r="X130" s="80" t="e">
        <f>AA81</f>
        <v>#REF!</v>
      </c>
      <c r="Y130" s="80" t="e">
        <f>AA82</f>
        <v>#REF!</v>
      </c>
      <c r="Z130" s="61" t="e">
        <f t="shared" si="7"/>
        <v>#REF!</v>
      </c>
    </row>
    <row r="131" spans="1:26" ht="14" x14ac:dyDescent="0.2">
      <c r="A131" s="114" t="s">
        <v>1161</v>
      </c>
      <c r="B131" s="80">
        <f>F88</f>
        <v>0</v>
      </c>
      <c r="C131" s="80">
        <f>F89</f>
        <v>0</v>
      </c>
      <c r="D131" s="80">
        <f>F90</f>
        <v>0</v>
      </c>
      <c r="E131" s="61">
        <f t="shared" si="4"/>
        <v>0</v>
      </c>
      <c r="H131" s="114" t="s">
        <v>1161</v>
      </c>
      <c r="I131" s="80">
        <f>M88</f>
        <v>19953.815680999996</v>
      </c>
      <c r="J131" s="80">
        <f>M89</f>
        <v>148485.01906779659</v>
      </c>
      <c r="K131" s="80">
        <f>M90</f>
        <v>0</v>
      </c>
      <c r="L131" s="61">
        <f t="shared" si="5"/>
        <v>168438.83474879659</v>
      </c>
      <c r="O131" s="114" t="s">
        <v>924</v>
      </c>
      <c r="P131" s="80" t="e">
        <f>T88</f>
        <v>#REF!</v>
      </c>
      <c r="Q131" s="80" t="e">
        <f>T89</f>
        <v>#REF!</v>
      </c>
      <c r="R131" s="80" t="e">
        <f>T90</f>
        <v>#REF!</v>
      </c>
      <c r="S131" s="61" t="e">
        <f t="shared" si="6"/>
        <v>#REF!</v>
      </c>
      <c r="V131" s="114" t="s">
        <v>924</v>
      </c>
      <c r="W131" s="80" t="e">
        <f>AA88</f>
        <v>#REF!</v>
      </c>
      <c r="X131" s="80" t="e">
        <f>AA89</f>
        <v>#REF!</v>
      </c>
      <c r="Y131" s="80" t="e">
        <f>AA90</f>
        <v>#REF!</v>
      </c>
      <c r="Z131" s="61" t="e">
        <f t="shared" si="7"/>
        <v>#REF!</v>
      </c>
    </row>
    <row r="132" spans="1:26" ht="14" x14ac:dyDescent="0.2">
      <c r="A132" s="114" t="s">
        <v>1162</v>
      </c>
      <c r="B132" s="80">
        <f>F96</f>
        <v>0</v>
      </c>
      <c r="C132" s="80">
        <f>F97</f>
        <v>0</v>
      </c>
      <c r="D132" s="80">
        <f>F98</f>
        <v>0</v>
      </c>
      <c r="E132" s="61">
        <f t="shared" si="4"/>
        <v>0</v>
      </c>
      <c r="H132" s="114" t="s">
        <v>3414</v>
      </c>
      <c r="I132" s="80">
        <f>M96</f>
        <v>0</v>
      </c>
      <c r="J132" s="80">
        <f>M97</f>
        <v>0</v>
      </c>
      <c r="K132" s="80">
        <f>M98</f>
        <v>0</v>
      </c>
      <c r="L132" s="61">
        <f t="shared" si="5"/>
        <v>0</v>
      </c>
      <c r="O132" s="114"/>
      <c r="P132" s="80"/>
      <c r="Q132" s="80"/>
      <c r="R132" s="80"/>
      <c r="S132" s="277"/>
      <c r="V132" s="114"/>
      <c r="W132" s="80"/>
      <c r="X132" s="80"/>
      <c r="Y132" s="80"/>
      <c r="Z132" s="277"/>
    </row>
    <row r="133" spans="1:26" ht="14" x14ac:dyDescent="0.2">
      <c r="A133" s="114" t="s">
        <v>1163</v>
      </c>
      <c r="B133" s="80">
        <f>F104</f>
        <v>0</v>
      </c>
      <c r="C133" s="80">
        <f>F105</f>
        <v>0</v>
      </c>
      <c r="D133" s="80">
        <f>F106</f>
        <v>0</v>
      </c>
      <c r="E133" s="61">
        <f t="shared" si="4"/>
        <v>0</v>
      </c>
      <c r="H133" s="114" t="s">
        <v>1163</v>
      </c>
      <c r="I133" s="80">
        <f>M104</f>
        <v>0</v>
      </c>
      <c r="J133" s="80">
        <f>M105</f>
        <v>0</v>
      </c>
      <c r="K133" s="80">
        <f>M106</f>
        <v>0</v>
      </c>
      <c r="L133" s="61">
        <f t="shared" si="5"/>
        <v>0</v>
      </c>
      <c r="O133" s="114"/>
      <c r="P133" s="80"/>
      <c r="Q133" s="80"/>
      <c r="R133" s="80"/>
      <c r="S133" s="277"/>
      <c r="V133" s="114"/>
      <c r="W133" s="80"/>
      <c r="X133" s="80"/>
      <c r="Y133" s="80"/>
      <c r="Z133" s="277"/>
    </row>
    <row r="134" spans="1:26" ht="14" x14ac:dyDescent="0.2">
      <c r="A134" s="114" t="s">
        <v>1169</v>
      </c>
      <c r="B134" s="80">
        <f>F112</f>
        <v>0</v>
      </c>
      <c r="C134" s="80">
        <f>F113</f>
        <v>0</v>
      </c>
      <c r="D134" s="80">
        <f>F114</f>
        <v>0</v>
      </c>
      <c r="E134" s="61">
        <f t="shared" si="4"/>
        <v>0</v>
      </c>
      <c r="H134" s="114" t="s">
        <v>1169</v>
      </c>
      <c r="I134" s="80">
        <f>M112</f>
        <v>0</v>
      </c>
      <c r="J134" s="80">
        <f>M113</f>
        <v>0</v>
      </c>
      <c r="K134" s="80">
        <f>M114</f>
        <v>0</v>
      </c>
      <c r="L134" s="61">
        <f t="shared" si="5"/>
        <v>0</v>
      </c>
      <c r="O134" s="114"/>
      <c r="P134" s="80"/>
      <c r="Q134" s="80"/>
      <c r="R134" s="80"/>
      <c r="S134" s="277"/>
      <c r="V134" s="114"/>
      <c r="W134" s="80"/>
      <c r="X134" s="80"/>
      <c r="Y134" s="80"/>
      <c r="Z134" s="277"/>
    </row>
    <row r="135" spans="1:26" ht="14" x14ac:dyDescent="0.2">
      <c r="A135" s="105" t="s">
        <v>9</v>
      </c>
      <c r="B135" s="81">
        <f>SUM(B121:B134)</f>
        <v>57534.067796610077</v>
      </c>
      <c r="C135" s="81">
        <f>SUM(C121:C134)</f>
        <v>73900.607627118603</v>
      </c>
      <c r="D135" s="81">
        <f>SUM(D121:D134)</f>
        <v>78383.44915254222</v>
      </c>
      <c r="E135" s="81">
        <f>SUM(E121:E134)</f>
        <v>209818.1245762709</v>
      </c>
      <c r="H135" s="105" t="s">
        <v>9</v>
      </c>
      <c r="I135" s="81">
        <f>SUM(I121:I134)</f>
        <v>84517.791085975012</v>
      </c>
      <c r="J135" s="81">
        <f>SUM(J121:J134)</f>
        <v>1245573.4283898305</v>
      </c>
      <c r="K135" s="81">
        <f>SUM(K121:K134)</f>
        <v>0</v>
      </c>
      <c r="L135" s="81">
        <f>SUM(L121:L134)</f>
        <v>1330091.2194758055</v>
      </c>
      <c r="O135" s="105" t="s">
        <v>9</v>
      </c>
      <c r="P135" s="81" t="e">
        <f>SUM(P121:P131)</f>
        <v>#REF!</v>
      </c>
      <c r="Q135" s="81" t="e">
        <f>SUM(Q121:Q131)</f>
        <v>#REF!</v>
      </c>
      <c r="R135" s="81" t="e">
        <f>SUM(R121:R131)</f>
        <v>#REF!</v>
      </c>
      <c r="S135" s="81" t="e">
        <f>SUM(S121:S131)</f>
        <v>#REF!</v>
      </c>
      <c r="V135" s="105" t="s">
        <v>9</v>
      </c>
      <c r="W135" s="81" t="e">
        <f>SUM(W121:W131)</f>
        <v>#REF!</v>
      </c>
      <c r="X135" s="81" t="e">
        <f>SUM(X121:X131)</f>
        <v>#REF!</v>
      </c>
      <c r="Y135" s="81" t="e">
        <f>SUM(Y121:Y131)</f>
        <v>#REF!</v>
      </c>
      <c r="Z135" s="81" t="e">
        <f>SUM(Z121:Z131)</f>
        <v>#REF!</v>
      </c>
    </row>
    <row r="136" spans="1:26" ht="14" x14ac:dyDescent="0.2"/>
    <row r="137" spans="1:26" ht="14" x14ac:dyDescent="0.2"/>
    <row r="138" spans="1:26" ht="14" x14ac:dyDescent="0.2"/>
    <row r="139" spans="1:26" ht="14" x14ac:dyDescent="0.2">
      <c r="F139" s="160"/>
      <c r="M139" s="160"/>
    </row>
    <row r="140" spans="1:26" ht="14" x14ac:dyDescent="0.2"/>
    <row r="141" spans="1:26" ht="14" x14ac:dyDescent="0.2"/>
    <row r="142" spans="1:26" ht="14" x14ac:dyDescent="0.2"/>
    <row r="143" spans="1:26" ht="14" x14ac:dyDescent="0.2"/>
    <row r="144" spans="1:26" ht="14" x14ac:dyDescent="0.2"/>
    <row r="145" ht="14" x14ac:dyDescent="0.2"/>
    <row r="146" ht="14" x14ac:dyDescent="0.2"/>
    <row r="147" ht="14" x14ac:dyDescent="0.2"/>
    <row r="148" ht="14" x14ac:dyDescent="0.2"/>
    <row r="149" ht="14" x14ac:dyDescent="0.2"/>
    <row r="150" ht="14" x14ac:dyDescent="0.2"/>
    <row r="151" ht="14" x14ac:dyDescent="0.2"/>
    <row r="152" ht="14" x14ac:dyDescent="0.2"/>
    <row r="153" ht="14" x14ac:dyDescent="0.2"/>
    <row r="154" ht="14" x14ac:dyDescent="0.2"/>
    <row r="155" ht="14" x14ac:dyDescent="0.2"/>
    <row r="156" ht="14" x14ac:dyDescent="0.2"/>
    <row r="157" ht="14" x14ac:dyDescent="0.2"/>
    <row r="158" ht="14" x14ac:dyDescent="0.2"/>
    <row r="159" ht="14" x14ac:dyDescent="0.2"/>
    <row r="160" ht="14" x14ac:dyDescent="0.2"/>
    <row r="161" ht="14" x14ac:dyDescent="0.2"/>
    <row r="162" ht="14" x14ac:dyDescent="0.2"/>
    <row r="163" ht="14" x14ac:dyDescent="0.2"/>
    <row r="164" ht="14" x14ac:dyDescent="0.2"/>
    <row r="165" ht="14" x14ac:dyDescent="0.2"/>
    <row r="166" ht="14" x14ac:dyDescent="0.2"/>
    <row r="167" ht="14" x14ac:dyDescent="0.2"/>
    <row r="168" ht="14" x14ac:dyDescent="0.2"/>
    <row r="169" ht="14" x14ac:dyDescent="0.2"/>
    <row r="170" ht="14" x14ac:dyDescent="0.2"/>
    <row r="171" ht="14" x14ac:dyDescent="0.2"/>
    <row r="172" ht="14" x14ac:dyDescent="0.2"/>
    <row r="173" ht="14" x14ac:dyDescent="0.2"/>
    <row r="174" ht="14" x14ac:dyDescent="0.2"/>
    <row r="175" ht="14" x14ac:dyDescent="0.2"/>
    <row r="176" ht="14" x14ac:dyDescent="0.2"/>
    <row r="177" ht="14" x14ac:dyDescent="0.2"/>
    <row r="178" ht="14" x14ac:dyDescent="0.2"/>
    <row r="179" ht="14" x14ac:dyDescent="0.2"/>
    <row r="180" ht="14" x14ac:dyDescent="0.2"/>
    <row r="181" ht="14" x14ac:dyDescent="0.2"/>
    <row r="182" ht="14" x14ac:dyDescent="0.2"/>
    <row r="183" ht="14" x14ac:dyDescent="0.2"/>
    <row r="184" ht="14" x14ac:dyDescent="0.2"/>
    <row r="185" ht="14" x14ac:dyDescent="0.2"/>
    <row r="186" ht="14" x14ac:dyDescent="0.2"/>
    <row r="187" ht="14" x14ac:dyDescent="0.2"/>
    <row r="188" ht="14" x14ac:dyDescent="0.2"/>
    <row r="189" ht="14" x14ac:dyDescent="0.2"/>
    <row r="190" ht="14" x14ac:dyDescent="0.2"/>
    <row r="191" ht="14" x14ac:dyDescent="0.2"/>
    <row r="192" ht="14" x14ac:dyDescent="0.2"/>
    <row r="193" ht="14" x14ac:dyDescent="0.2"/>
    <row r="194" ht="14" x14ac:dyDescent="0.2"/>
    <row r="195" ht="14" x14ac:dyDescent="0.2"/>
    <row r="196" ht="14" x14ac:dyDescent="0.2"/>
    <row r="197" ht="14" x14ac:dyDescent="0.2"/>
    <row r="198" ht="14" x14ac:dyDescent="0.2"/>
    <row r="199" ht="14" x14ac:dyDescent="0.2"/>
    <row r="200" ht="14" x14ac:dyDescent="0.2"/>
    <row r="201" ht="14" x14ac:dyDescent="0.2"/>
    <row r="202" ht="14" x14ac:dyDescent="0.2"/>
    <row r="203" ht="14" x14ac:dyDescent="0.2"/>
    <row r="204" ht="14" x14ac:dyDescent="0.2"/>
    <row r="205" ht="14" x14ac:dyDescent="0.2"/>
    <row r="206" ht="14" x14ac:dyDescent="0.2"/>
    <row r="207" ht="14" x14ac:dyDescent="0.2"/>
    <row r="208" ht="14" x14ac:dyDescent="0.2"/>
    <row r="209" ht="14" x14ac:dyDescent="0.2"/>
    <row r="210" ht="14" x14ac:dyDescent="0.2"/>
    <row r="211" ht="14" x14ac:dyDescent="0.2"/>
    <row r="212" ht="14" x14ac:dyDescent="0.2"/>
    <row r="213" ht="14" x14ac:dyDescent="0.2"/>
    <row r="214" ht="14" x14ac:dyDescent="0.2"/>
    <row r="215" ht="14" x14ac:dyDescent="0.2"/>
    <row r="216" ht="14" x14ac:dyDescent="0.2"/>
    <row r="217" ht="14" x14ac:dyDescent="0.2"/>
    <row r="218" ht="14" x14ac:dyDescent="0.2"/>
    <row r="219" ht="14" x14ac:dyDescent="0.2"/>
    <row r="220" ht="14" x14ac:dyDescent="0.2"/>
    <row r="221" ht="14" x14ac:dyDescent="0.2"/>
    <row r="222" ht="14" x14ac:dyDescent="0.2"/>
    <row r="223" ht="14" x14ac:dyDescent="0.2"/>
    <row r="224" ht="14" x14ac:dyDescent="0.2"/>
    <row r="225" ht="14" x14ac:dyDescent="0.2"/>
    <row r="226" ht="14" x14ac:dyDescent="0.2"/>
    <row r="227" ht="14" x14ac:dyDescent="0.2"/>
    <row r="228" ht="14" x14ac:dyDescent="0.2"/>
    <row r="229" ht="14" x14ac:dyDescent="0.2"/>
    <row r="230" ht="14" x14ac:dyDescent="0.2"/>
    <row r="231" ht="14" x14ac:dyDescent="0.2"/>
    <row r="232" ht="14" x14ac:dyDescent="0.2"/>
    <row r="233" ht="14" x14ac:dyDescent="0.2"/>
    <row r="234" ht="14" x14ac:dyDescent="0.2"/>
    <row r="235" ht="14" x14ac:dyDescent="0.2"/>
    <row r="236" ht="14" x14ac:dyDescent="0.2"/>
    <row r="237" ht="14" x14ac:dyDescent="0.2"/>
    <row r="238" ht="14" x14ac:dyDescent="0.2"/>
    <row r="239" ht="14" x14ac:dyDescent="0.2"/>
    <row r="240" ht="14" x14ac:dyDescent="0.2"/>
    <row r="241" ht="14" x14ac:dyDescent="0.2"/>
    <row r="242" ht="14" x14ac:dyDescent="0.2"/>
    <row r="243" ht="14" x14ac:dyDescent="0.2"/>
    <row r="244" ht="14" x14ac:dyDescent="0.2"/>
    <row r="245" ht="14" x14ac:dyDescent="0.2"/>
    <row r="246" ht="14" x14ac:dyDescent="0.2"/>
    <row r="247" ht="14" x14ac:dyDescent="0.2"/>
    <row r="248" ht="14" x14ac:dyDescent="0.2"/>
    <row r="249" ht="14" x14ac:dyDescent="0.2"/>
    <row r="250" ht="14" x14ac:dyDescent="0.2"/>
    <row r="251" ht="14" x14ac:dyDescent="0.2"/>
    <row r="252" ht="14" x14ac:dyDescent="0.2"/>
    <row r="253" ht="14" x14ac:dyDescent="0.2"/>
    <row r="254" ht="14" x14ac:dyDescent="0.2"/>
    <row r="255" ht="14" x14ac:dyDescent="0.2"/>
    <row r="256" ht="14" x14ac:dyDescent="0.2"/>
    <row r="257" ht="14" x14ac:dyDescent="0.2"/>
    <row r="258" ht="14" x14ac:dyDescent="0.2"/>
    <row r="259" ht="14" x14ac:dyDescent="0.2"/>
    <row r="260" ht="14" x14ac:dyDescent="0.2"/>
    <row r="261" ht="14" x14ac:dyDescent="0.2"/>
    <row r="262" ht="14" x14ac:dyDescent="0.2"/>
    <row r="263" ht="14" x14ac:dyDescent="0.2"/>
    <row r="264" ht="14" x14ac:dyDescent="0.2"/>
    <row r="265" ht="14" x14ac:dyDescent="0.2"/>
    <row r="266" ht="14" x14ac:dyDescent="0.2"/>
    <row r="267" ht="14" x14ac:dyDescent="0.2"/>
    <row r="268" ht="14" x14ac:dyDescent="0.2"/>
    <row r="269" ht="14" x14ac:dyDescent="0.2"/>
    <row r="270" ht="14" x14ac:dyDescent="0.2"/>
    <row r="271" ht="14" x14ac:dyDescent="0.2"/>
    <row r="272" ht="14" x14ac:dyDescent="0.2"/>
    <row r="273" ht="14" x14ac:dyDescent="0.2"/>
    <row r="274" ht="14" x14ac:dyDescent="0.2"/>
    <row r="275" ht="14" x14ac:dyDescent="0.2"/>
    <row r="276" ht="14" x14ac:dyDescent="0.2"/>
    <row r="277" ht="14" x14ac:dyDescent="0.2"/>
    <row r="278" ht="14" x14ac:dyDescent="0.2"/>
    <row r="279" ht="14" x14ac:dyDescent="0.2"/>
    <row r="280" ht="14" x14ac:dyDescent="0.2"/>
    <row r="281" ht="14" x14ac:dyDescent="0.2"/>
    <row r="282" ht="14" x14ac:dyDescent="0.2"/>
    <row r="283" ht="14" x14ac:dyDescent="0.2"/>
    <row r="284" ht="14" x14ac:dyDescent="0.2"/>
    <row r="285" ht="14" x14ac:dyDescent="0.2"/>
    <row r="286" ht="14" x14ac:dyDescent="0.2"/>
    <row r="287" ht="14" x14ac:dyDescent="0.2"/>
    <row r="288" ht="14" x14ac:dyDescent="0.2"/>
    <row r="289" ht="14" x14ac:dyDescent="0.2"/>
    <row r="290" ht="14" x14ac:dyDescent="0.2"/>
    <row r="291" ht="14" x14ac:dyDescent="0.2"/>
    <row r="292" ht="14" x14ac:dyDescent="0.2"/>
    <row r="293" ht="14" x14ac:dyDescent="0.2"/>
    <row r="294" ht="14" x14ac:dyDescent="0.2"/>
    <row r="295" ht="14" x14ac:dyDescent="0.2"/>
    <row r="296" ht="14" x14ac:dyDescent="0.2"/>
    <row r="297" ht="14" x14ac:dyDescent="0.2"/>
    <row r="298" ht="14" x14ac:dyDescent="0.2"/>
    <row r="299" ht="14" x14ac:dyDescent="0.2"/>
    <row r="300" ht="14" x14ac:dyDescent="0.2"/>
    <row r="301" ht="14" x14ac:dyDescent="0.2"/>
    <row r="302" ht="14" x14ac:dyDescent="0.2"/>
    <row r="303" ht="14" x14ac:dyDescent="0.2"/>
    <row r="304" ht="14" x14ac:dyDescent="0.2"/>
    <row r="305" ht="14" x14ac:dyDescent="0.2"/>
    <row r="306" ht="14" x14ac:dyDescent="0.2"/>
    <row r="307" ht="14" x14ac:dyDescent="0.2"/>
    <row r="308" ht="14" x14ac:dyDescent="0.2"/>
    <row r="309" ht="14" x14ac:dyDescent="0.2"/>
    <row r="310" ht="14" x14ac:dyDescent="0.2"/>
    <row r="311" ht="14" x14ac:dyDescent="0.2"/>
    <row r="312" ht="14" x14ac:dyDescent="0.2"/>
    <row r="313" ht="14" x14ac:dyDescent="0.2"/>
    <row r="314" ht="14" x14ac:dyDescent="0.2"/>
    <row r="315" ht="14" x14ac:dyDescent="0.2"/>
    <row r="316" ht="14" x14ac:dyDescent="0.2"/>
    <row r="317" ht="14" x14ac:dyDescent="0.2"/>
    <row r="318" ht="14" x14ac:dyDescent="0.2"/>
    <row r="319" ht="14" x14ac:dyDescent="0.2"/>
    <row r="320" ht="14" x14ac:dyDescent="0.2"/>
    <row r="321" ht="14" x14ac:dyDescent="0.2"/>
    <row r="322" ht="14" x14ac:dyDescent="0.2"/>
    <row r="323" ht="14" x14ac:dyDescent="0.2"/>
    <row r="324" ht="14" x14ac:dyDescent="0.2"/>
    <row r="325" ht="14" x14ac:dyDescent="0.2"/>
    <row r="326" ht="14" x14ac:dyDescent="0.2"/>
    <row r="327" ht="14" x14ac:dyDescent="0.2"/>
    <row r="328" ht="14" x14ac:dyDescent="0.2"/>
    <row r="329" ht="14" x14ac:dyDescent="0.2"/>
    <row r="330" ht="14" x14ac:dyDescent="0.2"/>
    <row r="331" ht="14" x14ac:dyDescent="0.2"/>
    <row r="332" ht="14" x14ac:dyDescent="0.2"/>
    <row r="333" ht="14" x14ac:dyDescent="0.2"/>
    <row r="334" ht="14" x14ac:dyDescent="0.2"/>
    <row r="335" ht="14" x14ac:dyDescent="0.2"/>
    <row r="336" ht="14" x14ac:dyDescent="0.2"/>
    <row r="337" ht="14" x14ac:dyDescent="0.2"/>
    <row r="338" ht="14" x14ac:dyDescent="0.2"/>
    <row r="339" ht="14" x14ac:dyDescent="0.2"/>
    <row r="340" ht="14" x14ac:dyDescent="0.2"/>
    <row r="341" ht="14" x14ac:dyDescent="0.2"/>
    <row r="342" ht="14" x14ac:dyDescent="0.2"/>
    <row r="343" ht="14" x14ac:dyDescent="0.2"/>
    <row r="344" ht="14" x14ac:dyDescent="0.2"/>
    <row r="345" ht="14" x14ac:dyDescent="0.2"/>
    <row r="346" ht="14" x14ac:dyDescent="0.2"/>
    <row r="347" ht="14" x14ac:dyDescent="0.2"/>
    <row r="348" ht="14" x14ac:dyDescent="0.2"/>
    <row r="349" ht="14" x14ac:dyDescent="0.2"/>
    <row r="350" ht="14" x14ac:dyDescent="0.2"/>
    <row r="351" ht="14" x14ac:dyDescent="0.2"/>
    <row r="352" ht="14" x14ac:dyDescent="0.2"/>
    <row r="353" ht="14" x14ac:dyDescent="0.2"/>
    <row r="354" ht="14" x14ac:dyDescent="0.2"/>
    <row r="355" ht="14" x14ac:dyDescent="0.2"/>
    <row r="356" ht="14" x14ac:dyDescent="0.2"/>
    <row r="357" ht="14" x14ac:dyDescent="0.2"/>
    <row r="358" ht="14" x14ac:dyDescent="0.2"/>
    <row r="359" ht="14" x14ac:dyDescent="0.2"/>
    <row r="360" ht="14" x14ac:dyDescent="0.2"/>
    <row r="361" ht="14" x14ac:dyDescent="0.2"/>
    <row r="362" ht="14" x14ac:dyDescent="0.2"/>
    <row r="363" ht="14" x14ac:dyDescent="0.2"/>
    <row r="364" ht="14" x14ac:dyDescent="0.2"/>
    <row r="365" ht="14" x14ac:dyDescent="0.2"/>
    <row r="366" ht="14" x14ac:dyDescent="0.2"/>
    <row r="367" ht="14" x14ac:dyDescent="0.2"/>
    <row r="368" ht="14" x14ac:dyDescent="0.2"/>
    <row r="369" ht="14" x14ac:dyDescent="0.2"/>
    <row r="370" ht="14" x14ac:dyDescent="0.2"/>
    <row r="371" ht="14" x14ac:dyDescent="0.2"/>
    <row r="372" ht="14" x14ac:dyDescent="0.2"/>
    <row r="373" ht="14" x14ac:dyDescent="0.2"/>
    <row r="374" ht="14" x14ac:dyDescent="0.2"/>
    <row r="375" ht="14" x14ac:dyDescent="0.2"/>
    <row r="376" ht="14" x14ac:dyDescent="0.2"/>
    <row r="377" ht="14" x14ac:dyDescent="0.2"/>
    <row r="378" ht="14" x14ac:dyDescent="0.2"/>
    <row r="379" ht="14" x14ac:dyDescent="0.2"/>
    <row r="380" ht="14" x14ac:dyDescent="0.2"/>
    <row r="381" ht="14" x14ac:dyDescent="0.2"/>
    <row r="382" ht="14" x14ac:dyDescent="0.2"/>
    <row r="383" ht="14" x14ac:dyDescent="0.2"/>
    <row r="384" ht="14" x14ac:dyDescent="0.2"/>
    <row r="385" ht="14" x14ac:dyDescent="0.2"/>
    <row r="386" ht="14" x14ac:dyDescent="0.2"/>
    <row r="387" ht="14" x14ac:dyDescent="0.2"/>
    <row r="388" ht="14" x14ac:dyDescent="0.2"/>
    <row r="389" ht="14" x14ac:dyDescent="0.2"/>
    <row r="390" ht="14" x14ac:dyDescent="0.2"/>
    <row r="391" ht="14" x14ac:dyDescent="0.2"/>
    <row r="392" ht="14" x14ac:dyDescent="0.2"/>
    <row r="393" ht="14" x14ac:dyDescent="0.2"/>
    <row r="394" ht="14" x14ac:dyDescent="0.2"/>
    <row r="395" ht="14" x14ac:dyDescent="0.2"/>
    <row r="396" ht="14" x14ac:dyDescent="0.2"/>
    <row r="397" ht="14" x14ac:dyDescent="0.2"/>
    <row r="398" ht="14" x14ac:dyDescent="0.2"/>
    <row r="399" ht="14" x14ac:dyDescent="0.2"/>
    <row r="400" ht="14" x14ac:dyDescent="0.2"/>
    <row r="401" ht="14" x14ac:dyDescent="0.2"/>
    <row r="402" ht="14" x14ac:dyDescent="0.2"/>
    <row r="403" ht="14" x14ac:dyDescent="0.2"/>
    <row r="404" ht="14" x14ac:dyDescent="0.2"/>
    <row r="405" ht="14" x14ac:dyDescent="0.2"/>
    <row r="406" ht="14" x14ac:dyDescent="0.2"/>
    <row r="407" ht="14" x14ac:dyDescent="0.2"/>
    <row r="408" ht="14" x14ac:dyDescent="0.2"/>
    <row r="409" ht="14" x14ac:dyDescent="0.2"/>
    <row r="410" ht="14" x14ac:dyDescent="0.2"/>
    <row r="411" ht="14" x14ac:dyDescent="0.2"/>
    <row r="412" ht="14" x14ac:dyDescent="0.2"/>
    <row r="413" ht="14" x14ac:dyDescent="0.2"/>
    <row r="414" ht="14" x14ac:dyDescent="0.2"/>
    <row r="415" ht="14" x14ac:dyDescent="0.2"/>
    <row r="416" ht="14" x14ac:dyDescent="0.2"/>
    <row r="417" ht="14" x14ac:dyDescent="0.2"/>
    <row r="418" ht="14" x14ac:dyDescent="0.2"/>
    <row r="419" ht="14" x14ac:dyDescent="0.2"/>
    <row r="420" ht="14" x14ac:dyDescent="0.2"/>
    <row r="421" ht="14" x14ac:dyDescent="0.2"/>
    <row r="422" ht="14" x14ac:dyDescent="0.2"/>
    <row r="423" ht="14" x14ac:dyDescent="0.2"/>
    <row r="424" ht="14" x14ac:dyDescent="0.2"/>
    <row r="425" ht="14" x14ac:dyDescent="0.2"/>
    <row r="426" ht="14" x14ac:dyDescent="0.2"/>
    <row r="427" ht="14" x14ac:dyDescent="0.2"/>
    <row r="428" ht="14" x14ac:dyDescent="0.2"/>
    <row r="429" ht="14" x14ac:dyDescent="0.2"/>
    <row r="430" ht="14" x14ac:dyDescent="0.2"/>
    <row r="431" ht="14" x14ac:dyDescent="0.2"/>
    <row r="432" ht="14" x14ac:dyDescent="0.2"/>
    <row r="433" ht="14" x14ac:dyDescent="0.2"/>
    <row r="434" ht="14" x14ac:dyDescent="0.2"/>
    <row r="435" ht="14" x14ac:dyDescent="0.2"/>
    <row r="436" ht="14" x14ac:dyDescent="0.2"/>
    <row r="437" ht="14" x14ac:dyDescent="0.2"/>
    <row r="438" ht="14" x14ac:dyDescent="0.2"/>
    <row r="439" ht="14" x14ac:dyDescent="0.2"/>
    <row r="440" ht="14" x14ac:dyDescent="0.2"/>
    <row r="441" ht="14" x14ac:dyDescent="0.2"/>
    <row r="442" ht="14" x14ac:dyDescent="0.2"/>
    <row r="443" ht="14" x14ac:dyDescent="0.2"/>
    <row r="444" ht="14" x14ac:dyDescent="0.2"/>
    <row r="445" ht="14" x14ac:dyDescent="0.2"/>
    <row r="446" ht="14" x14ac:dyDescent="0.2"/>
    <row r="447" ht="14" x14ac:dyDescent="0.2"/>
    <row r="448" ht="14" x14ac:dyDescent="0.2"/>
    <row r="449" ht="14" x14ac:dyDescent="0.2"/>
    <row r="450" ht="14" x14ac:dyDescent="0.2"/>
    <row r="451" ht="14" x14ac:dyDescent="0.2"/>
    <row r="452" ht="14" x14ac:dyDescent="0.2"/>
    <row r="453" ht="14" x14ac:dyDescent="0.2"/>
    <row r="454" ht="14" x14ac:dyDescent="0.2"/>
    <row r="455" ht="14" x14ac:dyDescent="0.2"/>
    <row r="456" ht="14" x14ac:dyDescent="0.2"/>
    <row r="457" ht="14" x14ac:dyDescent="0.2"/>
    <row r="458" ht="14" x14ac:dyDescent="0.2"/>
    <row r="459" ht="14" x14ac:dyDescent="0.2"/>
    <row r="460" ht="14" x14ac:dyDescent="0.2"/>
    <row r="461" ht="14" x14ac:dyDescent="0.2"/>
    <row r="462" ht="14" x14ac:dyDescent="0.2"/>
    <row r="463" ht="14" x14ac:dyDescent="0.2"/>
    <row r="464" ht="14" x14ac:dyDescent="0.2"/>
    <row r="465" ht="14" x14ac:dyDescent="0.2"/>
    <row r="466" ht="14" x14ac:dyDescent="0.2"/>
    <row r="467" ht="14" x14ac:dyDescent="0.2"/>
    <row r="468" ht="14" x14ac:dyDescent="0.2"/>
    <row r="469" ht="14" x14ac:dyDescent="0.2"/>
    <row r="470" ht="14" x14ac:dyDescent="0.2"/>
    <row r="471" ht="14" x14ac:dyDescent="0.2"/>
    <row r="472" ht="14" x14ac:dyDescent="0.2"/>
    <row r="473" ht="14" x14ac:dyDescent="0.2"/>
    <row r="474" ht="14" x14ac:dyDescent="0.2"/>
    <row r="475" ht="14" x14ac:dyDescent="0.2"/>
    <row r="476" ht="14" x14ac:dyDescent="0.2"/>
    <row r="477" ht="14" x14ac:dyDescent="0.2"/>
    <row r="478" ht="14" x14ac:dyDescent="0.2"/>
    <row r="479" ht="14" x14ac:dyDescent="0.2"/>
    <row r="480" ht="14" x14ac:dyDescent="0.2"/>
    <row r="481" ht="14" x14ac:dyDescent="0.2"/>
    <row r="482" ht="14" x14ac:dyDescent="0.2"/>
    <row r="483" ht="14" x14ac:dyDescent="0.2"/>
    <row r="484" ht="14" x14ac:dyDescent="0.2"/>
    <row r="485" ht="14" x14ac:dyDescent="0.2"/>
    <row r="486" ht="14" x14ac:dyDescent="0.2"/>
    <row r="487" ht="14" x14ac:dyDescent="0.2"/>
    <row r="488" ht="14" x14ac:dyDescent="0.2"/>
    <row r="489" ht="14" x14ac:dyDescent="0.2"/>
    <row r="490" ht="14" x14ac:dyDescent="0.2"/>
    <row r="491" ht="14" x14ac:dyDescent="0.2"/>
    <row r="492" ht="14" x14ac:dyDescent="0.2"/>
    <row r="493" ht="14" x14ac:dyDescent="0.2"/>
    <row r="494" ht="14" x14ac:dyDescent="0.2"/>
    <row r="495" ht="14" x14ac:dyDescent="0.2"/>
    <row r="496" ht="14" x14ac:dyDescent="0.2"/>
    <row r="497" ht="14" x14ac:dyDescent="0.2"/>
    <row r="498" ht="14" x14ac:dyDescent="0.2"/>
    <row r="499" ht="14" x14ac:dyDescent="0.2"/>
    <row r="500" ht="14" x14ac:dyDescent="0.2"/>
    <row r="501" ht="14" x14ac:dyDescent="0.2"/>
    <row r="502" ht="14" x14ac:dyDescent="0.2"/>
    <row r="503" ht="14" x14ac:dyDescent="0.2"/>
    <row r="504" ht="14" x14ac:dyDescent="0.2"/>
    <row r="505" ht="14" x14ac:dyDescent="0.2"/>
    <row r="506" ht="14" x14ac:dyDescent="0.2"/>
    <row r="507" ht="14" x14ac:dyDescent="0.2"/>
    <row r="508" ht="14" x14ac:dyDescent="0.2"/>
    <row r="509" ht="14" x14ac:dyDescent="0.2"/>
    <row r="510" ht="14" x14ac:dyDescent="0.2"/>
    <row r="511" ht="14" x14ac:dyDescent="0.2"/>
    <row r="512" ht="14" x14ac:dyDescent="0.2"/>
    <row r="513" ht="14" x14ac:dyDescent="0.2"/>
    <row r="514" ht="14" x14ac:dyDescent="0.2"/>
    <row r="515" ht="14" x14ac:dyDescent="0.2"/>
    <row r="516" ht="14" x14ac:dyDescent="0.2"/>
    <row r="517" ht="14" x14ac:dyDescent="0.2"/>
    <row r="518" ht="14" x14ac:dyDescent="0.2"/>
    <row r="519" ht="14" x14ac:dyDescent="0.2"/>
    <row r="520" ht="14" x14ac:dyDescent="0.2"/>
    <row r="521" ht="14" x14ac:dyDescent="0.2"/>
    <row r="522" ht="14" x14ac:dyDescent="0.2"/>
    <row r="523" ht="14" x14ac:dyDescent="0.2"/>
    <row r="524" ht="14" x14ac:dyDescent="0.2"/>
    <row r="525" ht="14" x14ac:dyDescent="0.2"/>
    <row r="526" ht="14" x14ac:dyDescent="0.2"/>
    <row r="527" ht="14" x14ac:dyDescent="0.2"/>
    <row r="528" ht="14" x14ac:dyDescent="0.2"/>
    <row r="529" ht="14" x14ac:dyDescent="0.2"/>
    <row r="530" ht="14" x14ac:dyDescent="0.2"/>
    <row r="531" ht="14" x14ac:dyDescent="0.2"/>
    <row r="532" ht="14" x14ac:dyDescent="0.2"/>
    <row r="533" ht="14" x14ac:dyDescent="0.2"/>
    <row r="534" ht="14" x14ac:dyDescent="0.2"/>
    <row r="535" ht="14" x14ac:dyDescent="0.2"/>
    <row r="536" ht="14" x14ac:dyDescent="0.2"/>
    <row r="537" ht="14" x14ac:dyDescent="0.2"/>
    <row r="538" ht="14" x14ac:dyDescent="0.2"/>
    <row r="539" ht="14" x14ac:dyDescent="0.2"/>
    <row r="540" ht="14" x14ac:dyDescent="0.2"/>
    <row r="541" ht="14" x14ac:dyDescent="0.2"/>
    <row r="542" ht="14" x14ac:dyDescent="0.2"/>
    <row r="543" ht="14" x14ac:dyDescent="0.2"/>
    <row r="544" ht="14" x14ac:dyDescent="0.2"/>
    <row r="545" ht="14" x14ac:dyDescent="0.2"/>
    <row r="546" ht="14" x14ac:dyDescent="0.2"/>
    <row r="547" ht="14" x14ac:dyDescent="0.2"/>
    <row r="548" ht="14" x14ac:dyDescent="0.2"/>
    <row r="549" ht="14" x14ac:dyDescent="0.2"/>
    <row r="550" ht="14" x14ac:dyDescent="0.2"/>
    <row r="551" ht="14" x14ac:dyDescent="0.2"/>
    <row r="552" ht="14" x14ac:dyDescent="0.2"/>
    <row r="553" ht="14" x14ac:dyDescent="0.2"/>
    <row r="554" ht="14" x14ac:dyDescent="0.2"/>
    <row r="555" ht="14" x14ac:dyDescent="0.2"/>
    <row r="556" ht="14" x14ac:dyDescent="0.2"/>
    <row r="557" ht="14" x14ac:dyDescent="0.2"/>
    <row r="558" ht="14" x14ac:dyDescent="0.2"/>
    <row r="559" ht="14" x14ac:dyDescent="0.2"/>
    <row r="560" ht="14" x14ac:dyDescent="0.2"/>
    <row r="561" ht="14" x14ac:dyDescent="0.2"/>
    <row r="562" ht="14" x14ac:dyDescent="0.2"/>
    <row r="563" ht="14" x14ac:dyDescent="0.2"/>
    <row r="564" ht="14" x14ac:dyDescent="0.2"/>
    <row r="565" ht="14" x14ac:dyDescent="0.2"/>
    <row r="566" ht="14" x14ac:dyDescent="0.2"/>
    <row r="567" ht="14" x14ac:dyDescent="0.2"/>
    <row r="568" ht="14" x14ac:dyDescent="0.2"/>
    <row r="569" ht="14" x14ac:dyDescent="0.2"/>
    <row r="570" ht="14" x14ac:dyDescent="0.2"/>
    <row r="571" ht="14" x14ac:dyDescent="0.2"/>
    <row r="572" ht="14" x14ac:dyDescent="0.2"/>
    <row r="573" ht="14" x14ac:dyDescent="0.2"/>
    <row r="574" ht="14" x14ac:dyDescent="0.2"/>
    <row r="575" ht="14" x14ac:dyDescent="0.2"/>
    <row r="576" ht="14" x14ac:dyDescent="0.2"/>
    <row r="577" ht="14" x14ac:dyDescent="0.2"/>
    <row r="578" ht="14" x14ac:dyDescent="0.2"/>
    <row r="579" ht="14" x14ac:dyDescent="0.2"/>
    <row r="580" ht="14" x14ac:dyDescent="0.2"/>
    <row r="581" ht="14" x14ac:dyDescent="0.2"/>
    <row r="582" ht="14" x14ac:dyDescent="0.2"/>
    <row r="583" ht="14" x14ac:dyDescent="0.2"/>
    <row r="584" ht="14" x14ac:dyDescent="0.2"/>
    <row r="585" ht="14" x14ac:dyDescent="0.2"/>
    <row r="586" ht="14" x14ac:dyDescent="0.2"/>
    <row r="587" ht="14" x14ac:dyDescent="0.2"/>
    <row r="588" ht="14" x14ac:dyDescent="0.2"/>
    <row r="589" ht="14" x14ac:dyDescent="0.2"/>
    <row r="590" ht="14" x14ac:dyDescent="0.2"/>
    <row r="591" ht="14" x14ac:dyDescent="0.2"/>
    <row r="592" ht="14" x14ac:dyDescent="0.2"/>
    <row r="593" ht="14" x14ac:dyDescent="0.2"/>
    <row r="594" ht="14" x14ac:dyDescent="0.2"/>
    <row r="595" ht="14" x14ac:dyDescent="0.2"/>
    <row r="596" ht="14" x14ac:dyDescent="0.2"/>
    <row r="597" ht="14" x14ac:dyDescent="0.2"/>
    <row r="598" ht="14" x14ac:dyDescent="0.2"/>
    <row r="599" ht="14" x14ac:dyDescent="0.2"/>
    <row r="600" ht="14" x14ac:dyDescent="0.2"/>
    <row r="601" ht="14" x14ac:dyDescent="0.2"/>
    <row r="602" ht="14" x14ac:dyDescent="0.2"/>
    <row r="603" ht="14" x14ac:dyDescent="0.2"/>
    <row r="604" ht="14" x14ac:dyDescent="0.2"/>
    <row r="605" ht="14" x14ac:dyDescent="0.2"/>
    <row r="606" ht="14" x14ac:dyDescent="0.2"/>
    <row r="607" ht="14" x14ac:dyDescent="0.2"/>
    <row r="608" ht="14" x14ac:dyDescent="0.2"/>
    <row r="609" ht="14" x14ac:dyDescent="0.2"/>
    <row r="610" ht="14" x14ac:dyDescent="0.2"/>
    <row r="611" ht="14" x14ac:dyDescent="0.2"/>
    <row r="612" ht="14" x14ac:dyDescent="0.2"/>
    <row r="613" ht="14" x14ac:dyDescent="0.2"/>
    <row r="614" ht="14" x14ac:dyDescent="0.2"/>
    <row r="615" ht="14" x14ac:dyDescent="0.2"/>
    <row r="616" ht="14" x14ac:dyDescent="0.2"/>
    <row r="617" ht="14" x14ac:dyDescent="0.2"/>
    <row r="618" ht="14" x14ac:dyDescent="0.2"/>
    <row r="619" ht="14" x14ac:dyDescent="0.2"/>
    <row r="620" ht="14" x14ac:dyDescent="0.2"/>
    <row r="621" ht="14" x14ac:dyDescent="0.2"/>
    <row r="622" ht="14" x14ac:dyDescent="0.2"/>
    <row r="623" ht="14" x14ac:dyDescent="0.2"/>
    <row r="624" ht="14" x14ac:dyDescent="0.2"/>
    <row r="625" ht="14" x14ac:dyDescent="0.2"/>
    <row r="626" ht="14" x14ac:dyDescent="0.2"/>
    <row r="627" ht="14" x14ac:dyDescent="0.2"/>
    <row r="628" ht="14" x14ac:dyDescent="0.2"/>
    <row r="629" ht="14" x14ac:dyDescent="0.2"/>
    <row r="630" ht="14" x14ac:dyDescent="0.2"/>
    <row r="631" ht="14" x14ac:dyDescent="0.2"/>
    <row r="632" ht="14" x14ac:dyDescent="0.2"/>
    <row r="633" ht="14" x14ac:dyDescent="0.2"/>
    <row r="634" ht="14" x14ac:dyDescent="0.2"/>
    <row r="635" ht="14" x14ac:dyDescent="0.2"/>
    <row r="636" ht="14" x14ac:dyDescent="0.2"/>
    <row r="637" ht="14" x14ac:dyDescent="0.2"/>
    <row r="638" ht="14" x14ac:dyDescent="0.2"/>
    <row r="639" ht="14" x14ac:dyDescent="0.2"/>
    <row r="640" ht="14" x14ac:dyDescent="0.2"/>
    <row r="641" ht="14" x14ac:dyDescent="0.2"/>
    <row r="642" ht="14" x14ac:dyDescent="0.2"/>
    <row r="643" ht="14" x14ac:dyDescent="0.2"/>
    <row r="644" ht="14" x14ac:dyDescent="0.2"/>
    <row r="645" ht="14" x14ac:dyDescent="0.2"/>
    <row r="646" ht="14" x14ac:dyDescent="0.2"/>
    <row r="647" ht="14" x14ac:dyDescent="0.2"/>
    <row r="648" ht="14" x14ac:dyDescent="0.2"/>
    <row r="649" ht="14" x14ac:dyDescent="0.2"/>
    <row r="650" ht="14" x14ac:dyDescent="0.2"/>
    <row r="651" ht="14" x14ac:dyDescent="0.2"/>
    <row r="652" ht="14" x14ac:dyDescent="0.2"/>
    <row r="653" ht="14" x14ac:dyDescent="0.2"/>
    <row r="654" ht="14" x14ac:dyDescent="0.2"/>
    <row r="655" ht="14" x14ac:dyDescent="0.2"/>
    <row r="656" ht="14" x14ac:dyDescent="0.2"/>
    <row r="657" ht="14" x14ac:dyDescent="0.2"/>
    <row r="658" ht="14" x14ac:dyDescent="0.2"/>
    <row r="659" ht="14" x14ac:dyDescent="0.2"/>
    <row r="660" ht="14" x14ac:dyDescent="0.2"/>
    <row r="661" ht="14" x14ac:dyDescent="0.2"/>
    <row r="662" ht="14" x14ac:dyDescent="0.2"/>
    <row r="663" ht="14" x14ac:dyDescent="0.2"/>
    <row r="664" ht="14" x14ac:dyDescent="0.2"/>
    <row r="665" ht="14" x14ac:dyDescent="0.2"/>
    <row r="666" ht="14" x14ac:dyDescent="0.2"/>
    <row r="667" ht="14" x14ac:dyDescent="0.2"/>
    <row r="668" ht="14" x14ac:dyDescent="0.2"/>
    <row r="669" ht="14" x14ac:dyDescent="0.2"/>
    <row r="670" ht="14" x14ac:dyDescent="0.2"/>
    <row r="671" ht="14" x14ac:dyDescent="0.2"/>
    <row r="672" ht="14" x14ac:dyDescent="0.2"/>
    <row r="673" ht="14" x14ac:dyDescent="0.2"/>
    <row r="674" ht="14" x14ac:dyDescent="0.2"/>
    <row r="675" ht="14" x14ac:dyDescent="0.2"/>
    <row r="676" ht="14" x14ac:dyDescent="0.2"/>
    <row r="677" ht="14" x14ac:dyDescent="0.2"/>
    <row r="678" ht="14" x14ac:dyDescent="0.2"/>
    <row r="679" ht="14" x14ac:dyDescent="0.2"/>
    <row r="680" ht="14" x14ac:dyDescent="0.2"/>
    <row r="681" ht="14" x14ac:dyDescent="0.2"/>
    <row r="682" ht="14" x14ac:dyDescent="0.2"/>
    <row r="683" ht="14" x14ac:dyDescent="0.2"/>
    <row r="684" ht="14" x14ac:dyDescent="0.2"/>
    <row r="685" ht="14" x14ac:dyDescent="0.2"/>
    <row r="686" ht="14" x14ac:dyDescent="0.2"/>
    <row r="687" ht="14" x14ac:dyDescent="0.2"/>
    <row r="688" ht="14" x14ac:dyDescent="0.2"/>
    <row r="689" ht="14" x14ac:dyDescent="0.2"/>
    <row r="690" ht="14" x14ac:dyDescent="0.2"/>
    <row r="691" ht="14" x14ac:dyDescent="0.2"/>
    <row r="692" ht="14" x14ac:dyDescent="0.2"/>
    <row r="693" ht="14" x14ac:dyDescent="0.2"/>
    <row r="694" ht="14" x14ac:dyDescent="0.2"/>
    <row r="695" ht="14" x14ac:dyDescent="0.2"/>
    <row r="696" ht="14" x14ac:dyDescent="0.2"/>
    <row r="697" ht="14" x14ac:dyDescent="0.2"/>
    <row r="698" ht="14" x14ac:dyDescent="0.2"/>
    <row r="699" ht="14" x14ac:dyDescent="0.2"/>
    <row r="700" ht="14" x14ac:dyDescent="0.2"/>
    <row r="701" ht="14" x14ac:dyDescent="0.2"/>
    <row r="702" ht="14" x14ac:dyDescent="0.2"/>
    <row r="703" ht="14" x14ac:dyDescent="0.2"/>
    <row r="704" ht="14" x14ac:dyDescent="0.2"/>
    <row r="705" ht="14" x14ac:dyDescent="0.2"/>
    <row r="706" ht="14" x14ac:dyDescent="0.2"/>
    <row r="707" ht="14" x14ac:dyDescent="0.2"/>
    <row r="708" ht="14" x14ac:dyDescent="0.2"/>
    <row r="709" ht="14" x14ac:dyDescent="0.2"/>
    <row r="710" ht="14" x14ac:dyDescent="0.2"/>
    <row r="711" ht="14" x14ac:dyDescent="0.2"/>
    <row r="712" ht="14" x14ac:dyDescent="0.2"/>
    <row r="713" ht="14" x14ac:dyDescent="0.2"/>
    <row r="714" ht="14" x14ac:dyDescent="0.2"/>
    <row r="715" ht="14" x14ac:dyDescent="0.2"/>
    <row r="716" ht="14" x14ac:dyDescent="0.2"/>
    <row r="717" ht="14" x14ac:dyDescent="0.2"/>
    <row r="718" ht="14" x14ac:dyDescent="0.2"/>
    <row r="719" ht="14" x14ac:dyDescent="0.2"/>
    <row r="720" ht="14" x14ac:dyDescent="0.2"/>
    <row r="721" ht="14" x14ac:dyDescent="0.2"/>
    <row r="722" ht="14" x14ac:dyDescent="0.2"/>
    <row r="723" ht="14" x14ac:dyDescent="0.2"/>
    <row r="724" ht="14" x14ac:dyDescent="0.2"/>
    <row r="725" ht="14" x14ac:dyDescent="0.2"/>
    <row r="726" ht="14" x14ac:dyDescent="0.2"/>
    <row r="727" ht="14" x14ac:dyDescent="0.2"/>
    <row r="728" ht="14" x14ac:dyDescent="0.2"/>
    <row r="729" ht="14" x14ac:dyDescent="0.2"/>
    <row r="730" ht="14" x14ac:dyDescent="0.2"/>
    <row r="731" ht="14" x14ac:dyDescent="0.2"/>
    <row r="732" ht="14" x14ac:dyDescent="0.2"/>
    <row r="733" ht="14" x14ac:dyDescent="0.2"/>
    <row r="734" ht="14" x14ac:dyDescent="0.2"/>
    <row r="735" ht="14" x14ac:dyDescent="0.2"/>
    <row r="736" ht="14" x14ac:dyDescent="0.2"/>
    <row r="737" ht="14" x14ac:dyDescent="0.2"/>
    <row r="738" ht="14" x14ac:dyDescent="0.2"/>
    <row r="739" ht="14" x14ac:dyDescent="0.2"/>
    <row r="740" ht="14" x14ac:dyDescent="0.2"/>
    <row r="741" ht="14" x14ac:dyDescent="0.2"/>
    <row r="742" ht="14" x14ac:dyDescent="0.2"/>
    <row r="743" ht="14" x14ac:dyDescent="0.2"/>
    <row r="744" ht="14" x14ac:dyDescent="0.2"/>
    <row r="745" ht="14" x14ac:dyDescent="0.2"/>
    <row r="746" ht="14" x14ac:dyDescent="0.2"/>
    <row r="747" ht="14" x14ac:dyDescent="0.2"/>
    <row r="748" ht="14" x14ac:dyDescent="0.2"/>
    <row r="749" ht="14" x14ac:dyDescent="0.2"/>
    <row r="750" ht="14" x14ac:dyDescent="0.2"/>
    <row r="751" ht="14" x14ac:dyDescent="0.2"/>
    <row r="752" ht="14" x14ac:dyDescent="0.2"/>
    <row r="753" ht="14" x14ac:dyDescent="0.2"/>
    <row r="754" ht="14" x14ac:dyDescent="0.2"/>
    <row r="755" ht="14" x14ac:dyDescent="0.2"/>
    <row r="756" ht="14" x14ac:dyDescent="0.2"/>
    <row r="757" ht="14" x14ac:dyDescent="0.2"/>
    <row r="758" ht="14" x14ac:dyDescent="0.2"/>
    <row r="759" ht="14" x14ac:dyDescent="0.2"/>
    <row r="760" ht="14" x14ac:dyDescent="0.2"/>
    <row r="761" ht="14" x14ac:dyDescent="0.2"/>
    <row r="762" ht="14" x14ac:dyDescent="0.2"/>
    <row r="763" ht="14" x14ac:dyDescent="0.2"/>
    <row r="764" ht="14" x14ac:dyDescent="0.2"/>
    <row r="765" ht="14" x14ac:dyDescent="0.2"/>
    <row r="766" ht="14" x14ac:dyDescent="0.2"/>
    <row r="767" ht="14" x14ac:dyDescent="0.2"/>
    <row r="768" ht="14" x14ac:dyDescent="0.2"/>
    <row r="769" ht="14" x14ac:dyDescent="0.2"/>
    <row r="770" ht="14" x14ac:dyDescent="0.2"/>
    <row r="771" ht="14" x14ac:dyDescent="0.2"/>
    <row r="772" ht="14" x14ac:dyDescent="0.2"/>
    <row r="773" ht="14" x14ac:dyDescent="0.2"/>
    <row r="774" ht="14" x14ac:dyDescent="0.2"/>
    <row r="775" ht="14" x14ac:dyDescent="0.2"/>
    <row r="776" ht="14" x14ac:dyDescent="0.2"/>
    <row r="777" ht="14" x14ac:dyDescent="0.2"/>
    <row r="778" ht="14" x14ac:dyDescent="0.2"/>
    <row r="779" ht="14" x14ac:dyDescent="0.2"/>
    <row r="780" ht="14" x14ac:dyDescent="0.2"/>
    <row r="781" ht="14" x14ac:dyDescent="0.2"/>
    <row r="782" ht="14" x14ac:dyDescent="0.2"/>
    <row r="783" ht="14" x14ac:dyDescent="0.2"/>
    <row r="784" ht="14" x14ac:dyDescent="0.2"/>
    <row r="785" ht="14" x14ac:dyDescent="0.2"/>
    <row r="786" ht="14" x14ac:dyDescent="0.2"/>
    <row r="787" ht="14" x14ac:dyDescent="0.2"/>
    <row r="788" ht="14" x14ac:dyDescent="0.2"/>
    <row r="789" ht="14" x14ac:dyDescent="0.2"/>
    <row r="790" ht="14" x14ac:dyDescent="0.2"/>
    <row r="791" ht="14" x14ac:dyDescent="0.2"/>
    <row r="792" ht="14" x14ac:dyDescent="0.2"/>
    <row r="793" ht="14" x14ac:dyDescent="0.2"/>
    <row r="794" ht="14" x14ac:dyDescent="0.2"/>
    <row r="795" ht="14" x14ac:dyDescent="0.2"/>
    <row r="796" ht="14" x14ac:dyDescent="0.2"/>
    <row r="797" ht="14" x14ac:dyDescent="0.2"/>
    <row r="798" ht="14" x14ac:dyDescent="0.2"/>
    <row r="799" ht="14" x14ac:dyDescent="0.2"/>
    <row r="800" ht="14" x14ac:dyDescent="0.2"/>
    <row r="801" ht="14" x14ac:dyDescent="0.2"/>
    <row r="802" ht="14" x14ac:dyDescent="0.2"/>
    <row r="803" ht="14" x14ac:dyDescent="0.2"/>
    <row r="804" ht="14" x14ac:dyDescent="0.2"/>
    <row r="805" ht="14" x14ac:dyDescent="0.2"/>
    <row r="806" ht="14" x14ac:dyDescent="0.2"/>
    <row r="807" ht="14" x14ac:dyDescent="0.2"/>
    <row r="808" ht="14" x14ac:dyDescent="0.2"/>
    <row r="809" ht="14" x14ac:dyDescent="0.2"/>
    <row r="810" ht="14" x14ac:dyDescent="0.2"/>
    <row r="811" ht="14" x14ac:dyDescent="0.2"/>
    <row r="812" ht="14" x14ac:dyDescent="0.2"/>
    <row r="813" ht="14" x14ac:dyDescent="0.2"/>
    <row r="814" ht="14" x14ac:dyDescent="0.2"/>
    <row r="815" ht="14" x14ac:dyDescent="0.2"/>
    <row r="816" ht="14" x14ac:dyDescent="0.2"/>
    <row r="817" ht="14" x14ac:dyDescent="0.2"/>
    <row r="818" ht="14" x14ac:dyDescent="0.2"/>
    <row r="819" ht="14" x14ac:dyDescent="0.2"/>
    <row r="820" ht="14" x14ac:dyDescent="0.2"/>
    <row r="821" ht="14" x14ac:dyDescent="0.2"/>
    <row r="822" ht="14" x14ac:dyDescent="0.2"/>
    <row r="823" ht="14" x14ac:dyDescent="0.2"/>
    <row r="824" ht="14" x14ac:dyDescent="0.2"/>
    <row r="825" ht="14" x14ac:dyDescent="0.2"/>
    <row r="826" ht="14" x14ac:dyDescent="0.2"/>
    <row r="827" ht="14" x14ac:dyDescent="0.2"/>
    <row r="828" ht="14" x14ac:dyDescent="0.2"/>
    <row r="829" ht="14" x14ac:dyDescent="0.2"/>
    <row r="830" ht="14" x14ac:dyDescent="0.2"/>
    <row r="831" ht="14" x14ac:dyDescent="0.2"/>
    <row r="832" ht="14" x14ac:dyDescent="0.2"/>
    <row r="833" ht="14" x14ac:dyDescent="0.2"/>
    <row r="834" ht="14" x14ac:dyDescent="0.2"/>
    <row r="835" ht="14" x14ac:dyDescent="0.2"/>
    <row r="836" ht="14" x14ac:dyDescent="0.2"/>
    <row r="837" ht="14" x14ac:dyDescent="0.2"/>
    <row r="838" ht="14" x14ac:dyDescent="0.2"/>
    <row r="839" ht="14" x14ac:dyDescent="0.2"/>
    <row r="840" ht="14" x14ac:dyDescent="0.2"/>
    <row r="841" ht="14" x14ac:dyDescent="0.2"/>
    <row r="842" ht="14" x14ac:dyDescent="0.2"/>
    <row r="843" ht="14" x14ac:dyDescent="0.2"/>
    <row r="844" ht="14" x14ac:dyDescent="0.2"/>
    <row r="845" ht="14" x14ac:dyDescent="0.2"/>
    <row r="846" ht="14" x14ac:dyDescent="0.2"/>
    <row r="847" ht="14" x14ac:dyDescent="0.2"/>
    <row r="848" ht="14" x14ac:dyDescent="0.2"/>
    <row r="849" ht="14" x14ac:dyDescent="0.2"/>
    <row r="850" ht="14" x14ac:dyDescent="0.2"/>
    <row r="851" ht="14" x14ac:dyDescent="0.2"/>
    <row r="852" ht="14" x14ac:dyDescent="0.2"/>
    <row r="853" ht="14" x14ac:dyDescent="0.2"/>
    <row r="854" ht="14" x14ac:dyDescent="0.2"/>
    <row r="855" ht="14" x14ac:dyDescent="0.2"/>
    <row r="856" ht="14" x14ac:dyDescent="0.2"/>
    <row r="857" ht="14" x14ac:dyDescent="0.2"/>
    <row r="858" ht="14" x14ac:dyDescent="0.2"/>
    <row r="859" ht="14" x14ac:dyDescent="0.2"/>
    <row r="860" ht="14" x14ac:dyDescent="0.2"/>
    <row r="861" ht="14" x14ac:dyDescent="0.2"/>
    <row r="862" ht="14" x14ac:dyDescent="0.2"/>
    <row r="863" ht="14" x14ac:dyDescent="0.2"/>
    <row r="864" ht="14" x14ac:dyDescent="0.2"/>
    <row r="865" ht="14" x14ac:dyDescent="0.2"/>
    <row r="866" ht="14" x14ac:dyDescent="0.2"/>
    <row r="867" ht="14" x14ac:dyDescent="0.2"/>
    <row r="868" ht="14" x14ac:dyDescent="0.2"/>
    <row r="869" ht="14" x14ac:dyDescent="0.2"/>
    <row r="870" ht="14" x14ac:dyDescent="0.2"/>
    <row r="871" ht="14" x14ac:dyDescent="0.2"/>
    <row r="872" ht="14" x14ac:dyDescent="0.2"/>
    <row r="873" ht="14" x14ac:dyDescent="0.2"/>
    <row r="874" ht="14" x14ac:dyDescent="0.2"/>
    <row r="875" ht="14" x14ac:dyDescent="0.2"/>
    <row r="876" ht="14" x14ac:dyDescent="0.2"/>
    <row r="877" ht="14" x14ac:dyDescent="0.2"/>
    <row r="878" ht="14" x14ac:dyDescent="0.2"/>
    <row r="879" ht="14" x14ac:dyDescent="0.2"/>
    <row r="880" ht="14" x14ac:dyDescent="0.2"/>
    <row r="881" ht="14" x14ac:dyDescent="0.2"/>
    <row r="882" ht="14" x14ac:dyDescent="0.2"/>
    <row r="883" ht="14" x14ac:dyDescent="0.2"/>
    <row r="884" ht="14" x14ac:dyDescent="0.2"/>
    <row r="885" ht="14" x14ac:dyDescent="0.2"/>
    <row r="886" ht="14" x14ac:dyDescent="0.2"/>
    <row r="887" ht="14" x14ac:dyDescent="0.2"/>
    <row r="888" ht="14" x14ac:dyDescent="0.2"/>
    <row r="889" ht="14" x14ac:dyDescent="0.2"/>
    <row r="890" ht="14" x14ac:dyDescent="0.2"/>
    <row r="891" ht="14" x14ac:dyDescent="0.2"/>
    <row r="892" ht="14" x14ac:dyDescent="0.2"/>
    <row r="893" ht="14" x14ac:dyDescent="0.2"/>
    <row r="894" ht="14" x14ac:dyDescent="0.2"/>
    <row r="895" ht="14" x14ac:dyDescent="0.2"/>
    <row r="896" ht="14" x14ac:dyDescent="0.2"/>
    <row r="897" ht="14" x14ac:dyDescent="0.2"/>
    <row r="898" ht="14" x14ac:dyDescent="0.2"/>
    <row r="899" ht="14" x14ac:dyDescent="0.2"/>
    <row r="900" ht="14" x14ac:dyDescent="0.2"/>
    <row r="901" ht="14" x14ac:dyDescent="0.2"/>
    <row r="902" ht="14" x14ac:dyDescent="0.2"/>
    <row r="903" ht="14" x14ac:dyDescent="0.2"/>
    <row r="904" ht="14" x14ac:dyDescent="0.2"/>
    <row r="905" ht="14" x14ac:dyDescent="0.2"/>
    <row r="906" ht="14" x14ac:dyDescent="0.2"/>
    <row r="907" ht="14" x14ac:dyDescent="0.2"/>
    <row r="908" ht="14" x14ac:dyDescent="0.2"/>
    <row r="909" ht="14" x14ac:dyDescent="0.2"/>
    <row r="910" ht="14" x14ac:dyDescent="0.2"/>
    <row r="911" ht="14" x14ac:dyDescent="0.2"/>
    <row r="912" ht="14" x14ac:dyDescent="0.2"/>
    <row r="913" ht="14" x14ac:dyDescent="0.2"/>
    <row r="914" ht="14" x14ac:dyDescent="0.2"/>
    <row r="915" ht="14" x14ac:dyDescent="0.2"/>
    <row r="916" ht="14" x14ac:dyDescent="0.2"/>
    <row r="917" ht="14" x14ac:dyDescent="0.2"/>
    <row r="918" ht="14" x14ac:dyDescent="0.2"/>
    <row r="919" ht="14" x14ac:dyDescent="0.2"/>
    <row r="920" ht="14" x14ac:dyDescent="0.2"/>
    <row r="921" ht="14" x14ac:dyDescent="0.2"/>
    <row r="922" ht="14" x14ac:dyDescent="0.2"/>
    <row r="923" ht="14" x14ac:dyDescent="0.2"/>
    <row r="924" ht="14" x14ac:dyDescent="0.2"/>
    <row r="925" ht="14" x14ac:dyDescent="0.2"/>
    <row r="926" ht="14" x14ac:dyDescent="0.2"/>
    <row r="927" ht="14" x14ac:dyDescent="0.2"/>
    <row r="928" ht="14" x14ac:dyDescent="0.2"/>
    <row r="929" ht="14" x14ac:dyDescent="0.2"/>
    <row r="930" ht="14" x14ac:dyDescent="0.2"/>
    <row r="931" ht="14" x14ac:dyDescent="0.2"/>
    <row r="932" ht="14" x14ac:dyDescent="0.2"/>
    <row r="933" ht="14" x14ac:dyDescent="0.2"/>
    <row r="934" ht="14" x14ac:dyDescent="0.2"/>
    <row r="935" ht="14" x14ac:dyDescent="0.2"/>
    <row r="936" ht="14" x14ac:dyDescent="0.2"/>
    <row r="937" ht="14" x14ac:dyDescent="0.2"/>
    <row r="938" ht="14" x14ac:dyDescent="0.2"/>
    <row r="939" ht="14" x14ac:dyDescent="0.2"/>
    <row r="940" ht="14" x14ac:dyDescent="0.2"/>
    <row r="941" ht="14" x14ac:dyDescent="0.2"/>
    <row r="942" ht="14" x14ac:dyDescent="0.2"/>
    <row r="943" ht="14" x14ac:dyDescent="0.2"/>
    <row r="944" ht="14" x14ac:dyDescent="0.2"/>
    <row r="945" ht="14" x14ac:dyDescent="0.2"/>
    <row r="946" ht="14" x14ac:dyDescent="0.2"/>
    <row r="947" ht="14" x14ac:dyDescent="0.2"/>
    <row r="948" ht="14" x14ac:dyDescent="0.2"/>
    <row r="949" ht="14" x14ac:dyDescent="0.2"/>
    <row r="950" ht="14" x14ac:dyDescent="0.2"/>
    <row r="951" ht="14" x14ac:dyDescent="0.2"/>
    <row r="952" ht="14" x14ac:dyDescent="0.2"/>
    <row r="953" ht="14" x14ac:dyDescent="0.2"/>
    <row r="954" ht="14" x14ac:dyDescent="0.2"/>
    <row r="955" ht="14" x14ac:dyDescent="0.2"/>
    <row r="956" ht="14" x14ac:dyDescent="0.2"/>
    <row r="957" ht="14" x14ac:dyDescent="0.2"/>
    <row r="958" ht="14" x14ac:dyDescent="0.2"/>
    <row r="959" ht="14" x14ac:dyDescent="0.2"/>
    <row r="960" ht="14" x14ac:dyDescent="0.2"/>
    <row r="961" ht="14" x14ac:dyDescent="0.2"/>
    <row r="962" ht="14" x14ac:dyDescent="0.2"/>
    <row r="963" ht="14" x14ac:dyDescent="0.2"/>
    <row r="964" ht="14" x14ac:dyDescent="0.2"/>
    <row r="965" ht="14" x14ac:dyDescent="0.2"/>
    <row r="966" ht="14" x14ac:dyDescent="0.2"/>
    <row r="967" ht="14" x14ac:dyDescent="0.2"/>
    <row r="968" ht="14" x14ac:dyDescent="0.2"/>
    <row r="969" ht="14" x14ac:dyDescent="0.2"/>
    <row r="970" ht="14" x14ac:dyDescent="0.2"/>
    <row r="971" ht="14" x14ac:dyDescent="0.2"/>
    <row r="972" ht="14" x14ac:dyDescent="0.2"/>
    <row r="973" ht="14" x14ac:dyDescent="0.2"/>
    <row r="974" ht="14" x14ac:dyDescent="0.2"/>
    <row r="975" ht="14" x14ac:dyDescent="0.2"/>
    <row r="976" ht="14" x14ac:dyDescent="0.2"/>
    <row r="977" ht="14" x14ac:dyDescent="0.2"/>
    <row r="978" ht="14" x14ac:dyDescent="0.2"/>
    <row r="979" ht="14" x14ac:dyDescent="0.2"/>
    <row r="980" ht="14" x14ac:dyDescent="0.2"/>
    <row r="981" ht="14" x14ac:dyDescent="0.2"/>
    <row r="982" ht="14" x14ac:dyDescent="0.2"/>
    <row r="983" ht="14" x14ac:dyDescent="0.2"/>
    <row r="984" ht="14" x14ac:dyDescent="0.2"/>
    <row r="985" ht="14" x14ac:dyDescent="0.2"/>
    <row r="986" ht="14" x14ac:dyDescent="0.2"/>
    <row r="987" ht="14" x14ac:dyDescent="0.2"/>
    <row r="988" ht="14" x14ac:dyDescent="0.2"/>
    <row r="989" ht="14" x14ac:dyDescent="0.2"/>
    <row r="990" ht="14" x14ac:dyDescent="0.2"/>
  </sheetData>
  <mergeCells count="4">
    <mergeCell ref="B3:F3"/>
    <mergeCell ref="I3:M3"/>
    <mergeCell ref="P3:T3"/>
    <mergeCell ref="W3:AA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79834-3C08-074F-A85B-C18CE6DBF21D}">
  <sheetPr>
    <tabColor rgb="FFFFFF99"/>
  </sheetPr>
  <dimension ref="A1"/>
  <sheetViews>
    <sheetView workbookViewId="0"/>
  </sheetViews>
  <sheetFormatPr baseColWidth="10" defaultRowHeight="13" x14ac:dyDescent="0.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1DE68-3426-8746-9B1C-DA8635F7A202}">
  <sheetPr>
    <tabColor rgb="FFFFFF99"/>
  </sheetPr>
  <dimension ref="B1:L70"/>
  <sheetViews>
    <sheetView showGridLines="0" workbookViewId="0">
      <selection activeCell="I23" sqref="I23"/>
    </sheetView>
  </sheetViews>
  <sheetFormatPr baseColWidth="10" defaultRowHeight="13" x14ac:dyDescent="0.15"/>
  <cols>
    <col min="2" max="2" width="14.5" bestFit="1" customWidth="1"/>
    <col min="3" max="3" width="11" bestFit="1" customWidth="1"/>
    <col min="4" max="4" width="11.6640625" bestFit="1" customWidth="1"/>
    <col min="5" max="5" width="12.33203125" bestFit="1" customWidth="1"/>
    <col min="6" max="6" width="15.1640625" bestFit="1" customWidth="1"/>
    <col min="7" max="7" width="15.83203125" bestFit="1" customWidth="1"/>
    <col min="8" max="8" width="14.5" bestFit="1" customWidth="1"/>
    <col min="9" max="11" width="14.5" customWidth="1"/>
    <col min="12" max="12" width="13.6640625" bestFit="1" customWidth="1"/>
  </cols>
  <sheetData>
    <row r="1" spans="2:11" ht="14" x14ac:dyDescent="0.2">
      <c r="B1" s="2" t="s">
        <v>916</v>
      </c>
      <c r="C1" s="2"/>
    </row>
    <row r="2" spans="2:11" ht="14" x14ac:dyDescent="0.2">
      <c r="B2" s="196" t="s">
        <v>297</v>
      </c>
      <c r="C2" s="441" t="s">
        <v>916</v>
      </c>
      <c r="D2" s="442"/>
      <c r="E2" s="442"/>
      <c r="F2" s="442"/>
      <c r="G2" s="443"/>
    </row>
    <row r="3" spans="2:11" ht="14" x14ac:dyDescent="0.2">
      <c r="B3" s="200" t="s">
        <v>106</v>
      </c>
      <c r="C3" s="201"/>
      <c r="D3" s="201" t="s">
        <v>1101</v>
      </c>
      <c r="E3" s="202" t="s">
        <v>7</v>
      </c>
      <c r="F3" s="202" t="s">
        <v>5</v>
      </c>
      <c r="G3" s="202" t="s">
        <v>108</v>
      </c>
    </row>
    <row r="4" spans="2:11" ht="14" x14ac:dyDescent="0.2">
      <c r="B4" s="203">
        <v>26500</v>
      </c>
      <c r="C4" s="204">
        <v>33000</v>
      </c>
      <c r="D4" s="204"/>
      <c r="E4" s="205">
        <f>B4*C4</f>
        <v>874500000</v>
      </c>
      <c r="F4" s="206" t="e">
        <f>E15/E4</f>
        <v>#REF!</v>
      </c>
      <c r="G4" s="207" t="e" cm="1">
        <f t="array" ref="G4">_xlfn.IFS(F4&lt;74.99%,"0",F4&lt;=100%,".20%",F4&lt;=130%,".25%",F4&gt;=130%,".35%")</f>
        <v>#REF!</v>
      </c>
      <c r="H4" s="260" t="e">
        <f>LOOKUP(F4,Policy!$L$28:$M$31)</f>
        <v>#REF!</v>
      </c>
      <c r="I4" s="260"/>
      <c r="J4" s="260"/>
      <c r="K4" s="260"/>
    </row>
    <row r="5" spans="2:11" ht="14" x14ac:dyDescent="0.2">
      <c r="B5" s="267"/>
      <c r="C5" s="204"/>
      <c r="D5" s="204"/>
      <c r="E5" s="205"/>
      <c r="F5" s="206"/>
      <c r="G5" s="207"/>
      <c r="H5" s="260"/>
      <c r="I5" s="260"/>
      <c r="J5" s="260"/>
      <c r="K5" s="260"/>
    </row>
    <row r="6" spans="2:11" ht="14" x14ac:dyDescent="0.2">
      <c r="B6" s="208"/>
      <c r="C6" s="204"/>
      <c r="D6" s="73">
        <v>45839</v>
      </c>
      <c r="E6" s="213">
        <f>'RM Calculation Pro Rata'!K7+'RM Calculation Pro Rata'!K15+'RM Calculation Pro Rata'!K23</f>
        <v>20112698.299310002</v>
      </c>
      <c r="F6" s="210" t="e">
        <f>E6/$E$15</f>
        <v>#REF!</v>
      </c>
      <c r="G6" s="211" t="e">
        <f>F6*$G$15</f>
        <v>#REF!</v>
      </c>
    </row>
    <row r="7" spans="2:11" ht="14" x14ac:dyDescent="0.2">
      <c r="B7" s="208"/>
      <c r="C7" s="204"/>
      <c r="D7" s="73">
        <v>45870</v>
      </c>
      <c r="E7" s="213">
        <f>'RM Calculation Pro Rata'!K8+'RM Calculation Pro Rata'!K16+'RM Calculation Pro Rata'!K24</f>
        <v>335795559.32203388</v>
      </c>
      <c r="F7" s="210" t="e">
        <f t="shared" ref="F7:F14" si="0">E7/$E$15</f>
        <v>#REF!</v>
      </c>
      <c r="G7" s="211" t="e">
        <f t="shared" ref="G7:G14" si="1">F7*$G$15</f>
        <v>#REF!</v>
      </c>
    </row>
    <row r="8" spans="2:11" ht="14" x14ac:dyDescent="0.2">
      <c r="B8" s="208"/>
      <c r="C8" s="204"/>
      <c r="D8" s="73">
        <v>45901</v>
      </c>
      <c r="E8" s="213">
        <f>'RM Calculation Pro Rata'!K9+'RM Calculation Pro Rata'!K17+'RM Calculation Pro Rata'!K25</f>
        <v>0</v>
      </c>
      <c r="F8" s="210" t="e">
        <f t="shared" si="0"/>
        <v>#REF!</v>
      </c>
      <c r="G8" s="211" t="e">
        <f t="shared" si="1"/>
        <v>#REF!</v>
      </c>
    </row>
    <row r="9" spans="2:11" ht="14" x14ac:dyDescent="0.2">
      <c r="B9" s="208"/>
      <c r="C9" s="204"/>
      <c r="D9" s="73">
        <v>45931</v>
      </c>
      <c r="E9" s="213" t="e">
        <f>'RM Calculation Pro Rata'!R7+'RM Calculation Pro Rata'!R15+'RM Calculation Pro Rata'!R23</f>
        <v>#REF!</v>
      </c>
      <c r="F9" s="210" t="e">
        <f t="shared" si="0"/>
        <v>#REF!</v>
      </c>
      <c r="G9" s="211" t="e">
        <f t="shared" si="1"/>
        <v>#REF!</v>
      </c>
    </row>
    <row r="10" spans="2:11" ht="14" x14ac:dyDescent="0.2">
      <c r="B10" s="208"/>
      <c r="C10" s="204"/>
      <c r="D10" s="73">
        <v>45962</v>
      </c>
      <c r="E10" s="213" t="e">
        <f>'RM Calculation Pro Rata'!R8+'RM Calculation Pro Rata'!R16+'RM Calculation Pro Rata'!R24</f>
        <v>#REF!</v>
      </c>
      <c r="F10" s="210" t="e">
        <f t="shared" si="0"/>
        <v>#REF!</v>
      </c>
      <c r="G10" s="211" t="e">
        <f t="shared" si="1"/>
        <v>#REF!</v>
      </c>
    </row>
    <row r="11" spans="2:11" ht="14" x14ac:dyDescent="0.2">
      <c r="B11" s="208"/>
      <c r="C11" s="204"/>
      <c r="D11" s="73">
        <v>45992</v>
      </c>
      <c r="E11" s="213" t="e">
        <f>'RM Calculation Pro Rata'!R9+'RM Calculation Pro Rata'!R17+'RM Calculation Pro Rata'!R25</f>
        <v>#REF!</v>
      </c>
      <c r="F11" s="210" t="e">
        <f t="shared" si="0"/>
        <v>#REF!</v>
      </c>
      <c r="G11" s="211" t="e">
        <f t="shared" si="1"/>
        <v>#REF!</v>
      </c>
    </row>
    <row r="12" spans="2:11" ht="14" x14ac:dyDescent="0.2">
      <c r="B12" s="208"/>
      <c r="C12" s="204"/>
      <c r="D12" s="73">
        <v>46023</v>
      </c>
      <c r="E12" s="213" t="e">
        <f>'RM Calculation Pro Rata'!Y7+'RM Calculation Pro Rata'!Y15+'RM Calculation Pro Rata'!Y23</f>
        <v>#REF!</v>
      </c>
      <c r="F12" s="210" t="e">
        <f t="shared" si="0"/>
        <v>#REF!</v>
      </c>
      <c r="G12" s="211" t="e">
        <f t="shared" si="1"/>
        <v>#REF!</v>
      </c>
    </row>
    <row r="13" spans="2:11" ht="14" x14ac:dyDescent="0.2">
      <c r="B13" s="208"/>
      <c r="C13" s="204"/>
      <c r="D13" s="73">
        <v>46054</v>
      </c>
      <c r="E13" s="213" t="e">
        <f>'RM Calculation Pro Rata'!Y8+'RM Calculation Pro Rata'!Y16+'RM Calculation Pro Rata'!Y24</f>
        <v>#REF!</v>
      </c>
      <c r="F13" s="210" t="e">
        <f t="shared" si="0"/>
        <v>#REF!</v>
      </c>
      <c r="G13" s="211" t="e">
        <f t="shared" si="1"/>
        <v>#REF!</v>
      </c>
    </row>
    <row r="14" spans="2:11" ht="14" x14ac:dyDescent="0.2">
      <c r="B14" s="208"/>
      <c r="C14" s="204"/>
      <c r="D14" s="73">
        <v>46082</v>
      </c>
      <c r="E14" s="213">
        <f>'RM Calculation Pro Rata'!Y9+'RM Calculation Pro Rata'!Y17+'RM Calculation Pro Rata'!Y25</f>
        <v>20109613.559322</v>
      </c>
      <c r="F14" s="210" t="e">
        <f t="shared" si="0"/>
        <v>#REF!</v>
      </c>
      <c r="G14" s="211" t="e">
        <f t="shared" si="1"/>
        <v>#REF!</v>
      </c>
    </row>
    <row r="15" spans="2:11" ht="14" x14ac:dyDescent="0.2">
      <c r="B15" s="208"/>
      <c r="C15" s="204"/>
      <c r="D15" s="73"/>
      <c r="E15" s="74" t="e">
        <f>SUM(E6:E14)</f>
        <v>#REF!</v>
      </c>
      <c r="F15" s="59" t="e">
        <f>SUM(F6:F14)</f>
        <v>#REF!</v>
      </c>
      <c r="G15" s="76" t="e">
        <f>E15*G4</f>
        <v>#REF!</v>
      </c>
    </row>
    <row r="16" spans="2:11" ht="14" x14ac:dyDescent="0.2">
      <c r="B16" s="217" t="s">
        <v>17</v>
      </c>
      <c r="C16" s="204"/>
      <c r="D16" s="204"/>
      <c r="E16" s="218"/>
      <c r="F16" s="218"/>
      <c r="G16" s="218"/>
    </row>
    <row r="17" spans="2:11" ht="14" x14ac:dyDescent="0.2">
      <c r="B17" s="200" t="s">
        <v>106</v>
      </c>
      <c r="C17" s="219" t="s">
        <v>107</v>
      </c>
      <c r="D17" s="201" t="s">
        <v>1101</v>
      </c>
      <c r="E17" s="220" t="s">
        <v>7</v>
      </c>
      <c r="F17" s="220" t="s">
        <v>5</v>
      </c>
      <c r="G17" s="220" t="s">
        <v>108</v>
      </c>
    </row>
    <row r="18" spans="2:11" ht="14" x14ac:dyDescent="0.2">
      <c r="B18" s="203">
        <v>17500</v>
      </c>
      <c r="C18" s="204">
        <v>33000</v>
      </c>
      <c r="D18" s="204"/>
      <c r="E18" s="205">
        <f>B18*C18</f>
        <v>577500000</v>
      </c>
      <c r="F18" s="206" t="e">
        <f>E29/E18</f>
        <v>#REF!</v>
      </c>
      <c r="G18" s="207" t="e" cm="1">
        <f t="array" ref="G18">_xlfn.IFS(F18&lt;74.99%,"0",F18&lt;=100%,".20%",F18&lt;=130%,".25%",F18&gt;=130%,".35%")</f>
        <v>#REF!</v>
      </c>
      <c r="H18" s="260" t="e">
        <f>LOOKUP(F18,Policy!$L$28:$M$31)</f>
        <v>#REF!</v>
      </c>
      <c r="I18" s="260"/>
      <c r="J18" s="260"/>
      <c r="K18" s="260"/>
    </row>
    <row r="19" spans="2:11" ht="14" x14ac:dyDescent="0.2">
      <c r="B19" s="267"/>
      <c r="C19" s="204"/>
      <c r="D19" s="204"/>
      <c r="E19" s="205"/>
      <c r="F19" s="206"/>
      <c r="G19" s="207"/>
      <c r="H19" s="260"/>
      <c r="I19" s="260"/>
      <c r="J19" s="260"/>
      <c r="K19" s="260"/>
    </row>
    <row r="20" spans="2:11" ht="14" x14ac:dyDescent="0.2">
      <c r="B20" s="208"/>
      <c r="C20" s="204"/>
      <c r="D20" s="73">
        <v>45839</v>
      </c>
      <c r="E20" s="268">
        <f>'RM Calculation Pro Rata'!K31+'RM Calculation Pro Rata'!K40</f>
        <v>14857542.369750001</v>
      </c>
      <c r="F20" s="210" t="e">
        <f>E20/$E$29</f>
        <v>#REF!</v>
      </c>
      <c r="G20" s="211" t="e">
        <f>F20*$G$29</f>
        <v>#REF!</v>
      </c>
    </row>
    <row r="21" spans="2:11" ht="14" x14ac:dyDescent="0.2">
      <c r="B21" s="208"/>
      <c r="C21" s="204"/>
      <c r="D21" s="73">
        <v>45870</v>
      </c>
      <c r="E21" s="268">
        <f>'RM Calculation Pro Rata'!K32+'RM Calculation Pro Rata'!K41</f>
        <v>106472355.93220323</v>
      </c>
      <c r="F21" s="210" t="e">
        <f t="shared" ref="F21:F28" si="2">E21/$E$29</f>
        <v>#REF!</v>
      </c>
      <c r="G21" s="211" t="e">
        <f t="shared" ref="G21:G28" si="3">F21*$G$29</f>
        <v>#REF!</v>
      </c>
    </row>
    <row r="22" spans="2:11" ht="14" x14ac:dyDescent="0.2">
      <c r="B22" s="208"/>
      <c r="C22" s="204"/>
      <c r="D22" s="73">
        <v>45901</v>
      </c>
      <c r="E22" s="268">
        <f>'RM Calculation Pro Rata'!K33+'RM Calculation Pro Rata'!K42</f>
        <v>0</v>
      </c>
      <c r="F22" s="210" t="e">
        <f t="shared" si="2"/>
        <v>#REF!</v>
      </c>
      <c r="G22" s="211" t="e">
        <f t="shared" si="3"/>
        <v>#REF!</v>
      </c>
    </row>
    <row r="23" spans="2:11" ht="14" x14ac:dyDescent="0.2">
      <c r="B23" s="208"/>
      <c r="C23" s="204"/>
      <c r="D23" s="73">
        <v>45931</v>
      </c>
      <c r="E23" s="268" t="e">
        <f>+'RM Calculation Pro Rata'!R31+'RM Calculation Pro Rata'!R40</f>
        <v>#REF!</v>
      </c>
      <c r="F23" s="210" t="e">
        <f t="shared" si="2"/>
        <v>#REF!</v>
      </c>
      <c r="G23" s="211" t="e">
        <f t="shared" si="3"/>
        <v>#REF!</v>
      </c>
    </row>
    <row r="24" spans="2:11" ht="14" x14ac:dyDescent="0.2">
      <c r="B24" s="208"/>
      <c r="C24" s="204"/>
      <c r="D24" s="73">
        <v>45962</v>
      </c>
      <c r="E24" s="268" t="e">
        <f>+'RM Calculation Pro Rata'!R32+'RM Calculation Pro Rata'!R41</f>
        <v>#REF!</v>
      </c>
      <c r="F24" s="210" t="e">
        <f t="shared" si="2"/>
        <v>#REF!</v>
      </c>
      <c r="G24" s="211" t="e">
        <f t="shared" si="3"/>
        <v>#REF!</v>
      </c>
    </row>
    <row r="25" spans="2:11" ht="14" x14ac:dyDescent="0.2">
      <c r="B25" s="208"/>
      <c r="C25" s="204"/>
      <c r="D25" s="73">
        <v>45992</v>
      </c>
      <c r="E25" s="268" t="e">
        <f>+'RM Calculation Pro Rata'!R33+'RM Calculation Pro Rata'!R42</f>
        <v>#REF!</v>
      </c>
      <c r="F25" s="210" t="e">
        <f t="shared" si="2"/>
        <v>#REF!</v>
      </c>
      <c r="G25" s="211" t="e">
        <f t="shared" si="3"/>
        <v>#REF!</v>
      </c>
    </row>
    <row r="26" spans="2:11" ht="14" x14ac:dyDescent="0.2">
      <c r="B26" s="208"/>
      <c r="C26" s="204"/>
      <c r="D26" s="73">
        <v>46023</v>
      </c>
      <c r="E26" s="268" t="e">
        <f>+'RM Calculation Pro Rata'!Y31+'RM Calculation Pro Rata'!Y40</f>
        <v>#REF!</v>
      </c>
      <c r="F26" s="210" t="e">
        <f t="shared" si="2"/>
        <v>#REF!</v>
      </c>
      <c r="G26" s="211" t="e">
        <f t="shared" si="3"/>
        <v>#REF!</v>
      </c>
    </row>
    <row r="27" spans="2:11" ht="14" x14ac:dyDescent="0.2">
      <c r="B27" s="208"/>
      <c r="C27" s="204"/>
      <c r="D27" s="73">
        <v>46054</v>
      </c>
      <c r="E27" s="268" t="e">
        <f>+'RM Calculation Pro Rata'!Y32+'RM Calculation Pro Rata'!Y41</f>
        <v>#REF!</v>
      </c>
      <c r="F27" s="210" t="e">
        <f t="shared" si="2"/>
        <v>#REF!</v>
      </c>
      <c r="G27" s="211" t="e">
        <f t="shared" si="3"/>
        <v>#REF!</v>
      </c>
    </row>
    <row r="28" spans="2:11" ht="14" x14ac:dyDescent="0.2">
      <c r="B28" s="208"/>
      <c r="C28" s="204"/>
      <c r="D28" s="73">
        <v>46082</v>
      </c>
      <c r="E28" s="268">
        <f>+'RM Calculation Pro Rata'!Y33+'RM Calculation Pro Rata'!Y42</f>
        <v>19187175.423728786</v>
      </c>
      <c r="F28" s="210" t="e">
        <f t="shared" si="2"/>
        <v>#REF!</v>
      </c>
      <c r="G28" s="211" t="e">
        <f t="shared" si="3"/>
        <v>#REF!</v>
      </c>
    </row>
    <row r="29" spans="2:11" ht="14" x14ac:dyDescent="0.2">
      <c r="B29" s="208"/>
      <c r="C29" s="204"/>
      <c r="D29" s="204"/>
      <c r="E29" s="74" t="e">
        <f>SUM(E20:E28)</f>
        <v>#REF!</v>
      </c>
      <c r="F29" s="59" t="e">
        <f>SUM(F20:F28)</f>
        <v>#REF!</v>
      </c>
      <c r="G29" s="76" t="e">
        <f>E29*G18</f>
        <v>#REF!</v>
      </c>
    </row>
    <row r="30" spans="2:11" ht="14" x14ac:dyDescent="0.2">
      <c r="B30" s="200" t="s">
        <v>55</v>
      </c>
      <c r="C30" s="204"/>
      <c r="D30" s="204"/>
      <c r="E30" s="218"/>
      <c r="F30" s="218"/>
      <c r="G30" s="218"/>
    </row>
    <row r="31" spans="2:11" ht="14" x14ac:dyDescent="0.2">
      <c r="B31" s="200" t="s">
        <v>106</v>
      </c>
      <c r="C31" s="201"/>
      <c r="D31" s="201" t="s">
        <v>1101</v>
      </c>
      <c r="E31" s="220" t="s">
        <v>7</v>
      </c>
      <c r="F31" s="220" t="s">
        <v>5</v>
      </c>
      <c r="G31" s="220" t="s">
        <v>108</v>
      </c>
    </row>
    <row r="32" spans="2:11" ht="14" x14ac:dyDescent="0.2">
      <c r="B32" s="203">
        <v>18000</v>
      </c>
      <c r="C32" s="204">
        <v>33000</v>
      </c>
      <c r="D32" s="204"/>
      <c r="E32" s="205">
        <f>B32*C32</f>
        <v>594000000</v>
      </c>
      <c r="F32" s="206" t="e">
        <f>E43/E32</f>
        <v>#REF!</v>
      </c>
      <c r="G32" s="207" t="e" cm="1">
        <f t="array" ref="G32">_xlfn.IFS(F32&lt;74.99%,"0",F32&lt;=100%,".20%",F32&lt;=130%,".25%",F32&gt;=130%,".35%")</f>
        <v>#REF!</v>
      </c>
      <c r="H32" s="260" t="e">
        <f>LOOKUP(F32,Policy!$L$28:$M$31)</f>
        <v>#REF!</v>
      </c>
      <c r="I32" s="260"/>
      <c r="J32" s="260"/>
      <c r="K32" s="260"/>
    </row>
    <row r="33" spans="2:11" ht="14" x14ac:dyDescent="0.2">
      <c r="B33" s="267"/>
      <c r="C33" s="204"/>
      <c r="D33" s="204"/>
      <c r="E33" s="205"/>
      <c r="F33" s="221"/>
      <c r="G33" s="207"/>
      <c r="H33" s="260"/>
      <c r="I33" s="260"/>
      <c r="J33" s="260"/>
      <c r="K33" s="260"/>
    </row>
    <row r="34" spans="2:11" ht="14" x14ac:dyDescent="0.2">
      <c r="B34" s="208"/>
      <c r="C34" s="204"/>
      <c r="D34" s="73">
        <v>45839</v>
      </c>
      <c r="E34" s="213">
        <f>+'RM Calculation Pro Rata'!K48+'RM Calculation Pro Rata'!K56+'RM Calculation Pro Rata'!K64</f>
        <v>15585316.100129997</v>
      </c>
      <c r="F34" s="210" t="e">
        <f>E34/$E$43</f>
        <v>#REF!</v>
      </c>
      <c r="G34" s="211" t="e">
        <f>F34*$G$43</f>
        <v>#REF!</v>
      </c>
    </row>
    <row r="35" spans="2:11" ht="14" x14ac:dyDescent="0.2">
      <c r="B35" s="208"/>
      <c r="C35" s="204"/>
      <c r="D35" s="73">
        <v>45870</v>
      </c>
      <c r="E35" s="213">
        <f>+'RM Calculation Pro Rata'!K49+'RM Calculation Pro Rata'!K57+'RM Calculation Pro Rata'!K65</f>
        <v>170598112.71186414</v>
      </c>
      <c r="F35" s="210" t="e">
        <f t="shared" ref="F35:F42" si="4">E35/$E$43</f>
        <v>#REF!</v>
      </c>
      <c r="G35" s="211" t="e">
        <f t="shared" ref="G35:G42" si="5">F35*$G$43</f>
        <v>#REF!</v>
      </c>
    </row>
    <row r="36" spans="2:11" ht="14" x14ac:dyDescent="0.2">
      <c r="B36" s="208"/>
      <c r="C36" s="204"/>
      <c r="D36" s="73">
        <v>45901</v>
      </c>
      <c r="E36" s="213">
        <f>+'RM Calculation Pro Rata'!K50+'RM Calculation Pro Rata'!K58+'RM Calculation Pro Rata'!K66</f>
        <v>0</v>
      </c>
      <c r="F36" s="210" t="e">
        <f t="shared" si="4"/>
        <v>#REF!</v>
      </c>
      <c r="G36" s="211" t="e">
        <f t="shared" si="5"/>
        <v>#REF!</v>
      </c>
    </row>
    <row r="37" spans="2:11" ht="14" x14ac:dyDescent="0.2">
      <c r="B37" s="208"/>
      <c r="C37" s="204"/>
      <c r="D37" s="73">
        <v>45931</v>
      </c>
      <c r="E37" s="213" t="e">
        <f>'RM Calculation Pro Rata'!R48+'RM Calculation Pro Rata'!R56+'RM Calculation Pro Rata'!R64</f>
        <v>#REF!</v>
      </c>
      <c r="F37" s="210" t="e">
        <f t="shared" si="4"/>
        <v>#REF!</v>
      </c>
      <c r="G37" s="211" t="e">
        <f t="shared" si="5"/>
        <v>#REF!</v>
      </c>
    </row>
    <row r="38" spans="2:11" ht="14" x14ac:dyDescent="0.2">
      <c r="B38" s="208"/>
      <c r="C38" s="204"/>
      <c r="D38" s="73">
        <v>45962</v>
      </c>
      <c r="E38" s="213" t="e">
        <f>'RM Calculation Pro Rata'!R49+'RM Calculation Pro Rata'!R57+'RM Calculation Pro Rata'!R65</f>
        <v>#REF!</v>
      </c>
      <c r="F38" s="210" t="e">
        <f t="shared" si="4"/>
        <v>#REF!</v>
      </c>
      <c r="G38" s="211" t="e">
        <f t="shared" si="5"/>
        <v>#REF!</v>
      </c>
    </row>
    <row r="39" spans="2:11" ht="14" x14ac:dyDescent="0.2">
      <c r="B39" s="208"/>
      <c r="C39" s="204"/>
      <c r="D39" s="73">
        <v>45992</v>
      </c>
      <c r="E39" s="213" t="e">
        <f>'RM Calculation Pro Rata'!R50+'RM Calculation Pro Rata'!R58+'RM Calculation Pro Rata'!R66</f>
        <v>#REF!</v>
      </c>
      <c r="F39" s="210" t="e">
        <f t="shared" si="4"/>
        <v>#REF!</v>
      </c>
      <c r="G39" s="211" t="e">
        <f t="shared" si="5"/>
        <v>#REF!</v>
      </c>
    </row>
    <row r="40" spans="2:11" ht="14" x14ac:dyDescent="0.2">
      <c r="B40" s="208"/>
      <c r="C40" s="204"/>
      <c r="D40" s="73">
        <v>46023</v>
      </c>
      <c r="E40" s="213" t="e">
        <f>'RM Calculation Pro Rata'!Y48+'RM Calculation Pro Rata'!Y56+'RM Calculation Pro Rata'!Y64</f>
        <v>#REF!</v>
      </c>
      <c r="F40" s="210" t="e">
        <f t="shared" si="4"/>
        <v>#REF!</v>
      </c>
      <c r="G40" s="211" t="e">
        <f t="shared" si="5"/>
        <v>#REF!</v>
      </c>
    </row>
    <row r="41" spans="2:11" ht="14" x14ac:dyDescent="0.2">
      <c r="B41" s="208"/>
      <c r="C41" s="204"/>
      <c r="D41" s="73">
        <v>46054</v>
      </c>
      <c r="E41" s="213" t="e">
        <f>'RM Calculation Pro Rata'!Y49+'RM Calculation Pro Rata'!Y57+'RM Calculation Pro Rata'!Y65</f>
        <v>#REF!</v>
      </c>
      <c r="F41" s="210" t="e">
        <f t="shared" si="4"/>
        <v>#REF!</v>
      </c>
      <c r="G41" s="211" t="e">
        <f t="shared" si="5"/>
        <v>#REF!</v>
      </c>
    </row>
    <row r="42" spans="2:11" ht="14" x14ac:dyDescent="0.2">
      <c r="B42" s="208"/>
      <c r="C42" s="204"/>
      <c r="D42" s="73">
        <v>46082</v>
      </c>
      <c r="E42" s="213">
        <f>'RM Calculation Pro Rata'!Y50+'RM Calculation Pro Rata'!Y58+'RM Calculation Pro Rata'!Y66</f>
        <v>20670727.966101661</v>
      </c>
      <c r="F42" s="210" t="e">
        <f t="shared" si="4"/>
        <v>#REF!</v>
      </c>
      <c r="G42" s="211" t="e">
        <f t="shared" si="5"/>
        <v>#REF!</v>
      </c>
    </row>
    <row r="43" spans="2:11" ht="14" x14ac:dyDescent="0.2">
      <c r="B43" s="208"/>
      <c r="C43" s="204"/>
      <c r="D43" s="204"/>
      <c r="E43" s="74" t="e">
        <f>SUM(E34:E42)</f>
        <v>#REF!</v>
      </c>
      <c r="F43" s="59" t="e">
        <f>SUM(F34:F42)</f>
        <v>#REF!</v>
      </c>
      <c r="G43" s="76" t="e">
        <f>E43*G32</f>
        <v>#REF!</v>
      </c>
    </row>
    <row r="44" spans="2:11" ht="14" x14ac:dyDescent="0.2">
      <c r="B44" s="42" t="s">
        <v>111</v>
      </c>
      <c r="C44" s="204"/>
      <c r="D44" s="204"/>
      <c r="E44" s="218"/>
      <c r="F44" s="218"/>
      <c r="G44" s="218"/>
    </row>
    <row r="45" spans="2:11" ht="14" x14ac:dyDescent="0.2">
      <c r="B45" s="200" t="s">
        <v>106</v>
      </c>
      <c r="C45" s="201"/>
      <c r="D45" s="201" t="s">
        <v>1101</v>
      </c>
      <c r="E45" s="220" t="s">
        <v>7</v>
      </c>
      <c r="F45" s="220" t="s">
        <v>5</v>
      </c>
      <c r="G45" s="220" t="s">
        <v>108</v>
      </c>
    </row>
    <row r="46" spans="2:11" ht="14" x14ac:dyDescent="0.2">
      <c r="B46" s="203">
        <v>16800</v>
      </c>
      <c r="C46" s="204">
        <v>33000</v>
      </c>
      <c r="D46" s="204"/>
      <c r="E46" s="205">
        <f>B46*C46</f>
        <v>554400000</v>
      </c>
      <c r="F46" s="206" t="e">
        <f>E57/E46</f>
        <v>#REF!</v>
      </c>
      <c r="G46" s="207" t="e" cm="1">
        <f t="array" ref="G46">_xlfn.IFS(F46&lt;74.99%,"0",F46&lt;=100%,".20%",F46&lt;=130%,".25%",F46&gt;=130%,".35%")</f>
        <v>#REF!</v>
      </c>
      <c r="H46" s="260" t="e">
        <f>LOOKUP(F46,Policy!$L$28:$M$31)</f>
        <v>#REF!</v>
      </c>
      <c r="I46" s="260"/>
      <c r="J46" s="260"/>
      <c r="K46" s="260"/>
    </row>
    <row r="47" spans="2:11" ht="14" x14ac:dyDescent="0.2">
      <c r="B47" s="267"/>
      <c r="C47" s="204"/>
      <c r="D47" s="204"/>
      <c r="E47" s="205"/>
      <c r="F47" s="206"/>
      <c r="G47" s="207"/>
      <c r="H47" s="260"/>
      <c r="I47" s="260"/>
      <c r="J47" s="260"/>
      <c r="K47" s="260"/>
    </row>
    <row r="48" spans="2:11" ht="14" x14ac:dyDescent="0.2">
      <c r="B48" s="208"/>
      <c r="C48" s="204"/>
      <c r="D48" s="73">
        <v>45839</v>
      </c>
      <c r="E48" s="213">
        <f>'RM Calculation Pro Rata'!K72+'RM Calculation Pro Rata'!K80+'RM Calculation Pro Rata'!K88</f>
        <v>18647823.730929997</v>
      </c>
      <c r="F48" s="210" t="e">
        <f>E48/$E$57</f>
        <v>#REF!</v>
      </c>
      <c r="G48" s="211" t="e">
        <f>F48*$G$57</f>
        <v>#REF!</v>
      </c>
    </row>
    <row r="49" spans="2:12" ht="14" x14ac:dyDescent="0.2">
      <c r="B49" s="208"/>
      <c r="C49" s="204"/>
      <c r="D49" s="73">
        <v>45870</v>
      </c>
      <c r="E49" s="213">
        <f>'RM Calculation Pro Rata'!K73+'RM Calculation Pro Rata'!K81+'RM Calculation Pro Rata'!K89</f>
        <v>122555927.11864401</v>
      </c>
      <c r="F49" s="210" t="e">
        <f t="shared" ref="F49:F56" si="6">E49/$E$57</f>
        <v>#REF!</v>
      </c>
      <c r="G49" s="211" t="e">
        <f t="shared" ref="G49:G56" si="7">F49*$G$57</f>
        <v>#REF!</v>
      </c>
    </row>
    <row r="50" spans="2:12" ht="14" x14ac:dyDescent="0.2">
      <c r="B50" s="208"/>
      <c r="C50" s="204"/>
      <c r="D50" s="73">
        <v>45901</v>
      </c>
      <c r="E50" s="213">
        <f>'RM Calculation Pro Rata'!K74+'RM Calculation Pro Rata'!K82+'RM Calculation Pro Rata'!K90</f>
        <v>0</v>
      </c>
      <c r="F50" s="210" t="e">
        <f t="shared" si="6"/>
        <v>#REF!</v>
      </c>
      <c r="G50" s="211" t="e">
        <f t="shared" si="7"/>
        <v>#REF!</v>
      </c>
    </row>
    <row r="51" spans="2:12" ht="14" x14ac:dyDescent="0.2">
      <c r="B51" s="208"/>
      <c r="C51" s="204"/>
      <c r="D51" s="73">
        <v>45931</v>
      </c>
      <c r="E51" s="213" t="e">
        <f>'RM Calculation Pro Rata'!R72+'RM Calculation Pro Rata'!R80+'RM Calculation Pro Rata'!R88</f>
        <v>#REF!</v>
      </c>
      <c r="F51" s="210" t="e">
        <f t="shared" si="6"/>
        <v>#REF!</v>
      </c>
      <c r="G51" s="211" t="e">
        <f t="shared" si="7"/>
        <v>#REF!</v>
      </c>
    </row>
    <row r="52" spans="2:12" ht="14" x14ac:dyDescent="0.2">
      <c r="B52" s="208"/>
      <c r="C52" s="204"/>
      <c r="D52" s="73">
        <v>45962</v>
      </c>
      <c r="E52" s="213" t="e">
        <f>'RM Calculation Pro Rata'!R73+'RM Calculation Pro Rata'!R81+'RM Calculation Pro Rata'!R89</f>
        <v>#REF!</v>
      </c>
      <c r="F52" s="210" t="e">
        <f t="shared" si="6"/>
        <v>#REF!</v>
      </c>
      <c r="G52" s="211" t="e">
        <f t="shared" si="7"/>
        <v>#REF!</v>
      </c>
    </row>
    <row r="53" spans="2:12" ht="14" x14ac:dyDescent="0.2">
      <c r="B53" s="208"/>
      <c r="C53" s="204"/>
      <c r="D53" s="73">
        <v>45992</v>
      </c>
      <c r="E53" s="213" t="e">
        <f>'RM Calculation Pro Rata'!R74+'RM Calculation Pro Rata'!R82+'RM Calculation Pro Rata'!R90</f>
        <v>#REF!</v>
      </c>
      <c r="F53" s="210" t="e">
        <f t="shared" si="6"/>
        <v>#REF!</v>
      </c>
      <c r="G53" s="211" t="e">
        <f t="shared" si="7"/>
        <v>#REF!</v>
      </c>
    </row>
    <row r="54" spans="2:12" ht="14" x14ac:dyDescent="0.2">
      <c r="B54" s="208"/>
      <c r="C54" s="204"/>
      <c r="D54" s="73">
        <v>46023</v>
      </c>
      <c r="E54" s="213" t="e">
        <f>'RM Calculation Pro Rata'!Y72+'RM Calculation Pro Rata'!Y80+'RM Calculation Pro Rata'!Y88</f>
        <v>#REF!</v>
      </c>
      <c r="F54" s="210" t="e">
        <f t="shared" si="6"/>
        <v>#REF!</v>
      </c>
      <c r="G54" s="211" t="e">
        <f t="shared" si="7"/>
        <v>#REF!</v>
      </c>
    </row>
    <row r="55" spans="2:12" ht="14" x14ac:dyDescent="0.2">
      <c r="B55" s="208"/>
      <c r="C55" s="204"/>
      <c r="D55" s="73">
        <v>46054</v>
      </c>
      <c r="E55" s="213" t="e">
        <f>'RM Calculation Pro Rata'!Y73+'RM Calculation Pro Rata'!Y81+'RM Calculation Pro Rata'!Y89</f>
        <v>#REF!</v>
      </c>
      <c r="F55" s="210" t="e">
        <f t="shared" si="6"/>
        <v>#REF!</v>
      </c>
      <c r="G55" s="211" t="e">
        <f t="shared" si="7"/>
        <v>#REF!</v>
      </c>
    </row>
    <row r="56" spans="2:12" ht="14" x14ac:dyDescent="0.2">
      <c r="B56" s="208"/>
      <c r="C56" s="204"/>
      <c r="D56" s="73">
        <v>46082</v>
      </c>
      <c r="E56" s="213">
        <f>'RM Calculation Pro Rata'!Y74+'RM Calculation Pro Rata'!Y82+'RM Calculation Pro Rata'!Y90</f>
        <v>16570744.915254217</v>
      </c>
      <c r="F56" s="210" t="e">
        <f t="shared" si="6"/>
        <v>#REF!</v>
      </c>
      <c r="G56" s="211" t="e">
        <f t="shared" si="7"/>
        <v>#REF!</v>
      </c>
    </row>
    <row r="57" spans="2:12" ht="14" x14ac:dyDescent="0.2">
      <c r="B57" s="208"/>
      <c r="C57" s="204"/>
      <c r="D57" s="212"/>
      <c r="E57" s="74" t="e">
        <f>SUM(E48:E56)</f>
        <v>#REF!</v>
      </c>
      <c r="F57" s="59" t="e">
        <f>SUM(F48:F56)</f>
        <v>#REF!</v>
      </c>
      <c r="G57" s="76" t="e">
        <f>E57*G46</f>
        <v>#REF!</v>
      </c>
      <c r="L57" s="252"/>
    </row>
    <row r="61" spans="2:12" ht="14" x14ac:dyDescent="0.2">
      <c r="B61" s="276" t="s">
        <v>951</v>
      </c>
      <c r="C61" s="78" t="s">
        <v>935</v>
      </c>
      <c r="D61" s="78" t="s">
        <v>936</v>
      </c>
      <c r="E61" s="78" t="s">
        <v>937</v>
      </c>
      <c r="F61" s="78" t="s">
        <v>1045</v>
      </c>
      <c r="G61" s="78" t="s">
        <v>1046</v>
      </c>
      <c r="H61" s="78" t="s">
        <v>1047</v>
      </c>
      <c r="I61" s="273" t="s">
        <v>1104</v>
      </c>
      <c r="J61" s="273" t="s">
        <v>1105</v>
      </c>
      <c r="K61" s="273" t="s">
        <v>1106</v>
      </c>
      <c r="L61" s="79" t="s">
        <v>243</v>
      </c>
    </row>
    <row r="62" spans="2:12" ht="14" x14ac:dyDescent="0.2">
      <c r="B62" s="196" t="s">
        <v>297</v>
      </c>
      <c r="C62" s="275" t="e">
        <f>G6</f>
        <v>#REF!</v>
      </c>
      <c r="D62" s="80" t="e">
        <f>G7</f>
        <v>#REF!</v>
      </c>
      <c r="E62" s="80" t="e">
        <f>G8</f>
        <v>#REF!</v>
      </c>
      <c r="F62" s="80" t="e">
        <f>G9</f>
        <v>#REF!</v>
      </c>
      <c r="G62" s="80" t="e">
        <f>G10</f>
        <v>#REF!</v>
      </c>
      <c r="H62" s="269" t="e">
        <f>G11</f>
        <v>#REF!</v>
      </c>
      <c r="I62" s="61" t="e">
        <f>G12</f>
        <v>#REF!</v>
      </c>
      <c r="J62" s="271" t="e">
        <f>G13</f>
        <v>#REF!</v>
      </c>
      <c r="K62" s="271" t="e">
        <f>G14</f>
        <v>#REF!</v>
      </c>
      <c r="L62" s="271" t="e">
        <f>SUM(C62:K62)</f>
        <v>#REF!</v>
      </c>
    </row>
    <row r="63" spans="2:12" ht="14" x14ac:dyDescent="0.2">
      <c r="B63" s="196"/>
      <c r="C63" s="275"/>
      <c r="D63" s="80"/>
      <c r="E63" s="80"/>
      <c r="F63" s="80"/>
      <c r="G63" s="80"/>
      <c r="H63" s="269"/>
      <c r="I63" s="61"/>
      <c r="J63" s="271"/>
      <c r="K63" s="271"/>
      <c r="L63" s="271"/>
    </row>
    <row r="64" spans="2:12" ht="14" x14ac:dyDescent="0.2">
      <c r="B64" s="196" t="s">
        <v>17</v>
      </c>
      <c r="C64" s="275" t="e">
        <f>G20</f>
        <v>#REF!</v>
      </c>
      <c r="D64" s="80" t="e">
        <f>G21</f>
        <v>#REF!</v>
      </c>
      <c r="E64" s="80" t="e">
        <f>G22</f>
        <v>#REF!</v>
      </c>
      <c r="F64" s="80" t="e">
        <f>G23</f>
        <v>#REF!</v>
      </c>
      <c r="G64" s="80" t="e">
        <f>G24</f>
        <v>#REF!</v>
      </c>
      <c r="H64" s="269" t="e">
        <f>G25</f>
        <v>#REF!</v>
      </c>
      <c r="I64" s="61" t="e">
        <f>G26</f>
        <v>#REF!</v>
      </c>
      <c r="J64" s="271" t="e">
        <f>G27</f>
        <v>#REF!</v>
      </c>
      <c r="K64" s="271" t="e">
        <f>G28</f>
        <v>#REF!</v>
      </c>
      <c r="L64" s="271" t="e">
        <f>SUM(C64:K64)</f>
        <v>#REF!</v>
      </c>
    </row>
    <row r="65" spans="2:12" ht="14" x14ac:dyDescent="0.2">
      <c r="B65" s="196"/>
      <c r="C65" s="275"/>
      <c r="D65" s="80"/>
      <c r="E65" s="80"/>
      <c r="F65" s="80"/>
      <c r="G65" s="80"/>
      <c r="H65" s="269"/>
      <c r="I65" s="61"/>
      <c r="J65" s="271"/>
      <c r="K65" s="271"/>
      <c r="L65" s="271"/>
    </row>
    <row r="66" spans="2:12" ht="14" x14ac:dyDescent="0.2">
      <c r="B66" s="196" t="s">
        <v>55</v>
      </c>
      <c r="C66" s="275" t="e">
        <f>G34</f>
        <v>#REF!</v>
      </c>
      <c r="D66" s="80" t="e">
        <f>G35</f>
        <v>#REF!</v>
      </c>
      <c r="E66" s="80" t="e">
        <f>G36</f>
        <v>#REF!</v>
      </c>
      <c r="F66" s="80" t="e">
        <f>G37</f>
        <v>#REF!</v>
      </c>
      <c r="G66" s="80" t="e">
        <f>G38</f>
        <v>#REF!</v>
      </c>
      <c r="H66" s="269" t="e">
        <f>G39</f>
        <v>#REF!</v>
      </c>
      <c r="I66" s="61" t="e">
        <f>G40</f>
        <v>#REF!</v>
      </c>
      <c r="J66" s="271" t="e">
        <f>G41</f>
        <v>#REF!</v>
      </c>
      <c r="K66" s="271" t="e">
        <f>G42</f>
        <v>#REF!</v>
      </c>
      <c r="L66" s="271" t="e">
        <f>SUM(C66:K66)</f>
        <v>#REF!</v>
      </c>
    </row>
    <row r="67" spans="2:12" ht="14" x14ac:dyDescent="0.2">
      <c r="B67" s="196"/>
      <c r="C67" s="275"/>
      <c r="D67" s="80"/>
      <c r="E67" s="80"/>
      <c r="F67" s="80"/>
      <c r="G67" s="80"/>
      <c r="H67" s="269"/>
      <c r="I67" s="61"/>
      <c r="J67" s="271"/>
      <c r="K67" s="271"/>
      <c r="L67" s="271"/>
    </row>
    <row r="68" spans="2:12" ht="14" x14ac:dyDescent="0.2">
      <c r="B68" s="42" t="s">
        <v>111</v>
      </c>
      <c r="C68" s="275" t="e">
        <f>G48</f>
        <v>#REF!</v>
      </c>
      <c r="D68" s="80" t="e">
        <f>G49</f>
        <v>#REF!</v>
      </c>
      <c r="E68" s="80" t="e">
        <f>G50</f>
        <v>#REF!</v>
      </c>
      <c r="F68" s="80" t="e">
        <f>G51</f>
        <v>#REF!</v>
      </c>
      <c r="G68" s="80" t="e">
        <f>G52</f>
        <v>#REF!</v>
      </c>
      <c r="H68" s="269" t="e">
        <f>G53</f>
        <v>#REF!</v>
      </c>
      <c r="I68" s="61" t="e">
        <f>G54</f>
        <v>#REF!</v>
      </c>
      <c r="J68" s="271" t="e">
        <f>G55</f>
        <v>#REF!</v>
      </c>
      <c r="K68" s="271" t="e">
        <f>G56</f>
        <v>#REF!</v>
      </c>
      <c r="L68" s="271" t="e">
        <f>SUM(C68:K68)</f>
        <v>#REF!</v>
      </c>
    </row>
    <row r="69" spans="2:12" ht="14" x14ac:dyDescent="0.2">
      <c r="B69" s="42"/>
      <c r="C69" s="275"/>
      <c r="D69" s="80"/>
      <c r="E69" s="80"/>
      <c r="F69" s="80"/>
      <c r="G69" s="80"/>
      <c r="H69" s="269"/>
      <c r="I69" s="61"/>
      <c r="J69" s="271"/>
      <c r="K69" s="277"/>
      <c r="L69" s="61"/>
    </row>
    <row r="70" spans="2:12" ht="14" x14ac:dyDescent="0.2">
      <c r="B70" s="222" t="s">
        <v>9</v>
      </c>
      <c r="C70" s="272" t="e">
        <f t="shared" ref="C70:L70" si="8">SUM(C62:C68)</f>
        <v>#REF!</v>
      </c>
      <c r="D70" s="81" t="e">
        <f t="shared" si="8"/>
        <v>#REF!</v>
      </c>
      <c r="E70" s="81" t="e">
        <f t="shared" si="8"/>
        <v>#REF!</v>
      </c>
      <c r="F70" s="81" t="e">
        <f t="shared" si="8"/>
        <v>#REF!</v>
      </c>
      <c r="G70" s="81" t="e">
        <f t="shared" si="8"/>
        <v>#REF!</v>
      </c>
      <c r="H70" s="270" t="e">
        <f t="shared" si="8"/>
        <v>#REF!</v>
      </c>
      <c r="I70" s="274" t="e">
        <f t="shared" si="8"/>
        <v>#REF!</v>
      </c>
      <c r="J70" s="274" t="e">
        <f t="shared" si="8"/>
        <v>#REF!</v>
      </c>
      <c r="K70" s="274" t="e">
        <f t="shared" si="8"/>
        <v>#REF!</v>
      </c>
      <c r="L70" s="74" t="e">
        <f t="shared" si="8"/>
        <v>#REF!</v>
      </c>
    </row>
  </sheetData>
  <mergeCells count="1">
    <mergeCell ref="C2:G2"/>
  </mergeCell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7704-AE06-7E42-8CE2-E2FA2803F50B}">
  <sheetPr>
    <tabColor rgb="FFFFFF99"/>
  </sheetPr>
  <dimension ref="A1:AH18"/>
  <sheetViews>
    <sheetView topLeftCell="AB1" workbookViewId="0">
      <selection activeCell="AB1" sqref="AB1"/>
    </sheetView>
  </sheetViews>
  <sheetFormatPr baseColWidth="10" defaultRowHeight="13" x14ac:dyDescent="0.15"/>
  <sheetData>
    <row r="1" spans="1:34" x14ac:dyDescent="0.15">
      <c r="A1" s="262" t="s">
        <v>1188</v>
      </c>
      <c r="J1" s="262" t="s">
        <v>1434</v>
      </c>
      <c r="S1" s="262" t="s">
        <v>2094</v>
      </c>
      <c r="AB1" s="262" t="s">
        <v>2525</v>
      </c>
      <c r="AC1" s="262"/>
      <c r="AD1" s="262"/>
      <c r="AE1" s="262"/>
      <c r="AF1" s="262"/>
      <c r="AG1" s="262"/>
      <c r="AH1" s="262"/>
    </row>
    <row r="2" spans="1:34" s="262" customFormat="1" x14ac:dyDescent="0.15">
      <c r="A2" s="262" t="s">
        <v>3</v>
      </c>
      <c r="B2" s="262" t="s">
        <v>1077</v>
      </c>
      <c r="C2" s="262" t="s">
        <v>1076</v>
      </c>
      <c r="D2" s="262" t="s">
        <v>65</v>
      </c>
      <c r="E2" s="262" t="s">
        <v>66</v>
      </c>
      <c r="F2" s="262" t="s">
        <v>67</v>
      </c>
      <c r="G2" s="262" t="s">
        <v>107</v>
      </c>
      <c r="J2" s="262" t="s">
        <v>68</v>
      </c>
      <c r="K2" s="262" t="s">
        <v>1077</v>
      </c>
      <c r="L2" s="262" t="s">
        <v>1076</v>
      </c>
      <c r="M2" s="262" t="s">
        <v>65</v>
      </c>
      <c r="N2" s="262" t="s">
        <v>66</v>
      </c>
      <c r="O2" s="262" t="s">
        <v>67</v>
      </c>
      <c r="P2" s="262" t="s">
        <v>107</v>
      </c>
      <c r="S2" s="262" t="s">
        <v>68</v>
      </c>
      <c r="T2" s="262" t="s">
        <v>1077</v>
      </c>
      <c r="U2" s="262" t="s">
        <v>1076</v>
      </c>
      <c r="V2" s="262" t="s">
        <v>65</v>
      </c>
      <c r="W2" s="262" t="s">
        <v>66</v>
      </c>
      <c r="X2" s="262" t="s">
        <v>67</v>
      </c>
      <c r="Y2" s="262" t="s">
        <v>107</v>
      </c>
      <c r="AB2" s="262" t="s">
        <v>3</v>
      </c>
      <c r="AC2" s="262" t="s">
        <v>1077</v>
      </c>
      <c r="AD2" s="262" t="s">
        <v>1076</v>
      </c>
      <c r="AE2" s="262" t="s">
        <v>65</v>
      </c>
      <c r="AF2" s="262" t="s">
        <v>66</v>
      </c>
      <c r="AG2" s="262" t="s">
        <v>67</v>
      </c>
      <c r="AH2" s="262" t="s">
        <v>107</v>
      </c>
    </row>
    <row r="3" spans="1:34" x14ac:dyDescent="0.15">
      <c r="A3" t="s">
        <v>640</v>
      </c>
      <c r="B3" t="s">
        <v>191</v>
      </c>
      <c r="C3" t="s">
        <v>195</v>
      </c>
      <c r="D3">
        <v>1387763</v>
      </c>
      <c r="E3">
        <v>1176070.3389830492</v>
      </c>
      <c r="F3">
        <v>37</v>
      </c>
      <c r="G3">
        <v>31785.684837379707</v>
      </c>
      <c r="J3" t="s">
        <v>640</v>
      </c>
      <c r="K3" t="s">
        <v>705</v>
      </c>
      <c r="L3" t="s">
        <v>686</v>
      </c>
      <c r="M3">
        <v>1769201</v>
      </c>
      <c r="N3">
        <v>1499322.8813559322</v>
      </c>
      <c r="O3">
        <v>49</v>
      </c>
      <c r="P3">
        <v>30598.426150121064</v>
      </c>
      <c r="S3" t="s">
        <v>640</v>
      </c>
      <c r="T3" t="s">
        <v>191</v>
      </c>
      <c r="U3" t="s">
        <v>195</v>
      </c>
      <c r="V3">
        <v>1682354</v>
      </c>
      <c r="W3">
        <v>1425723.728813557</v>
      </c>
      <c r="X3">
        <v>46</v>
      </c>
      <c r="Y3">
        <v>30993.994104642541</v>
      </c>
      <c r="AB3" t="s">
        <v>646</v>
      </c>
      <c r="AC3" t="s">
        <v>303</v>
      </c>
      <c r="AD3" t="s">
        <v>305</v>
      </c>
      <c r="AE3">
        <v>1246167</v>
      </c>
      <c r="AF3">
        <v>1056073.7283000005</v>
      </c>
      <c r="AG3">
        <v>33</v>
      </c>
      <c r="AH3">
        <v>32002.234190909108</v>
      </c>
    </row>
    <row r="4" spans="1:34" x14ac:dyDescent="0.15">
      <c r="A4" t="s">
        <v>640</v>
      </c>
      <c r="B4" t="s">
        <v>31</v>
      </c>
      <c r="C4" t="s">
        <v>32</v>
      </c>
      <c r="D4">
        <v>1999998</v>
      </c>
      <c r="E4">
        <v>1694913.5593220307</v>
      </c>
      <c r="F4">
        <v>52</v>
      </c>
      <c r="G4">
        <v>32594.491525423669</v>
      </c>
      <c r="J4" t="s">
        <v>640</v>
      </c>
      <c r="K4" t="s">
        <v>248</v>
      </c>
      <c r="L4" t="s">
        <v>251</v>
      </c>
      <c r="M4">
        <v>1980345</v>
      </c>
      <c r="N4">
        <v>1678258.4745762711</v>
      </c>
      <c r="O4">
        <v>55</v>
      </c>
      <c r="P4">
        <v>30513.790446841293</v>
      </c>
      <c r="S4" t="s">
        <v>640</v>
      </c>
      <c r="T4" t="s">
        <v>705</v>
      </c>
      <c r="U4" t="s">
        <v>686</v>
      </c>
      <c r="V4">
        <v>972874</v>
      </c>
      <c r="W4">
        <v>824469.49152542255</v>
      </c>
      <c r="X4">
        <v>26</v>
      </c>
      <c r="Y4">
        <v>31710.365058670097</v>
      </c>
      <c r="AB4" t="s">
        <v>1144</v>
      </c>
      <c r="AC4" t="s">
        <v>194</v>
      </c>
      <c r="AD4" t="s">
        <v>199</v>
      </c>
      <c r="AE4">
        <v>2541231</v>
      </c>
      <c r="AF4">
        <v>2153585.5927299992</v>
      </c>
      <c r="AG4">
        <v>69</v>
      </c>
      <c r="AH4">
        <v>31211.385401884047</v>
      </c>
    </row>
    <row r="5" spans="1:34" x14ac:dyDescent="0.15">
      <c r="A5" t="s">
        <v>640</v>
      </c>
      <c r="B5" t="s">
        <v>756</v>
      </c>
      <c r="C5" t="s">
        <v>757</v>
      </c>
      <c r="D5">
        <v>982522</v>
      </c>
      <c r="E5">
        <v>832645.76271186327</v>
      </c>
      <c r="F5">
        <v>28</v>
      </c>
      <c r="G5">
        <v>29737.348668280832</v>
      </c>
      <c r="J5" t="s">
        <v>1158</v>
      </c>
      <c r="K5" t="s">
        <v>1040</v>
      </c>
      <c r="L5" t="s">
        <v>1043</v>
      </c>
      <c r="M5">
        <v>146745</v>
      </c>
      <c r="N5">
        <v>124360.16949152542</v>
      </c>
      <c r="O5">
        <v>5</v>
      </c>
      <c r="P5">
        <v>24872.033898305082</v>
      </c>
      <c r="S5" t="s">
        <v>640</v>
      </c>
      <c r="T5" t="s">
        <v>248</v>
      </c>
      <c r="U5" t="s">
        <v>251</v>
      </c>
      <c r="V5">
        <v>2629981</v>
      </c>
      <c r="W5">
        <v>2228797.4576271153</v>
      </c>
      <c r="X5">
        <v>69</v>
      </c>
      <c r="Y5">
        <v>32301.412429378484</v>
      </c>
      <c r="AB5" t="s">
        <v>1144</v>
      </c>
      <c r="AC5" t="s">
        <v>707</v>
      </c>
      <c r="AD5" t="s">
        <v>696</v>
      </c>
      <c r="AE5">
        <v>2991422</v>
      </c>
      <c r="AF5">
        <v>2535103.3891000007</v>
      </c>
      <c r="AG5">
        <v>78</v>
      </c>
      <c r="AH5">
        <v>32501.325501282059</v>
      </c>
    </row>
    <row r="6" spans="1:34" x14ac:dyDescent="0.15">
      <c r="A6" t="s">
        <v>640</v>
      </c>
      <c r="B6" t="s">
        <v>705</v>
      </c>
      <c r="C6" t="s">
        <v>686</v>
      </c>
      <c r="D6">
        <v>1616955</v>
      </c>
      <c r="E6">
        <v>1370300.8474576247</v>
      </c>
      <c r="F6">
        <v>45</v>
      </c>
      <c r="G6">
        <v>30451.129943502772</v>
      </c>
      <c r="J6" t="s">
        <v>1161</v>
      </c>
      <c r="K6" t="s">
        <v>765</v>
      </c>
      <c r="L6" t="s">
        <v>766</v>
      </c>
      <c r="M6">
        <v>1476111</v>
      </c>
      <c r="N6">
        <v>1250941.5254237289</v>
      </c>
      <c r="O6">
        <v>39</v>
      </c>
      <c r="P6">
        <v>32075.423728813559</v>
      </c>
      <c r="S6" t="s">
        <v>1158</v>
      </c>
      <c r="T6" t="s">
        <v>1040</v>
      </c>
      <c r="U6" t="s">
        <v>1043</v>
      </c>
      <c r="V6">
        <v>532936</v>
      </c>
      <c r="W6">
        <v>451640.67796610121</v>
      </c>
      <c r="X6">
        <v>14</v>
      </c>
      <c r="Y6">
        <v>32260.048426150086</v>
      </c>
      <c r="AB6" t="s">
        <v>1144</v>
      </c>
      <c r="AC6" t="s">
        <v>1145</v>
      </c>
      <c r="AD6" t="s">
        <v>1146</v>
      </c>
      <c r="AE6">
        <v>1401362</v>
      </c>
      <c r="AF6">
        <v>1187594.9146</v>
      </c>
      <c r="AG6">
        <v>38</v>
      </c>
      <c r="AH6">
        <v>31252.497752631578</v>
      </c>
    </row>
    <row r="7" spans="1:34" x14ac:dyDescent="0.15">
      <c r="A7" t="s">
        <v>640</v>
      </c>
      <c r="B7" t="s">
        <v>248</v>
      </c>
      <c r="C7" t="s">
        <v>251</v>
      </c>
      <c r="D7">
        <v>1773949</v>
      </c>
      <c r="E7">
        <v>1503346.6101694892</v>
      </c>
      <c r="F7">
        <v>51</v>
      </c>
      <c r="G7">
        <v>29477.384513127239</v>
      </c>
      <c r="J7" t="s">
        <v>1163</v>
      </c>
      <c r="K7" t="s">
        <v>837</v>
      </c>
      <c r="L7" t="s">
        <v>838</v>
      </c>
      <c r="M7">
        <v>348341</v>
      </c>
      <c r="N7">
        <v>295204.23728813557</v>
      </c>
      <c r="O7">
        <v>9</v>
      </c>
      <c r="P7">
        <v>32800.470809792838</v>
      </c>
      <c r="S7" t="s">
        <v>1163</v>
      </c>
      <c r="T7" t="s">
        <v>837</v>
      </c>
      <c r="U7" t="s">
        <v>838</v>
      </c>
      <c r="V7">
        <v>1167069</v>
      </c>
      <c r="W7">
        <v>989041.5254237263</v>
      </c>
      <c r="X7">
        <v>31</v>
      </c>
      <c r="Y7">
        <v>31904.565336249234</v>
      </c>
      <c r="AB7" t="s">
        <v>1144</v>
      </c>
      <c r="AC7" t="s">
        <v>313</v>
      </c>
      <c r="AD7" t="s">
        <v>314</v>
      </c>
      <c r="AE7">
        <v>2479585</v>
      </c>
      <c r="AF7">
        <v>2101343.2198899984</v>
      </c>
      <c r="AG7">
        <v>65</v>
      </c>
      <c r="AH7">
        <v>32328.357229076901</v>
      </c>
    </row>
    <row r="8" spans="1:34" x14ac:dyDescent="0.15">
      <c r="A8" t="s">
        <v>1141</v>
      </c>
      <c r="B8" t="s">
        <v>787</v>
      </c>
      <c r="C8" t="s">
        <v>788</v>
      </c>
      <c r="D8">
        <v>1225766</v>
      </c>
      <c r="E8">
        <v>1038784.7457627103</v>
      </c>
      <c r="F8">
        <v>34</v>
      </c>
      <c r="G8">
        <v>30552.492522432658</v>
      </c>
      <c r="J8" t="s">
        <v>1163</v>
      </c>
      <c r="K8" t="s">
        <v>221</v>
      </c>
      <c r="L8" t="s">
        <v>45</v>
      </c>
      <c r="M8">
        <v>2844473</v>
      </c>
      <c r="N8">
        <v>2410570.3389830487</v>
      </c>
      <c r="O8">
        <v>77</v>
      </c>
      <c r="P8">
        <v>31306.108298481151</v>
      </c>
      <c r="S8" t="s">
        <v>1141</v>
      </c>
      <c r="T8" t="s">
        <v>224</v>
      </c>
      <c r="U8" t="s">
        <v>33</v>
      </c>
      <c r="V8">
        <v>3586755</v>
      </c>
      <c r="W8">
        <v>3039622.8813559264</v>
      </c>
      <c r="X8">
        <v>95</v>
      </c>
      <c r="Y8">
        <v>31996.030330062382</v>
      </c>
      <c r="AB8" t="s">
        <v>1144</v>
      </c>
      <c r="AC8" t="s">
        <v>249</v>
      </c>
      <c r="AD8" t="s">
        <v>250</v>
      </c>
      <c r="AE8">
        <v>3813146</v>
      </c>
      <c r="AF8">
        <v>3231479.6603200021</v>
      </c>
      <c r="AG8">
        <v>104</v>
      </c>
      <c r="AH8">
        <v>31071.91981076925</v>
      </c>
    </row>
    <row r="9" spans="1:34" x14ac:dyDescent="0.15">
      <c r="A9" t="s">
        <v>1141</v>
      </c>
      <c r="B9" t="s">
        <v>218</v>
      </c>
      <c r="C9" t="s">
        <v>219</v>
      </c>
      <c r="D9">
        <v>1102419</v>
      </c>
      <c r="E9">
        <v>934253.38983050722</v>
      </c>
      <c r="F9">
        <v>31</v>
      </c>
      <c r="G9">
        <v>30137.206123564749</v>
      </c>
      <c r="J9" t="s">
        <v>1141</v>
      </c>
      <c r="K9" t="s">
        <v>787</v>
      </c>
      <c r="L9" t="s">
        <v>788</v>
      </c>
      <c r="M9">
        <v>1944797</v>
      </c>
      <c r="N9">
        <v>1648133.0508474573</v>
      </c>
      <c r="O9">
        <v>53</v>
      </c>
      <c r="P9">
        <v>31096.850015989759</v>
      </c>
      <c r="S9" t="s">
        <v>1141</v>
      </c>
      <c r="T9" t="s">
        <v>780</v>
      </c>
      <c r="U9" t="s">
        <v>781</v>
      </c>
      <c r="V9">
        <v>1774903</v>
      </c>
      <c r="W9">
        <v>1504155.0847457601</v>
      </c>
      <c r="X9">
        <v>47</v>
      </c>
      <c r="Y9">
        <v>32003.299675441704</v>
      </c>
      <c r="AB9" t="s">
        <v>1147</v>
      </c>
      <c r="AC9" t="s">
        <v>225</v>
      </c>
      <c r="AD9" t="s">
        <v>27</v>
      </c>
      <c r="AE9">
        <v>2320990</v>
      </c>
      <c r="AF9">
        <v>1966940.6776999992</v>
      </c>
      <c r="AG9">
        <v>60</v>
      </c>
      <c r="AH9">
        <v>32782.344628333318</v>
      </c>
    </row>
    <row r="10" spans="1:34" x14ac:dyDescent="0.15">
      <c r="A10" t="s">
        <v>646</v>
      </c>
      <c r="B10" t="s">
        <v>303</v>
      </c>
      <c r="C10" t="s">
        <v>305</v>
      </c>
      <c r="D10">
        <v>1283266</v>
      </c>
      <c r="E10">
        <v>1087513.5593220321</v>
      </c>
      <c r="F10">
        <v>34</v>
      </c>
      <c r="G10">
        <v>31985.692921236241</v>
      </c>
      <c r="J10" t="s">
        <v>1141</v>
      </c>
      <c r="K10" t="s">
        <v>218</v>
      </c>
      <c r="L10" t="s">
        <v>219</v>
      </c>
      <c r="M10">
        <v>2045145</v>
      </c>
      <c r="N10">
        <v>1733173.7288135588</v>
      </c>
      <c r="O10">
        <v>55</v>
      </c>
      <c r="P10">
        <v>31512.249614791977</v>
      </c>
      <c r="S10" t="s">
        <v>646</v>
      </c>
      <c r="T10" t="s">
        <v>298</v>
      </c>
      <c r="U10" t="s">
        <v>49</v>
      </c>
      <c r="V10">
        <v>465988</v>
      </c>
      <c r="W10">
        <v>394905.08474576211</v>
      </c>
      <c r="X10">
        <v>12</v>
      </c>
      <c r="Y10">
        <v>32908.75706214684</v>
      </c>
    </row>
    <row r="11" spans="1:34" x14ac:dyDescent="0.15">
      <c r="A11" t="s">
        <v>1143</v>
      </c>
      <c r="B11" t="s">
        <v>689</v>
      </c>
      <c r="C11" t="s">
        <v>690</v>
      </c>
      <c r="D11">
        <v>1096521</v>
      </c>
      <c r="E11">
        <v>929255.08474576112</v>
      </c>
      <c r="F11">
        <v>29</v>
      </c>
      <c r="G11">
        <v>32043.278784336591</v>
      </c>
      <c r="J11" t="s">
        <v>1141</v>
      </c>
      <c r="K11" t="s">
        <v>780</v>
      </c>
      <c r="L11" t="s">
        <v>781</v>
      </c>
      <c r="M11">
        <v>1527507</v>
      </c>
      <c r="N11">
        <v>1294497.4576271186</v>
      </c>
      <c r="O11">
        <v>43</v>
      </c>
      <c r="P11">
        <v>30104.592037839968</v>
      </c>
      <c r="S11" t="s">
        <v>646</v>
      </c>
      <c r="T11" t="s">
        <v>303</v>
      </c>
      <c r="U11" t="s">
        <v>305</v>
      </c>
      <c r="V11">
        <v>1449812</v>
      </c>
      <c r="W11">
        <v>1228654.2372881335</v>
      </c>
      <c r="X11">
        <v>38</v>
      </c>
      <c r="Y11">
        <v>32333.006244424567</v>
      </c>
    </row>
    <row r="12" spans="1:34" x14ac:dyDescent="0.15">
      <c r="A12" t="s">
        <v>1143</v>
      </c>
      <c r="B12" t="s">
        <v>706</v>
      </c>
      <c r="C12" t="s">
        <v>688</v>
      </c>
      <c r="D12">
        <v>815227</v>
      </c>
      <c r="E12">
        <v>690870.33898304997</v>
      </c>
      <c r="F12">
        <v>23</v>
      </c>
      <c r="G12">
        <v>30037.840825349998</v>
      </c>
      <c r="J12" t="s">
        <v>646</v>
      </c>
      <c r="K12" t="s">
        <v>285</v>
      </c>
      <c r="L12" t="s">
        <v>54</v>
      </c>
      <c r="M12">
        <v>3385763</v>
      </c>
      <c r="N12">
        <v>2869290.6779660983</v>
      </c>
      <c r="O12">
        <v>87</v>
      </c>
      <c r="P12">
        <v>32980.352620299978</v>
      </c>
      <c r="S12" t="s">
        <v>646</v>
      </c>
      <c r="T12" t="s">
        <v>246</v>
      </c>
      <c r="U12" t="s">
        <v>247</v>
      </c>
      <c r="V12">
        <v>1776954</v>
      </c>
      <c r="W12">
        <v>1505893.2203389809</v>
      </c>
      <c r="X12">
        <v>46</v>
      </c>
      <c r="Y12">
        <v>32736.809137803932</v>
      </c>
    </row>
    <row r="13" spans="1:34" x14ac:dyDescent="0.15">
      <c r="A13" t="s">
        <v>1144</v>
      </c>
      <c r="B13" t="s">
        <v>1107</v>
      </c>
      <c r="C13" t="s">
        <v>1108</v>
      </c>
      <c r="D13">
        <v>680078</v>
      </c>
      <c r="E13">
        <v>576337.28813559271</v>
      </c>
      <c r="F13">
        <v>22</v>
      </c>
      <c r="G13">
        <v>26197.149460708759</v>
      </c>
      <c r="J13" t="s">
        <v>1144</v>
      </c>
      <c r="K13" t="s">
        <v>194</v>
      </c>
      <c r="L13" t="s">
        <v>199</v>
      </c>
      <c r="M13">
        <v>5150213</v>
      </c>
      <c r="N13">
        <v>4364587.2881355863</v>
      </c>
      <c r="O13">
        <v>137</v>
      </c>
      <c r="P13">
        <v>31858.301373252456</v>
      </c>
      <c r="S13" t="s">
        <v>1144</v>
      </c>
      <c r="T13" t="s">
        <v>194</v>
      </c>
      <c r="U13" t="s">
        <v>199</v>
      </c>
      <c r="V13">
        <v>4669179</v>
      </c>
      <c r="W13">
        <v>3956931.3559321957</v>
      </c>
      <c r="X13">
        <v>121</v>
      </c>
      <c r="Y13">
        <v>32701.912032497487</v>
      </c>
    </row>
    <row r="14" spans="1:34" x14ac:dyDescent="0.15">
      <c r="A14" t="s">
        <v>1144</v>
      </c>
      <c r="B14" t="s">
        <v>313</v>
      </c>
      <c r="C14" t="s">
        <v>314</v>
      </c>
      <c r="D14">
        <v>3472358</v>
      </c>
      <c r="E14">
        <v>2942676.2711864356</v>
      </c>
      <c r="F14">
        <v>92</v>
      </c>
      <c r="G14">
        <v>31985.611643330823</v>
      </c>
      <c r="J14" t="s">
        <v>1144</v>
      </c>
      <c r="K14" t="s">
        <v>313</v>
      </c>
      <c r="L14" t="s">
        <v>314</v>
      </c>
      <c r="M14">
        <v>3753201</v>
      </c>
      <c r="N14">
        <v>3180678.8135593194</v>
      </c>
      <c r="O14">
        <v>99</v>
      </c>
      <c r="P14">
        <v>32128.068823831509</v>
      </c>
      <c r="S14" t="s">
        <v>1144</v>
      </c>
      <c r="T14" t="s">
        <v>1107</v>
      </c>
      <c r="U14" t="s">
        <v>1108</v>
      </c>
      <c r="V14">
        <v>539983</v>
      </c>
      <c r="W14">
        <v>457612.71186440613</v>
      </c>
      <c r="X14">
        <v>17</v>
      </c>
      <c r="Y14">
        <v>26918.3948155533</v>
      </c>
    </row>
    <row r="15" spans="1:34" x14ac:dyDescent="0.15">
      <c r="A15" t="s">
        <v>1144</v>
      </c>
      <c r="B15" t="s">
        <v>249</v>
      </c>
      <c r="C15" t="s">
        <v>250</v>
      </c>
      <c r="D15">
        <v>4975016</v>
      </c>
      <c r="E15">
        <v>4216115.2542372793</v>
      </c>
      <c r="F15">
        <v>134</v>
      </c>
      <c r="G15">
        <v>31463.546673412533</v>
      </c>
      <c r="J15" t="s">
        <v>1144</v>
      </c>
      <c r="K15" t="s">
        <v>249</v>
      </c>
      <c r="L15" t="s">
        <v>250</v>
      </c>
      <c r="M15">
        <v>7657896</v>
      </c>
      <c r="N15">
        <v>6489742.3728813529</v>
      </c>
      <c r="O15">
        <v>206</v>
      </c>
      <c r="P15">
        <v>31503.603751851228</v>
      </c>
      <c r="S15" t="s">
        <v>1144</v>
      </c>
      <c r="T15" t="s">
        <v>313</v>
      </c>
      <c r="U15" t="s">
        <v>314</v>
      </c>
      <c r="V15">
        <v>4046692</v>
      </c>
      <c r="W15">
        <v>3429399.999999993</v>
      </c>
      <c r="X15">
        <v>108</v>
      </c>
      <c r="Y15">
        <v>31753.703703703639</v>
      </c>
    </row>
    <row r="16" spans="1:34" x14ac:dyDescent="0.15">
      <c r="A16" t="s">
        <v>1144</v>
      </c>
      <c r="B16" t="s">
        <v>1145</v>
      </c>
      <c r="C16" t="s">
        <v>1146</v>
      </c>
      <c r="D16">
        <v>1043673</v>
      </c>
      <c r="E16">
        <v>884468.64406779571</v>
      </c>
      <c r="F16">
        <v>27</v>
      </c>
      <c r="G16">
        <v>32758.097928436877</v>
      </c>
      <c r="J16" t="s">
        <v>1147</v>
      </c>
      <c r="K16" t="s">
        <v>225</v>
      </c>
      <c r="L16" t="s">
        <v>27</v>
      </c>
      <c r="M16">
        <v>1778704</v>
      </c>
      <c r="N16">
        <v>1507376.2711864405</v>
      </c>
      <c r="O16">
        <v>46</v>
      </c>
      <c r="P16">
        <v>32769.049373618269</v>
      </c>
      <c r="S16" t="s">
        <v>1144</v>
      </c>
      <c r="T16" t="s">
        <v>249</v>
      </c>
      <c r="U16" t="s">
        <v>250</v>
      </c>
      <c r="V16">
        <v>5861743</v>
      </c>
      <c r="W16">
        <v>4967578.8135593142</v>
      </c>
      <c r="X16">
        <v>157</v>
      </c>
      <c r="Y16">
        <v>31640.629385728116</v>
      </c>
    </row>
    <row r="17" spans="1:25" x14ac:dyDescent="0.15">
      <c r="A17" t="s">
        <v>1147</v>
      </c>
      <c r="B17" t="s">
        <v>244</v>
      </c>
      <c r="C17" t="s">
        <v>245</v>
      </c>
      <c r="D17">
        <v>895175</v>
      </c>
      <c r="E17">
        <v>758622.88135593117</v>
      </c>
      <c r="F17">
        <v>25</v>
      </c>
      <c r="G17">
        <v>30344.915254237247</v>
      </c>
      <c r="J17" t="s">
        <v>1149</v>
      </c>
      <c r="K17" t="s">
        <v>1150</v>
      </c>
      <c r="L17" t="s">
        <v>1151</v>
      </c>
      <c r="M17">
        <v>517286</v>
      </c>
      <c r="N17">
        <v>438377.96610169491</v>
      </c>
      <c r="O17">
        <v>14</v>
      </c>
      <c r="P17">
        <v>31312.711864406778</v>
      </c>
      <c r="S17" t="s">
        <v>1147</v>
      </c>
      <c r="T17" t="s">
        <v>222</v>
      </c>
      <c r="U17" t="s">
        <v>223</v>
      </c>
      <c r="V17">
        <v>3054620</v>
      </c>
      <c r="W17">
        <v>2588661.0169491484</v>
      </c>
      <c r="X17">
        <v>80</v>
      </c>
      <c r="Y17">
        <v>32358.262711864354</v>
      </c>
    </row>
    <row r="18" spans="1:25" x14ac:dyDescent="0.15">
      <c r="A18" t="s">
        <v>1149</v>
      </c>
      <c r="B18" t="s">
        <v>301</v>
      </c>
      <c r="C18" t="s">
        <v>302</v>
      </c>
      <c r="D18">
        <v>997473</v>
      </c>
      <c r="E18">
        <v>845316.10169491381</v>
      </c>
      <c r="F18">
        <v>27</v>
      </c>
      <c r="G18">
        <v>31308.00376647829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0F6AA-1973-AD4A-88C7-196D969203CD}">
  <sheetPr>
    <tabColor rgb="FFFFFF99"/>
  </sheetPr>
  <dimension ref="B1:Y38"/>
  <sheetViews>
    <sheetView topLeftCell="H1" workbookViewId="0">
      <selection activeCell="R29" sqref="R29:R34"/>
    </sheetView>
  </sheetViews>
  <sheetFormatPr baseColWidth="10" defaultRowHeight="13" x14ac:dyDescent="0.15"/>
  <cols>
    <col min="1" max="1" width="3.1640625" customWidth="1"/>
    <col min="2" max="2" width="14.5" bestFit="1" customWidth="1"/>
    <col min="4" max="4" width="11" bestFit="1" customWidth="1"/>
    <col min="6" max="6" width="15.1640625" bestFit="1" customWidth="1"/>
    <col min="7" max="7" width="15.83203125" bestFit="1" customWidth="1"/>
    <col min="9" max="9" width="14.5" bestFit="1" customWidth="1"/>
    <col min="10" max="10" width="11" bestFit="1" customWidth="1"/>
    <col min="12" max="12" width="12.33203125" bestFit="1" customWidth="1"/>
    <col min="13" max="13" width="15.1640625" bestFit="1" customWidth="1"/>
    <col min="14" max="14" width="15" customWidth="1"/>
    <col min="15" max="15" width="14.5" bestFit="1" customWidth="1"/>
    <col min="16" max="16" width="13.6640625" bestFit="1" customWidth="1"/>
    <col min="18" max="18" width="14.5" bestFit="1" customWidth="1"/>
    <col min="19" max="19" width="11" bestFit="1" customWidth="1"/>
    <col min="20" max="20" width="11.6640625" bestFit="1" customWidth="1"/>
    <col min="21" max="21" width="12.33203125" bestFit="1" customWidth="1"/>
    <col min="22" max="22" width="15.1640625" bestFit="1" customWidth="1"/>
    <col min="23" max="23" width="15.83203125" bestFit="1" customWidth="1"/>
    <col min="24" max="24" width="14.5" bestFit="1" customWidth="1"/>
    <col min="25" max="25" width="13.6640625" bestFit="1" customWidth="1"/>
  </cols>
  <sheetData>
    <row r="1" spans="2:24" ht="14" x14ac:dyDescent="0.2">
      <c r="B1" s="2" t="s">
        <v>916</v>
      </c>
      <c r="C1" s="2" t="s">
        <v>356</v>
      </c>
      <c r="I1" s="2" t="s">
        <v>916</v>
      </c>
      <c r="J1" s="2" t="s">
        <v>932</v>
      </c>
      <c r="R1" s="2" t="s">
        <v>916</v>
      </c>
      <c r="S1" s="2" t="s">
        <v>750</v>
      </c>
    </row>
    <row r="2" spans="2:24" ht="14" x14ac:dyDescent="0.2">
      <c r="B2" s="196" t="s">
        <v>297</v>
      </c>
      <c r="C2" s="441" t="s">
        <v>917</v>
      </c>
      <c r="D2" s="442"/>
      <c r="E2" s="442"/>
      <c r="F2" s="442"/>
      <c r="G2" s="443"/>
      <c r="I2" s="196" t="s">
        <v>297</v>
      </c>
      <c r="J2" s="441" t="s">
        <v>839</v>
      </c>
      <c r="K2" s="442"/>
      <c r="L2" s="442"/>
      <c r="M2" s="442"/>
      <c r="N2" s="443"/>
      <c r="R2" s="196" t="s">
        <v>297</v>
      </c>
      <c r="S2" s="441" t="s">
        <v>840</v>
      </c>
      <c r="T2" s="442"/>
      <c r="U2" s="442"/>
      <c r="V2" s="442"/>
      <c r="W2" s="443"/>
    </row>
    <row r="3" spans="2:24" ht="14" x14ac:dyDescent="0.2">
      <c r="B3" s="200" t="s">
        <v>106</v>
      </c>
      <c r="C3" s="201"/>
      <c r="D3" s="201" t="s">
        <v>355</v>
      </c>
      <c r="E3" s="202" t="s">
        <v>7</v>
      </c>
      <c r="F3" s="202" t="s">
        <v>5</v>
      </c>
      <c r="G3" s="202" t="s">
        <v>108</v>
      </c>
      <c r="I3" s="200" t="s">
        <v>106</v>
      </c>
      <c r="J3" s="201"/>
      <c r="K3" s="201" t="s">
        <v>355</v>
      </c>
      <c r="L3" s="202" t="s">
        <v>7</v>
      </c>
      <c r="M3" s="202" t="s">
        <v>5</v>
      </c>
      <c r="N3" s="202" t="s">
        <v>108</v>
      </c>
      <c r="R3" s="200" t="s">
        <v>106</v>
      </c>
      <c r="S3" s="201"/>
      <c r="T3" s="201" t="s">
        <v>752</v>
      </c>
      <c r="U3" s="202" t="s">
        <v>7</v>
      </c>
      <c r="V3" s="202" t="s">
        <v>5</v>
      </c>
      <c r="W3" s="202" t="s">
        <v>108</v>
      </c>
    </row>
    <row r="4" spans="2:24" ht="14" x14ac:dyDescent="0.2">
      <c r="B4" s="203">
        <f>'RM Calculation Pro Rata'!A5+('RM Calculation Pro Rata'!A13)/0.75+'RM Calculation Pro Rata'!A21</f>
        <v>4466.666666666667</v>
      </c>
      <c r="C4" s="204">
        <v>33000</v>
      </c>
      <c r="D4" s="204"/>
      <c r="E4" s="205">
        <f>B4*C4</f>
        <v>147400000</v>
      </c>
      <c r="F4" s="206" t="e">
        <f>E7/E4</f>
        <v>#REF!</v>
      </c>
      <c r="G4" s="207" t="e" cm="1">
        <f t="array" ref="G4">_xlfn.IFS(F4&lt;74.99%,"0",F4&lt;=100%,".20%",F4&lt;=130%,".25%",F4&gt;=130%,".35%")</f>
        <v>#REF!</v>
      </c>
      <c r="I4" s="203">
        <f>+'RM Calculation Pro Rata'!H5+'RM Calculation Pro Rata'!H13+'RM Calculation Pro Rata'!H21</f>
        <v>9600</v>
      </c>
      <c r="J4" s="204">
        <v>33000</v>
      </c>
      <c r="K4" s="204"/>
      <c r="L4" s="205">
        <f>I4*J4</f>
        <v>316800000</v>
      </c>
      <c r="M4" s="206">
        <f>L7/L4</f>
        <v>1.1234477828956562</v>
      </c>
      <c r="N4" s="207" t="str" cm="1">
        <f t="array" ref="N4">_xlfn.IFS(M4&lt;74.99%,"0",M4&lt;=100%,".20%",M4&lt;=130%,".25%",M4&gt;=130%,".35%")</f>
        <v>.25%</v>
      </c>
      <c r="O4" s="260">
        <f>LOOKUP(M4,Policy!$L$28:$M$31)</f>
        <v>2.5000000000000001E-3</v>
      </c>
      <c r="R4" s="203" t="e">
        <f>+'RM Calculation Pro Rata'!O5+'RM Calculation Pro Rata'!O13+'RM Calculation Pro Rata'!O21</f>
        <v>#N/A</v>
      </c>
      <c r="S4" s="204">
        <v>33000</v>
      </c>
      <c r="T4" s="204"/>
      <c r="U4" s="205" t="e">
        <f>R4*S4</f>
        <v>#N/A</v>
      </c>
      <c r="V4" s="206" t="e">
        <f>U7/U4</f>
        <v>#REF!</v>
      </c>
      <c r="W4" s="207" t="e" cm="1">
        <f t="array" ref="W4">_xlfn.IFS(V4&lt;74.99%,"0",V4&lt;=100%,".20%",V4&lt;=130%,".25%",V4&gt;=130%,".35%")</f>
        <v>#REF!</v>
      </c>
      <c r="X4" s="260" t="e">
        <f>LOOKUP(V4,Policy!$L$28:$M$31)</f>
        <v>#REF!</v>
      </c>
    </row>
    <row r="5" spans="2:24" ht="14" x14ac:dyDescent="0.2">
      <c r="B5" s="208"/>
      <c r="C5" s="204"/>
      <c r="D5" s="204"/>
      <c r="E5" s="209"/>
      <c r="F5" s="210"/>
      <c r="G5" s="211"/>
      <c r="I5" s="208"/>
      <c r="J5" s="204"/>
      <c r="K5" s="204"/>
      <c r="L5" s="209"/>
      <c r="M5" s="210"/>
      <c r="N5" s="211"/>
      <c r="R5" s="208"/>
      <c r="S5" s="204"/>
      <c r="T5" s="204"/>
      <c r="U5" s="209"/>
      <c r="V5" s="210"/>
      <c r="W5" s="211"/>
    </row>
    <row r="6" spans="2:24" ht="14" x14ac:dyDescent="0.2">
      <c r="B6" s="208"/>
      <c r="C6" s="204"/>
      <c r="D6" s="212" t="s">
        <v>790</v>
      </c>
      <c r="E6" s="213" t="e">
        <f>+'Incentive Report- Output'!#REF!+'Incentive Report- Output'!#REF!+'Incentive Report- Output'!#REF!+'Incentive Report- Output'!#REF!+'Incentive Report- Output'!#REF!+'Incentive Report- Output'!#REF!+'Incentive Report- Output'!#REF!+'Incentive Report- Output'!#REF!+'Incentive Report- Output'!#REF!</f>
        <v>#REF!</v>
      </c>
      <c r="F6" s="210" t="e">
        <f>E6/E7</f>
        <v>#REF!</v>
      </c>
      <c r="G6" s="205" t="e">
        <f>F6*G7</f>
        <v>#REF!</v>
      </c>
      <c r="I6" s="208"/>
      <c r="J6" s="204"/>
      <c r="K6" s="212" t="s">
        <v>790</v>
      </c>
      <c r="L6" s="213">
        <f>+'RM Calculation Pro Rata'!K10+'RM Calculation Pro Rata'!K18+'RM Calculation Pro Rata'!K26</f>
        <v>355908257.62134385</v>
      </c>
      <c r="M6" s="210">
        <f>L6/L7</f>
        <v>1</v>
      </c>
      <c r="N6" s="205">
        <f>M6*N7</f>
        <v>889770.64405335963</v>
      </c>
      <c r="R6" s="208"/>
      <c r="S6" s="204"/>
      <c r="T6" s="212" t="s">
        <v>790</v>
      </c>
      <c r="U6" s="213" t="e">
        <f>+'RM Calculation Pro Rata'!R10+'RM Calculation Pro Rata'!R18+'RM Calculation Pro Rata'!R26</f>
        <v>#REF!</v>
      </c>
      <c r="V6" s="210" t="e">
        <f>U6/U7</f>
        <v>#REF!</v>
      </c>
      <c r="W6" s="205" t="e">
        <f>V6*W7</f>
        <v>#REF!</v>
      </c>
    </row>
    <row r="7" spans="2:24" ht="14" x14ac:dyDescent="0.2">
      <c r="B7" s="208"/>
      <c r="C7" s="204"/>
      <c r="D7" s="204"/>
      <c r="E7" s="214" t="e">
        <f>SUM(E6:E6)</f>
        <v>#REF!</v>
      </c>
      <c r="F7" s="215">
        <v>1</v>
      </c>
      <c r="G7" s="216" t="e">
        <f>E7*G4</f>
        <v>#REF!</v>
      </c>
      <c r="I7" s="208"/>
      <c r="J7" s="204"/>
      <c r="K7" s="204"/>
      <c r="L7" s="214">
        <f>SUM(L6:L6)</f>
        <v>355908257.62134385</v>
      </c>
      <c r="M7" s="215">
        <v>1</v>
      </c>
      <c r="N7" s="216">
        <f>L7*N4</f>
        <v>889770.64405335963</v>
      </c>
      <c r="R7" s="208"/>
      <c r="S7" s="204"/>
      <c r="T7" s="204"/>
      <c r="U7" s="214" t="e">
        <f>SUM(U6:U6)</f>
        <v>#REF!</v>
      </c>
      <c r="V7" s="215">
        <v>1</v>
      </c>
      <c r="W7" s="216" t="e">
        <f>U7*W4</f>
        <v>#REF!</v>
      </c>
    </row>
    <row r="8" spans="2:24" ht="14" x14ac:dyDescent="0.2">
      <c r="B8" s="217" t="s">
        <v>17</v>
      </c>
      <c r="C8" s="204"/>
      <c r="D8" s="204"/>
      <c r="E8" s="218"/>
      <c r="F8" s="218"/>
      <c r="G8" s="218"/>
      <c r="I8" s="217" t="s">
        <v>17</v>
      </c>
      <c r="J8" s="204"/>
      <c r="K8" s="204"/>
      <c r="L8" s="218"/>
      <c r="M8" s="218"/>
      <c r="N8" s="218"/>
      <c r="R8" s="217" t="s">
        <v>17</v>
      </c>
      <c r="S8" s="204"/>
      <c r="T8" s="204"/>
      <c r="U8" s="218"/>
      <c r="V8" s="218"/>
      <c r="W8" s="218"/>
    </row>
    <row r="9" spans="2:24" ht="14" x14ac:dyDescent="0.2">
      <c r="B9" s="200" t="s">
        <v>106</v>
      </c>
      <c r="C9" s="219" t="s">
        <v>107</v>
      </c>
      <c r="D9" s="201" t="s">
        <v>355</v>
      </c>
      <c r="E9" s="220" t="s">
        <v>7</v>
      </c>
      <c r="F9" s="220" t="s">
        <v>5</v>
      </c>
      <c r="G9" s="220" t="s">
        <v>108</v>
      </c>
      <c r="I9" s="200" t="s">
        <v>106</v>
      </c>
      <c r="J9" s="219" t="s">
        <v>107</v>
      </c>
      <c r="K9" s="201" t="s">
        <v>355</v>
      </c>
      <c r="L9" s="220" t="s">
        <v>7</v>
      </c>
      <c r="M9" s="220" t="s">
        <v>5</v>
      </c>
      <c r="N9" s="220" t="s">
        <v>108</v>
      </c>
      <c r="R9" s="200" t="s">
        <v>106</v>
      </c>
      <c r="S9" s="219" t="s">
        <v>107</v>
      </c>
      <c r="T9" s="201" t="s">
        <v>752</v>
      </c>
      <c r="U9" s="220" t="s">
        <v>7</v>
      </c>
      <c r="V9" s="220" t="s">
        <v>5</v>
      </c>
      <c r="W9" s="220" t="s">
        <v>108</v>
      </c>
    </row>
    <row r="10" spans="2:24" ht="14" x14ac:dyDescent="0.2">
      <c r="B10" s="203">
        <f>+'RM Calculation Pro Rata'!A29+'RM Calculation Pro Rata'!A38+'RM Calculation Pro Rata'!A46</f>
        <v>3750</v>
      </c>
      <c r="C10" s="204">
        <v>33000</v>
      </c>
      <c r="D10" s="204"/>
      <c r="E10" s="205">
        <f>B10*C10</f>
        <v>123750000</v>
      </c>
      <c r="F10" s="206" t="e">
        <f>E13/E10</f>
        <v>#REF!</v>
      </c>
      <c r="G10" s="207" t="e" cm="1">
        <f t="array" ref="G10">_xlfn.IFS(F10&lt;74.99%,"0",F10&lt;=100%,".20%",F10&lt;=130%,".25%",F10&gt;=130%,".35%")</f>
        <v>#REF!</v>
      </c>
      <c r="I10" s="203">
        <f>+'RM Calculation Pro Rata'!H29+'RM Calculation Pro Rata'!H38</f>
        <v>4950</v>
      </c>
      <c r="J10" s="204">
        <v>33000</v>
      </c>
      <c r="K10" s="204"/>
      <c r="L10" s="205">
        <f>I10*J10</f>
        <v>163350000</v>
      </c>
      <c r="M10" s="206">
        <f>L13/L10</f>
        <v>0.74276032018336835</v>
      </c>
      <c r="N10" s="207" t="str" cm="1">
        <f t="array" ref="N10">_xlfn.IFS(M10&lt;74.99%,"0",M10&lt;=100%,".20%",M10&lt;=130%,".25%",M10&gt;=130%,".35%")</f>
        <v>0</v>
      </c>
      <c r="O10" s="260">
        <f>LOOKUP(M10,Policy!$L$28:$M$31)</f>
        <v>0</v>
      </c>
      <c r="R10" s="203" t="e">
        <f>+'RM Calculation Pro Rata'!O29+'RM Calculation Pro Rata'!O38</f>
        <v>#N/A</v>
      </c>
      <c r="S10" s="204">
        <v>33000</v>
      </c>
      <c r="T10" s="204"/>
      <c r="U10" s="205" t="e">
        <f>R10*S10</f>
        <v>#N/A</v>
      </c>
      <c r="V10" s="206" t="e">
        <f>U13/U10</f>
        <v>#REF!</v>
      </c>
      <c r="W10" s="207" t="e" cm="1">
        <f t="array" ref="W10">_xlfn.IFS(V10&lt;74.99%,"0",V10&lt;=100%,".20%",V10&lt;=130%,".25%",V10&gt;=130%,".35%")</f>
        <v>#REF!</v>
      </c>
      <c r="X10" s="260" t="e">
        <f>LOOKUP(V10,Policy!$L$28:$M$31)</f>
        <v>#REF!</v>
      </c>
    </row>
    <row r="11" spans="2:24" ht="14" x14ac:dyDescent="0.2">
      <c r="B11" s="208"/>
      <c r="C11" s="204"/>
      <c r="D11" s="204"/>
      <c r="E11" s="218"/>
      <c r="F11" s="218"/>
      <c r="G11" s="218"/>
      <c r="I11" s="208"/>
      <c r="J11" s="204"/>
      <c r="K11" s="204"/>
      <c r="L11" s="218"/>
      <c r="M11" s="218"/>
      <c r="N11" s="218"/>
      <c r="R11" s="208"/>
      <c r="S11" s="204"/>
      <c r="T11" s="204"/>
      <c r="U11" s="218"/>
      <c r="V11" s="218"/>
      <c r="W11" s="218"/>
    </row>
    <row r="12" spans="2:24" ht="14" x14ac:dyDescent="0.2">
      <c r="B12" s="208"/>
      <c r="C12" s="204"/>
      <c r="D12" s="212" t="s">
        <v>790</v>
      </c>
      <c r="E12" s="213" t="e">
        <f>+'Incentive Report- Output'!#REF!+'Incentive Report- Output'!#REF!+'Incentive Report- Output'!#REF!+'Incentive Report- Output'!#REF!+'Incentive Report- Output'!#REF!+'Incentive Report- Output'!#REF!+'Incentive Report- Output'!#REF!+'Incentive Report- Output'!#REF!+'Incentive Report- Output'!#REF!</f>
        <v>#REF!</v>
      </c>
      <c r="F12" s="210" t="e">
        <f>E12/E13</f>
        <v>#REF!</v>
      </c>
      <c r="G12" s="205" t="e">
        <f>F12*G13</f>
        <v>#REF!</v>
      </c>
      <c r="I12" s="208"/>
      <c r="J12" s="204"/>
      <c r="K12" s="212" t="s">
        <v>790</v>
      </c>
      <c r="L12" s="213">
        <f>+'RM Calculation Pro Rata'!K34+'RM Calculation Pro Rata'!K43</f>
        <v>121329898.30195323</v>
      </c>
      <c r="M12" s="210">
        <f>L12/L13</f>
        <v>1</v>
      </c>
      <c r="N12" s="205">
        <f>M12*N13</f>
        <v>0</v>
      </c>
      <c r="R12" s="208"/>
      <c r="S12" s="204"/>
      <c r="T12" s="212" t="s">
        <v>790</v>
      </c>
      <c r="U12" s="213" t="e">
        <f>+'RM Calculation Pro Rata'!R34+'RM Calculation Pro Rata'!R43</f>
        <v>#REF!</v>
      </c>
      <c r="V12" s="210" t="e">
        <f>U12/U13</f>
        <v>#REF!</v>
      </c>
      <c r="W12" s="205" t="e">
        <f>V12*W13</f>
        <v>#REF!</v>
      </c>
    </row>
    <row r="13" spans="2:24" ht="14" x14ac:dyDescent="0.2">
      <c r="B13" s="208"/>
      <c r="C13" s="204"/>
      <c r="D13" s="204"/>
      <c r="E13" s="214" t="e">
        <f>SUM(E12:E12)</f>
        <v>#REF!</v>
      </c>
      <c r="F13" s="215">
        <v>1</v>
      </c>
      <c r="G13" s="216" t="e">
        <f>E13*G10</f>
        <v>#REF!</v>
      </c>
      <c r="I13" s="208"/>
      <c r="J13" s="204"/>
      <c r="K13" s="204"/>
      <c r="L13" s="214">
        <f>SUM(L12:L12)</f>
        <v>121329898.30195323</v>
      </c>
      <c r="M13" s="215">
        <v>1</v>
      </c>
      <c r="N13" s="216">
        <f>L13*N10</f>
        <v>0</v>
      </c>
      <c r="R13" s="208"/>
      <c r="S13" s="204"/>
      <c r="T13" s="204"/>
      <c r="U13" s="214" t="e">
        <f>SUM(U12:U12)</f>
        <v>#REF!</v>
      </c>
      <c r="V13" s="215">
        <v>1</v>
      </c>
      <c r="W13" s="216" t="e">
        <f>U13*W10</f>
        <v>#REF!</v>
      </c>
    </row>
    <row r="14" spans="2:24" ht="14" x14ac:dyDescent="0.2">
      <c r="B14" s="200" t="s">
        <v>55</v>
      </c>
      <c r="C14" s="204"/>
      <c r="D14" s="204"/>
      <c r="E14" s="218"/>
      <c r="F14" s="218"/>
      <c r="G14" s="218"/>
      <c r="I14" s="200" t="s">
        <v>55</v>
      </c>
      <c r="J14" s="204"/>
      <c r="K14" s="204"/>
      <c r="L14" s="218"/>
      <c r="M14" s="218"/>
      <c r="N14" s="218"/>
      <c r="R14" s="200" t="s">
        <v>55</v>
      </c>
      <c r="S14" s="204"/>
      <c r="T14" s="204"/>
      <c r="U14" s="218"/>
      <c r="V14" s="218"/>
      <c r="W14" s="218"/>
    </row>
    <row r="15" spans="2:24" ht="14" x14ac:dyDescent="0.2">
      <c r="B15" s="200" t="s">
        <v>106</v>
      </c>
      <c r="C15" s="201"/>
      <c r="D15" s="201" t="s">
        <v>355</v>
      </c>
      <c r="E15" s="220" t="s">
        <v>7</v>
      </c>
      <c r="F15" s="220" t="s">
        <v>5</v>
      </c>
      <c r="G15" s="220" t="s">
        <v>108</v>
      </c>
      <c r="I15" s="200" t="s">
        <v>106</v>
      </c>
      <c r="J15" s="201"/>
      <c r="K15" s="201" t="s">
        <v>355</v>
      </c>
      <c r="L15" s="220" t="s">
        <v>7</v>
      </c>
      <c r="M15" s="220" t="s">
        <v>5</v>
      </c>
      <c r="N15" s="220" t="s">
        <v>108</v>
      </c>
      <c r="R15" s="200" t="s">
        <v>106</v>
      </c>
      <c r="S15" s="201"/>
      <c r="T15" s="201" t="s">
        <v>752</v>
      </c>
      <c r="U15" s="220" t="s">
        <v>7</v>
      </c>
      <c r="V15" s="220" t="s">
        <v>5</v>
      </c>
      <c r="W15" s="220" t="s">
        <v>108</v>
      </c>
    </row>
    <row r="16" spans="2:24" ht="14" x14ac:dyDescent="0.2">
      <c r="B16" s="203">
        <f>+'RM Calculation Pro Rata'!A54</f>
        <v>850</v>
      </c>
      <c r="C16" s="204">
        <v>33000</v>
      </c>
      <c r="D16" s="204"/>
      <c r="E16" s="205">
        <f>B16*C16</f>
        <v>28050000</v>
      </c>
      <c r="F16" s="221" t="e">
        <f>E19/E16</f>
        <v>#REF!</v>
      </c>
      <c r="G16" s="207" t="e" cm="1">
        <f t="array" ref="G16">_xlfn.IFS(F16&lt;74.99%,"0",F16&lt;=100%,".20%",F16&lt;=130%,".25%",F16&gt;=130%,".35%")</f>
        <v>#REF!</v>
      </c>
      <c r="I16" s="203">
        <f>+'RM Calculation Pro Rata'!H46+'RM Calculation Pro Rata'!H54+'RM Calculation Pro Rata'!H62</f>
        <v>8000</v>
      </c>
      <c r="J16" s="204">
        <v>33000</v>
      </c>
      <c r="K16" s="204"/>
      <c r="L16" s="205">
        <f>I16*J16</f>
        <v>264000000</v>
      </c>
      <c r="M16" s="221">
        <f>L19/L16</f>
        <v>0.70524026065149292</v>
      </c>
      <c r="N16" s="207" t="str" cm="1">
        <f t="array" ref="N16">_xlfn.IFS(M16&lt;74.99%,"0",M16&lt;=100%,".20%",M16&lt;=130%,".25%",M16&gt;=130%,".35%")</f>
        <v>0</v>
      </c>
      <c r="O16" s="260">
        <f>LOOKUP(M16,Policy!$L$28:$M$31)</f>
        <v>0</v>
      </c>
      <c r="R16" s="203" t="e">
        <f>+'RM Calculation Pro Rata'!O46+'RM Calculation Pro Rata'!O54+'RM Calculation Pro Rata'!O62</f>
        <v>#N/A</v>
      </c>
      <c r="S16" s="204">
        <v>33000</v>
      </c>
      <c r="T16" s="204"/>
      <c r="U16" s="205" t="e">
        <f>R16*S16</f>
        <v>#N/A</v>
      </c>
      <c r="V16" s="221" t="e">
        <f>U19/U16</f>
        <v>#REF!</v>
      </c>
      <c r="W16" s="207" t="e" cm="1">
        <f t="array" ref="W16">_xlfn.IFS(V16&lt;74.99%,"0",V16&lt;=100%,".20%",V16&lt;=130%,".25%",V16&gt;=130%,".35%")</f>
        <v>#REF!</v>
      </c>
      <c r="X16" s="260" t="e">
        <f>LOOKUP(V16,Policy!$L$28:$M$31)</f>
        <v>#REF!</v>
      </c>
    </row>
    <row r="17" spans="2:25" ht="14" x14ac:dyDescent="0.2">
      <c r="B17" s="208"/>
      <c r="C17" s="204"/>
      <c r="D17" s="204"/>
      <c r="E17" s="209"/>
      <c r="F17" s="210"/>
      <c r="G17" s="211"/>
      <c r="I17" s="208"/>
      <c r="J17" s="204"/>
      <c r="K17" s="204"/>
      <c r="L17" s="209"/>
      <c r="M17" s="210"/>
      <c r="N17" s="211"/>
      <c r="R17" s="208"/>
      <c r="S17" s="204"/>
      <c r="T17" s="204"/>
      <c r="U17" s="209"/>
      <c r="V17" s="210"/>
      <c r="W17" s="211"/>
    </row>
    <row r="18" spans="2:25" ht="14" x14ac:dyDescent="0.2">
      <c r="B18" s="208"/>
      <c r="C18" s="204"/>
      <c r="D18" s="212" t="s">
        <v>790</v>
      </c>
      <c r="E18" s="213" t="e">
        <f>+'Incentive Report- Output'!#REF!+'Incentive Report- Output'!#REF!+'Incentive Report- Output'!#REF!</f>
        <v>#REF!</v>
      </c>
      <c r="F18" s="210" t="e">
        <f>E18/E19</f>
        <v>#REF!</v>
      </c>
      <c r="G18" s="205" t="e">
        <f>F18*G19</f>
        <v>#REF!</v>
      </c>
      <c r="I18" s="208"/>
      <c r="J18" s="204"/>
      <c r="K18" s="212" t="s">
        <v>790</v>
      </c>
      <c r="L18" s="213">
        <f>+'RM Calculation Pro Rata'!K51+'RM Calculation Pro Rata'!K59+'RM Calculation Pro Rata'!K67</f>
        <v>186183428.81199414</v>
      </c>
      <c r="M18" s="210">
        <f>L18/L19</f>
        <v>1</v>
      </c>
      <c r="N18" s="205">
        <f>M18*N19</f>
        <v>0</v>
      </c>
      <c r="R18" s="208"/>
      <c r="S18" s="204"/>
      <c r="T18" s="212" t="s">
        <v>790</v>
      </c>
      <c r="U18" s="213" t="e">
        <f>+'RM Calculation Pro Rata'!R51+'RM Calculation Pro Rata'!R59+'RM Calculation Pro Rata'!R67</f>
        <v>#REF!</v>
      </c>
      <c r="V18" s="210" t="e">
        <f>U18/U19</f>
        <v>#REF!</v>
      </c>
      <c r="W18" s="205" t="e">
        <f>V18*W19</f>
        <v>#REF!</v>
      </c>
    </row>
    <row r="19" spans="2:25" ht="14" x14ac:dyDescent="0.2">
      <c r="B19" s="208"/>
      <c r="C19" s="204"/>
      <c r="D19" s="204"/>
      <c r="E19" s="214" t="e">
        <f>SUM(E18:E18)</f>
        <v>#REF!</v>
      </c>
      <c r="F19" s="215">
        <v>1</v>
      </c>
      <c r="G19" s="216" t="e">
        <f>E19*G16</f>
        <v>#REF!</v>
      </c>
      <c r="I19" s="208"/>
      <c r="J19" s="204"/>
      <c r="K19" s="204"/>
      <c r="L19" s="214">
        <f>SUM(L18:L18)</f>
        <v>186183428.81199414</v>
      </c>
      <c r="M19" s="215">
        <v>1</v>
      </c>
      <c r="N19" s="216">
        <f>L19*N16</f>
        <v>0</v>
      </c>
      <c r="R19" s="208"/>
      <c r="S19" s="204"/>
      <c r="T19" s="204"/>
      <c r="U19" s="214" t="e">
        <f>SUM(U18:U18)</f>
        <v>#REF!</v>
      </c>
      <c r="V19" s="215">
        <v>1</v>
      </c>
      <c r="W19" s="216" t="e">
        <f>U19*W16</f>
        <v>#REF!</v>
      </c>
    </row>
    <row r="20" spans="2:25" ht="14" x14ac:dyDescent="0.2">
      <c r="B20" s="208"/>
      <c r="C20" s="204"/>
      <c r="D20" s="204"/>
      <c r="E20" s="218"/>
      <c r="F20" s="218"/>
      <c r="G20" s="218"/>
      <c r="I20" s="208"/>
      <c r="J20" s="204"/>
      <c r="K20" s="204"/>
      <c r="L20" s="218"/>
      <c r="M20" s="218"/>
      <c r="N20" s="218"/>
      <c r="R20" s="208"/>
      <c r="S20" s="204"/>
      <c r="T20" s="204"/>
      <c r="U20" s="218"/>
      <c r="V20" s="218"/>
      <c r="W20" s="218"/>
    </row>
    <row r="21" spans="2:25" ht="14" x14ac:dyDescent="0.2">
      <c r="B21" s="42" t="s">
        <v>111</v>
      </c>
      <c r="C21" s="204"/>
      <c r="D21" s="204"/>
      <c r="E21" s="218"/>
      <c r="F21" s="218"/>
      <c r="G21" s="218"/>
      <c r="I21" s="42" t="s">
        <v>111</v>
      </c>
      <c r="J21" s="204"/>
      <c r="K21" s="204"/>
      <c r="L21" s="218"/>
      <c r="M21" s="218"/>
      <c r="N21" s="218"/>
      <c r="R21" s="42" t="s">
        <v>111</v>
      </c>
      <c r="S21" s="204"/>
      <c r="T21" s="204"/>
      <c r="U21" s="218"/>
      <c r="V21" s="218"/>
      <c r="W21" s="218"/>
    </row>
    <row r="22" spans="2:25" ht="14" x14ac:dyDescent="0.2">
      <c r="B22" s="200" t="s">
        <v>106</v>
      </c>
      <c r="C22" s="201"/>
      <c r="D22" s="201" t="s">
        <v>355</v>
      </c>
      <c r="E22" s="220" t="s">
        <v>7</v>
      </c>
      <c r="F22" s="220" t="s">
        <v>5</v>
      </c>
      <c r="G22" s="220" t="s">
        <v>108</v>
      </c>
      <c r="I22" s="200" t="s">
        <v>106</v>
      </c>
      <c r="J22" s="201"/>
      <c r="K22" s="201" t="s">
        <v>355</v>
      </c>
      <c r="L22" s="220" t="s">
        <v>7</v>
      </c>
      <c r="M22" s="220" t="s">
        <v>5</v>
      </c>
      <c r="N22" s="220" t="s">
        <v>108</v>
      </c>
      <c r="R22" s="200" t="s">
        <v>106</v>
      </c>
      <c r="S22" s="201"/>
      <c r="T22" s="201" t="s">
        <v>752</v>
      </c>
      <c r="U22" s="220" t="s">
        <v>7</v>
      </c>
      <c r="V22" s="220" t="s">
        <v>5</v>
      </c>
      <c r="W22" s="220" t="s">
        <v>108</v>
      </c>
    </row>
    <row r="23" spans="2:25" ht="14" x14ac:dyDescent="0.2">
      <c r="B23" s="203">
        <f>+'RM Calculation Pro Rata'!A86</f>
        <v>1300</v>
      </c>
      <c r="C23" s="204">
        <v>33000</v>
      </c>
      <c r="D23" s="204"/>
      <c r="E23" s="205">
        <f>B23*C23</f>
        <v>42900000</v>
      </c>
      <c r="F23" s="206" t="e">
        <f>E26/E23</f>
        <v>#REF!</v>
      </c>
      <c r="G23" s="207" t="e" cm="1">
        <f t="array" ref="G23">_xlfn.IFS(F23&lt;74.99%,"0",F23&lt;=100%,".20%",F23&lt;=130%,".25%",F23&gt;=130%,".35%")</f>
        <v>#REF!</v>
      </c>
      <c r="I23" s="203">
        <f>+'RM Calculation Pro Rata'!H70+'RM Calculation Pro Rata'!H78+'RM Calculation Pro Rata'!H86</f>
        <v>6100</v>
      </c>
      <c r="J23" s="204">
        <v>33000</v>
      </c>
      <c r="K23" s="204"/>
      <c r="L23" s="205">
        <f>I23*J23</f>
        <v>201300000</v>
      </c>
      <c r="M23" s="206">
        <f>L26/L23</f>
        <v>0.70145926899937416</v>
      </c>
      <c r="N23" s="207" t="str" cm="1">
        <f t="array" ref="N23">_xlfn.IFS(M23&lt;74.99%,"0",M23&lt;=100%,".20%",M23&lt;=130%,".25%",M23&gt;=130%,".35%")</f>
        <v>0</v>
      </c>
      <c r="O23" s="260">
        <f>LOOKUP(M23,Policy!$L$28:$M$31)</f>
        <v>0</v>
      </c>
      <c r="R23" s="203" t="e">
        <f>+'RM Calculation Pro Rata'!O70+'RM Calculation Pro Rata'!O78+'RM Calculation Pro Rata'!O86</f>
        <v>#N/A</v>
      </c>
      <c r="S23" s="204">
        <v>33000</v>
      </c>
      <c r="T23" s="204"/>
      <c r="U23" s="205" t="e">
        <f>R23*S23</f>
        <v>#N/A</v>
      </c>
      <c r="V23" s="206" t="e">
        <f>U26/U23</f>
        <v>#REF!</v>
      </c>
      <c r="W23" s="207" t="e" cm="1">
        <f t="array" ref="W23">_xlfn.IFS(V23&lt;74.99%,"0",V23&lt;=100%,".20%",V23&lt;=130%,".25%",V23&gt;=130%,".35%")</f>
        <v>#REF!</v>
      </c>
      <c r="X23" s="260" t="e">
        <f>LOOKUP(V23,Policy!$L$28:$M$31)</f>
        <v>#REF!</v>
      </c>
    </row>
    <row r="24" spans="2:25" ht="14" x14ac:dyDescent="0.2">
      <c r="B24" s="208"/>
      <c r="C24" s="204"/>
      <c r="D24" s="204"/>
      <c r="E24" s="209"/>
      <c r="F24" s="210"/>
      <c r="G24" s="211"/>
      <c r="I24" s="208"/>
      <c r="J24" s="204"/>
      <c r="K24" s="204"/>
      <c r="L24" s="209"/>
      <c r="M24" s="210"/>
      <c r="N24" s="211"/>
      <c r="R24" s="208"/>
      <c r="S24" s="204"/>
      <c r="T24" s="204"/>
      <c r="U24" s="209"/>
      <c r="V24" s="210"/>
      <c r="W24" s="211"/>
    </row>
    <row r="25" spans="2:25" ht="14" x14ac:dyDescent="0.2">
      <c r="B25" s="208"/>
      <c r="C25" s="204"/>
      <c r="D25" s="212" t="s">
        <v>790</v>
      </c>
      <c r="E25" s="213" t="e">
        <f>+'Incentive Report- Output'!#REF!+'Incentive Report- Output'!#REF!+'Incentive Report- Output'!#REF!</f>
        <v>#REF!</v>
      </c>
      <c r="F25" s="210" t="e">
        <f>E25/E26</f>
        <v>#REF!</v>
      </c>
      <c r="G25" s="205" t="e">
        <f>F25*G26</f>
        <v>#REF!</v>
      </c>
      <c r="I25" s="208"/>
      <c r="J25" s="204"/>
      <c r="K25" s="212" t="s">
        <v>790</v>
      </c>
      <c r="L25" s="213">
        <f>+'RM Calculation Pro Rata'!K75+'RM Calculation Pro Rata'!K83+'RM Calculation Pro Rata'!K91</f>
        <v>141203750.84957403</v>
      </c>
      <c r="M25" s="210">
        <f>L25/L26</f>
        <v>1</v>
      </c>
      <c r="N25" s="205">
        <f>M25*N26</f>
        <v>0</v>
      </c>
      <c r="R25" s="208"/>
      <c r="S25" s="204"/>
      <c r="T25" s="212" t="s">
        <v>790</v>
      </c>
      <c r="U25" s="213" t="e">
        <f>+'RM Calculation Pro Rata'!R75+'RM Calculation Pro Rata'!R83+'RM Calculation Pro Rata'!R91</f>
        <v>#REF!</v>
      </c>
      <c r="V25" s="210" t="e">
        <f>U25/U26</f>
        <v>#REF!</v>
      </c>
      <c r="W25" s="205" t="e">
        <f>V25*W26</f>
        <v>#REF!</v>
      </c>
    </row>
    <row r="26" spans="2:25" ht="14" x14ac:dyDescent="0.2">
      <c r="B26" s="208"/>
      <c r="C26" s="204"/>
      <c r="D26" s="212"/>
      <c r="E26" s="214" t="e">
        <f>SUM(E25:E25)</f>
        <v>#REF!</v>
      </c>
      <c r="F26" s="215">
        <v>1</v>
      </c>
      <c r="G26" s="216" t="e">
        <f>G23*E26</f>
        <v>#REF!</v>
      </c>
      <c r="I26" s="208"/>
      <c r="J26" s="204"/>
      <c r="K26" s="212"/>
      <c r="L26" s="214">
        <f>SUM(L25:L25)</f>
        <v>141203750.84957403</v>
      </c>
      <c r="M26" s="215">
        <v>1</v>
      </c>
      <c r="N26" s="216">
        <f>N23*L26</f>
        <v>0</v>
      </c>
      <c r="P26" s="252"/>
      <c r="R26" s="208"/>
      <c r="S26" s="204"/>
      <c r="T26" s="212"/>
      <c r="U26" s="214" t="e">
        <f>SUM(U25:U25)</f>
        <v>#REF!</v>
      </c>
      <c r="V26" s="215">
        <v>1</v>
      </c>
      <c r="W26" s="216" t="e">
        <f>W23*U26</f>
        <v>#REF!</v>
      </c>
      <c r="Y26" s="252"/>
    </row>
    <row r="28" spans="2:25" ht="14" x14ac:dyDescent="0.2">
      <c r="B28" s="2" t="s">
        <v>918</v>
      </c>
      <c r="I28" s="2" t="s">
        <v>952</v>
      </c>
      <c r="L28" s="2" t="s">
        <v>953</v>
      </c>
      <c r="O28" s="2" t="s">
        <v>1009</v>
      </c>
      <c r="R28" s="2" t="s">
        <v>1048</v>
      </c>
      <c r="U28" s="2" t="s">
        <v>1075</v>
      </c>
      <c r="X28" s="2" t="s">
        <v>1100</v>
      </c>
    </row>
    <row r="29" spans="2:25" ht="14" x14ac:dyDescent="0.2">
      <c r="B29" s="217" t="s">
        <v>109</v>
      </c>
      <c r="C29" s="222" t="s">
        <v>243</v>
      </c>
      <c r="I29" s="217" t="s">
        <v>951</v>
      </c>
      <c r="J29" s="222" t="s">
        <v>243</v>
      </c>
      <c r="L29" s="217" t="s">
        <v>951</v>
      </c>
      <c r="M29" s="222" t="s">
        <v>243</v>
      </c>
      <c r="O29" s="217" t="s">
        <v>951</v>
      </c>
      <c r="P29" s="222" t="s">
        <v>243</v>
      </c>
      <c r="R29" s="217" t="s">
        <v>951</v>
      </c>
      <c r="S29" s="222" t="s">
        <v>243</v>
      </c>
      <c r="U29" s="217" t="s">
        <v>951</v>
      </c>
      <c r="V29" s="222" t="s">
        <v>243</v>
      </c>
      <c r="X29" s="217" t="s">
        <v>951</v>
      </c>
      <c r="Y29" s="222" t="s">
        <v>243</v>
      </c>
    </row>
    <row r="30" spans="2:25" ht="14" x14ac:dyDescent="0.2">
      <c r="B30" s="196" t="s">
        <v>297</v>
      </c>
      <c r="C30" s="223" t="e">
        <f>G7</f>
        <v>#REF!</v>
      </c>
      <c r="I30" s="196" t="s">
        <v>297</v>
      </c>
      <c r="J30" s="223">
        <v>0</v>
      </c>
      <c r="L30" s="196" t="s">
        <v>297</v>
      </c>
      <c r="M30" s="223">
        <v>769263.30308325973</v>
      </c>
      <c r="O30" s="196" t="s">
        <v>297</v>
      </c>
      <c r="P30" s="223">
        <f>N7</f>
        <v>889770.64405335963</v>
      </c>
      <c r="R30" s="196" t="s">
        <v>297</v>
      </c>
      <c r="S30" s="223">
        <v>0</v>
      </c>
      <c r="U30" s="196" t="s">
        <v>297</v>
      </c>
      <c r="V30" s="223">
        <v>618814.97118014039</v>
      </c>
      <c r="X30" s="196" t="s">
        <v>297</v>
      </c>
      <c r="Y30" s="223" t="e">
        <f>W7</f>
        <v>#REF!</v>
      </c>
    </row>
    <row r="31" spans="2:25" ht="14" x14ac:dyDescent="0.2">
      <c r="B31" s="217" t="s">
        <v>17</v>
      </c>
      <c r="C31" s="223" t="e">
        <f>G13</f>
        <v>#REF!</v>
      </c>
      <c r="I31" s="217" t="s">
        <v>17</v>
      </c>
      <c r="J31" s="223">
        <v>0</v>
      </c>
      <c r="L31" s="217" t="s">
        <v>17</v>
      </c>
      <c r="M31" s="223">
        <v>0</v>
      </c>
      <c r="O31" s="217" t="s">
        <v>17</v>
      </c>
      <c r="P31" s="223">
        <f>N13</f>
        <v>0</v>
      </c>
      <c r="R31" s="217" t="s">
        <v>17</v>
      </c>
      <c r="S31" s="223">
        <v>0</v>
      </c>
      <c r="U31" s="217" t="s">
        <v>17</v>
      </c>
      <c r="V31" s="223">
        <v>0</v>
      </c>
      <c r="X31" s="217" t="s">
        <v>17</v>
      </c>
      <c r="Y31" s="223" t="e">
        <f>W13</f>
        <v>#REF!</v>
      </c>
    </row>
    <row r="32" spans="2:25" ht="14" x14ac:dyDescent="0.2">
      <c r="B32" s="200" t="s">
        <v>55</v>
      </c>
      <c r="C32" s="223" t="e">
        <f>G19</f>
        <v>#REF!</v>
      </c>
      <c r="I32" s="200" t="s">
        <v>55</v>
      </c>
      <c r="J32" s="223">
        <v>0</v>
      </c>
      <c r="L32" s="200" t="s">
        <v>55</v>
      </c>
      <c r="M32" s="223">
        <v>360391.76951246866</v>
      </c>
      <c r="O32" s="200" t="s">
        <v>55</v>
      </c>
      <c r="P32" s="223">
        <f>N19</f>
        <v>0</v>
      </c>
      <c r="R32" s="200" t="s">
        <v>55</v>
      </c>
      <c r="S32" s="223">
        <v>0</v>
      </c>
      <c r="U32" s="200" t="s">
        <v>55</v>
      </c>
      <c r="V32" s="223">
        <v>0</v>
      </c>
      <c r="X32" s="200" t="s">
        <v>55</v>
      </c>
      <c r="Y32" s="223" t="e">
        <f>W19</f>
        <v>#REF!</v>
      </c>
    </row>
    <row r="33" spans="2:25" ht="14" x14ac:dyDescent="0.2">
      <c r="B33" s="42" t="s">
        <v>111</v>
      </c>
      <c r="C33" s="223" t="e">
        <f>G26</f>
        <v>#REF!</v>
      </c>
      <c r="I33" s="42" t="s">
        <v>111</v>
      </c>
      <c r="J33" s="223">
        <v>0</v>
      </c>
      <c r="L33" s="42" t="s">
        <v>111</v>
      </c>
      <c r="M33" s="223">
        <v>0</v>
      </c>
      <c r="O33" s="42" t="s">
        <v>111</v>
      </c>
      <c r="P33" s="223">
        <f>N26</f>
        <v>0</v>
      </c>
      <c r="R33" s="42" t="s">
        <v>111</v>
      </c>
      <c r="S33" s="223">
        <v>0</v>
      </c>
      <c r="U33" s="42" t="s">
        <v>111</v>
      </c>
      <c r="V33" s="223">
        <v>0</v>
      </c>
      <c r="X33" s="42" t="s">
        <v>111</v>
      </c>
      <c r="Y33" s="223" t="e">
        <f>W26</f>
        <v>#REF!</v>
      </c>
    </row>
    <row r="34" spans="2:25" ht="14" x14ac:dyDescent="0.2">
      <c r="B34" s="224" t="s">
        <v>9</v>
      </c>
      <c r="C34" s="225" t="e">
        <f>SUM(C30:C33)</f>
        <v>#REF!</v>
      </c>
      <c r="I34" s="224" t="s">
        <v>9</v>
      </c>
      <c r="J34" s="225">
        <v>0</v>
      </c>
      <c r="L34" s="224" t="s">
        <v>9</v>
      </c>
      <c r="M34" s="225">
        <v>1129655.0725957283</v>
      </c>
      <c r="O34" s="224" t="s">
        <v>9</v>
      </c>
      <c r="P34" s="225">
        <f>SUM(P30:P33)</f>
        <v>889770.64405335963</v>
      </c>
      <c r="R34" s="224" t="s">
        <v>9</v>
      </c>
      <c r="S34" s="225">
        <v>0</v>
      </c>
      <c r="U34" s="224" t="s">
        <v>9</v>
      </c>
      <c r="V34" s="225">
        <v>618814.97118014039</v>
      </c>
      <c r="X34" s="224" t="s">
        <v>9</v>
      </c>
      <c r="Y34" s="225" t="e">
        <f>SUM(Y30:Y33)</f>
        <v>#REF!</v>
      </c>
    </row>
    <row r="38" spans="2:25" x14ac:dyDescent="0.15">
      <c r="T38" s="252"/>
    </row>
  </sheetData>
  <mergeCells count="3">
    <mergeCell ref="C2:G2"/>
    <mergeCell ref="J2:N2"/>
    <mergeCell ref="S2:W2"/>
  </mergeCells>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A75FB-94DB-CA48-8453-C32BBB400664}">
  <sheetPr codeName="Sheet9">
    <tabColor rgb="FFFFFF99"/>
    <outlinePr summaryBelow="0" summaryRight="0"/>
  </sheetPr>
  <dimension ref="A2:R890"/>
  <sheetViews>
    <sheetView showGridLines="0" topLeftCell="G1" zoomScaleNormal="100" workbookViewId="0">
      <selection activeCell="G1" sqref="G1"/>
    </sheetView>
  </sheetViews>
  <sheetFormatPr baseColWidth="10" defaultColWidth="14.5" defaultRowHeight="15.75" customHeight="1" outlineLevelCol="1" x14ac:dyDescent="0.2"/>
  <cols>
    <col min="1" max="1" width="16.6640625" style="3" hidden="1" customWidth="1" outlineLevel="1" collapsed="1"/>
    <col min="2" max="3" width="17.83203125" style="3" hidden="1" customWidth="1" outlineLevel="1"/>
    <col min="4" max="4" width="18.33203125" style="3" hidden="1" customWidth="1" outlineLevel="1"/>
    <col min="5" max="5" width="15.1640625" style="3" hidden="1" customWidth="1" outlineLevel="1"/>
    <col min="6" max="6" width="15.83203125" style="3" hidden="1" customWidth="1" outlineLevel="1"/>
    <col min="7" max="7" width="10.83203125" style="3" customWidth="1"/>
    <col min="8" max="8" width="16.6640625" style="3" bestFit="1" customWidth="1"/>
    <col min="9" max="10" width="17.83203125" style="3" bestFit="1" customWidth="1"/>
    <col min="11" max="11" width="18.33203125" style="3" bestFit="1" customWidth="1"/>
    <col min="12" max="12" width="15.1640625" style="3" bestFit="1" customWidth="1"/>
    <col min="13" max="13" width="15.83203125" style="3" bestFit="1" customWidth="1"/>
    <col min="14" max="16384" width="14.5" style="3"/>
  </cols>
  <sheetData>
    <row r="2" spans="1:18" ht="15.75" customHeight="1" x14ac:dyDescent="0.2">
      <c r="A2" s="2" t="s">
        <v>751</v>
      </c>
      <c r="H2" s="2" t="s">
        <v>789</v>
      </c>
    </row>
    <row r="3" spans="1:18" ht="15.75" customHeight="1" x14ac:dyDescent="0.2">
      <c r="A3" s="22" t="s">
        <v>640</v>
      </c>
      <c r="B3" s="438" t="s">
        <v>750</v>
      </c>
      <c r="C3" s="439"/>
      <c r="D3" s="439"/>
      <c r="E3" s="439"/>
      <c r="F3" s="440"/>
      <c r="H3" s="22" t="s">
        <v>297</v>
      </c>
      <c r="I3" s="438"/>
      <c r="J3" s="439"/>
      <c r="K3" s="439"/>
      <c r="L3" s="439"/>
      <c r="M3" s="440"/>
    </row>
    <row r="4" spans="1:18" ht="15.75" customHeight="1" x14ac:dyDescent="0.2">
      <c r="A4" s="63" t="s">
        <v>106</v>
      </c>
      <c r="B4" s="75"/>
      <c r="C4" s="75" t="s">
        <v>752</v>
      </c>
      <c r="D4" s="153" t="s">
        <v>7</v>
      </c>
      <c r="E4" s="153" t="s">
        <v>5</v>
      </c>
      <c r="F4" s="153" t="s">
        <v>108</v>
      </c>
      <c r="H4" s="63" t="s">
        <v>106</v>
      </c>
      <c r="I4" s="75"/>
      <c r="J4" s="75" t="s">
        <v>773</v>
      </c>
      <c r="K4" s="153" t="s">
        <v>7</v>
      </c>
      <c r="L4" s="153" t="s">
        <v>5</v>
      </c>
      <c r="M4" s="153" t="s">
        <v>108</v>
      </c>
    </row>
    <row r="5" spans="1:18" ht="15.75" customHeight="1" x14ac:dyDescent="0.2">
      <c r="A5" s="154">
        <v>1650</v>
      </c>
      <c r="B5" s="66">
        <v>33000</v>
      </c>
      <c r="C5" s="66"/>
      <c r="D5" s="118">
        <f>A5*B5</f>
        <v>54450000</v>
      </c>
      <c r="E5" s="60" t="e">
        <f>D8/D5</f>
        <v>#REF!</v>
      </c>
      <c r="F5" s="68" t="e" cm="1">
        <f t="array" ref="F5">_xlfn.IFS(E5&lt;74.99%,"0",E5&lt;=100%,".25%",E5&lt;=120%,".35%",E5&gt;=120%,".50%")</f>
        <v>#REF!</v>
      </c>
      <c r="H5" s="154" t="e">
        <f>Policy!#REF!+Policy!#REF!+Policy!#REF!+Policy!#REF!+Policy!#REF!+Policy!#REF!+Policy!#REF!+Policy!#REF!+Policy!#REF!</f>
        <v>#REF!</v>
      </c>
      <c r="I5" s="66">
        <v>33000</v>
      </c>
      <c r="J5" s="66"/>
      <c r="K5" s="118" t="e">
        <f>H5*I5</f>
        <v>#REF!</v>
      </c>
      <c r="L5" s="176" t="e">
        <f>K8/K5</f>
        <v>#REF!</v>
      </c>
      <c r="M5" s="68" t="e" cm="1">
        <f t="array" ref="M5">_xlfn.IFS(L5&lt;74.99%,"0",L5&lt;=100%,".20%",L5&lt;=130%,".25%",L5&gt;=130%,".35%")</f>
        <v>#REF!</v>
      </c>
    </row>
    <row r="6" spans="1:18" ht="15.75" customHeight="1" x14ac:dyDescent="0.2">
      <c r="A6" s="69"/>
      <c r="B6" s="66"/>
      <c r="C6" s="66"/>
      <c r="D6" s="67"/>
      <c r="E6" s="60"/>
      <c r="F6" s="72"/>
      <c r="H6" s="69"/>
      <c r="I6" s="66"/>
      <c r="J6" s="66"/>
      <c r="K6" s="67"/>
      <c r="L6" s="60"/>
      <c r="M6" s="72"/>
    </row>
    <row r="7" spans="1:18" ht="15.75" customHeight="1" x14ac:dyDescent="0.2">
      <c r="A7" s="69"/>
      <c r="B7" s="66"/>
      <c r="C7" s="73">
        <v>45566</v>
      </c>
      <c r="D7" s="71" t="e">
        <f>'Incentive Report- Output'!#REF!</f>
        <v>#REF!</v>
      </c>
      <c r="E7" s="60" t="e">
        <f>D7/D8</f>
        <v>#REF!</v>
      </c>
      <c r="F7" s="118" t="e">
        <f>E7*F8</f>
        <v>#REF!</v>
      </c>
      <c r="H7" s="69"/>
      <c r="I7" s="66"/>
      <c r="J7" s="73" t="s">
        <v>790</v>
      </c>
      <c r="K7" s="71" t="e">
        <f>'RM Calculation Pro Rata'!#REF!+'RM Calculation Pro Rata'!#REF!+'RM Calculation Pro Rata'!#REF!+'RM Calculation Pro Rata'!#REF!+'RM Calculation Pro Rata'!#REF!+'RM Calculation Pro Rata'!#REF!+'RM Calculation Pro Rata'!D10+'RM Calculation Pro Rata'!D18+'RM Calculation Pro Rata'!D26+'Incentive Report- Output'!#REF!+'Incentive Report- Output'!#REF!+'Incentive Report- Output'!#REF!+'Incentive Report- Output'!#REF!+'Incentive Report- Output'!#REF!+'Incentive Report- Output'!#REF!+'Incentive Report- Output'!#REF!+'Incentive Report- Output'!#REF!+'Incentive Report- Output'!#REF!+'Incentive Report- Output'!#REF!+'Incentive Report- Output'!#REF!+'Incentive Report- Output'!#REF!</f>
        <v>#REF!</v>
      </c>
      <c r="L7" s="60" t="e">
        <f>K7/K8</f>
        <v>#REF!</v>
      </c>
      <c r="M7" s="118" t="e">
        <f>L7*M8</f>
        <v>#REF!</v>
      </c>
      <c r="N7" s="160"/>
      <c r="O7" s="160"/>
      <c r="Q7" s="160"/>
      <c r="R7" s="160"/>
    </row>
    <row r="8" spans="1:18" ht="15.75" customHeight="1" x14ac:dyDescent="0.2">
      <c r="A8" s="69"/>
      <c r="B8" s="66"/>
      <c r="C8" s="66"/>
      <c r="D8" s="74" t="e">
        <f>SUM(D7:D7)</f>
        <v>#REF!</v>
      </c>
      <c r="E8" s="59">
        <v>1</v>
      </c>
      <c r="F8" s="76" t="e">
        <f>D8*F5</f>
        <v>#REF!</v>
      </c>
      <c r="G8" s="160"/>
      <c r="H8" s="69"/>
      <c r="I8" s="66"/>
      <c r="J8" s="66"/>
      <c r="K8" s="74" t="e">
        <f>SUM(K7:K7)</f>
        <v>#REF!</v>
      </c>
      <c r="L8" s="59">
        <v>1</v>
      </c>
      <c r="M8" s="76" t="e">
        <f>K8*M5</f>
        <v>#REF!</v>
      </c>
      <c r="O8" s="160"/>
      <c r="P8" s="160"/>
    </row>
    <row r="9" spans="1:18" ht="15.75" customHeight="1" x14ac:dyDescent="0.2">
      <c r="A9" s="62" t="s">
        <v>644</v>
      </c>
      <c r="B9" s="66"/>
      <c r="C9" s="66"/>
      <c r="D9" s="70"/>
      <c r="E9" s="70"/>
      <c r="F9" s="70"/>
      <c r="G9" s="158"/>
      <c r="H9" s="62" t="s">
        <v>17</v>
      </c>
      <c r="I9" s="66"/>
      <c r="J9" s="66"/>
      <c r="K9" s="70"/>
      <c r="L9" s="70"/>
      <c r="M9" s="70"/>
      <c r="O9" s="160"/>
    </row>
    <row r="10" spans="1:18" ht="15.75" customHeight="1" x14ac:dyDescent="0.2">
      <c r="A10" s="63" t="s">
        <v>106</v>
      </c>
      <c r="B10" s="64" t="s">
        <v>107</v>
      </c>
      <c r="C10" s="75" t="s">
        <v>752</v>
      </c>
      <c r="D10" s="65" t="s">
        <v>7</v>
      </c>
      <c r="E10" s="65" t="s">
        <v>5</v>
      </c>
      <c r="F10" s="65" t="s">
        <v>108</v>
      </c>
      <c r="H10" s="63" t="s">
        <v>106</v>
      </c>
      <c r="I10" s="64" t="s">
        <v>107</v>
      </c>
      <c r="J10" s="75" t="s">
        <v>773</v>
      </c>
      <c r="K10" s="65" t="s">
        <v>7</v>
      </c>
      <c r="L10" s="65" t="s">
        <v>5</v>
      </c>
      <c r="M10" s="65" t="s">
        <v>108</v>
      </c>
      <c r="N10" s="159"/>
      <c r="O10" s="160"/>
    </row>
    <row r="11" spans="1:18" ht="15.75" customHeight="1" x14ac:dyDescent="0.2">
      <c r="A11" s="154">
        <v>1462.5</v>
      </c>
      <c r="B11" s="66">
        <v>33000</v>
      </c>
      <c r="C11" s="66"/>
      <c r="D11" s="118">
        <f>A11*B11</f>
        <v>48262500</v>
      </c>
      <c r="E11" s="60" t="e">
        <f>D14/D11</f>
        <v>#REF!</v>
      </c>
      <c r="F11" s="68" t="e" cm="1">
        <f t="array" ref="F11">_xlfn.IFS(E11&lt;74.99%,"0",E11&lt;=100%,".25%",E11&lt;=120%,".35%",E11&gt;=120%,".50%")</f>
        <v>#REF!</v>
      </c>
      <c r="G11" s="158"/>
      <c r="H11" s="154" t="e">
        <f>Policy!#REF!+Policy!#REF!+Policy!#REF!+Policy!#REF!+Policy!#REF!+Policy!#REF!+Policy!#REF!+Policy!#REF!+Policy!#REF!</f>
        <v>#REF!</v>
      </c>
      <c r="I11" s="66">
        <v>33000</v>
      </c>
      <c r="J11" s="66"/>
      <c r="K11" s="118" t="e">
        <f>H11*I11</f>
        <v>#REF!</v>
      </c>
      <c r="L11" s="176" t="e">
        <f>K14/K11</f>
        <v>#REF!</v>
      </c>
      <c r="M11" s="68" t="e" cm="1">
        <f t="array" ref="M11">_xlfn.IFS(L11&lt;74.99%,"0",L11&lt;=100%,".20%",L11&lt;=130%,".25%",L11&gt;=130%,".35%")</f>
        <v>#REF!</v>
      </c>
      <c r="N11" s="159"/>
    </row>
    <row r="12" spans="1:18" ht="15.75" customHeight="1" x14ac:dyDescent="0.2">
      <c r="A12" s="69"/>
      <c r="B12" s="66"/>
      <c r="C12" s="66"/>
      <c r="D12" s="70"/>
      <c r="E12" s="70"/>
      <c r="F12" s="70"/>
      <c r="H12" s="69"/>
      <c r="I12" s="66"/>
      <c r="J12" s="66"/>
      <c r="K12" s="70"/>
      <c r="L12" s="70"/>
      <c r="M12" s="70"/>
      <c r="N12" s="159"/>
    </row>
    <row r="13" spans="1:18" ht="15.75" customHeight="1" x14ac:dyDescent="0.2">
      <c r="A13" s="69"/>
      <c r="B13" s="66"/>
      <c r="C13" s="73">
        <v>45566</v>
      </c>
      <c r="D13" s="71" t="e">
        <f>'Incentive Report- Output'!#REF!-'Incentive Report- Output'!#REF!-'Incentive Report- Output'!#REF!</f>
        <v>#REF!</v>
      </c>
      <c r="E13" s="60" t="e">
        <f>D13/D14</f>
        <v>#REF!</v>
      </c>
      <c r="F13" s="118" t="e">
        <f>E13*F14</f>
        <v>#REF!</v>
      </c>
      <c r="G13" s="160"/>
      <c r="H13" s="69"/>
      <c r="I13" s="66"/>
      <c r="J13" s="73" t="s">
        <v>790</v>
      </c>
      <c r="K13" s="71" t="e">
        <f>'RM Calculation Pro Rata'!#REF!+'RM Calculation Pro Rata'!#REF!+'RM Calculation Pro Rata'!#REF!+'RM Calculation Pro Rata'!#REF!+'RM Calculation Pro Rata'!#REF!+'RM Calculation Pro Rata'!#REF!+'RM Calculation Pro Rata'!D34+'RM Calculation Pro Rata'!D43+'RM Calculation Pro Rata'!D51</f>
        <v>#REF!</v>
      </c>
      <c r="L13" s="60" t="e">
        <f>K13/K14</f>
        <v>#REF!</v>
      </c>
      <c r="M13" s="118" t="e">
        <f>L13*M14</f>
        <v>#REF!</v>
      </c>
      <c r="N13" s="159"/>
      <c r="O13" s="160"/>
    </row>
    <row r="14" spans="1:18" ht="15.75" customHeight="1" x14ac:dyDescent="0.2">
      <c r="A14" s="69"/>
      <c r="B14" s="66"/>
      <c r="C14" s="66"/>
      <c r="D14" s="74" t="e">
        <f>SUM(D13:D13)</f>
        <v>#REF!</v>
      </c>
      <c r="E14" s="59">
        <v>1</v>
      </c>
      <c r="F14" s="76" t="e">
        <f>D14*F11</f>
        <v>#REF!</v>
      </c>
      <c r="G14" s="160"/>
      <c r="H14" s="69"/>
      <c r="I14" s="66"/>
      <c r="J14" s="66"/>
      <c r="K14" s="74" t="e">
        <f>SUM(K13:K13)</f>
        <v>#REF!</v>
      </c>
      <c r="L14" s="59">
        <v>1</v>
      </c>
      <c r="M14" s="76" t="e">
        <f>K14*M11</f>
        <v>#REF!</v>
      </c>
      <c r="O14" s="160"/>
      <c r="P14" s="160"/>
    </row>
    <row r="15" spans="1:18" ht="14" x14ac:dyDescent="0.2">
      <c r="A15" s="63" t="s">
        <v>652</v>
      </c>
      <c r="B15" s="66"/>
      <c r="C15" s="66"/>
      <c r="D15" s="70"/>
      <c r="E15" s="70"/>
      <c r="F15" s="70"/>
      <c r="H15" s="63" t="s">
        <v>44</v>
      </c>
      <c r="I15" s="66"/>
      <c r="J15" s="66"/>
      <c r="K15" s="70"/>
      <c r="L15" s="70"/>
      <c r="M15" s="70"/>
    </row>
    <row r="16" spans="1:18" ht="14" x14ac:dyDescent="0.2">
      <c r="A16" s="63" t="s">
        <v>106</v>
      </c>
      <c r="B16" s="75"/>
      <c r="C16" s="75" t="s">
        <v>752</v>
      </c>
      <c r="D16" s="65" t="s">
        <v>7</v>
      </c>
      <c r="E16" s="65" t="s">
        <v>5</v>
      </c>
      <c r="F16" s="65" t="s">
        <v>108</v>
      </c>
      <c r="H16" s="63" t="s">
        <v>106</v>
      </c>
      <c r="I16" s="75"/>
      <c r="J16" s="75" t="s">
        <v>773</v>
      </c>
      <c r="K16" s="65" t="s">
        <v>7</v>
      </c>
      <c r="L16" s="65" t="s">
        <v>5</v>
      </c>
      <c r="M16" s="65" t="s">
        <v>108</v>
      </c>
    </row>
    <row r="17" spans="1:16" ht="14" x14ac:dyDescent="0.2">
      <c r="A17" s="154">
        <v>1650</v>
      </c>
      <c r="B17" s="66">
        <v>33000</v>
      </c>
      <c r="C17" s="66"/>
      <c r="D17" s="118">
        <f>A17*B17</f>
        <v>54450000</v>
      </c>
      <c r="E17" s="77" t="e">
        <f>D20/D17</f>
        <v>#REF!</v>
      </c>
      <c r="F17" s="68" t="e" cm="1">
        <f t="array" ref="F17">_xlfn.IFS(E17&lt;74.99%,"0",E17&lt;=100%,".25%",E17&lt;=120%,".35%",E17&gt;=120%,".50%")</f>
        <v>#REF!</v>
      </c>
      <c r="H17" s="154" t="e">
        <f>Policy!#REF!+Policy!#REF!+Policy!#REF!+Policy!#REF!+Policy!#REF!+Policy!#REF!+Policy!#REF!+Policy!#REF!+Policy!#REF!</f>
        <v>#REF!</v>
      </c>
      <c r="I17" s="66">
        <v>33000</v>
      </c>
      <c r="J17" s="66"/>
      <c r="K17" s="118" t="e">
        <f>H17*I17</f>
        <v>#REF!</v>
      </c>
      <c r="L17" s="177" t="e">
        <f>K20/K17</f>
        <v>#REF!</v>
      </c>
      <c r="M17" s="68" t="e" cm="1">
        <f t="array" ref="M17">_xlfn.IFS(L17&lt;74.99%,"0",L17&lt;=100%,".20%",L17&lt;=130%,".25%",L17&gt;=130%,".35%")</f>
        <v>#REF!</v>
      </c>
    </row>
    <row r="18" spans="1:16" ht="14" x14ac:dyDescent="0.2">
      <c r="A18" s="69"/>
      <c r="B18" s="66"/>
      <c r="C18" s="66"/>
      <c r="D18" s="67"/>
      <c r="E18" s="60"/>
      <c r="F18" s="72"/>
      <c r="H18" s="69"/>
      <c r="I18" s="66"/>
      <c r="J18" s="66"/>
      <c r="K18" s="67"/>
      <c r="L18" s="60"/>
      <c r="M18" s="72"/>
    </row>
    <row r="19" spans="1:16" ht="14" x14ac:dyDescent="0.2">
      <c r="A19" s="69"/>
      <c r="B19" s="66"/>
      <c r="C19" s="73">
        <v>45566</v>
      </c>
      <c r="D19" s="71" t="e">
        <f>'Incentive Report- Output'!#REF!</f>
        <v>#REF!</v>
      </c>
      <c r="E19" s="60" t="e">
        <f>D19/D20</f>
        <v>#REF!</v>
      </c>
      <c r="F19" s="118" t="e">
        <f>E19*F20</f>
        <v>#REF!</v>
      </c>
      <c r="H19" s="69"/>
      <c r="I19" s="66"/>
      <c r="J19" s="73" t="s">
        <v>790</v>
      </c>
      <c r="K19" s="71" t="e">
        <f>'RM Calculation Pro Rata'!#REF!+'RM Calculation Pro Rata'!#REF!+'RM Calculation Pro Rata'!#REF!+'RM Calculation Pro Rata'!#REF!+'RM Calculation Pro Rata'!#REF!+'RM Calculation Pro Rata'!#REF!+'RM Calculation Pro Rata'!D67+'RM Calculation Pro Rata'!D75+'RM Calculation Pro Rata'!D83</f>
        <v>#REF!</v>
      </c>
      <c r="L19" s="60" t="e">
        <f>K19/K20</f>
        <v>#REF!</v>
      </c>
      <c r="M19" s="118" t="e">
        <f>L19*M20</f>
        <v>#REF!</v>
      </c>
    </row>
    <row r="20" spans="1:16" ht="14" x14ac:dyDescent="0.2">
      <c r="A20" s="69"/>
      <c r="B20" s="66"/>
      <c r="C20" s="66"/>
      <c r="D20" s="74" t="e">
        <f>SUM(D19:D19)</f>
        <v>#REF!</v>
      </c>
      <c r="E20" s="59">
        <v>1</v>
      </c>
      <c r="F20" s="76" t="e">
        <f>D20*F17</f>
        <v>#REF!</v>
      </c>
      <c r="H20" s="69"/>
      <c r="I20" s="66"/>
      <c r="J20" s="66"/>
      <c r="K20" s="74" t="e">
        <f>SUM(K19:K19)</f>
        <v>#REF!</v>
      </c>
      <c r="L20" s="59">
        <v>1</v>
      </c>
      <c r="M20" s="76" t="e">
        <f>K20*M17</f>
        <v>#REF!</v>
      </c>
      <c r="N20" s="160"/>
      <c r="O20" s="160"/>
      <c r="P20" s="160"/>
    </row>
    <row r="21" spans="1:16" ht="14" x14ac:dyDescent="0.2">
      <c r="A21" s="69"/>
      <c r="B21" s="66"/>
      <c r="C21" s="66"/>
      <c r="D21" s="70"/>
      <c r="E21" s="70"/>
      <c r="F21" s="70"/>
      <c r="H21" s="69"/>
      <c r="I21" s="66"/>
      <c r="J21" s="66"/>
      <c r="K21" s="70"/>
      <c r="L21" s="70"/>
      <c r="M21" s="70"/>
    </row>
    <row r="22" spans="1:16" ht="14" x14ac:dyDescent="0.2">
      <c r="A22" s="42" t="s">
        <v>649</v>
      </c>
      <c r="B22" s="66"/>
      <c r="C22" s="66"/>
      <c r="D22" s="70"/>
      <c r="E22" s="70"/>
      <c r="F22" s="70"/>
      <c r="H22" s="42" t="s">
        <v>111</v>
      </c>
      <c r="I22" s="66"/>
      <c r="J22" s="66"/>
      <c r="K22" s="70"/>
      <c r="L22" s="70"/>
      <c r="M22" s="70"/>
    </row>
    <row r="23" spans="1:16" ht="14" x14ac:dyDescent="0.2">
      <c r="A23" s="63" t="s">
        <v>106</v>
      </c>
      <c r="B23" s="75"/>
      <c r="C23" s="75" t="s">
        <v>752</v>
      </c>
      <c r="D23" s="65" t="s">
        <v>7</v>
      </c>
      <c r="E23" s="65" t="s">
        <v>5</v>
      </c>
      <c r="F23" s="65" t="s">
        <v>108</v>
      </c>
      <c r="H23" s="63" t="s">
        <v>106</v>
      </c>
      <c r="I23" s="75"/>
      <c r="J23" s="75" t="s">
        <v>773</v>
      </c>
      <c r="K23" s="65" t="s">
        <v>7</v>
      </c>
      <c r="L23" s="65" t="s">
        <v>5</v>
      </c>
      <c r="M23" s="65" t="s">
        <v>108</v>
      </c>
    </row>
    <row r="24" spans="1:16" ht="14" x14ac:dyDescent="0.2">
      <c r="A24" s="154">
        <v>1350</v>
      </c>
      <c r="B24" s="66">
        <v>33000</v>
      </c>
      <c r="C24" s="66"/>
      <c r="D24" s="118">
        <f>A24*B24</f>
        <v>44550000</v>
      </c>
      <c r="E24" s="60" t="e">
        <f>D27/D24</f>
        <v>#REF!</v>
      </c>
      <c r="F24" s="68" t="e" cm="1">
        <f t="array" ref="F24">_xlfn.IFS(E24&lt;74.99%,"0",E24&lt;=100%,".25%",E24&lt;=120%,".35%",E24&gt;=120%,".50%")</f>
        <v>#REF!</v>
      </c>
      <c r="H24" s="154" t="e">
        <f>Policy!#REF!+Policy!#REF!+Policy!#REF!+Policy!#REF!+Policy!#REF!+Policy!#REF!</f>
        <v>#REF!</v>
      </c>
      <c r="I24" s="66">
        <v>33000</v>
      </c>
      <c r="J24" s="66"/>
      <c r="K24" s="118" t="e">
        <f>H24*I24</f>
        <v>#REF!</v>
      </c>
      <c r="L24" s="176" t="e">
        <f>K27/K24</f>
        <v>#REF!</v>
      </c>
      <c r="M24" s="68" t="e" cm="1">
        <f t="array" ref="M24">_xlfn.IFS(L24&lt;74.99%,"0",L24&lt;=100%,".20%",L24&lt;=130%,".25%",L24&gt;=130%,".35%")</f>
        <v>#REF!</v>
      </c>
    </row>
    <row r="25" spans="1:16" ht="14" x14ac:dyDescent="0.2">
      <c r="A25" s="69"/>
      <c r="B25" s="66"/>
      <c r="C25" s="66"/>
      <c r="D25" s="67"/>
      <c r="E25" s="60"/>
      <c r="F25" s="72"/>
      <c r="H25" s="69"/>
      <c r="I25" s="66"/>
      <c r="J25" s="66"/>
      <c r="K25" s="67"/>
      <c r="L25" s="60"/>
      <c r="M25" s="72"/>
    </row>
    <row r="26" spans="1:16" ht="14" x14ac:dyDescent="0.2">
      <c r="A26" s="69"/>
      <c r="B26" s="66"/>
      <c r="C26" s="73">
        <v>45566</v>
      </c>
      <c r="D26" s="71" t="e">
        <f>'Incentive Report- Output'!#REF!</f>
        <v>#REF!</v>
      </c>
      <c r="E26" s="60" t="e">
        <f>D26/D27</f>
        <v>#REF!</v>
      </c>
      <c r="F26" s="118" t="e">
        <f>E26*F27</f>
        <v>#REF!</v>
      </c>
      <c r="H26" s="69"/>
      <c r="I26" s="66"/>
      <c r="J26" s="73" t="s">
        <v>790</v>
      </c>
      <c r="K26" s="71" t="e">
        <f>'RM Calculation Pro Rata'!#REF!+'RM Calculation Pro Rata'!#REF!+'RM Calculation Pro Rata'!#REF!+'RM Calculation Pro Rata'!#REF!+'RM Calculation Pro Rata'!#REF!+'RM Calculation Pro Rata'!D91</f>
        <v>#REF!</v>
      </c>
      <c r="L26" s="60" t="e">
        <f>K26/K27</f>
        <v>#REF!</v>
      </c>
      <c r="M26" s="118" t="e">
        <f>L26*M27</f>
        <v>#REF!</v>
      </c>
      <c r="N26" s="160"/>
      <c r="O26" s="160"/>
    </row>
    <row r="27" spans="1:16" ht="14" x14ac:dyDescent="0.2">
      <c r="A27" s="69"/>
      <c r="B27" s="66"/>
      <c r="C27" s="73"/>
      <c r="D27" s="74" t="e">
        <f>SUM(D26:D26)</f>
        <v>#REF!</v>
      </c>
      <c r="E27" s="59">
        <v>1</v>
      </c>
      <c r="F27" s="76" t="e">
        <f>F24*D27</f>
        <v>#REF!</v>
      </c>
      <c r="H27" s="69"/>
      <c r="I27" s="66"/>
      <c r="J27" s="73"/>
      <c r="K27" s="74" t="e">
        <f>SUM(K26:K26)</f>
        <v>#REF!</v>
      </c>
      <c r="L27" s="59">
        <v>1</v>
      </c>
      <c r="M27" s="76" t="e">
        <f>M24*K27</f>
        <v>#REF!</v>
      </c>
      <c r="O27" s="160"/>
      <c r="P27" s="160"/>
    </row>
    <row r="28" spans="1:16" ht="14" x14ac:dyDescent="0.2"/>
    <row r="29" spans="1:16" ht="14" x14ac:dyDescent="0.2"/>
    <row r="30" spans="1:16" ht="14" x14ac:dyDescent="0.2">
      <c r="A30" s="62" t="s">
        <v>109</v>
      </c>
      <c r="B30" s="78" t="s">
        <v>753</v>
      </c>
      <c r="C30" s="78" t="s">
        <v>754</v>
      </c>
      <c r="D30" s="78" t="s">
        <v>755</v>
      </c>
      <c r="E30" s="79" t="s">
        <v>243</v>
      </c>
      <c r="H30" s="62" t="s">
        <v>109</v>
      </c>
      <c r="I30" s="79" t="s">
        <v>243</v>
      </c>
    </row>
    <row r="31" spans="1:16" ht="14" x14ac:dyDescent="0.2">
      <c r="A31" s="114" t="s">
        <v>640</v>
      </c>
      <c r="B31" s="80" t="e">
        <f>F7</f>
        <v>#REF!</v>
      </c>
      <c r="C31" s="80" t="e">
        <f>#REF!</f>
        <v>#REF!</v>
      </c>
      <c r="D31" s="80" t="e">
        <f>#REF!</f>
        <v>#REF!</v>
      </c>
      <c r="E31" s="61" t="e">
        <f t="shared" ref="E31" si="0">B31+C31+D31</f>
        <v>#REF!</v>
      </c>
      <c r="F31" s="160"/>
      <c r="H31" s="22" t="s">
        <v>297</v>
      </c>
      <c r="I31" s="80" t="e">
        <f>M8</f>
        <v>#REF!</v>
      </c>
    </row>
    <row r="32" spans="1:16" ht="14" x14ac:dyDescent="0.2">
      <c r="A32" s="114" t="s">
        <v>644</v>
      </c>
      <c r="B32" s="80" t="e">
        <f>F13</f>
        <v>#REF!</v>
      </c>
      <c r="C32" s="80" t="e">
        <f>#REF!</f>
        <v>#REF!</v>
      </c>
      <c r="D32" s="80" t="e">
        <f>#REF!</f>
        <v>#REF!</v>
      </c>
      <c r="E32" s="61" t="e">
        <f>B32+C32+D32</f>
        <v>#REF!</v>
      </c>
      <c r="F32" s="158"/>
      <c r="H32" s="62" t="s">
        <v>17</v>
      </c>
      <c r="I32" s="80" t="e">
        <f>M14</f>
        <v>#REF!</v>
      </c>
    </row>
    <row r="33" spans="1:9" ht="14" x14ac:dyDescent="0.2">
      <c r="A33" s="114" t="s">
        <v>652</v>
      </c>
      <c r="B33" s="80" t="e">
        <f>F19</f>
        <v>#REF!</v>
      </c>
      <c r="C33" s="80" t="e">
        <f>#REF!</f>
        <v>#REF!</v>
      </c>
      <c r="D33" s="80" t="e">
        <f>#REF!</f>
        <v>#REF!</v>
      </c>
      <c r="E33" s="61" t="e">
        <f t="shared" ref="E33:E34" si="1">B33+C33+D33</f>
        <v>#REF!</v>
      </c>
      <c r="H33" s="63" t="s">
        <v>44</v>
      </c>
      <c r="I33" s="80" t="e">
        <f>M20</f>
        <v>#REF!</v>
      </c>
    </row>
    <row r="34" spans="1:9" ht="14" x14ac:dyDescent="0.2">
      <c r="A34" s="114" t="s">
        <v>649</v>
      </c>
      <c r="B34" s="80" t="e">
        <f>F26</f>
        <v>#REF!</v>
      </c>
      <c r="C34" s="80" t="e">
        <f>#REF!</f>
        <v>#REF!</v>
      </c>
      <c r="D34" s="80" t="e">
        <f>#REF!</f>
        <v>#REF!</v>
      </c>
      <c r="E34" s="61" t="e">
        <f t="shared" si="1"/>
        <v>#REF!</v>
      </c>
      <c r="H34" s="42" t="s">
        <v>111</v>
      </c>
      <c r="I34" s="80" t="e">
        <f>M27</f>
        <v>#REF!</v>
      </c>
    </row>
    <row r="35" spans="1:9" ht="14" x14ac:dyDescent="0.2">
      <c r="A35" s="105" t="s">
        <v>9</v>
      </c>
      <c r="B35" s="81" t="e">
        <f>SUM(B31:B34)</f>
        <v>#REF!</v>
      </c>
      <c r="C35" s="81" t="e">
        <f>SUM(C31:C34)</f>
        <v>#REF!</v>
      </c>
      <c r="D35" s="81" t="e">
        <f>SUM(D31:D34)</f>
        <v>#REF!</v>
      </c>
      <c r="E35" s="81" t="e">
        <f>SUM(E31:E34)</f>
        <v>#REF!</v>
      </c>
      <c r="H35" s="105" t="s">
        <v>9</v>
      </c>
      <c r="I35" s="81" t="e">
        <f>SUM(I31:I34)</f>
        <v>#REF!</v>
      </c>
    </row>
    <row r="36" spans="1:9" ht="14" x14ac:dyDescent="0.2"/>
    <row r="37" spans="1:9" ht="14" x14ac:dyDescent="0.2"/>
    <row r="38" spans="1:9" ht="14" x14ac:dyDescent="0.2"/>
    <row r="39" spans="1:9" ht="14" x14ac:dyDescent="0.2"/>
    <row r="40" spans="1:9" ht="14" x14ac:dyDescent="0.2"/>
    <row r="41" spans="1:9" ht="14" x14ac:dyDescent="0.2"/>
    <row r="42" spans="1:9" ht="14" x14ac:dyDescent="0.2"/>
    <row r="43" spans="1:9" ht="14" x14ac:dyDescent="0.2"/>
    <row r="44" spans="1:9" ht="14" x14ac:dyDescent="0.2"/>
    <row r="45" spans="1:9" ht="14" x14ac:dyDescent="0.2"/>
    <row r="46" spans="1:9" ht="14" x14ac:dyDescent="0.2"/>
    <row r="47" spans="1:9" ht="14" x14ac:dyDescent="0.2"/>
    <row r="48" spans="1:9" ht="14" x14ac:dyDescent="0.2"/>
    <row r="49" ht="14" x14ac:dyDescent="0.2"/>
    <row r="50" ht="14" x14ac:dyDescent="0.2"/>
    <row r="51" ht="14" x14ac:dyDescent="0.2"/>
    <row r="52" ht="14" x14ac:dyDescent="0.2"/>
    <row r="53" ht="14" x14ac:dyDescent="0.2"/>
    <row r="54" ht="14" x14ac:dyDescent="0.2"/>
    <row r="55" ht="14" x14ac:dyDescent="0.2"/>
    <row r="56" ht="14" x14ac:dyDescent="0.2"/>
    <row r="57" ht="14" x14ac:dyDescent="0.2"/>
    <row r="58" ht="14" x14ac:dyDescent="0.2"/>
    <row r="59" ht="14" x14ac:dyDescent="0.2"/>
    <row r="60" ht="14" x14ac:dyDescent="0.2"/>
    <row r="61" ht="14" x14ac:dyDescent="0.2"/>
    <row r="62" ht="14" x14ac:dyDescent="0.2"/>
    <row r="63" ht="14" x14ac:dyDescent="0.2"/>
    <row r="64" ht="14" x14ac:dyDescent="0.2"/>
    <row r="65" ht="14" x14ac:dyDescent="0.2"/>
    <row r="66" ht="14" x14ac:dyDescent="0.2"/>
    <row r="67" ht="14" x14ac:dyDescent="0.2"/>
    <row r="68" ht="14" x14ac:dyDescent="0.2"/>
    <row r="69" ht="14" x14ac:dyDescent="0.2"/>
    <row r="70" ht="14" x14ac:dyDescent="0.2"/>
    <row r="71" ht="14" x14ac:dyDescent="0.2"/>
    <row r="72" ht="14" x14ac:dyDescent="0.2"/>
    <row r="73" ht="14" x14ac:dyDescent="0.2"/>
    <row r="74" ht="14" x14ac:dyDescent="0.2"/>
    <row r="75" ht="14" x14ac:dyDescent="0.2"/>
    <row r="76" ht="14" x14ac:dyDescent="0.2"/>
    <row r="77" ht="14" x14ac:dyDescent="0.2"/>
    <row r="78" ht="14" x14ac:dyDescent="0.2"/>
    <row r="79" ht="14" x14ac:dyDescent="0.2"/>
    <row r="80" ht="14" x14ac:dyDescent="0.2"/>
    <row r="81" ht="14" x14ac:dyDescent="0.2"/>
    <row r="82" ht="14" x14ac:dyDescent="0.2"/>
    <row r="83" ht="14" x14ac:dyDescent="0.2"/>
    <row r="84" ht="14" x14ac:dyDescent="0.2"/>
    <row r="85" ht="14" x14ac:dyDescent="0.2"/>
    <row r="86" ht="14" x14ac:dyDescent="0.2"/>
    <row r="87" ht="14" x14ac:dyDescent="0.2"/>
    <row r="88" ht="14" x14ac:dyDescent="0.2"/>
    <row r="89" ht="14" x14ac:dyDescent="0.2"/>
    <row r="90" ht="14" x14ac:dyDescent="0.2"/>
    <row r="91" ht="14" x14ac:dyDescent="0.2"/>
    <row r="92" ht="14" x14ac:dyDescent="0.2"/>
    <row r="93" ht="14" x14ac:dyDescent="0.2"/>
    <row r="94" ht="14" x14ac:dyDescent="0.2"/>
    <row r="95" ht="14" x14ac:dyDescent="0.2"/>
    <row r="96" ht="14" x14ac:dyDescent="0.2"/>
    <row r="97" ht="14" x14ac:dyDescent="0.2"/>
    <row r="98" ht="14" x14ac:dyDescent="0.2"/>
    <row r="99" ht="14" x14ac:dyDescent="0.2"/>
    <row r="100" ht="14" x14ac:dyDescent="0.2"/>
    <row r="101" ht="14" x14ac:dyDescent="0.2"/>
    <row r="102" ht="14" x14ac:dyDescent="0.2"/>
    <row r="103" ht="14" x14ac:dyDescent="0.2"/>
    <row r="104" ht="14" x14ac:dyDescent="0.2"/>
    <row r="105" ht="14" x14ac:dyDescent="0.2"/>
    <row r="106" ht="14" x14ac:dyDescent="0.2"/>
    <row r="107" ht="14" x14ac:dyDescent="0.2"/>
    <row r="108" ht="14" x14ac:dyDescent="0.2"/>
    <row r="109" ht="14" x14ac:dyDescent="0.2"/>
    <row r="110" ht="14" x14ac:dyDescent="0.2"/>
    <row r="111" ht="14" x14ac:dyDescent="0.2"/>
    <row r="112" ht="14" x14ac:dyDescent="0.2"/>
    <row r="113" ht="14" x14ac:dyDescent="0.2"/>
    <row r="114" ht="14" x14ac:dyDescent="0.2"/>
    <row r="115" ht="14" x14ac:dyDescent="0.2"/>
    <row r="116" ht="14" x14ac:dyDescent="0.2"/>
    <row r="117" ht="14" x14ac:dyDescent="0.2"/>
    <row r="118" ht="14" x14ac:dyDescent="0.2"/>
    <row r="119" ht="14" x14ac:dyDescent="0.2"/>
    <row r="120" ht="14" x14ac:dyDescent="0.2"/>
    <row r="121" ht="14" x14ac:dyDescent="0.2"/>
    <row r="122" ht="14" x14ac:dyDescent="0.2"/>
    <row r="123" ht="14" x14ac:dyDescent="0.2"/>
    <row r="124" ht="14" x14ac:dyDescent="0.2"/>
    <row r="125" ht="14" x14ac:dyDescent="0.2"/>
    <row r="126" ht="14" x14ac:dyDescent="0.2"/>
    <row r="127" ht="14" x14ac:dyDescent="0.2"/>
    <row r="128" ht="14" x14ac:dyDescent="0.2"/>
    <row r="129" ht="14" x14ac:dyDescent="0.2"/>
    <row r="130" ht="14" x14ac:dyDescent="0.2"/>
    <row r="131" ht="14" x14ac:dyDescent="0.2"/>
    <row r="132" ht="14" x14ac:dyDescent="0.2"/>
    <row r="133" ht="14" x14ac:dyDescent="0.2"/>
    <row r="134" ht="14" x14ac:dyDescent="0.2"/>
    <row r="135" ht="14" x14ac:dyDescent="0.2"/>
    <row r="136" ht="14" x14ac:dyDescent="0.2"/>
    <row r="137" ht="14" x14ac:dyDescent="0.2"/>
    <row r="138" ht="14" x14ac:dyDescent="0.2"/>
    <row r="139" ht="14" x14ac:dyDescent="0.2"/>
    <row r="140" ht="14" x14ac:dyDescent="0.2"/>
    <row r="141" ht="14" x14ac:dyDescent="0.2"/>
    <row r="142" ht="14" x14ac:dyDescent="0.2"/>
    <row r="143" ht="14" x14ac:dyDescent="0.2"/>
    <row r="144" ht="14" x14ac:dyDescent="0.2"/>
    <row r="145" ht="14" x14ac:dyDescent="0.2"/>
    <row r="146" ht="14" x14ac:dyDescent="0.2"/>
    <row r="147" ht="14" x14ac:dyDescent="0.2"/>
    <row r="148" ht="14" x14ac:dyDescent="0.2"/>
    <row r="149" ht="14" x14ac:dyDescent="0.2"/>
    <row r="150" ht="14" x14ac:dyDescent="0.2"/>
    <row r="151" ht="14" x14ac:dyDescent="0.2"/>
    <row r="152" ht="14" x14ac:dyDescent="0.2"/>
    <row r="153" ht="14" x14ac:dyDescent="0.2"/>
    <row r="154" ht="14" x14ac:dyDescent="0.2"/>
    <row r="155" ht="14" x14ac:dyDescent="0.2"/>
    <row r="156" ht="14" x14ac:dyDescent="0.2"/>
    <row r="157" ht="14" x14ac:dyDescent="0.2"/>
    <row r="158" ht="14" x14ac:dyDescent="0.2"/>
    <row r="159" ht="14" x14ac:dyDescent="0.2"/>
    <row r="160" ht="14" x14ac:dyDescent="0.2"/>
    <row r="161" ht="14" x14ac:dyDescent="0.2"/>
    <row r="162" ht="14" x14ac:dyDescent="0.2"/>
    <row r="163" ht="14" x14ac:dyDescent="0.2"/>
    <row r="164" ht="14" x14ac:dyDescent="0.2"/>
    <row r="165" ht="14" x14ac:dyDescent="0.2"/>
    <row r="166" ht="14" x14ac:dyDescent="0.2"/>
    <row r="167" ht="14" x14ac:dyDescent="0.2"/>
    <row r="168" ht="14" x14ac:dyDescent="0.2"/>
    <row r="169" ht="14" x14ac:dyDescent="0.2"/>
    <row r="170" ht="14" x14ac:dyDescent="0.2"/>
    <row r="171" ht="14" x14ac:dyDescent="0.2"/>
    <row r="172" ht="14" x14ac:dyDescent="0.2"/>
    <row r="173" ht="14" x14ac:dyDescent="0.2"/>
    <row r="174" ht="14" x14ac:dyDescent="0.2"/>
    <row r="175" ht="14" x14ac:dyDescent="0.2"/>
    <row r="176" ht="14" x14ac:dyDescent="0.2"/>
    <row r="177" ht="14" x14ac:dyDescent="0.2"/>
    <row r="178" ht="14" x14ac:dyDescent="0.2"/>
    <row r="179" ht="14" x14ac:dyDescent="0.2"/>
    <row r="180" ht="14" x14ac:dyDescent="0.2"/>
    <row r="181" ht="14" x14ac:dyDescent="0.2"/>
    <row r="182" ht="14" x14ac:dyDescent="0.2"/>
    <row r="183" ht="14" x14ac:dyDescent="0.2"/>
    <row r="184" ht="14" x14ac:dyDescent="0.2"/>
    <row r="185" ht="14" x14ac:dyDescent="0.2"/>
    <row r="186" ht="14" x14ac:dyDescent="0.2"/>
    <row r="187" ht="14" x14ac:dyDescent="0.2"/>
    <row r="188" ht="14" x14ac:dyDescent="0.2"/>
    <row r="189" ht="14" x14ac:dyDescent="0.2"/>
    <row r="190" ht="14" x14ac:dyDescent="0.2"/>
    <row r="191" ht="14" x14ac:dyDescent="0.2"/>
    <row r="192" ht="14" x14ac:dyDescent="0.2"/>
    <row r="193" ht="14" x14ac:dyDescent="0.2"/>
    <row r="194" ht="14" x14ac:dyDescent="0.2"/>
    <row r="195" ht="14" x14ac:dyDescent="0.2"/>
    <row r="196" ht="14" x14ac:dyDescent="0.2"/>
    <row r="197" ht="14" x14ac:dyDescent="0.2"/>
    <row r="198" ht="14" x14ac:dyDescent="0.2"/>
    <row r="199" ht="14" x14ac:dyDescent="0.2"/>
    <row r="200" ht="14" x14ac:dyDescent="0.2"/>
    <row r="201" ht="14" x14ac:dyDescent="0.2"/>
    <row r="202" ht="14" x14ac:dyDescent="0.2"/>
    <row r="203" ht="14" x14ac:dyDescent="0.2"/>
    <row r="204" ht="14" x14ac:dyDescent="0.2"/>
    <row r="205" ht="14" x14ac:dyDescent="0.2"/>
    <row r="206" ht="14" x14ac:dyDescent="0.2"/>
    <row r="207" ht="14" x14ac:dyDescent="0.2"/>
    <row r="208" ht="14" x14ac:dyDescent="0.2"/>
    <row r="209" ht="14" x14ac:dyDescent="0.2"/>
    <row r="210" ht="14" x14ac:dyDescent="0.2"/>
    <row r="211" ht="14" x14ac:dyDescent="0.2"/>
    <row r="212" ht="14" x14ac:dyDescent="0.2"/>
    <row r="213" ht="14" x14ac:dyDescent="0.2"/>
    <row r="214" ht="14" x14ac:dyDescent="0.2"/>
    <row r="215" ht="14" x14ac:dyDescent="0.2"/>
    <row r="216" ht="14" x14ac:dyDescent="0.2"/>
    <row r="217" ht="14" x14ac:dyDescent="0.2"/>
    <row r="218" ht="14" x14ac:dyDescent="0.2"/>
    <row r="219" ht="14" x14ac:dyDescent="0.2"/>
    <row r="220" ht="14" x14ac:dyDescent="0.2"/>
    <row r="221" ht="14" x14ac:dyDescent="0.2"/>
    <row r="222" ht="14" x14ac:dyDescent="0.2"/>
    <row r="223" ht="14" x14ac:dyDescent="0.2"/>
    <row r="224" ht="14" x14ac:dyDescent="0.2"/>
    <row r="225" ht="14" x14ac:dyDescent="0.2"/>
    <row r="226" ht="14" x14ac:dyDescent="0.2"/>
    <row r="227" ht="14" x14ac:dyDescent="0.2"/>
    <row r="228" ht="14" x14ac:dyDescent="0.2"/>
    <row r="229" ht="14" x14ac:dyDescent="0.2"/>
    <row r="230" ht="14" x14ac:dyDescent="0.2"/>
    <row r="231" ht="14" x14ac:dyDescent="0.2"/>
    <row r="232" ht="14" x14ac:dyDescent="0.2"/>
    <row r="233" ht="14" x14ac:dyDescent="0.2"/>
    <row r="234" ht="14" x14ac:dyDescent="0.2"/>
    <row r="235" ht="14" x14ac:dyDescent="0.2"/>
    <row r="236" ht="14" x14ac:dyDescent="0.2"/>
    <row r="237" ht="14" x14ac:dyDescent="0.2"/>
    <row r="238" ht="14" x14ac:dyDescent="0.2"/>
    <row r="239" ht="14" x14ac:dyDescent="0.2"/>
    <row r="240" ht="14" x14ac:dyDescent="0.2"/>
    <row r="241" ht="14" x14ac:dyDescent="0.2"/>
    <row r="242" ht="14" x14ac:dyDescent="0.2"/>
    <row r="243" ht="14" x14ac:dyDescent="0.2"/>
    <row r="244" ht="14" x14ac:dyDescent="0.2"/>
    <row r="245" ht="14" x14ac:dyDescent="0.2"/>
    <row r="246" ht="14" x14ac:dyDescent="0.2"/>
    <row r="247" ht="14" x14ac:dyDescent="0.2"/>
    <row r="248" ht="14" x14ac:dyDescent="0.2"/>
    <row r="249" ht="14" x14ac:dyDescent="0.2"/>
    <row r="250" ht="14" x14ac:dyDescent="0.2"/>
    <row r="251" ht="14" x14ac:dyDescent="0.2"/>
    <row r="252" ht="14" x14ac:dyDescent="0.2"/>
    <row r="253" ht="14" x14ac:dyDescent="0.2"/>
    <row r="254" ht="14" x14ac:dyDescent="0.2"/>
    <row r="255" ht="14" x14ac:dyDescent="0.2"/>
    <row r="256" ht="14" x14ac:dyDescent="0.2"/>
    <row r="257" ht="14" x14ac:dyDescent="0.2"/>
    <row r="258" ht="14" x14ac:dyDescent="0.2"/>
    <row r="259" ht="14" x14ac:dyDescent="0.2"/>
    <row r="260" ht="14" x14ac:dyDescent="0.2"/>
    <row r="261" ht="14" x14ac:dyDescent="0.2"/>
    <row r="262" ht="14" x14ac:dyDescent="0.2"/>
    <row r="263" ht="14" x14ac:dyDescent="0.2"/>
    <row r="264" ht="14" x14ac:dyDescent="0.2"/>
    <row r="265" ht="14" x14ac:dyDescent="0.2"/>
    <row r="266" ht="14" x14ac:dyDescent="0.2"/>
    <row r="267" ht="14" x14ac:dyDescent="0.2"/>
    <row r="268" ht="14" x14ac:dyDescent="0.2"/>
    <row r="269" ht="14" x14ac:dyDescent="0.2"/>
    <row r="270" ht="14" x14ac:dyDescent="0.2"/>
    <row r="271" ht="14" x14ac:dyDescent="0.2"/>
    <row r="272" ht="14" x14ac:dyDescent="0.2"/>
    <row r="273" ht="14" x14ac:dyDescent="0.2"/>
    <row r="274" ht="14" x14ac:dyDescent="0.2"/>
    <row r="275" ht="14" x14ac:dyDescent="0.2"/>
    <row r="276" ht="14" x14ac:dyDescent="0.2"/>
    <row r="277" ht="14" x14ac:dyDescent="0.2"/>
    <row r="278" ht="14" x14ac:dyDescent="0.2"/>
    <row r="279" ht="14" x14ac:dyDescent="0.2"/>
    <row r="280" ht="14" x14ac:dyDescent="0.2"/>
    <row r="281" ht="14" x14ac:dyDescent="0.2"/>
    <row r="282" ht="14" x14ac:dyDescent="0.2"/>
    <row r="283" ht="14" x14ac:dyDescent="0.2"/>
    <row r="284" ht="14" x14ac:dyDescent="0.2"/>
    <row r="285" ht="14" x14ac:dyDescent="0.2"/>
    <row r="286" ht="14" x14ac:dyDescent="0.2"/>
    <row r="287" ht="14" x14ac:dyDescent="0.2"/>
    <row r="288" ht="14" x14ac:dyDescent="0.2"/>
    <row r="289" ht="14" x14ac:dyDescent="0.2"/>
    <row r="290" ht="14" x14ac:dyDescent="0.2"/>
    <row r="291" ht="14" x14ac:dyDescent="0.2"/>
    <row r="292" ht="14" x14ac:dyDescent="0.2"/>
    <row r="293" ht="14" x14ac:dyDescent="0.2"/>
    <row r="294" ht="14" x14ac:dyDescent="0.2"/>
    <row r="295" ht="14" x14ac:dyDescent="0.2"/>
    <row r="296" ht="14" x14ac:dyDescent="0.2"/>
    <row r="297" ht="14" x14ac:dyDescent="0.2"/>
    <row r="298" ht="14" x14ac:dyDescent="0.2"/>
    <row r="299" ht="14" x14ac:dyDescent="0.2"/>
    <row r="300" ht="14" x14ac:dyDescent="0.2"/>
    <row r="301" ht="14" x14ac:dyDescent="0.2"/>
    <row r="302" ht="14" x14ac:dyDescent="0.2"/>
    <row r="303" ht="14" x14ac:dyDescent="0.2"/>
    <row r="304" ht="14" x14ac:dyDescent="0.2"/>
    <row r="305" ht="14" x14ac:dyDescent="0.2"/>
    <row r="306" ht="14" x14ac:dyDescent="0.2"/>
    <row r="307" ht="14" x14ac:dyDescent="0.2"/>
    <row r="308" ht="14" x14ac:dyDescent="0.2"/>
    <row r="309" ht="14" x14ac:dyDescent="0.2"/>
    <row r="310" ht="14" x14ac:dyDescent="0.2"/>
    <row r="311" ht="14" x14ac:dyDescent="0.2"/>
    <row r="312" ht="14" x14ac:dyDescent="0.2"/>
    <row r="313" ht="14" x14ac:dyDescent="0.2"/>
    <row r="314" ht="14" x14ac:dyDescent="0.2"/>
    <row r="315" ht="14" x14ac:dyDescent="0.2"/>
    <row r="316" ht="14" x14ac:dyDescent="0.2"/>
    <row r="317" ht="14" x14ac:dyDescent="0.2"/>
    <row r="318" ht="14" x14ac:dyDescent="0.2"/>
    <row r="319" ht="14" x14ac:dyDescent="0.2"/>
    <row r="320" ht="14" x14ac:dyDescent="0.2"/>
    <row r="321" ht="14" x14ac:dyDescent="0.2"/>
    <row r="322" ht="14" x14ac:dyDescent="0.2"/>
    <row r="323" ht="14" x14ac:dyDescent="0.2"/>
    <row r="324" ht="14" x14ac:dyDescent="0.2"/>
    <row r="325" ht="14" x14ac:dyDescent="0.2"/>
    <row r="326" ht="14" x14ac:dyDescent="0.2"/>
    <row r="327" ht="14" x14ac:dyDescent="0.2"/>
    <row r="328" ht="14" x14ac:dyDescent="0.2"/>
    <row r="329" ht="14" x14ac:dyDescent="0.2"/>
    <row r="330" ht="14" x14ac:dyDescent="0.2"/>
    <row r="331" ht="14" x14ac:dyDescent="0.2"/>
    <row r="332" ht="14" x14ac:dyDescent="0.2"/>
    <row r="333" ht="14" x14ac:dyDescent="0.2"/>
    <row r="334" ht="14" x14ac:dyDescent="0.2"/>
    <row r="335" ht="14" x14ac:dyDescent="0.2"/>
    <row r="336" ht="14" x14ac:dyDescent="0.2"/>
    <row r="337" ht="14" x14ac:dyDescent="0.2"/>
    <row r="338" ht="14" x14ac:dyDescent="0.2"/>
    <row r="339" ht="14" x14ac:dyDescent="0.2"/>
    <row r="340" ht="14" x14ac:dyDescent="0.2"/>
    <row r="341" ht="14" x14ac:dyDescent="0.2"/>
    <row r="342" ht="14" x14ac:dyDescent="0.2"/>
    <row r="343" ht="14" x14ac:dyDescent="0.2"/>
    <row r="344" ht="14" x14ac:dyDescent="0.2"/>
    <row r="345" ht="14" x14ac:dyDescent="0.2"/>
    <row r="346" ht="14" x14ac:dyDescent="0.2"/>
    <row r="347" ht="14" x14ac:dyDescent="0.2"/>
    <row r="348" ht="14" x14ac:dyDescent="0.2"/>
    <row r="349" ht="14" x14ac:dyDescent="0.2"/>
    <row r="350" ht="14" x14ac:dyDescent="0.2"/>
    <row r="351" ht="14" x14ac:dyDescent="0.2"/>
    <row r="352" ht="14" x14ac:dyDescent="0.2"/>
    <row r="353" ht="14" x14ac:dyDescent="0.2"/>
    <row r="354" ht="14" x14ac:dyDescent="0.2"/>
    <row r="355" ht="14" x14ac:dyDescent="0.2"/>
    <row r="356" ht="14" x14ac:dyDescent="0.2"/>
    <row r="357" ht="14" x14ac:dyDescent="0.2"/>
    <row r="358" ht="14" x14ac:dyDescent="0.2"/>
    <row r="359" ht="14" x14ac:dyDescent="0.2"/>
    <row r="360" ht="14" x14ac:dyDescent="0.2"/>
    <row r="361" ht="14" x14ac:dyDescent="0.2"/>
    <row r="362" ht="14" x14ac:dyDescent="0.2"/>
    <row r="363" ht="14" x14ac:dyDescent="0.2"/>
    <row r="364" ht="14" x14ac:dyDescent="0.2"/>
    <row r="365" ht="14" x14ac:dyDescent="0.2"/>
    <row r="366" ht="14" x14ac:dyDescent="0.2"/>
    <row r="367" ht="14" x14ac:dyDescent="0.2"/>
    <row r="368" ht="14" x14ac:dyDescent="0.2"/>
    <row r="369" ht="14" x14ac:dyDescent="0.2"/>
    <row r="370" ht="14" x14ac:dyDescent="0.2"/>
    <row r="371" ht="14" x14ac:dyDescent="0.2"/>
    <row r="372" ht="14" x14ac:dyDescent="0.2"/>
    <row r="373" ht="14" x14ac:dyDescent="0.2"/>
    <row r="374" ht="14" x14ac:dyDescent="0.2"/>
    <row r="375" ht="14" x14ac:dyDescent="0.2"/>
    <row r="376" ht="14" x14ac:dyDescent="0.2"/>
    <row r="377" ht="14" x14ac:dyDescent="0.2"/>
    <row r="378" ht="14" x14ac:dyDescent="0.2"/>
    <row r="379" ht="14" x14ac:dyDescent="0.2"/>
    <row r="380" ht="14" x14ac:dyDescent="0.2"/>
    <row r="381" ht="14" x14ac:dyDescent="0.2"/>
    <row r="382" ht="14" x14ac:dyDescent="0.2"/>
    <row r="383" ht="14" x14ac:dyDescent="0.2"/>
    <row r="384" ht="14" x14ac:dyDescent="0.2"/>
    <row r="385" ht="14" x14ac:dyDescent="0.2"/>
    <row r="386" ht="14" x14ac:dyDescent="0.2"/>
    <row r="387" ht="14" x14ac:dyDescent="0.2"/>
    <row r="388" ht="14" x14ac:dyDescent="0.2"/>
    <row r="389" ht="14" x14ac:dyDescent="0.2"/>
    <row r="390" ht="14" x14ac:dyDescent="0.2"/>
    <row r="391" ht="14" x14ac:dyDescent="0.2"/>
    <row r="392" ht="14" x14ac:dyDescent="0.2"/>
    <row r="393" ht="14" x14ac:dyDescent="0.2"/>
    <row r="394" ht="14" x14ac:dyDescent="0.2"/>
    <row r="395" ht="14" x14ac:dyDescent="0.2"/>
    <row r="396" ht="14" x14ac:dyDescent="0.2"/>
    <row r="397" ht="14" x14ac:dyDescent="0.2"/>
    <row r="398" ht="14" x14ac:dyDescent="0.2"/>
    <row r="399" ht="14" x14ac:dyDescent="0.2"/>
    <row r="400" ht="14" x14ac:dyDescent="0.2"/>
    <row r="401" ht="14" x14ac:dyDescent="0.2"/>
    <row r="402" ht="14" x14ac:dyDescent="0.2"/>
    <row r="403" ht="14" x14ac:dyDescent="0.2"/>
    <row r="404" ht="14" x14ac:dyDescent="0.2"/>
    <row r="405" ht="14" x14ac:dyDescent="0.2"/>
    <row r="406" ht="14" x14ac:dyDescent="0.2"/>
    <row r="407" ht="14" x14ac:dyDescent="0.2"/>
    <row r="408" ht="14" x14ac:dyDescent="0.2"/>
    <row r="409" ht="14" x14ac:dyDescent="0.2"/>
    <row r="410" ht="14" x14ac:dyDescent="0.2"/>
    <row r="411" ht="14" x14ac:dyDescent="0.2"/>
    <row r="412" ht="14" x14ac:dyDescent="0.2"/>
    <row r="413" ht="14" x14ac:dyDescent="0.2"/>
    <row r="414" ht="14" x14ac:dyDescent="0.2"/>
    <row r="415" ht="14" x14ac:dyDescent="0.2"/>
    <row r="416" ht="14" x14ac:dyDescent="0.2"/>
    <row r="417" ht="14" x14ac:dyDescent="0.2"/>
    <row r="418" ht="14" x14ac:dyDescent="0.2"/>
    <row r="419" ht="14" x14ac:dyDescent="0.2"/>
    <row r="420" ht="14" x14ac:dyDescent="0.2"/>
    <row r="421" ht="14" x14ac:dyDescent="0.2"/>
    <row r="422" ht="14" x14ac:dyDescent="0.2"/>
    <row r="423" ht="14" x14ac:dyDescent="0.2"/>
    <row r="424" ht="14" x14ac:dyDescent="0.2"/>
    <row r="425" ht="14" x14ac:dyDescent="0.2"/>
    <row r="426" ht="14" x14ac:dyDescent="0.2"/>
    <row r="427" ht="14" x14ac:dyDescent="0.2"/>
    <row r="428" ht="14" x14ac:dyDescent="0.2"/>
    <row r="429" ht="14" x14ac:dyDescent="0.2"/>
    <row r="430" ht="14" x14ac:dyDescent="0.2"/>
    <row r="431" ht="14" x14ac:dyDescent="0.2"/>
    <row r="432" ht="14" x14ac:dyDescent="0.2"/>
    <row r="433" ht="14" x14ac:dyDescent="0.2"/>
    <row r="434" ht="14" x14ac:dyDescent="0.2"/>
    <row r="435" ht="14" x14ac:dyDescent="0.2"/>
    <row r="436" ht="14" x14ac:dyDescent="0.2"/>
    <row r="437" ht="14" x14ac:dyDescent="0.2"/>
    <row r="438" ht="14" x14ac:dyDescent="0.2"/>
    <row r="439" ht="14" x14ac:dyDescent="0.2"/>
    <row r="440" ht="14" x14ac:dyDescent="0.2"/>
    <row r="441" ht="14" x14ac:dyDescent="0.2"/>
    <row r="442" ht="14" x14ac:dyDescent="0.2"/>
    <row r="443" ht="14" x14ac:dyDescent="0.2"/>
    <row r="444" ht="14" x14ac:dyDescent="0.2"/>
    <row r="445" ht="14" x14ac:dyDescent="0.2"/>
    <row r="446" ht="14" x14ac:dyDescent="0.2"/>
    <row r="447" ht="14" x14ac:dyDescent="0.2"/>
    <row r="448" ht="14" x14ac:dyDescent="0.2"/>
    <row r="449" ht="14" x14ac:dyDescent="0.2"/>
    <row r="450" ht="14" x14ac:dyDescent="0.2"/>
    <row r="451" ht="14" x14ac:dyDescent="0.2"/>
    <row r="452" ht="14" x14ac:dyDescent="0.2"/>
    <row r="453" ht="14" x14ac:dyDescent="0.2"/>
    <row r="454" ht="14" x14ac:dyDescent="0.2"/>
    <row r="455" ht="14" x14ac:dyDescent="0.2"/>
    <row r="456" ht="14" x14ac:dyDescent="0.2"/>
    <row r="457" ht="14" x14ac:dyDescent="0.2"/>
    <row r="458" ht="14" x14ac:dyDescent="0.2"/>
    <row r="459" ht="14" x14ac:dyDescent="0.2"/>
    <row r="460" ht="14" x14ac:dyDescent="0.2"/>
    <row r="461" ht="14" x14ac:dyDescent="0.2"/>
    <row r="462" ht="14" x14ac:dyDescent="0.2"/>
    <row r="463" ht="14" x14ac:dyDescent="0.2"/>
    <row r="464" ht="14" x14ac:dyDescent="0.2"/>
    <row r="465" ht="14" x14ac:dyDescent="0.2"/>
    <row r="466" ht="14" x14ac:dyDescent="0.2"/>
    <row r="467" ht="14" x14ac:dyDescent="0.2"/>
    <row r="468" ht="14" x14ac:dyDescent="0.2"/>
    <row r="469" ht="14" x14ac:dyDescent="0.2"/>
    <row r="470" ht="14" x14ac:dyDescent="0.2"/>
    <row r="471" ht="14" x14ac:dyDescent="0.2"/>
    <row r="472" ht="14" x14ac:dyDescent="0.2"/>
    <row r="473" ht="14" x14ac:dyDescent="0.2"/>
    <row r="474" ht="14" x14ac:dyDescent="0.2"/>
    <row r="475" ht="14" x14ac:dyDescent="0.2"/>
    <row r="476" ht="14" x14ac:dyDescent="0.2"/>
    <row r="477" ht="14" x14ac:dyDescent="0.2"/>
    <row r="478" ht="14" x14ac:dyDescent="0.2"/>
    <row r="479" ht="14" x14ac:dyDescent="0.2"/>
    <row r="480" ht="14" x14ac:dyDescent="0.2"/>
    <row r="481" ht="14" x14ac:dyDescent="0.2"/>
    <row r="482" ht="14" x14ac:dyDescent="0.2"/>
    <row r="483" ht="14" x14ac:dyDescent="0.2"/>
    <row r="484" ht="14" x14ac:dyDescent="0.2"/>
    <row r="485" ht="14" x14ac:dyDescent="0.2"/>
    <row r="486" ht="14" x14ac:dyDescent="0.2"/>
    <row r="487" ht="14" x14ac:dyDescent="0.2"/>
    <row r="488" ht="14" x14ac:dyDescent="0.2"/>
    <row r="489" ht="14" x14ac:dyDescent="0.2"/>
    <row r="490" ht="14" x14ac:dyDescent="0.2"/>
    <row r="491" ht="14" x14ac:dyDescent="0.2"/>
    <row r="492" ht="14" x14ac:dyDescent="0.2"/>
    <row r="493" ht="14" x14ac:dyDescent="0.2"/>
    <row r="494" ht="14" x14ac:dyDescent="0.2"/>
    <row r="495" ht="14" x14ac:dyDescent="0.2"/>
    <row r="496" ht="14" x14ac:dyDescent="0.2"/>
    <row r="497" ht="14" x14ac:dyDescent="0.2"/>
    <row r="498" ht="14" x14ac:dyDescent="0.2"/>
    <row r="499" ht="14" x14ac:dyDescent="0.2"/>
    <row r="500" ht="14" x14ac:dyDescent="0.2"/>
    <row r="501" ht="14" x14ac:dyDescent="0.2"/>
    <row r="502" ht="14" x14ac:dyDescent="0.2"/>
    <row r="503" ht="14" x14ac:dyDescent="0.2"/>
    <row r="504" ht="14" x14ac:dyDescent="0.2"/>
    <row r="505" ht="14" x14ac:dyDescent="0.2"/>
    <row r="506" ht="14" x14ac:dyDescent="0.2"/>
    <row r="507" ht="14" x14ac:dyDescent="0.2"/>
    <row r="508" ht="14" x14ac:dyDescent="0.2"/>
    <row r="509" ht="14" x14ac:dyDescent="0.2"/>
    <row r="510" ht="14" x14ac:dyDescent="0.2"/>
    <row r="511" ht="14" x14ac:dyDescent="0.2"/>
    <row r="512" ht="14" x14ac:dyDescent="0.2"/>
    <row r="513" ht="14" x14ac:dyDescent="0.2"/>
    <row r="514" ht="14" x14ac:dyDescent="0.2"/>
    <row r="515" ht="14" x14ac:dyDescent="0.2"/>
    <row r="516" ht="14" x14ac:dyDescent="0.2"/>
    <row r="517" ht="14" x14ac:dyDescent="0.2"/>
    <row r="518" ht="14" x14ac:dyDescent="0.2"/>
    <row r="519" ht="14" x14ac:dyDescent="0.2"/>
    <row r="520" ht="14" x14ac:dyDescent="0.2"/>
    <row r="521" ht="14" x14ac:dyDescent="0.2"/>
    <row r="522" ht="14" x14ac:dyDescent="0.2"/>
    <row r="523" ht="14" x14ac:dyDescent="0.2"/>
    <row r="524" ht="14" x14ac:dyDescent="0.2"/>
    <row r="525" ht="14" x14ac:dyDescent="0.2"/>
    <row r="526" ht="14" x14ac:dyDescent="0.2"/>
    <row r="527" ht="14" x14ac:dyDescent="0.2"/>
    <row r="528" ht="14" x14ac:dyDescent="0.2"/>
    <row r="529" ht="14" x14ac:dyDescent="0.2"/>
    <row r="530" ht="14" x14ac:dyDescent="0.2"/>
    <row r="531" ht="14" x14ac:dyDescent="0.2"/>
    <row r="532" ht="14" x14ac:dyDescent="0.2"/>
    <row r="533" ht="14" x14ac:dyDescent="0.2"/>
    <row r="534" ht="14" x14ac:dyDescent="0.2"/>
    <row r="535" ht="14" x14ac:dyDescent="0.2"/>
    <row r="536" ht="14" x14ac:dyDescent="0.2"/>
    <row r="537" ht="14" x14ac:dyDescent="0.2"/>
    <row r="538" ht="14" x14ac:dyDescent="0.2"/>
    <row r="539" ht="14" x14ac:dyDescent="0.2"/>
    <row r="540" ht="14" x14ac:dyDescent="0.2"/>
    <row r="541" ht="14" x14ac:dyDescent="0.2"/>
    <row r="542" ht="14" x14ac:dyDescent="0.2"/>
    <row r="543" ht="14" x14ac:dyDescent="0.2"/>
    <row r="544" ht="14" x14ac:dyDescent="0.2"/>
    <row r="545" ht="14" x14ac:dyDescent="0.2"/>
    <row r="546" ht="14" x14ac:dyDescent="0.2"/>
    <row r="547" ht="14" x14ac:dyDescent="0.2"/>
    <row r="548" ht="14" x14ac:dyDescent="0.2"/>
    <row r="549" ht="14" x14ac:dyDescent="0.2"/>
    <row r="550" ht="14" x14ac:dyDescent="0.2"/>
    <row r="551" ht="14" x14ac:dyDescent="0.2"/>
    <row r="552" ht="14" x14ac:dyDescent="0.2"/>
    <row r="553" ht="14" x14ac:dyDescent="0.2"/>
    <row r="554" ht="14" x14ac:dyDescent="0.2"/>
    <row r="555" ht="14" x14ac:dyDescent="0.2"/>
    <row r="556" ht="14" x14ac:dyDescent="0.2"/>
    <row r="557" ht="14" x14ac:dyDescent="0.2"/>
    <row r="558" ht="14" x14ac:dyDescent="0.2"/>
    <row r="559" ht="14" x14ac:dyDescent="0.2"/>
    <row r="560" ht="14" x14ac:dyDescent="0.2"/>
    <row r="561" ht="14" x14ac:dyDescent="0.2"/>
    <row r="562" ht="14" x14ac:dyDescent="0.2"/>
    <row r="563" ht="14" x14ac:dyDescent="0.2"/>
    <row r="564" ht="14" x14ac:dyDescent="0.2"/>
    <row r="565" ht="14" x14ac:dyDescent="0.2"/>
    <row r="566" ht="14" x14ac:dyDescent="0.2"/>
    <row r="567" ht="14" x14ac:dyDescent="0.2"/>
    <row r="568" ht="14" x14ac:dyDescent="0.2"/>
    <row r="569" ht="14" x14ac:dyDescent="0.2"/>
    <row r="570" ht="14" x14ac:dyDescent="0.2"/>
    <row r="571" ht="14" x14ac:dyDescent="0.2"/>
    <row r="572" ht="14" x14ac:dyDescent="0.2"/>
    <row r="573" ht="14" x14ac:dyDescent="0.2"/>
    <row r="574" ht="14" x14ac:dyDescent="0.2"/>
    <row r="575" ht="14" x14ac:dyDescent="0.2"/>
    <row r="576" ht="14" x14ac:dyDescent="0.2"/>
    <row r="577" ht="14" x14ac:dyDescent="0.2"/>
    <row r="578" ht="14" x14ac:dyDescent="0.2"/>
    <row r="579" ht="14" x14ac:dyDescent="0.2"/>
    <row r="580" ht="14" x14ac:dyDescent="0.2"/>
    <row r="581" ht="14" x14ac:dyDescent="0.2"/>
    <row r="582" ht="14" x14ac:dyDescent="0.2"/>
    <row r="583" ht="14" x14ac:dyDescent="0.2"/>
    <row r="584" ht="14" x14ac:dyDescent="0.2"/>
    <row r="585" ht="14" x14ac:dyDescent="0.2"/>
    <row r="586" ht="14" x14ac:dyDescent="0.2"/>
    <row r="587" ht="14" x14ac:dyDescent="0.2"/>
    <row r="588" ht="14" x14ac:dyDescent="0.2"/>
    <row r="589" ht="14" x14ac:dyDescent="0.2"/>
    <row r="590" ht="14" x14ac:dyDescent="0.2"/>
    <row r="591" ht="14" x14ac:dyDescent="0.2"/>
    <row r="592" ht="14" x14ac:dyDescent="0.2"/>
    <row r="593" ht="14" x14ac:dyDescent="0.2"/>
    <row r="594" ht="14" x14ac:dyDescent="0.2"/>
    <row r="595" ht="14" x14ac:dyDescent="0.2"/>
    <row r="596" ht="14" x14ac:dyDescent="0.2"/>
    <row r="597" ht="14" x14ac:dyDescent="0.2"/>
    <row r="598" ht="14" x14ac:dyDescent="0.2"/>
    <row r="599" ht="14" x14ac:dyDescent="0.2"/>
    <row r="600" ht="14" x14ac:dyDescent="0.2"/>
    <row r="601" ht="14" x14ac:dyDescent="0.2"/>
    <row r="602" ht="14" x14ac:dyDescent="0.2"/>
    <row r="603" ht="14" x14ac:dyDescent="0.2"/>
    <row r="604" ht="14" x14ac:dyDescent="0.2"/>
    <row r="605" ht="14" x14ac:dyDescent="0.2"/>
    <row r="606" ht="14" x14ac:dyDescent="0.2"/>
    <row r="607" ht="14" x14ac:dyDescent="0.2"/>
    <row r="608" ht="14" x14ac:dyDescent="0.2"/>
    <row r="609" ht="14" x14ac:dyDescent="0.2"/>
    <row r="610" ht="14" x14ac:dyDescent="0.2"/>
    <row r="611" ht="14" x14ac:dyDescent="0.2"/>
    <row r="612" ht="14" x14ac:dyDescent="0.2"/>
    <row r="613" ht="14" x14ac:dyDescent="0.2"/>
    <row r="614" ht="14" x14ac:dyDescent="0.2"/>
    <row r="615" ht="14" x14ac:dyDescent="0.2"/>
    <row r="616" ht="14" x14ac:dyDescent="0.2"/>
    <row r="617" ht="14" x14ac:dyDescent="0.2"/>
    <row r="618" ht="14" x14ac:dyDescent="0.2"/>
    <row r="619" ht="14" x14ac:dyDescent="0.2"/>
    <row r="620" ht="14" x14ac:dyDescent="0.2"/>
    <row r="621" ht="14" x14ac:dyDescent="0.2"/>
    <row r="622" ht="14" x14ac:dyDescent="0.2"/>
    <row r="623" ht="14" x14ac:dyDescent="0.2"/>
    <row r="624" ht="14" x14ac:dyDescent="0.2"/>
    <row r="625" ht="14" x14ac:dyDescent="0.2"/>
    <row r="626" ht="14" x14ac:dyDescent="0.2"/>
    <row r="627" ht="14" x14ac:dyDescent="0.2"/>
    <row r="628" ht="14" x14ac:dyDescent="0.2"/>
    <row r="629" ht="14" x14ac:dyDescent="0.2"/>
    <row r="630" ht="14" x14ac:dyDescent="0.2"/>
    <row r="631" ht="14" x14ac:dyDescent="0.2"/>
    <row r="632" ht="14" x14ac:dyDescent="0.2"/>
    <row r="633" ht="14" x14ac:dyDescent="0.2"/>
    <row r="634" ht="14" x14ac:dyDescent="0.2"/>
    <row r="635" ht="14" x14ac:dyDescent="0.2"/>
    <row r="636" ht="14" x14ac:dyDescent="0.2"/>
    <row r="637" ht="14" x14ac:dyDescent="0.2"/>
    <row r="638" ht="14" x14ac:dyDescent="0.2"/>
    <row r="639" ht="14" x14ac:dyDescent="0.2"/>
    <row r="640" ht="14" x14ac:dyDescent="0.2"/>
    <row r="641" ht="14" x14ac:dyDescent="0.2"/>
    <row r="642" ht="14" x14ac:dyDescent="0.2"/>
    <row r="643" ht="14" x14ac:dyDescent="0.2"/>
    <row r="644" ht="14" x14ac:dyDescent="0.2"/>
    <row r="645" ht="14" x14ac:dyDescent="0.2"/>
    <row r="646" ht="14" x14ac:dyDescent="0.2"/>
    <row r="647" ht="14" x14ac:dyDescent="0.2"/>
    <row r="648" ht="14" x14ac:dyDescent="0.2"/>
    <row r="649" ht="14" x14ac:dyDescent="0.2"/>
    <row r="650" ht="14" x14ac:dyDescent="0.2"/>
    <row r="651" ht="14" x14ac:dyDescent="0.2"/>
    <row r="652" ht="14" x14ac:dyDescent="0.2"/>
    <row r="653" ht="14" x14ac:dyDescent="0.2"/>
    <row r="654" ht="14" x14ac:dyDescent="0.2"/>
    <row r="655" ht="14" x14ac:dyDescent="0.2"/>
    <row r="656" ht="14" x14ac:dyDescent="0.2"/>
    <row r="657" ht="14" x14ac:dyDescent="0.2"/>
    <row r="658" ht="14" x14ac:dyDescent="0.2"/>
    <row r="659" ht="14" x14ac:dyDescent="0.2"/>
    <row r="660" ht="14" x14ac:dyDescent="0.2"/>
    <row r="661" ht="14" x14ac:dyDescent="0.2"/>
    <row r="662" ht="14" x14ac:dyDescent="0.2"/>
    <row r="663" ht="14" x14ac:dyDescent="0.2"/>
    <row r="664" ht="14" x14ac:dyDescent="0.2"/>
    <row r="665" ht="14" x14ac:dyDescent="0.2"/>
    <row r="666" ht="14" x14ac:dyDescent="0.2"/>
    <row r="667" ht="14" x14ac:dyDescent="0.2"/>
    <row r="668" ht="14" x14ac:dyDescent="0.2"/>
    <row r="669" ht="14" x14ac:dyDescent="0.2"/>
    <row r="670" ht="14" x14ac:dyDescent="0.2"/>
    <row r="671" ht="14" x14ac:dyDescent="0.2"/>
    <row r="672" ht="14" x14ac:dyDescent="0.2"/>
    <row r="673" ht="14" x14ac:dyDescent="0.2"/>
    <row r="674" ht="14" x14ac:dyDescent="0.2"/>
    <row r="675" ht="14" x14ac:dyDescent="0.2"/>
    <row r="676" ht="14" x14ac:dyDescent="0.2"/>
    <row r="677" ht="14" x14ac:dyDescent="0.2"/>
    <row r="678" ht="14" x14ac:dyDescent="0.2"/>
    <row r="679" ht="14" x14ac:dyDescent="0.2"/>
    <row r="680" ht="14" x14ac:dyDescent="0.2"/>
    <row r="681" ht="14" x14ac:dyDescent="0.2"/>
    <row r="682" ht="14" x14ac:dyDescent="0.2"/>
    <row r="683" ht="14" x14ac:dyDescent="0.2"/>
    <row r="684" ht="14" x14ac:dyDescent="0.2"/>
    <row r="685" ht="14" x14ac:dyDescent="0.2"/>
    <row r="686" ht="14" x14ac:dyDescent="0.2"/>
    <row r="687" ht="14" x14ac:dyDescent="0.2"/>
    <row r="688" ht="14" x14ac:dyDescent="0.2"/>
    <row r="689" ht="14" x14ac:dyDescent="0.2"/>
    <row r="690" ht="14" x14ac:dyDescent="0.2"/>
    <row r="691" ht="14" x14ac:dyDescent="0.2"/>
    <row r="692" ht="14" x14ac:dyDescent="0.2"/>
    <row r="693" ht="14" x14ac:dyDescent="0.2"/>
    <row r="694" ht="14" x14ac:dyDescent="0.2"/>
    <row r="695" ht="14" x14ac:dyDescent="0.2"/>
    <row r="696" ht="14" x14ac:dyDescent="0.2"/>
    <row r="697" ht="14" x14ac:dyDescent="0.2"/>
    <row r="698" ht="14" x14ac:dyDescent="0.2"/>
    <row r="699" ht="14" x14ac:dyDescent="0.2"/>
    <row r="700" ht="14" x14ac:dyDescent="0.2"/>
    <row r="701" ht="14" x14ac:dyDescent="0.2"/>
    <row r="702" ht="14" x14ac:dyDescent="0.2"/>
    <row r="703" ht="14" x14ac:dyDescent="0.2"/>
    <row r="704" ht="14" x14ac:dyDescent="0.2"/>
    <row r="705" ht="14" x14ac:dyDescent="0.2"/>
    <row r="706" ht="14" x14ac:dyDescent="0.2"/>
    <row r="707" ht="14" x14ac:dyDescent="0.2"/>
    <row r="708" ht="14" x14ac:dyDescent="0.2"/>
    <row r="709" ht="14" x14ac:dyDescent="0.2"/>
    <row r="710" ht="14" x14ac:dyDescent="0.2"/>
    <row r="711" ht="14" x14ac:dyDescent="0.2"/>
    <row r="712" ht="14" x14ac:dyDescent="0.2"/>
    <row r="713" ht="14" x14ac:dyDescent="0.2"/>
    <row r="714" ht="14" x14ac:dyDescent="0.2"/>
    <row r="715" ht="14" x14ac:dyDescent="0.2"/>
    <row r="716" ht="14" x14ac:dyDescent="0.2"/>
    <row r="717" ht="14" x14ac:dyDescent="0.2"/>
    <row r="718" ht="14" x14ac:dyDescent="0.2"/>
    <row r="719" ht="14" x14ac:dyDescent="0.2"/>
    <row r="720" ht="14" x14ac:dyDescent="0.2"/>
    <row r="721" ht="14" x14ac:dyDescent="0.2"/>
    <row r="722" ht="14" x14ac:dyDescent="0.2"/>
    <row r="723" ht="14" x14ac:dyDescent="0.2"/>
    <row r="724" ht="14" x14ac:dyDescent="0.2"/>
    <row r="725" ht="14" x14ac:dyDescent="0.2"/>
    <row r="726" ht="14" x14ac:dyDescent="0.2"/>
    <row r="727" ht="14" x14ac:dyDescent="0.2"/>
    <row r="728" ht="14" x14ac:dyDescent="0.2"/>
    <row r="729" ht="14" x14ac:dyDescent="0.2"/>
    <row r="730" ht="14" x14ac:dyDescent="0.2"/>
    <row r="731" ht="14" x14ac:dyDescent="0.2"/>
    <row r="732" ht="14" x14ac:dyDescent="0.2"/>
    <row r="733" ht="14" x14ac:dyDescent="0.2"/>
    <row r="734" ht="14" x14ac:dyDescent="0.2"/>
    <row r="735" ht="14" x14ac:dyDescent="0.2"/>
    <row r="736" ht="14" x14ac:dyDescent="0.2"/>
    <row r="737" ht="14" x14ac:dyDescent="0.2"/>
    <row r="738" ht="14" x14ac:dyDescent="0.2"/>
    <row r="739" ht="14" x14ac:dyDescent="0.2"/>
    <row r="740" ht="14" x14ac:dyDescent="0.2"/>
    <row r="741" ht="14" x14ac:dyDescent="0.2"/>
    <row r="742" ht="14" x14ac:dyDescent="0.2"/>
    <row r="743" ht="14" x14ac:dyDescent="0.2"/>
    <row r="744" ht="14" x14ac:dyDescent="0.2"/>
    <row r="745" ht="14" x14ac:dyDescent="0.2"/>
    <row r="746" ht="14" x14ac:dyDescent="0.2"/>
    <row r="747" ht="14" x14ac:dyDescent="0.2"/>
    <row r="748" ht="14" x14ac:dyDescent="0.2"/>
    <row r="749" ht="14" x14ac:dyDescent="0.2"/>
    <row r="750" ht="14" x14ac:dyDescent="0.2"/>
    <row r="751" ht="14" x14ac:dyDescent="0.2"/>
    <row r="752" ht="14" x14ac:dyDescent="0.2"/>
    <row r="753" ht="14" x14ac:dyDescent="0.2"/>
    <row r="754" ht="14" x14ac:dyDescent="0.2"/>
    <row r="755" ht="14" x14ac:dyDescent="0.2"/>
    <row r="756" ht="14" x14ac:dyDescent="0.2"/>
    <row r="757" ht="14" x14ac:dyDescent="0.2"/>
    <row r="758" ht="14" x14ac:dyDescent="0.2"/>
    <row r="759" ht="14" x14ac:dyDescent="0.2"/>
    <row r="760" ht="14" x14ac:dyDescent="0.2"/>
    <row r="761" ht="14" x14ac:dyDescent="0.2"/>
    <row r="762" ht="14" x14ac:dyDescent="0.2"/>
    <row r="763" ht="14" x14ac:dyDescent="0.2"/>
    <row r="764" ht="14" x14ac:dyDescent="0.2"/>
    <row r="765" ht="14" x14ac:dyDescent="0.2"/>
    <row r="766" ht="14" x14ac:dyDescent="0.2"/>
    <row r="767" ht="14" x14ac:dyDescent="0.2"/>
    <row r="768" ht="14" x14ac:dyDescent="0.2"/>
    <row r="769" ht="14" x14ac:dyDescent="0.2"/>
    <row r="770" ht="14" x14ac:dyDescent="0.2"/>
    <row r="771" ht="14" x14ac:dyDescent="0.2"/>
    <row r="772" ht="14" x14ac:dyDescent="0.2"/>
    <row r="773" ht="14" x14ac:dyDescent="0.2"/>
    <row r="774" ht="14" x14ac:dyDescent="0.2"/>
    <row r="775" ht="14" x14ac:dyDescent="0.2"/>
    <row r="776" ht="14" x14ac:dyDescent="0.2"/>
    <row r="777" ht="14" x14ac:dyDescent="0.2"/>
    <row r="778" ht="14" x14ac:dyDescent="0.2"/>
    <row r="779" ht="14" x14ac:dyDescent="0.2"/>
    <row r="780" ht="14" x14ac:dyDescent="0.2"/>
    <row r="781" ht="14" x14ac:dyDescent="0.2"/>
    <row r="782" ht="14" x14ac:dyDescent="0.2"/>
    <row r="783" ht="14" x14ac:dyDescent="0.2"/>
    <row r="784" ht="14" x14ac:dyDescent="0.2"/>
    <row r="785" ht="14" x14ac:dyDescent="0.2"/>
    <row r="786" ht="14" x14ac:dyDescent="0.2"/>
    <row r="787" ht="14" x14ac:dyDescent="0.2"/>
    <row r="788" ht="14" x14ac:dyDescent="0.2"/>
    <row r="789" ht="14" x14ac:dyDescent="0.2"/>
    <row r="790" ht="14" x14ac:dyDescent="0.2"/>
    <row r="791" ht="14" x14ac:dyDescent="0.2"/>
    <row r="792" ht="14" x14ac:dyDescent="0.2"/>
    <row r="793" ht="14" x14ac:dyDescent="0.2"/>
    <row r="794" ht="14" x14ac:dyDescent="0.2"/>
    <row r="795" ht="14" x14ac:dyDescent="0.2"/>
    <row r="796" ht="14" x14ac:dyDescent="0.2"/>
    <row r="797" ht="14" x14ac:dyDescent="0.2"/>
    <row r="798" ht="14" x14ac:dyDescent="0.2"/>
    <row r="799" ht="14" x14ac:dyDescent="0.2"/>
    <row r="800" ht="14" x14ac:dyDescent="0.2"/>
    <row r="801" ht="14" x14ac:dyDescent="0.2"/>
    <row r="802" ht="14" x14ac:dyDescent="0.2"/>
    <row r="803" ht="14" x14ac:dyDescent="0.2"/>
    <row r="804" ht="14" x14ac:dyDescent="0.2"/>
    <row r="805" ht="14" x14ac:dyDescent="0.2"/>
    <row r="806" ht="14" x14ac:dyDescent="0.2"/>
    <row r="807" ht="14" x14ac:dyDescent="0.2"/>
    <row r="808" ht="14" x14ac:dyDescent="0.2"/>
    <row r="809" ht="14" x14ac:dyDescent="0.2"/>
    <row r="810" ht="14" x14ac:dyDescent="0.2"/>
    <row r="811" ht="14" x14ac:dyDescent="0.2"/>
    <row r="812" ht="14" x14ac:dyDescent="0.2"/>
    <row r="813" ht="14" x14ac:dyDescent="0.2"/>
    <row r="814" ht="14" x14ac:dyDescent="0.2"/>
    <row r="815" ht="14" x14ac:dyDescent="0.2"/>
    <row r="816" ht="14" x14ac:dyDescent="0.2"/>
    <row r="817" ht="14" x14ac:dyDescent="0.2"/>
    <row r="818" ht="14" x14ac:dyDescent="0.2"/>
    <row r="819" ht="14" x14ac:dyDescent="0.2"/>
    <row r="820" ht="14" x14ac:dyDescent="0.2"/>
    <row r="821" ht="14" x14ac:dyDescent="0.2"/>
    <row r="822" ht="14" x14ac:dyDescent="0.2"/>
    <row r="823" ht="14" x14ac:dyDescent="0.2"/>
    <row r="824" ht="14" x14ac:dyDescent="0.2"/>
    <row r="825" ht="14" x14ac:dyDescent="0.2"/>
    <row r="826" ht="14" x14ac:dyDescent="0.2"/>
    <row r="827" ht="14" x14ac:dyDescent="0.2"/>
    <row r="828" ht="14" x14ac:dyDescent="0.2"/>
    <row r="829" ht="14" x14ac:dyDescent="0.2"/>
    <row r="830" ht="14" x14ac:dyDescent="0.2"/>
    <row r="831" ht="14" x14ac:dyDescent="0.2"/>
    <row r="832" ht="14" x14ac:dyDescent="0.2"/>
    <row r="833" ht="14" x14ac:dyDescent="0.2"/>
    <row r="834" ht="14" x14ac:dyDescent="0.2"/>
    <row r="835" ht="14" x14ac:dyDescent="0.2"/>
    <row r="836" ht="14" x14ac:dyDescent="0.2"/>
    <row r="837" ht="14" x14ac:dyDescent="0.2"/>
    <row r="838" ht="14" x14ac:dyDescent="0.2"/>
    <row r="839" ht="14" x14ac:dyDescent="0.2"/>
    <row r="840" ht="14" x14ac:dyDescent="0.2"/>
    <row r="841" ht="14" x14ac:dyDescent="0.2"/>
    <row r="842" ht="14" x14ac:dyDescent="0.2"/>
    <row r="843" ht="14" x14ac:dyDescent="0.2"/>
    <row r="844" ht="14" x14ac:dyDescent="0.2"/>
    <row r="845" ht="14" x14ac:dyDescent="0.2"/>
    <row r="846" ht="14" x14ac:dyDescent="0.2"/>
    <row r="847" ht="14" x14ac:dyDescent="0.2"/>
    <row r="848" ht="14" x14ac:dyDescent="0.2"/>
    <row r="849" ht="14" x14ac:dyDescent="0.2"/>
    <row r="850" ht="14" x14ac:dyDescent="0.2"/>
    <row r="851" ht="14" x14ac:dyDescent="0.2"/>
    <row r="852" ht="14" x14ac:dyDescent="0.2"/>
    <row r="853" ht="14" x14ac:dyDescent="0.2"/>
    <row r="854" ht="14" x14ac:dyDescent="0.2"/>
    <row r="855" ht="14" x14ac:dyDescent="0.2"/>
    <row r="856" ht="14" x14ac:dyDescent="0.2"/>
    <row r="857" ht="14" x14ac:dyDescent="0.2"/>
    <row r="858" ht="14" x14ac:dyDescent="0.2"/>
    <row r="859" ht="14" x14ac:dyDescent="0.2"/>
    <row r="860" ht="14" x14ac:dyDescent="0.2"/>
    <row r="861" ht="14" x14ac:dyDescent="0.2"/>
    <row r="862" ht="14" x14ac:dyDescent="0.2"/>
    <row r="863" ht="14" x14ac:dyDescent="0.2"/>
    <row r="864" ht="14" x14ac:dyDescent="0.2"/>
    <row r="865" ht="14" x14ac:dyDescent="0.2"/>
    <row r="866" ht="14" x14ac:dyDescent="0.2"/>
    <row r="867" ht="14" x14ac:dyDescent="0.2"/>
    <row r="868" ht="14" x14ac:dyDescent="0.2"/>
    <row r="869" ht="14" x14ac:dyDescent="0.2"/>
    <row r="870" ht="14" x14ac:dyDescent="0.2"/>
    <row r="871" ht="14" x14ac:dyDescent="0.2"/>
    <row r="872" ht="14" x14ac:dyDescent="0.2"/>
    <row r="873" ht="14" x14ac:dyDescent="0.2"/>
    <row r="874" ht="14" x14ac:dyDescent="0.2"/>
    <row r="875" ht="14" x14ac:dyDescent="0.2"/>
    <row r="876" ht="14" x14ac:dyDescent="0.2"/>
    <row r="877" ht="14" x14ac:dyDescent="0.2"/>
    <row r="878" ht="14" x14ac:dyDescent="0.2"/>
    <row r="879" ht="14" x14ac:dyDescent="0.2"/>
    <row r="880" ht="14" x14ac:dyDescent="0.2"/>
    <row r="881" ht="14" x14ac:dyDescent="0.2"/>
    <row r="882" ht="14" x14ac:dyDescent="0.2"/>
    <row r="883" ht="14" x14ac:dyDescent="0.2"/>
    <row r="884" ht="14" x14ac:dyDescent="0.2"/>
    <row r="885" ht="14" x14ac:dyDescent="0.2"/>
    <row r="886" ht="14" x14ac:dyDescent="0.2"/>
    <row r="887" ht="14" x14ac:dyDescent="0.2"/>
    <row r="888" ht="14" x14ac:dyDescent="0.2"/>
    <row r="889" ht="14" x14ac:dyDescent="0.2"/>
    <row r="890" ht="14" x14ac:dyDescent="0.2"/>
  </sheetData>
  <mergeCells count="2">
    <mergeCell ref="B3:F3"/>
    <mergeCell ref="I3:M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tabColor rgb="FFFFFF99"/>
    <outlinePr summaryBelow="0" summaryRight="0"/>
  </sheetPr>
  <dimension ref="A2:AS1232"/>
  <sheetViews>
    <sheetView showGridLines="0" workbookViewId="0">
      <selection activeCell="AQ3" sqref="AQ3"/>
    </sheetView>
  </sheetViews>
  <sheetFormatPr baseColWidth="10" defaultColWidth="14.5" defaultRowHeight="15.75" customHeight="1" outlineLevelCol="1" x14ac:dyDescent="0.2"/>
  <cols>
    <col min="1" max="1" width="14.5" style="3" collapsed="1"/>
    <col min="2" max="9" width="0" style="3" hidden="1" customWidth="1" outlineLevel="1"/>
    <col min="10" max="10" width="14.5" style="3" collapsed="1"/>
    <col min="11" max="18" width="0" style="3" hidden="1" customWidth="1" outlineLevel="1"/>
    <col min="19" max="19" width="14.5" style="3" collapsed="1"/>
    <col min="20" max="27" width="0" style="3" hidden="1" customWidth="1" outlineLevel="1"/>
    <col min="28" max="28" width="14.5" style="3"/>
    <col min="29" max="36" width="0" style="3" hidden="1" customWidth="1"/>
    <col min="37" max="38" width="14.5" style="3"/>
    <col min="39" max="39" width="20" style="3" bestFit="1" customWidth="1"/>
    <col min="40" max="16384" width="14.5" style="3"/>
  </cols>
  <sheetData>
    <row r="2" spans="2:45" ht="15.75" customHeight="1" x14ac:dyDescent="0.2">
      <c r="B2" s="263">
        <v>46113</v>
      </c>
      <c r="C2" s="20"/>
      <c r="D2" s="20"/>
      <c r="E2" s="20"/>
      <c r="F2" s="20"/>
      <c r="G2" s="20"/>
      <c r="H2" s="20"/>
      <c r="I2" s="20"/>
      <c r="K2" s="263">
        <v>46143</v>
      </c>
      <c r="L2" s="20"/>
      <c r="M2" s="20"/>
      <c r="N2" s="20"/>
      <c r="O2" s="20"/>
      <c r="P2" s="20"/>
      <c r="Q2" s="20"/>
      <c r="R2" s="20"/>
      <c r="T2" s="263">
        <v>46174</v>
      </c>
      <c r="U2" s="20"/>
      <c r="V2" s="20"/>
      <c r="W2" s="20"/>
      <c r="X2" s="20"/>
      <c r="Y2" s="20"/>
      <c r="Z2" s="20"/>
      <c r="AA2" s="20"/>
      <c r="AC2" s="263">
        <v>46204</v>
      </c>
      <c r="AD2" s="20"/>
      <c r="AE2" s="20"/>
      <c r="AF2" s="20"/>
      <c r="AG2" s="20"/>
      <c r="AH2" s="20"/>
      <c r="AI2" s="20"/>
      <c r="AJ2" s="20"/>
      <c r="AL2" s="263">
        <v>46235</v>
      </c>
      <c r="AM2" s="20"/>
      <c r="AN2" s="20"/>
      <c r="AO2" s="20"/>
      <c r="AP2" s="20"/>
      <c r="AQ2" s="20"/>
      <c r="AR2" s="20"/>
      <c r="AS2" s="20"/>
    </row>
    <row r="3" spans="2:45" ht="15.75" customHeight="1" x14ac:dyDescent="0.2">
      <c r="B3" s="245" t="s">
        <v>3</v>
      </c>
      <c r="C3" s="245" t="s">
        <v>73</v>
      </c>
      <c r="D3" s="245" t="s">
        <v>113</v>
      </c>
      <c r="E3" s="245" t="s">
        <v>277</v>
      </c>
      <c r="F3" s="245" t="s">
        <v>110</v>
      </c>
      <c r="G3" s="245" t="s">
        <v>278</v>
      </c>
      <c r="H3" s="245" t="s">
        <v>9</v>
      </c>
      <c r="I3" s="245" t="s">
        <v>112</v>
      </c>
      <c r="K3" s="245" t="s">
        <v>3</v>
      </c>
      <c r="L3" s="245" t="s">
        <v>73</v>
      </c>
      <c r="M3" s="245" t="s">
        <v>113</v>
      </c>
      <c r="N3" s="245" t="s">
        <v>277</v>
      </c>
      <c r="O3" s="245" t="s">
        <v>110</v>
      </c>
      <c r="P3" s="245" t="s">
        <v>278</v>
      </c>
      <c r="Q3" s="245" t="s">
        <v>9</v>
      </c>
      <c r="R3" s="245" t="s">
        <v>112</v>
      </c>
      <c r="T3" s="245" t="s">
        <v>3</v>
      </c>
      <c r="U3" s="245" t="s">
        <v>73</v>
      </c>
      <c r="V3" s="245" t="s">
        <v>113</v>
      </c>
      <c r="W3" s="245" t="s">
        <v>277</v>
      </c>
      <c r="X3" s="245" t="s">
        <v>110</v>
      </c>
      <c r="Y3" s="245" t="s">
        <v>278</v>
      </c>
      <c r="Z3" s="245" t="s">
        <v>9</v>
      </c>
      <c r="AA3" s="245" t="s">
        <v>112</v>
      </c>
      <c r="AC3" s="245" t="s">
        <v>3</v>
      </c>
      <c r="AD3" s="245" t="s">
        <v>73</v>
      </c>
      <c r="AE3" s="245" t="s">
        <v>113</v>
      </c>
      <c r="AF3" s="245" t="s">
        <v>277</v>
      </c>
      <c r="AG3" s="245" t="s">
        <v>110</v>
      </c>
      <c r="AH3" s="245" t="s">
        <v>278</v>
      </c>
      <c r="AI3" s="245" t="s">
        <v>9</v>
      </c>
      <c r="AJ3" s="245" t="s">
        <v>112</v>
      </c>
      <c r="AL3" s="245" t="s">
        <v>3</v>
      </c>
      <c r="AM3" s="245" t="s">
        <v>73</v>
      </c>
      <c r="AN3" s="245" t="s">
        <v>113</v>
      </c>
      <c r="AO3" s="245" t="s">
        <v>277</v>
      </c>
      <c r="AP3" s="245" t="s">
        <v>110</v>
      </c>
      <c r="AQ3" s="245" t="s">
        <v>278</v>
      </c>
      <c r="AR3" s="245" t="s">
        <v>9</v>
      </c>
      <c r="AS3" s="245" t="s">
        <v>112</v>
      </c>
    </row>
    <row r="4" spans="2:45" ht="15.75" customHeight="1" x14ac:dyDescent="0.2">
      <c r="B4" s="20" t="s">
        <v>1144</v>
      </c>
      <c r="C4" s="20" t="s">
        <v>249</v>
      </c>
      <c r="D4" s="20" t="s">
        <v>560</v>
      </c>
      <c r="E4" s="20" t="s">
        <v>831</v>
      </c>
      <c r="F4" s="20" t="s">
        <v>628</v>
      </c>
      <c r="G4" s="20">
        <v>10</v>
      </c>
      <c r="H4" s="20">
        <v>4</v>
      </c>
      <c r="I4" s="20" t="s">
        <v>592</v>
      </c>
      <c r="K4" s="20" t="s">
        <v>640</v>
      </c>
      <c r="L4" s="20" t="s">
        <v>756</v>
      </c>
      <c r="M4" s="20" t="s">
        <v>1435</v>
      </c>
      <c r="N4" s="20" t="s">
        <v>395</v>
      </c>
      <c r="O4" s="20" t="s">
        <v>835</v>
      </c>
      <c r="P4" s="20">
        <v>5</v>
      </c>
      <c r="Q4" s="20">
        <v>5</v>
      </c>
      <c r="R4" s="20" t="s">
        <v>592</v>
      </c>
      <c r="T4" s="20" t="s">
        <v>1147</v>
      </c>
      <c r="U4" s="20" t="s">
        <v>222</v>
      </c>
      <c r="V4" s="20" t="s">
        <v>1620</v>
      </c>
      <c r="W4" s="20" t="s">
        <v>1619</v>
      </c>
      <c r="X4" s="20" t="s">
        <v>628</v>
      </c>
      <c r="Y4" s="20">
        <v>10</v>
      </c>
      <c r="Z4" s="20">
        <v>8</v>
      </c>
      <c r="AA4" s="20" t="s">
        <v>592</v>
      </c>
      <c r="AC4" s="20" t="s">
        <v>2099</v>
      </c>
      <c r="AD4" s="20" t="s">
        <v>2144</v>
      </c>
      <c r="AE4" s="20" t="s">
        <v>2526</v>
      </c>
      <c r="AF4" s="20" t="s">
        <v>2564</v>
      </c>
      <c r="AG4" s="20" t="s">
        <v>835</v>
      </c>
      <c r="AH4" s="20">
        <v>5</v>
      </c>
      <c r="AI4" s="20">
        <v>6</v>
      </c>
      <c r="AJ4" s="20" t="s">
        <v>592</v>
      </c>
      <c r="AL4" s="20" t="s">
        <v>1155</v>
      </c>
      <c r="AM4" s="20" t="s">
        <v>657</v>
      </c>
      <c r="AN4" s="20" t="s">
        <v>682</v>
      </c>
      <c r="AO4" s="20" t="s">
        <v>905</v>
      </c>
      <c r="AP4" s="20" t="s">
        <v>628</v>
      </c>
      <c r="AQ4" s="20">
        <v>10</v>
      </c>
      <c r="AR4" s="20">
        <v>8</v>
      </c>
      <c r="AS4" s="20" t="s">
        <v>592</v>
      </c>
    </row>
    <row r="5" spans="2:45" ht="15.75" customHeight="1" x14ac:dyDescent="0.2">
      <c r="B5" s="20" t="s">
        <v>1144</v>
      </c>
      <c r="C5" s="20" t="s">
        <v>249</v>
      </c>
      <c r="D5" s="20" t="s">
        <v>560</v>
      </c>
      <c r="E5" s="20" t="s">
        <v>832</v>
      </c>
      <c r="F5" s="20" t="s">
        <v>628</v>
      </c>
      <c r="G5" s="20">
        <v>10</v>
      </c>
      <c r="H5" s="20">
        <v>4</v>
      </c>
      <c r="I5" s="20" t="s">
        <v>592</v>
      </c>
      <c r="K5" s="20" t="s">
        <v>640</v>
      </c>
      <c r="L5" s="20" t="s">
        <v>756</v>
      </c>
      <c r="M5" s="20" t="s">
        <v>1436</v>
      </c>
      <c r="N5" s="20" t="s">
        <v>395</v>
      </c>
      <c r="O5" s="20" t="s">
        <v>835</v>
      </c>
      <c r="P5" s="20">
        <v>5</v>
      </c>
      <c r="Q5" s="20">
        <v>1</v>
      </c>
      <c r="R5" s="20" t="s">
        <v>592</v>
      </c>
      <c r="T5" s="20" t="s">
        <v>1147</v>
      </c>
      <c r="U5" s="20" t="s">
        <v>222</v>
      </c>
      <c r="V5" s="20" t="s">
        <v>1620</v>
      </c>
      <c r="W5" s="20" t="s">
        <v>1876</v>
      </c>
      <c r="X5" s="20" t="s">
        <v>628</v>
      </c>
      <c r="Y5" s="20">
        <v>10</v>
      </c>
      <c r="Z5" s="20">
        <v>1</v>
      </c>
      <c r="AA5" s="20" t="s">
        <v>592</v>
      </c>
      <c r="AC5" s="20" t="s">
        <v>2099</v>
      </c>
      <c r="AD5" s="20" t="s">
        <v>2144</v>
      </c>
      <c r="AE5" s="20" t="s">
        <v>2526</v>
      </c>
      <c r="AF5" s="20" t="s">
        <v>2565</v>
      </c>
      <c r="AG5" s="20" t="s">
        <v>835</v>
      </c>
      <c r="AH5" s="20">
        <v>5</v>
      </c>
      <c r="AI5" s="20">
        <v>1</v>
      </c>
      <c r="AJ5" s="20" t="s">
        <v>592</v>
      </c>
      <c r="AL5" s="20" t="s">
        <v>1155</v>
      </c>
      <c r="AM5" s="20" t="s">
        <v>657</v>
      </c>
      <c r="AN5" s="20" t="s">
        <v>2483</v>
      </c>
      <c r="AO5" s="20" t="s">
        <v>2904</v>
      </c>
      <c r="AP5" s="20" t="s">
        <v>628</v>
      </c>
      <c r="AQ5" s="20">
        <v>10</v>
      </c>
      <c r="AR5" s="20">
        <v>14</v>
      </c>
      <c r="AS5" s="20" t="s">
        <v>592</v>
      </c>
    </row>
    <row r="6" spans="2:45" ht="15.75" customHeight="1" x14ac:dyDescent="0.2">
      <c r="B6" s="20" t="s">
        <v>1147</v>
      </c>
      <c r="C6" s="20" t="s">
        <v>20</v>
      </c>
      <c r="D6" s="20" t="s">
        <v>731</v>
      </c>
      <c r="E6" s="20" t="s">
        <v>737</v>
      </c>
      <c r="F6" s="20" t="s">
        <v>628</v>
      </c>
      <c r="G6" s="20">
        <v>10</v>
      </c>
      <c r="H6" s="20">
        <v>9</v>
      </c>
      <c r="I6" s="20" t="s">
        <v>592</v>
      </c>
      <c r="K6" s="20" t="s">
        <v>640</v>
      </c>
      <c r="L6" s="20" t="s">
        <v>756</v>
      </c>
      <c r="M6" s="20" t="s">
        <v>1437</v>
      </c>
      <c r="N6" s="20" t="s">
        <v>431</v>
      </c>
      <c r="O6" s="20" t="s">
        <v>835</v>
      </c>
      <c r="P6" s="20">
        <v>5</v>
      </c>
      <c r="Q6" s="20">
        <v>7</v>
      </c>
      <c r="R6" s="20" t="s">
        <v>592</v>
      </c>
      <c r="T6" s="20" t="s">
        <v>1161</v>
      </c>
      <c r="U6" s="20" t="s">
        <v>117</v>
      </c>
      <c r="V6" s="20" t="s">
        <v>455</v>
      </c>
      <c r="W6" s="20" t="s">
        <v>1519</v>
      </c>
      <c r="X6" s="20" t="s">
        <v>628</v>
      </c>
      <c r="Y6" s="20">
        <v>10</v>
      </c>
      <c r="Z6" s="20">
        <v>14</v>
      </c>
      <c r="AA6" s="20" t="s">
        <v>592</v>
      </c>
      <c r="AC6" s="20" t="s">
        <v>1155</v>
      </c>
      <c r="AD6" s="20" t="s">
        <v>286</v>
      </c>
      <c r="AE6" s="20" t="s">
        <v>1512</v>
      </c>
      <c r="AF6" s="20" t="s">
        <v>1717</v>
      </c>
      <c r="AG6" s="20" t="s">
        <v>628</v>
      </c>
      <c r="AH6" s="20">
        <v>10</v>
      </c>
      <c r="AI6" s="20">
        <v>14</v>
      </c>
      <c r="AJ6" s="20" t="s">
        <v>592</v>
      </c>
      <c r="AL6" s="20" t="s">
        <v>1155</v>
      </c>
      <c r="AM6" s="20" t="s">
        <v>657</v>
      </c>
      <c r="AN6" s="20" t="s">
        <v>482</v>
      </c>
      <c r="AO6" s="20" t="s">
        <v>1386</v>
      </c>
      <c r="AP6" s="20" t="s">
        <v>628</v>
      </c>
      <c r="AQ6" s="20">
        <v>10</v>
      </c>
      <c r="AR6" s="20">
        <v>8</v>
      </c>
      <c r="AS6" s="20" t="s">
        <v>592</v>
      </c>
    </row>
    <row r="7" spans="2:45" ht="15.75" customHeight="1" x14ac:dyDescent="0.2">
      <c r="B7" s="20" t="s">
        <v>1144</v>
      </c>
      <c r="C7" s="20" t="s">
        <v>804</v>
      </c>
      <c r="D7" s="20" t="s">
        <v>546</v>
      </c>
      <c r="E7" s="20" t="s">
        <v>830</v>
      </c>
      <c r="F7" s="20" t="s">
        <v>628</v>
      </c>
      <c r="G7" s="20">
        <v>10</v>
      </c>
      <c r="H7" s="20">
        <v>7</v>
      </c>
      <c r="I7" s="20" t="s">
        <v>592</v>
      </c>
      <c r="K7" s="20" t="s">
        <v>1158</v>
      </c>
      <c r="L7" s="20" t="s">
        <v>72</v>
      </c>
      <c r="M7" s="20" t="s">
        <v>1438</v>
      </c>
      <c r="N7" s="20" t="s">
        <v>547</v>
      </c>
      <c r="O7" s="20" t="s">
        <v>835</v>
      </c>
      <c r="P7" s="20">
        <v>5</v>
      </c>
      <c r="Q7" s="20">
        <v>6</v>
      </c>
      <c r="R7" s="20" t="s">
        <v>592</v>
      </c>
      <c r="T7" s="20" t="s">
        <v>1161</v>
      </c>
      <c r="U7" s="20" t="s">
        <v>117</v>
      </c>
      <c r="V7" s="20" t="s">
        <v>455</v>
      </c>
      <c r="W7" s="20" t="s">
        <v>2100</v>
      </c>
      <c r="X7" s="20" t="s">
        <v>628</v>
      </c>
      <c r="Y7" s="20">
        <v>10</v>
      </c>
      <c r="Z7" s="20">
        <v>1</v>
      </c>
      <c r="AA7" s="20" t="s">
        <v>592</v>
      </c>
      <c r="AC7" s="20" t="s">
        <v>1147</v>
      </c>
      <c r="AD7" s="20" t="s">
        <v>244</v>
      </c>
      <c r="AE7" s="20" t="s">
        <v>1441</v>
      </c>
      <c r="AF7" s="20" t="s">
        <v>1440</v>
      </c>
      <c r="AG7" s="20" t="s">
        <v>835</v>
      </c>
      <c r="AH7" s="20">
        <v>5</v>
      </c>
      <c r="AI7" s="20">
        <v>6</v>
      </c>
      <c r="AJ7" s="20" t="s">
        <v>592</v>
      </c>
      <c r="AL7" s="20" t="s">
        <v>1155</v>
      </c>
      <c r="AM7" s="20" t="s">
        <v>657</v>
      </c>
      <c r="AN7" s="20" t="s">
        <v>1745</v>
      </c>
      <c r="AO7" s="20" t="s">
        <v>1744</v>
      </c>
      <c r="AP7" s="20" t="s">
        <v>628</v>
      </c>
      <c r="AQ7" s="20">
        <v>10</v>
      </c>
      <c r="AR7" s="20">
        <v>17</v>
      </c>
      <c r="AS7" s="20" t="s">
        <v>592</v>
      </c>
    </row>
    <row r="8" spans="2:45" ht="15.75" customHeight="1" x14ac:dyDescent="0.2">
      <c r="B8" s="20" t="s">
        <v>1144</v>
      </c>
      <c r="C8" s="20" t="s">
        <v>804</v>
      </c>
      <c r="D8" s="20" t="s">
        <v>546</v>
      </c>
      <c r="E8" s="20" t="s">
        <v>1030</v>
      </c>
      <c r="F8" s="20" t="s">
        <v>628</v>
      </c>
      <c r="G8" s="20">
        <v>10</v>
      </c>
      <c r="H8" s="20">
        <v>1</v>
      </c>
      <c r="I8" s="20" t="s">
        <v>592</v>
      </c>
      <c r="K8" s="20" t="s">
        <v>1158</v>
      </c>
      <c r="L8" s="20" t="s">
        <v>925</v>
      </c>
      <c r="M8" s="20" t="s">
        <v>779</v>
      </c>
      <c r="N8" s="20" t="s">
        <v>533</v>
      </c>
      <c r="O8" s="20" t="s">
        <v>835</v>
      </c>
      <c r="P8" s="20">
        <v>5</v>
      </c>
      <c r="Q8" s="20">
        <v>8</v>
      </c>
      <c r="R8" s="20" t="s">
        <v>592</v>
      </c>
      <c r="T8" s="20" t="s">
        <v>1169</v>
      </c>
      <c r="U8" s="20" t="s">
        <v>19</v>
      </c>
      <c r="V8" s="20" t="s">
        <v>2449</v>
      </c>
      <c r="W8" s="20" t="s">
        <v>2101</v>
      </c>
      <c r="X8" s="20" t="s">
        <v>628</v>
      </c>
      <c r="Y8" s="20">
        <v>10</v>
      </c>
      <c r="Z8" s="20">
        <v>9</v>
      </c>
      <c r="AA8" s="20" t="s">
        <v>592</v>
      </c>
      <c r="AC8" s="20" t="s">
        <v>2099</v>
      </c>
      <c r="AD8" s="20" t="s">
        <v>2112</v>
      </c>
      <c r="AE8" s="20" t="s">
        <v>2527</v>
      </c>
      <c r="AF8" s="20" t="s">
        <v>2566</v>
      </c>
      <c r="AG8" s="20" t="s">
        <v>835</v>
      </c>
      <c r="AH8" s="20">
        <v>5</v>
      </c>
      <c r="AI8" s="20">
        <v>5</v>
      </c>
      <c r="AJ8" s="20" t="s">
        <v>592</v>
      </c>
      <c r="AL8" s="20" t="s">
        <v>1155</v>
      </c>
      <c r="AM8" s="20" t="s">
        <v>657</v>
      </c>
      <c r="AN8" s="20" t="s">
        <v>1901</v>
      </c>
      <c r="AO8" s="20" t="s">
        <v>2674</v>
      </c>
      <c r="AP8" s="20" t="s">
        <v>628</v>
      </c>
      <c r="AQ8" s="20">
        <v>10</v>
      </c>
      <c r="AR8" s="20">
        <v>3</v>
      </c>
      <c r="AS8" s="20" t="s">
        <v>593</v>
      </c>
    </row>
    <row r="9" spans="2:45" ht="15.75" customHeight="1" x14ac:dyDescent="0.2">
      <c r="B9" s="20" t="s">
        <v>1144</v>
      </c>
      <c r="C9" s="20" t="s">
        <v>249</v>
      </c>
      <c r="D9" s="20" t="s">
        <v>564</v>
      </c>
      <c r="E9" s="20" t="s">
        <v>834</v>
      </c>
      <c r="F9" s="20" t="s">
        <v>628</v>
      </c>
      <c r="G9" s="20">
        <v>10</v>
      </c>
      <c r="H9" s="20">
        <v>6</v>
      </c>
      <c r="I9" s="20" t="s">
        <v>592</v>
      </c>
      <c r="K9" s="20" t="s">
        <v>1158</v>
      </c>
      <c r="L9" s="20" t="s">
        <v>925</v>
      </c>
      <c r="M9" s="20" t="s">
        <v>1439</v>
      </c>
      <c r="N9" s="20" t="s">
        <v>533</v>
      </c>
      <c r="O9" s="20" t="s">
        <v>835</v>
      </c>
      <c r="P9" s="20">
        <v>5</v>
      </c>
      <c r="Q9" s="20">
        <v>2</v>
      </c>
      <c r="R9" s="20" t="s">
        <v>592</v>
      </c>
      <c r="T9" s="20" t="s">
        <v>1169</v>
      </c>
      <c r="U9" s="20" t="s">
        <v>19</v>
      </c>
      <c r="V9" s="20" t="s">
        <v>1857</v>
      </c>
      <c r="W9" s="20" t="s">
        <v>1856</v>
      </c>
      <c r="X9" s="20" t="s">
        <v>628</v>
      </c>
      <c r="Y9" s="20">
        <v>10</v>
      </c>
      <c r="Z9" s="20">
        <v>9</v>
      </c>
      <c r="AA9" s="20" t="s">
        <v>592</v>
      </c>
      <c r="AC9" s="20" t="s">
        <v>2099</v>
      </c>
      <c r="AD9" s="20" t="s">
        <v>350</v>
      </c>
      <c r="AE9" s="20" t="s">
        <v>2528</v>
      </c>
      <c r="AF9" s="20" t="s">
        <v>2567</v>
      </c>
      <c r="AG9" s="20" t="s">
        <v>835</v>
      </c>
      <c r="AH9" s="20">
        <v>5</v>
      </c>
      <c r="AI9" s="20">
        <v>14</v>
      </c>
      <c r="AJ9" s="20" t="s">
        <v>592</v>
      </c>
      <c r="AL9" s="20" t="s">
        <v>1155</v>
      </c>
      <c r="AM9" s="20" t="s">
        <v>657</v>
      </c>
      <c r="AN9" s="20" t="s">
        <v>480</v>
      </c>
      <c r="AO9" s="20" t="s">
        <v>889</v>
      </c>
      <c r="AP9" s="20" t="s">
        <v>628</v>
      </c>
      <c r="AQ9" s="20">
        <v>10</v>
      </c>
      <c r="AR9" s="20">
        <v>20</v>
      </c>
      <c r="AS9" s="20" t="s">
        <v>592</v>
      </c>
    </row>
    <row r="10" spans="2:45" ht="15.75" customHeight="1" x14ac:dyDescent="0.2">
      <c r="B10" s="20" t="s">
        <v>1144</v>
      </c>
      <c r="C10" s="20" t="s">
        <v>249</v>
      </c>
      <c r="D10" s="20" t="s">
        <v>564</v>
      </c>
      <c r="E10" s="20" t="s">
        <v>833</v>
      </c>
      <c r="F10" s="20" t="s">
        <v>628</v>
      </c>
      <c r="G10" s="20">
        <v>10</v>
      </c>
      <c r="H10" s="20">
        <v>2</v>
      </c>
      <c r="I10" s="20" t="s">
        <v>592</v>
      </c>
      <c r="K10" s="20" t="s">
        <v>1147</v>
      </c>
      <c r="L10" s="20" t="s">
        <v>244</v>
      </c>
      <c r="M10" s="20" t="s">
        <v>1440</v>
      </c>
      <c r="N10" s="20" t="s">
        <v>1441</v>
      </c>
      <c r="O10" s="20" t="s">
        <v>628</v>
      </c>
      <c r="P10" s="20">
        <v>10</v>
      </c>
      <c r="Q10" s="20">
        <v>2</v>
      </c>
      <c r="R10" s="20" t="s">
        <v>593</v>
      </c>
      <c r="T10" s="20" t="s">
        <v>1169</v>
      </c>
      <c r="U10" s="20" t="s">
        <v>19</v>
      </c>
      <c r="V10" s="20" t="s">
        <v>2450</v>
      </c>
      <c r="W10" s="20" t="s">
        <v>2102</v>
      </c>
      <c r="X10" s="20" t="s">
        <v>628</v>
      </c>
      <c r="Y10" s="20">
        <v>10</v>
      </c>
      <c r="Z10" s="20">
        <v>8</v>
      </c>
      <c r="AA10" s="20" t="s">
        <v>592</v>
      </c>
      <c r="AC10" s="20" t="s">
        <v>1158</v>
      </c>
      <c r="AD10" s="20" t="s">
        <v>1040</v>
      </c>
      <c r="AE10" s="20" t="s">
        <v>633</v>
      </c>
      <c r="AF10" s="20" t="s">
        <v>2568</v>
      </c>
      <c r="AG10" s="20" t="s">
        <v>835</v>
      </c>
      <c r="AH10" s="20">
        <v>5</v>
      </c>
      <c r="AI10" s="20">
        <v>1</v>
      </c>
      <c r="AJ10" s="20" t="s">
        <v>593</v>
      </c>
      <c r="AL10" s="20" t="s">
        <v>1155</v>
      </c>
      <c r="AM10" s="20" t="s">
        <v>657</v>
      </c>
      <c r="AN10" s="20" t="s">
        <v>483</v>
      </c>
      <c r="AO10" s="20" t="s">
        <v>747</v>
      </c>
      <c r="AP10" s="20" t="s">
        <v>628</v>
      </c>
      <c r="AQ10" s="20">
        <v>10</v>
      </c>
      <c r="AR10" s="20">
        <v>24</v>
      </c>
      <c r="AS10" s="20" t="s">
        <v>592</v>
      </c>
    </row>
    <row r="11" spans="2:45" ht="15.75" customHeight="1" x14ac:dyDescent="0.2">
      <c r="B11" s="20" t="s">
        <v>1162</v>
      </c>
      <c r="C11" s="20" t="s">
        <v>352</v>
      </c>
      <c r="D11" s="20" t="s">
        <v>444</v>
      </c>
      <c r="E11" s="20" t="s">
        <v>1192</v>
      </c>
      <c r="F11" s="20" t="s">
        <v>628</v>
      </c>
      <c r="G11" s="20">
        <v>10</v>
      </c>
      <c r="H11" s="20">
        <v>2</v>
      </c>
      <c r="I11" s="20" t="s">
        <v>592</v>
      </c>
      <c r="K11" s="20" t="s">
        <v>1144</v>
      </c>
      <c r="L11" s="20" t="s">
        <v>313</v>
      </c>
      <c r="M11" s="20" t="s">
        <v>1442</v>
      </c>
      <c r="N11" s="20" t="s">
        <v>531</v>
      </c>
      <c r="O11" s="20" t="s">
        <v>628</v>
      </c>
      <c r="P11" s="20">
        <v>10</v>
      </c>
      <c r="Q11" s="20">
        <v>7</v>
      </c>
      <c r="R11" s="20" t="s">
        <v>592</v>
      </c>
      <c r="T11" s="20" t="s">
        <v>2099</v>
      </c>
      <c r="U11" s="20" t="s">
        <v>2103</v>
      </c>
      <c r="V11" s="20" t="s">
        <v>2451</v>
      </c>
      <c r="W11" s="20" t="s">
        <v>2104</v>
      </c>
      <c r="X11" s="20" t="s">
        <v>835</v>
      </c>
      <c r="Y11" s="20">
        <v>5</v>
      </c>
      <c r="Z11" s="20">
        <v>3</v>
      </c>
      <c r="AA11" s="20" t="s">
        <v>592</v>
      </c>
      <c r="AC11" s="20" t="s">
        <v>1158</v>
      </c>
      <c r="AD11" s="20" t="s">
        <v>1040</v>
      </c>
      <c r="AE11" s="20" t="s">
        <v>1701</v>
      </c>
      <c r="AF11" s="20" t="s">
        <v>2569</v>
      </c>
      <c r="AG11" s="20" t="s">
        <v>835</v>
      </c>
      <c r="AH11" s="20">
        <v>5</v>
      </c>
      <c r="AI11" s="20">
        <v>5</v>
      </c>
      <c r="AJ11" s="20" t="s">
        <v>592</v>
      </c>
      <c r="AL11" s="20" t="s">
        <v>1155</v>
      </c>
      <c r="AM11" s="20" t="s">
        <v>657</v>
      </c>
      <c r="AN11" s="20" t="s">
        <v>481</v>
      </c>
      <c r="AO11" s="20" t="s">
        <v>878</v>
      </c>
      <c r="AP11" s="20" t="s">
        <v>628</v>
      </c>
      <c r="AQ11" s="20">
        <v>10</v>
      </c>
      <c r="AR11" s="20">
        <v>48</v>
      </c>
      <c r="AS11" s="20" t="s">
        <v>592</v>
      </c>
    </row>
    <row r="12" spans="2:45" ht="15.75" customHeight="1" x14ac:dyDescent="0.2">
      <c r="B12" s="20" t="s">
        <v>1162</v>
      </c>
      <c r="C12" s="20" t="s">
        <v>352</v>
      </c>
      <c r="D12" s="20" t="s">
        <v>444</v>
      </c>
      <c r="E12" s="20" t="s">
        <v>1023</v>
      </c>
      <c r="F12" s="20" t="s">
        <v>628</v>
      </c>
      <c r="G12" s="20">
        <v>10</v>
      </c>
      <c r="H12" s="20">
        <v>7</v>
      </c>
      <c r="I12" s="20" t="s">
        <v>592</v>
      </c>
      <c r="K12" s="20" t="s">
        <v>1144</v>
      </c>
      <c r="L12" s="20" t="s">
        <v>313</v>
      </c>
      <c r="M12" s="20" t="s">
        <v>1443</v>
      </c>
      <c r="N12" s="20" t="s">
        <v>531</v>
      </c>
      <c r="O12" s="20" t="s">
        <v>628</v>
      </c>
      <c r="P12" s="20">
        <v>10</v>
      </c>
      <c r="Q12" s="20">
        <v>2</v>
      </c>
      <c r="R12" s="20" t="s">
        <v>592</v>
      </c>
      <c r="T12" s="20" t="s">
        <v>2099</v>
      </c>
      <c r="U12" s="20" t="s">
        <v>2103</v>
      </c>
      <c r="V12" s="20" t="s">
        <v>2451</v>
      </c>
      <c r="W12" s="20" t="s">
        <v>2105</v>
      </c>
      <c r="X12" s="20" t="s">
        <v>835</v>
      </c>
      <c r="Y12" s="20">
        <v>5</v>
      </c>
      <c r="Z12" s="20">
        <v>19</v>
      </c>
      <c r="AA12" s="20" t="s">
        <v>592</v>
      </c>
      <c r="AC12" s="20" t="s">
        <v>1158</v>
      </c>
      <c r="AD12" s="20" t="s">
        <v>726</v>
      </c>
      <c r="AE12" s="20" t="s">
        <v>679</v>
      </c>
      <c r="AF12" s="20" t="s">
        <v>965</v>
      </c>
      <c r="AG12" s="20" t="s">
        <v>835</v>
      </c>
      <c r="AH12" s="20">
        <v>5</v>
      </c>
      <c r="AI12" s="20">
        <v>5</v>
      </c>
      <c r="AJ12" s="20" t="s">
        <v>592</v>
      </c>
      <c r="AL12" s="20" t="s">
        <v>1155</v>
      </c>
      <c r="AM12" s="20" t="s">
        <v>657</v>
      </c>
      <c r="AN12" s="20" t="s">
        <v>2481</v>
      </c>
      <c r="AO12" s="20" t="s">
        <v>2905</v>
      </c>
      <c r="AP12" s="20" t="s">
        <v>628</v>
      </c>
      <c r="AQ12" s="20">
        <v>10</v>
      </c>
      <c r="AR12" s="20">
        <v>8</v>
      </c>
      <c r="AS12" s="20" t="s">
        <v>592</v>
      </c>
    </row>
    <row r="13" spans="2:45" ht="15.75" customHeight="1" x14ac:dyDescent="0.2">
      <c r="B13" s="20" t="s">
        <v>1169</v>
      </c>
      <c r="C13" s="20" t="s">
        <v>216</v>
      </c>
      <c r="D13" s="20" t="s">
        <v>708</v>
      </c>
      <c r="E13" s="20" t="s">
        <v>1118</v>
      </c>
      <c r="F13" s="20" t="s">
        <v>628</v>
      </c>
      <c r="G13" s="20">
        <v>10</v>
      </c>
      <c r="H13" s="20">
        <v>8</v>
      </c>
      <c r="I13" s="20" t="s">
        <v>592</v>
      </c>
      <c r="K13" s="20" t="s">
        <v>1144</v>
      </c>
      <c r="L13" s="20" t="s">
        <v>249</v>
      </c>
      <c r="M13" s="20" t="s">
        <v>1444</v>
      </c>
      <c r="N13" s="20" t="s">
        <v>491</v>
      </c>
      <c r="O13" s="20" t="s">
        <v>628</v>
      </c>
      <c r="P13" s="20">
        <v>10</v>
      </c>
      <c r="Q13" s="20">
        <v>8</v>
      </c>
      <c r="R13" s="20" t="s">
        <v>592</v>
      </c>
      <c r="T13" s="20" t="s">
        <v>2099</v>
      </c>
      <c r="U13" s="20" t="s">
        <v>2106</v>
      </c>
      <c r="V13" s="20" t="s">
        <v>2452</v>
      </c>
      <c r="W13" s="20" t="s">
        <v>2107</v>
      </c>
      <c r="X13" s="20" t="s">
        <v>835</v>
      </c>
      <c r="Y13" s="20">
        <v>5</v>
      </c>
      <c r="Z13" s="20">
        <v>7</v>
      </c>
      <c r="AA13" s="20" t="s">
        <v>592</v>
      </c>
      <c r="AC13" s="20" t="s">
        <v>1158</v>
      </c>
      <c r="AD13" s="20" t="s">
        <v>928</v>
      </c>
      <c r="AE13" s="20" t="s">
        <v>888</v>
      </c>
      <c r="AF13" s="20" t="s">
        <v>2570</v>
      </c>
      <c r="AG13" s="20" t="s">
        <v>835</v>
      </c>
      <c r="AH13" s="20">
        <v>5</v>
      </c>
      <c r="AI13" s="20">
        <v>4</v>
      </c>
      <c r="AJ13" s="20" t="s">
        <v>593</v>
      </c>
      <c r="AL13" s="20" t="s">
        <v>1155</v>
      </c>
      <c r="AM13" s="20" t="s">
        <v>657</v>
      </c>
      <c r="AN13" s="20" t="s">
        <v>484</v>
      </c>
      <c r="AO13" s="20" t="s">
        <v>2906</v>
      </c>
      <c r="AP13" s="20" t="s">
        <v>628</v>
      </c>
      <c r="AQ13" s="20">
        <v>10</v>
      </c>
      <c r="AR13" s="20">
        <v>23</v>
      </c>
      <c r="AS13" s="20" t="s">
        <v>592</v>
      </c>
    </row>
    <row r="14" spans="2:45" ht="15.75" customHeight="1" x14ac:dyDescent="0.2">
      <c r="B14" s="20" t="s">
        <v>1144</v>
      </c>
      <c r="C14" s="20" t="s">
        <v>249</v>
      </c>
      <c r="D14" s="20" t="s">
        <v>563</v>
      </c>
      <c r="E14" s="20" t="s">
        <v>591</v>
      </c>
      <c r="F14" s="20" t="s">
        <v>628</v>
      </c>
      <c r="G14" s="20">
        <v>10</v>
      </c>
      <c r="H14" s="20">
        <v>8</v>
      </c>
      <c r="I14" s="20" t="s">
        <v>592</v>
      </c>
      <c r="K14" s="20" t="s">
        <v>1144</v>
      </c>
      <c r="L14" s="20" t="s">
        <v>249</v>
      </c>
      <c r="M14" s="20" t="s">
        <v>1445</v>
      </c>
      <c r="N14" s="20" t="s">
        <v>491</v>
      </c>
      <c r="O14" s="20" t="s">
        <v>628</v>
      </c>
      <c r="P14" s="20">
        <v>10</v>
      </c>
      <c r="Q14" s="20">
        <v>2</v>
      </c>
      <c r="R14" s="20" t="s">
        <v>592</v>
      </c>
      <c r="T14" s="20" t="s">
        <v>1169</v>
      </c>
      <c r="U14" s="20" t="s">
        <v>216</v>
      </c>
      <c r="V14" s="20" t="s">
        <v>1899</v>
      </c>
      <c r="W14" s="20" t="s">
        <v>1898</v>
      </c>
      <c r="X14" s="20" t="s">
        <v>628</v>
      </c>
      <c r="Y14" s="20">
        <v>10</v>
      </c>
      <c r="Z14" s="20">
        <v>8</v>
      </c>
      <c r="AA14" s="20" t="s">
        <v>592</v>
      </c>
      <c r="AC14" s="20" t="s">
        <v>1144</v>
      </c>
      <c r="AD14" s="20" t="s">
        <v>249</v>
      </c>
      <c r="AE14" s="20" t="s">
        <v>562</v>
      </c>
      <c r="AF14" s="20" t="s">
        <v>1994</v>
      </c>
      <c r="AG14" s="20" t="s">
        <v>835</v>
      </c>
      <c r="AH14" s="20">
        <v>5</v>
      </c>
      <c r="AI14" s="20">
        <v>7</v>
      </c>
      <c r="AJ14" s="20" t="s">
        <v>592</v>
      </c>
      <c r="AL14" s="20" t="s">
        <v>1155</v>
      </c>
      <c r="AM14" s="20" t="s">
        <v>1156</v>
      </c>
      <c r="AN14" s="20" t="s">
        <v>1538</v>
      </c>
      <c r="AO14" s="20" t="s">
        <v>2907</v>
      </c>
      <c r="AP14" s="20" t="s">
        <v>628</v>
      </c>
      <c r="AQ14" s="20">
        <v>10</v>
      </c>
      <c r="AR14" s="20">
        <v>25</v>
      </c>
      <c r="AS14" s="20" t="s">
        <v>592</v>
      </c>
    </row>
    <row r="15" spans="2:45" ht="15.75" customHeight="1" x14ac:dyDescent="0.2">
      <c r="B15" s="20" t="s">
        <v>1144</v>
      </c>
      <c r="C15" s="20" t="s">
        <v>249</v>
      </c>
      <c r="D15" s="20" t="s">
        <v>563</v>
      </c>
      <c r="E15" s="20" t="s">
        <v>771</v>
      </c>
      <c r="F15" s="20" t="s">
        <v>628</v>
      </c>
      <c r="G15" s="20">
        <v>10</v>
      </c>
      <c r="H15" s="20">
        <v>1</v>
      </c>
      <c r="I15" s="20" t="s">
        <v>592</v>
      </c>
      <c r="K15" s="20" t="s">
        <v>1144</v>
      </c>
      <c r="L15" s="20" t="s">
        <v>23</v>
      </c>
      <c r="M15" s="20" t="s">
        <v>1117</v>
      </c>
      <c r="N15" s="20" t="s">
        <v>558</v>
      </c>
      <c r="O15" s="20" t="s">
        <v>628</v>
      </c>
      <c r="P15" s="20">
        <v>10</v>
      </c>
      <c r="Q15" s="20">
        <v>8</v>
      </c>
      <c r="R15" s="20" t="s">
        <v>592</v>
      </c>
      <c r="T15" s="20" t="s">
        <v>1169</v>
      </c>
      <c r="U15" s="20" t="s">
        <v>216</v>
      </c>
      <c r="V15" s="20" t="s">
        <v>1899</v>
      </c>
      <c r="W15" s="20" t="s">
        <v>2108</v>
      </c>
      <c r="X15" s="20" t="s">
        <v>628</v>
      </c>
      <c r="Y15" s="20">
        <v>10</v>
      </c>
      <c r="Z15" s="20">
        <v>1</v>
      </c>
      <c r="AA15" s="20" t="s">
        <v>592</v>
      </c>
      <c r="AC15" s="20" t="s">
        <v>1163</v>
      </c>
      <c r="AD15" s="20" t="s">
        <v>2091</v>
      </c>
      <c r="AE15" s="20" t="s">
        <v>2529</v>
      </c>
      <c r="AF15" s="20" t="s">
        <v>2571</v>
      </c>
      <c r="AG15" s="20" t="s">
        <v>628</v>
      </c>
      <c r="AH15" s="20">
        <v>10</v>
      </c>
      <c r="AI15" s="20">
        <v>8</v>
      </c>
      <c r="AJ15" s="20" t="s">
        <v>592</v>
      </c>
      <c r="AL15" s="20" t="s">
        <v>1155</v>
      </c>
      <c r="AM15" s="20" t="s">
        <v>1156</v>
      </c>
      <c r="AN15" s="20" t="s">
        <v>2475</v>
      </c>
      <c r="AO15" s="20" t="s">
        <v>2225</v>
      </c>
      <c r="AP15" s="20" t="s">
        <v>628</v>
      </c>
      <c r="AQ15" s="20">
        <v>10</v>
      </c>
      <c r="AR15" s="20">
        <v>19</v>
      </c>
      <c r="AS15" s="20" t="s">
        <v>592</v>
      </c>
    </row>
    <row r="16" spans="2:45" ht="15.75" customHeight="1" x14ac:dyDescent="0.2">
      <c r="B16" s="20" t="s">
        <v>646</v>
      </c>
      <c r="C16" s="20" t="s">
        <v>209</v>
      </c>
      <c r="D16" s="20" t="s">
        <v>892</v>
      </c>
      <c r="E16" s="20" t="s">
        <v>1193</v>
      </c>
      <c r="F16" s="20" t="s">
        <v>628</v>
      </c>
      <c r="G16" s="20">
        <v>10</v>
      </c>
      <c r="H16" s="20">
        <v>7</v>
      </c>
      <c r="I16" s="20" t="s">
        <v>592</v>
      </c>
      <c r="K16" s="20" t="s">
        <v>1162</v>
      </c>
      <c r="L16" s="20" t="s">
        <v>230</v>
      </c>
      <c r="M16" s="20" t="s">
        <v>1239</v>
      </c>
      <c r="N16" s="20" t="s">
        <v>366</v>
      </c>
      <c r="O16" s="20" t="s">
        <v>835</v>
      </c>
      <c r="P16" s="20">
        <v>5</v>
      </c>
      <c r="Q16" s="20">
        <v>4</v>
      </c>
      <c r="R16" s="20" t="s">
        <v>592</v>
      </c>
      <c r="T16" s="20" t="s">
        <v>640</v>
      </c>
      <c r="U16" s="20" t="s">
        <v>756</v>
      </c>
      <c r="V16" s="20" t="s">
        <v>431</v>
      </c>
      <c r="W16" s="20" t="s">
        <v>1437</v>
      </c>
      <c r="X16" s="20" t="s">
        <v>835</v>
      </c>
      <c r="Y16" s="20">
        <v>5</v>
      </c>
      <c r="Z16" s="20">
        <v>2</v>
      </c>
      <c r="AA16" s="20" t="s">
        <v>593</v>
      </c>
      <c r="AC16" s="20" t="s">
        <v>1158</v>
      </c>
      <c r="AD16" s="20" t="s">
        <v>925</v>
      </c>
      <c r="AE16" s="20" t="s">
        <v>2492</v>
      </c>
      <c r="AF16" s="20" t="s">
        <v>2301</v>
      </c>
      <c r="AG16" s="20" t="s">
        <v>835</v>
      </c>
      <c r="AH16" s="20">
        <v>5</v>
      </c>
      <c r="AI16" s="20">
        <v>5</v>
      </c>
      <c r="AJ16" s="20" t="s">
        <v>592</v>
      </c>
      <c r="AL16" s="20" t="s">
        <v>1155</v>
      </c>
      <c r="AM16" s="20" t="s">
        <v>1156</v>
      </c>
      <c r="AN16" s="20" t="s">
        <v>615</v>
      </c>
      <c r="AO16" s="20" t="s">
        <v>1276</v>
      </c>
      <c r="AP16" s="20" t="s">
        <v>628</v>
      </c>
      <c r="AQ16" s="20">
        <v>10</v>
      </c>
      <c r="AR16" s="20">
        <v>14</v>
      </c>
      <c r="AS16" s="20" t="s">
        <v>592</v>
      </c>
    </row>
    <row r="17" spans="2:45" ht="15.75" customHeight="1" x14ac:dyDescent="0.2">
      <c r="B17" s="20" t="s">
        <v>646</v>
      </c>
      <c r="C17" s="20" t="s">
        <v>209</v>
      </c>
      <c r="D17" s="20" t="s">
        <v>892</v>
      </c>
      <c r="E17" s="20" t="s">
        <v>1194</v>
      </c>
      <c r="F17" s="20" t="s">
        <v>628</v>
      </c>
      <c r="G17" s="20">
        <v>10</v>
      </c>
      <c r="H17" s="20">
        <v>1</v>
      </c>
      <c r="I17" s="20" t="s">
        <v>592</v>
      </c>
      <c r="K17" s="20" t="s">
        <v>1162</v>
      </c>
      <c r="L17" s="20" t="s">
        <v>230</v>
      </c>
      <c r="M17" s="20" t="s">
        <v>1446</v>
      </c>
      <c r="N17" s="20" t="s">
        <v>366</v>
      </c>
      <c r="O17" s="20" t="s">
        <v>835</v>
      </c>
      <c r="P17" s="20">
        <v>5</v>
      </c>
      <c r="Q17" s="20">
        <v>1</v>
      </c>
      <c r="R17" s="20" t="s">
        <v>592</v>
      </c>
      <c r="T17" s="20" t="s">
        <v>2099</v>
      </c>
      <c r="U17" s="20" t="s">
        <v>2109</v>
      </c>
      <c r="V17" s="20" t="s">
        <v>2453</v>
      </c>
      <c r="W17" s="20" t="s">
        <v>2110</v>
      </c>
      <c r="X17" s="20" t="s">
        <v>835</v>
      </c>
      <c r="Y17" s="20">
        <v>5</v>
      </c>
      <c r="Z17" s="20">
        <v>6</v>
      </c>
      <c r="AA17" s="20" t="s">
        <v>592</v>
      </c>
      <c r="AC17" s="20" t="s">
        <v>646</v>
      </c>
      <c r="AD17" s="20" t="s">
        <v>334</v>
      </c>
      <c r="AE17" s="20" t="s">
        <v>1545</v>
      </c>
      <c r="AF17" s="20" t="s">
        <v>2572</v>
      </c>
      <c r="AG17" s="20" t="s">
        <v>835</v>
      </c>
      <c r="AH17" s="20">
        <v>5</v>
      </c>
      <c r="AI17" s="20">
        <v>6</v>
      </c>
      <c r="AJ17" s="20" t="s">
        <v>592</v>
      </c>
      <c r="AL17" s="20" t="s">
        <v>1155</v>
      </c>
      <c r="AM17" s="20" t="s">
        <v>1156</v>
      </c>
      <c r="AN17" s="20" t="s">
        <v>1835</v>
      </c>
      <c r="AO17" s="20" t="s">
        <v>2338</v>
      </c>
      <c r="AP17" s="20" t="s">
        <v>628</v>
      </c>
      <c r="AQ17" s="20">
        <v>10</v>
      </c>
      <c r="AR17" s="20">
        <v>20</v>
      </c>
      <c r="AS17" s="20" t="s">
        <v>592</v>
      </c>
    </row>
    <row r="18" spans="2:45" ht="15.75" customHeight="1" x14ac:dyDescent="0.2">
      <c r="B18" s="20" t="s">
        <v>646</v>
      </c>
      <c r="C18" s="20" t="s">
        <v>209</v>
      </c>
      <c r="D18" s="20" t="s">
        <v>886</v>
      </c>
      <c r="E18" s="20" t="s">
        <v>972</v>
      </c>
      <c r="F18" s="20" t="s">
        <v>628</v>
      </c>
      <c r="G18" s="20">
        <v>10</v>
      </c>
      <c r="H18" s="20">
        <v>4</v>
      </c>
      <c r="I18" s="20" t="s">
        <v>592</v>
      </c>
      <c r="K18" s="20" t="s">
        <v>1163</v>
      </c>
      <c r="L18" s="20" t="s">
        <v>1165</v>
      </c>
      <c r="M18" s="20" t="s">
        <v>1447</v>
      </c>
      <c r="N18" s="20" t="s">
        <v>1448</v>
      </c>
      <c r="O18" s="20" t="s">
        <v>835</v>
      </c>
      <c r="P18" s="20">
        <v>5</v>
      </c>
      <c r="Q18" s="20">
        <v>5</v>
      </c>
      <c r="R18" s="20" t="s">
        <v>592</v>
      </c>
      <c r="T18" s="20" t="s">
        <v>2099</v>
      </c>
      <c r="U18" s="20" t="s">
        <v>2109</v>
      </c>
      <c r="V18" s="20" t="s">
        <v>2453</v>
      </c>
      <c r="W18" s="20" t="s">
        <v>2111</v>
      </c>
      <c r="X18" s="20" t="s">
        <v>835</v>
      </c>
      <c r="Y18" s="20">
        <v>5</v>
      </c>
      <c r="Z18" s="20">
        <v>1</v>
      </c>
      <c r="AA18" s="20" t="s">
        <v>592</v>
      </c>
      <c r="AC18" s="20" t="s">
        <v>1158</v>
      </c>
      <c r="AD18" s="20" t="s">
        <v>726</v>
      </c>
      <c r="AE18" s="20" t="s">
        <v>412</v>
      </c>
      <c r="AF18" s="20" t="s">
        <v>2573</v>
      </c>
      <c r="AG18" s="20" t="s">
        <v>835</v>
      </c>
      <c r="AH18" s="20">
        <v>5</v>
      </c>
      <c r="AI18" s="20">
        <v>5</v>
      </c>
      <c r="AJ18" s="20" t="s">
        <v>592</v>
      </c>
      <c r="AL18" s="20" t="s">
        <v>1155</v>
      </c>
      <c r="AM18" s="20" t="s">
        <v>1156</v>
      </c>
      <c r="AN18" s="20" t="s">
        <v>1733</v>
      </c>
      <c r="AO18" s="20" t="s">
        <v>2908</v>
      </c>
      <c r="AP18" s="20" t="s">
        <v>835</v>
      </c>
      <c r="AQ18" s="20">
        <v>5</v>
      </c>
      <c r="AR18" s="20">
        <v>5</v>
      </c>
      <c r="AS18" s="20" t="s">
        <v>592</v>
      </c>
    </row>
    <row r="19" spans="2:45" ht="15.75" customHeight="1" x14ac:dyDescent="0.2">
      <c r="B19" s="20" t="s">
        <v>646</v>
      </c>
      <c r="C19" s="20" t="s">
        <v>209</v>
      </c>
      <c r="D19" s="20" t="s">
        <v>886</v>
      </c>
      <c r="E19" s="20" t="s">
        <v>900</v>
      </c>
      <c r="F19" s="20" t="s">
        <v>628</v>
      </c>
      <c r="G19" s="20">
        <v>10</v>
      </c>
      <c r="H19" s="20">
        <v>4</v>
      </c>
      <c r="I19" s="20" t="s">
        <v>592</v>
      </c>
      <c r="K19" s="20" t="s">
        <v>640</v>
      </c>
      <c r="L19" s="20" t="s">
        <v>31</v>
      </c>
      <c r="M19" s="20" t="s">
        <v>717</v>
      </c>
      <c r="N19" s="20" t="s">
        <v>394</v>
      </c>
      <c r="O19" s="20" t="s">
        <v>835</v>
      </c>
      <c r="P19" s="20">
        <v>5</v>
      </c>
      <c r="Q19" s="20">
        <v>6</v>
      </c>
      <c r="R19" s="20" t="s">
        <v>592</v>
      </c>
      <c r="T19" s="20" t="s">
        <v>1144</v>
      </c>
      <c r="U19" s="20" t="s">
        <v>249</v>
      </c>
      <c r="V19" s="20" t="s">
        <v>563</v>
      </c>
      <c r="W19" s="20" t="s">
        <v>861</v>
      </c>
      <c r="X19" s="20" t="s">
        <v>835</v>
      </c>
      <c r="Y19" s="20">
        <v>5</v>
      </c>
      <c r="Z19" s="20">
        <v>8</v>
      </c>
      <c r="AA19" s="20" t="s">
        <v>592</v>
      </c>
      <c r="AC19" s="20" t="s">
        <v>640</v>
      </c>
      <c r="AD19" s="20" t="s">
        <v>705</v>
      </c>
      <c r="AE19" s="20" t="s">
        <v>380</v>
      </c>
      <c r="AF19" s="20" t="s">
        <v>994</v>
      </c>
      <c r="AG19" s="20" t="s">
        <v>835</v>
      </c>
      <c r="AH19" s="20">
        <v>5</v>
      </c>
      <c r="AI19" s="20">
        <v>9</v>
      </c>
      <c r="AJ19" s="20" t="s">
        <v>592</v>
      </c>
      <c r="AL19" s="20" t="s">
        <v>1155</v>
      </c>
      <c r="AM19" s="20" t="s">
        <v>1156</v>
      </c>
      <c r="AN19" s="20" t="s">
        <v>519</v>
      </c>
      <c r="AO19" s="20" t="s">
        <v>1277</v>
      </c>
      <c r="AP19" s="20" t="s">
        <v>628</v>
      </c>
      <c r="AQ19" s="20">
        <v>10</v>
      </c>
      <c r="AR19" s="20">
        <v>18</v>
      </c>
      <c r="AS19" s="20" t="s">
        <v>592</v>
      </c>
    </row>
    <row r="20" spans="2:45" ht="15.75" customHeight="1" x14ac:dyDescent="0.2">
      <c r="B20" s="20" t="s">
        <v>646</v>
      </c>
      <c r="C20" s="20" t="s">
        <v>209</v>
      </c>
      <c r="D20" s="20" t="s">
        <v>886</v>
      </c>
      <c r="E20" s="20" t="s">
        <v>1085</v>
      </c>
      <c r="F20" s="20" t="s">
        <v>628</v>
      </c>
      <c r="G20" s="20">
        <v>10</v>
      </c>
      <c r="H20" s="20">
        <v>1</v>
      </c>
      <c r="I20" s="20" t="s">
        <v>592</v>
      </c>
      <c r="K20" s="20" t="s">
        <v>640</v>
      </c>
      <c r="L20" s="20" t="s">
        <v>248</v>
      </c>
      <c r="M20" s="20" t="s">
        <v>1449</v>
      </c>
      <c r="N20" s="20" t="s">
        <v>1450</v>
      </c>
      <c r="O20" s="20" t="s">
        <v>835</v>
      </c>
      <c r="P20" s="20">
        <v>5</v>
      </c>
      <c r="Q20" s="20">
        <v>5</v>
      </c>
      <c r="R20" s="20" t="s">
        <v>592</v>
      </c>
      <c r="T20" s="20" t="s">
        <v>2099</v>
      </c>
      <c r="U20" s="20" t="s">
        <v>2112</v>
      </c>
      <c r="V20" s="20" t="s">
        <v>2454</v>
      </c>
      <c r="W20" s="20" t="s">
        <v>2113</v>
      </c>
      <c r="X20" s="20" t="s">
        <v>835</v>
      </c>
      <c r="Y20" s="20">
        <v>5</v>
      </c>
      <c r="Z20" s="20">
        <v>7</v>
      </c>
      <c r="AA20" s="20" t="s">
        <v>592</v>
      </c>
      <c r="AC20" s="20" t="s">
        <v>640</v>
      </c>
      <c r="AD20" s="20" t="s">
        <v>191</v>
      </c>
      <c r="AE20" s="20" t="s">
        <v>378</v>
      </c>
      <c r="AF20" s="20" t="s">
        <v>1843</v>
      </c>
      <c r="AG20" s="20" t="s">
        <v>835</v>
      </c>
      <c r="AH20" s="20">
        <v>5</v>
      </c>
      <c r="AI20" s="20">
        <v>1</v>
      </c>
      <c r="AJ20" s="20" t="s">
        <v>593</v>
      </c>
      <c r="AL20" s="20" t="s">
        <v>1155</v>
      </c>
      <c r="AM20" s="20" t="s">
        <v>1156</v>
      </c>
      <c r="AN20" s="20" t="s">
        <v>517</v>
      </c>
      <c r="AO20" s="20" t="s">
        <v>2909</v>
      </c>
      <c r="AP20" s="20" t="s">
        <v>628</v>
      </c>
      <c r="AQ20" s="20">
        <v>10</v>
      </c>
      <c r="AR20" s="20">
        <v>8</v>
      </c>
      <c r="AS20" s="20" t="s">
        <v>592</v>
      </c>
    </row>
    <row r="21" spans="2:45" ht="15.75" customHeight="1" x14ac:dyDescent="0.2">
      <c r="B21" s="20" t="s">
        <v>646</v>
      </c>
      <c r="C21" s="20" t="s">
        <v>209</v>
      </c>
      <c r="D21" s="20" t="s">
        <v>886</v>
      </c>
      <c r="E21" s="20" t="s">
        <v>901</v>
      </c>
      <c r="F21" s="20" t="s">
        <v>628</v>
      </c>
      <c r="G21" s="20">
        <v>10</v>
      </c>
      <c r="H21" s="20">
        <v>1</v>
      </c>
      <c r="I21" s="20" t="s">
        <v>592</v>
      </c>
      <c r="K21" s="20" t="s">
        <v>640</v>
      </c>
      <c r="L21" s="20" t="s">
        <v>191</v>
      </c>
      <c r="M21" s="20" t="s">
        <v>815</v>
      </c>
      <c r="N21" s="20" t="s">
        <v>568</v>
      </c>
      <c r="O21" s="20" t="s">
        <v>835</v>
      </c>
      <c r="P21" s="20">
        <v>5</v>
      </c>
      <c r="Q21" s="20">
        <v>7</v>
      </c>
      <c r="R21" s="20" t="s">
        <v>592</v>
      </c>
      <c r="T21" s="20" t="s">
        <v>2099</v>
      </c>
      <c r="U21" s="20" t="s">
        <v>2112</v>
      </c>
      <c r="V21" s="20" t="s">
        <v>2454</v>
      </c>
      <c r="W21" s="20" t="s">
        <v>2114</v>
      </c>
      <c r="X21" s="20" t="s">
        <v>835</v>
      </c>
      <c r="Y21" s="20">
        <v>5</v>
      </c>
      <c r="Z21" s="20">
        <v>1</v>
      </c>
      <c r="AA21" s="20" t="s">
        <v>592</v>
      </c>
      <c r="AC21" s="20" t="s">
        <v>2099</v>
      </c>
      <c r="AD21" s="20" t="s">
        <v>2117</v>
      </c>
      <c r="AE21" s="20" t="s">
        <v>2530</v>
      </c>
      <c r="AF21" s="20" t="s">
        <v>2574</v>
      </c>
      <c r="AG21" s="20" t="s">
        <v>835</v>
      </c>
      <c r="AH21" s="20">
        <v>5</v>
      </c>
      <c r="AI21" s="20">
        <v>2</v>
      </c>
      <c r="AJ21" s="20" t="s">
        <v>592</v>
      </c>
      <c r="AL21" s="20" t="s">
        <v>1155</v>
      </c>
      <c r="AM21" s="20" t="s">
        <v>286</v>
      </c>
      <c r="AN21" s="20" t="s">
        <v>376</v>
      </c>
      <c r="AO21" s="20" t="s">
        <v>583</v>
      </c>
      <c r="AP21" s="20" t="s">
        <v>628</v>
      </c>
      <c r="AQ21" s="20">
        <v>10</v>
      </c>
      <c r="AR21" s="20">
        <v>20</v>
      </c>
      <c r="AS21" s="20" t="s">
        <v>592</v>
      </c>
    </row>
    <row r="22" spans="2:45" ht="15.75" customHeight="1" x14ac:dyDescent="0.2">
      <c r="B22" s="20" t="s">
        <v>1144</v>
      </c>
      <c r="C22" s="20" t="s">
        <v>313</v>
      </c>
      <c r="D22" s="20" t="s">
        <v>531</v>
      </c>
      <c r="E22" s="20" t="s">
        <v>1115</v>
      </c>
      <c r="F22" s="20" t="s">
        <v>628</v>
      </c>
      <c r="G22" s="20">
        <v>10</v>
      </c>
      <c r="H22" s="20">
        <v>9</v>
      </c>
      <c r="I22" s="20" t="s">
        <v>592</v>
      </c>
      <c r="K22" s="20" t="s">
        <v>1141</v>
      </c>
      <c r="L22" s="20" t="s">
        <v>224</v>
      </c>
      <c r="M22" s="20" t="s">
        <v>1451</v>
      </c>
      <c r="N22" s="20" t="s">
        <v>1452</v>
      </c>
      <c r="O22" s="20" t="s">
        <v>628</v>
      </c>
      <c r="P22" s="20">
        <v>10</v>
      </c>
      <c r="Q22" s="20">
        <v>11</v>
      </c>
      <c r="R22" s="20" t="s">
        <v>592</v>
      </c>
      <c r="T22" s="20" t="s">
        <v>1154</v>
      </c>
      <c r="U22" s="20" t="s">
        <v>335</v>
      </c>
      <c r="V22" s="20" t="s">
        <v>548</v>
      </c>
      <c r="W22" s="20" t="s">
        <v>1868</v>
      </c>
      <c r="X22" s="20" t="s">
        <v>628</v>
      </c>
      <c r="Y22" s="20">
        <v>10</v>
      </c>
      <c r="Z22" s="20">
        <v>8</v>
      </c>
      <c r="AA22" s="20" t="s">
        <v>592</v>
      </c>
      <c r="AC22" s="20" t="s">
        <v>2099</v>
      </c>
      <c r="AD22" s="20" t="s">
        <v>2117</v>
      </c>
      <c r="AE22" s="20" t="s">
        <v>2530</v>
      </c>
      <c r="AF22" s="20" t="s">
        <v>2575</v>
      </c>
      <c r="AG22" s="20" t="s">
        <v>835</v>
      </c>
      <c r="AH22" s="20">
        <v>5</v>
      </c>
      <c r="AI22" s="20">
        <v>3</v>
      </c>
      <c r="AJ22" s="20" t="s">
        <v>592</v>
      </c>
      <c r="AL22" s="20" t="s">
        <v>1155</v>
      </c>
      <c r="AM22" s="20" t="s">
        <v>286</v>
      </c>
      <c r="AN22" s="20" t="s">
        <v>1499</v>
      </c>
      <c r="AO22" s="20" t="s">
        <v>2910</v>
      </c>
      <c r="AP22" s="20" t="s">
        <v>628</v>
      </c>
      <c r="AQ22" s="20">
        <v>10</v>
      </c>
      <c r="AR22" s="20">
        <v>17</v>
      </c>
      <c r="AS22" s="20" t="s">
        <v>592</v>
      </c>
    </row>
    <row r="23" spans="2:45" ht="15.75" customHeight="1" x14ac:dyDescent="0.2">
      <c r="B23" s="20" t="s">
        <v>1144</v>
      </c>
      <c r="C23" s="20" t="s">
        <v>313</v>
      </c>
      <c r="D23" s="20" t="s">
        <v>531</v>
      </c>
      <c r="E23" s="20" t="s">
        <v>1116</v>
      </c>
      <c r="F23" s="20" t="s">
        <v>628</v>
      </c>
      <c r="G23" s="20">
        <v>10</v>
      </c>
      <c r="H23" s="20">
        <v>2</v>
      </c>
      <c r="I23" s="20" t="s">
        <v>592</v>
      </c>
      <c r="K23" s="20" t="s">
        <v>1141</v>
      </c>
      <c r="L23" s="20" t="s">
        <v>224</v>
      </c>
      <c r="M23" s="20" t="s">
        <v>1453</v>
      </c>
      <c r="N23" s="20" t="s">
        <v>1452</v>
      </c>
      <c r="O23" s="20" t="s">
        <v>628</v>
      </c>
      <c r="P23" s="20">
        <v>10</v>
      </c>
      <c r="Q23" s="20">
        <v>1</v>
      </c>
      <c r="R23" s="20" t="s">
        <v>592</v>
      </c>
      <c r="T23" s="20" t="s">
        <v>1163</v>
      </c>
      <c r="U23" s="20" t="s">
        <v>221</v>
      </c>
      <c r="V23" s="20" t="s">
        <v>621</v>
      </c>
      <c r="W23" s="20" t="s">
        <v>1215</v>
      </c>
      <c r="X23" s="20" t="s">
        <v>835</v>
      </c>
      <c r="Y23" s="20">
        <v>5</v>
      </c>
      <c r="Z23" s="20">
        <v>5</v>
      </c>
      <c r="AA23" s="20" t="s">
        <v>592</v>
      </c>
      <c r="AC23" s="20" t="s">
        <v>2099</v>
      </c>
      <c r="AD23" s="20" t="s">
        <v>2106</v>
      </c>
      <c r="AE23" s="20" t="s">
        <v>2531</v>
      </c>
      <c r="AF23" s="20" t="s">
        <v>2421</v>
      </c>
      <c r="AG23" s="20" t="s">
        <v>835</v>
      </c>
      <c r="AH23" s="20">
        <v>5</v>
      </c>
      <c r="AI23" s="20">
        <v>13</v>
      </c>
      <c r="AJ23" s="20" t="s">
        <v>592</v>
      </c>
      <c r="AL23" s="20" t="s">
        <v>1155</v>
      </c>
      <c r="AM23" s="20" t="s">
        <v>286</v>
      </c>
      <c r="AN23" s="20" t="s">
        <v>1512</v>
      </c>
      <c r="AO23" s="20" t="s">
        <v>1511</v>
      </c>
      <c r="AP23" s="20" t="s">
        <v>628</v>
      </c>
      <c r="AQ23" s="20">
        <v>10</v>
      </c>
      <c r="AR23" s="20">
        <v>22</v>
      </c>
      <c r="AS23" s="20" t="s">
        <v>592</v>
      </c>
    </row>
    <row r="24" spans="2:45" ht="15.75" customHeight="1" x14ac:dyDescent="0.2">
      <c r="B24" s="20" t="s">
        <v>1149</v>
      </c>
      <c r="C24" s="20" t="s">
        <v>806</v>
      </c>
      <c r="D24" s="20" t="s">
        <v>469</v>
      </c>
      <c r="E24" s="20" t="s">
        <v>977</v>
      </c>
      <c r="F24" s="20" t="s">
        <v>628</v>
      </c>
      <c r="G24" s="20">
        <v>10</v>
      </c>
      <c r="H24" s="20">
        <v>34</v>
      </c>
      <c r="I24" s="20" t="s">
        <v>592</v>
      </c>
      <c r="K24" s="20" t="s">
        <v>1154</v>
      </c>
      <c r="L24" s="20" t="s">
        <v>335</v>
      </c>
      <c r="M24" s="20" t="s">
        <v>1454</v>
      </c>
      <c r="N24" s="20" t="s">
        <v>475</v>
      </c>
      <c r="O24" s="20" t="s">
        <v>628</v>
      </c>
      <c r="P24" s="20">
        <v>10</v>
      </c>
      <c r="Q24" s="20">
        <v>9</v>
      </c>
      <c r="R24" s="20" t="s">
        <v>592</v>
      </c>
      <c r="T24" s="20" t="s">
        <v>1162</v>
      </c>
      <c r="U24" s="20" t="s">
        <v>352</v>
      </c>
      <c r="V24" s="20" t="s">
        <v>444</v>
      </c>
      <c r="W24" s="20" t="s">
        <v>1023</v>
      </c>
      <c r="X24" s="20" t="s">
        <v>628</v>
      </c>
      <c r="Y24" s="20">
        <v>10</v>
      </c>
      <c r="Z24" s="20">
        <v>6</v>
      </c>
      <c r="AA24" s="20" t="s">
        <v>592</v>
      </c>
      <c r="AC24" s="20" t="s">
        <v>646</v>
      </c>
      <c r="AD24" s="20" t="s">
        <v>298</v>
      </c>
      <c r="AE24" s="20" t="s">
        <v>424</v>
      </c>
      <c r="AF24" s="20" t="s">
        <v>2441</v>
      </c>
      <c r="AG24" s="20" t="s">
        <v>835</v>
      </c>
      <c r="AH24" s="20">
        <v>5</v>
      </c>
      <c r="AI24" s="20">
        <v>1</v>
      </c>
      <c r="AJ24" s="20" t="s">
        <v>593</v>
      </c>
      <c r="AL24" s="20" t="s">
        <v>1155</v>
      </c>
      <c r="AM24" s="20" t="s">
        <v>286</v>
      </c>
      <c r="AN24" s="20" t="s">
        <v>1832</v>
      </c>
      <c r="AO24" s="20" t="s">
        <v>2911</v>
      </c>
      <c r="AP24" s="20" t="s">
        <v>628</v>
      </c>
      <c r="AQ24" s="20">
        <v>10</v>
      </c>
      <c r="AR24" s="20">
        <v>22</v>
      </c>
      <c r="AS24" s="20" t="s">
        <v>592</v>
      </c>
    </row>
    <row r="25" spans="2:45" ht="15.75" customHeight="1" x14ac:dyDescent="0.2">
      <c r="B25" s="20" t="s">
        <v>1149</v>
      </c>
      <c r="C25" s="20" t="s">
        <v>806</v>
      </c>
      <c r="D25" s="20" t="s">
        <v>469</v>
      </c>
      <c r="E25" s="20" t="s">
        <v>978</v>
      </c>
      <c r="F25" s="20" t="s">
        <v>628</v>
      </c>
      <c r="G25" s="20">
        <v>10</v>
      </c>
      <c r="H25" s="20">
        <v>1</v>
      </c>
      <c r="I25" s="20" t="s">
        <v>592</v>
      </c>
      <c r="K25" s="20" t="s">
        <v>1154</v>
      </c>
      <c r="L25" s="20" t="s">
        <v>335</v>
      </c>
      <c r="M25" s="20" t="s">
        <v>1455</v>
      </c>
      <c r="N25" s="20" t="s">
        <v>474</v>
      </c>
      <c r="O25" s="20" t="s">
        <v>835</v>
      </c>
      <c r="P25" s="20">
        <v>5</v>
      </c>
      <c r="Q25" s="20">
        <v>5</v>
      </c>
      <c r="R25" s="20" t="s">
        <v>592</v>
      </c>
      <c r="T25" s="20" t="s">
        <v>1162</v>
      </c>
      <c r="U25" s="20" t="s">
        <v>352</v>
      </c>
      <c r="V25" s="20" t="s">
        <v>444</v>
      </c>
      <c r="W25" s="20" t="s">
        <v>1192</v>
      </c>
      <c r="X25" s="20" t="s">
        <v>628</v>
      </c>
      <c r="Y25" s="20">
        <v>10</v>
      </c>
      <c r="Z25" s="20">
        <v>2</v>
      </c>
      <c r="AA25" s="20" t="s">
        <v>592</v>
      </c>
      <c r="AC25" s="20" t="s">
        <v>646</v>
      </c>
      <c r="AD25" s="20" t="s">
        <v>298</v>
      </c>
      <c r="AE25" s="20" t="s">
        <v>370</v>
      </c>
      <c r="AF25" s="20" t="s">
        <v>2068</v>
      </c>
      <c r="AG25" s="20" t="s">
        <v>835</v>
      </c>
      <c r="AH25" s="20">
        <v>5</v>
      </c>
      <c r="AI25" s="20">
        <v>2</v>
      </c>
      <c r="AJ25" s="20" t="s">
        <v>593</v>
      </c>
      <c r="AL25" s="20" t="s">
        <v>1155</v>
      </c>
      <c r="AM25" s="20" t="s">
        <v>286</v>
      </c>
      <c r="AN25" s="20" t="s">
        <v>1010</v>
      </c>
      <c r="AO25" s="20" t="s">
        <v>1015</v>
      </c>
      <c r="AP25" s="20" t="s">
        <v>628</v>
      </c>
      <c r="AQ25" s="20">
        <v>10</v>
      </c>
      <c r="AR25" s="20">
        <v>11</v>
      </c>
      <c r="AS25" s="20" t="s">
        <v>592</v>
      </c>
    </row>
    <row r="26" spans="2:45" ht="15.75" customHeight="1" x14ac:dyDescent="0.2">
      <c r="B26" s="20" t="s">
        <v>646</v>
      </c>
      <c r="C26" s="20" t="s">
        <v>334</v>
      </c>
      <c r="D26" s="20" t="s">
        <v>509</v>
      </c>
      <c r="E26" s="20" t="s">
        <v>1031</v>
      </c>
      <c r="F26" s="20" t="s">
        <v>835</v>
      </c>
      <c r="G26" s="20">
        <v>5</v>
      </c>
      <c r="H26" s="20">
        <v>4</v>
      </c>
      <c r="I26" s="20" t="s">
        <v>592</v>
      </c>
      <c r="K26" s="20" t="s">
        <v>1155</v>
      </c>
      <c r="L26" s="20" t="s">
        <v>286</v>
      </c>
      <c r="M26" s="20" t="s">
        <v>583</v>
      </c>
      <c r="N26" s="20" t="s">
        <v>376</v>
      </c>
      <c r="O26" s="20" t="s">
        <v>835</v>
      </c>
      <c r="P26" s="20">
        <v>5</v>
      </c>
      <c r="Q26" s="20">
        <v>5</v>
      </c>
      <c r="R26" s="20" t="s">
        <v>592</v>
      </c>
      <c r="T26" s="20" t="s">
        <v>1163</v>
      </c>
      <c r="U26" s="20" t="s">
        <v>1165</v>
      </c>
      <c r="V26" s="20" t="s">
        <v>504</v>
      </c>
      <c r="W26" s="20" t="s">
        <v>1393</v>
      </c>
      <c r="X26" s="20" t="s">
        <v>835</v>
      </c>
      <c r="Y26" s="20">
        <v>5</v>
      </c>
      <c r="Z26" s="20">
        <v>6</v>
      </c>
      <c r="AA26" s="20" t="s">
        <v>592</v>
      </c>
      <c r="AC26" s="20" t="s">
        <v>1169</v>
      </c>
      <c r="AD26" s="20" t="s">
        <v>216</v>
      </c>
      <c r="AE26" s="20" t="s">
        <v>1852</v>
      </c>
      <c r="AF26" s="20" t="s">
        <v>1851</v>
      </c>
      <c r="AG26" s="20" t="s">
        <v>628</v>
      </c>
      <c r="AH26" s="20">
        <v>10</v>
      </c>
      <c r="AI26" s="20">
        <v>9</v>
      </c>
      <c r="AJ26" s="20" t="s">
        <v>592</v>
      </c>
      <c r="AL26" s="20" t="s">
        <v>1155</v>
      </c>
      <c r="AM26" s="20" t="s">
        <v>286</v>
      </c>
      <c r="AN26" s="20" t="s">
        <v>898</v>
      </c>
      <c r="AO26" s="20" t="s">
        <v>2660</v>
      </c>
      <c r="AP26" s="20" t="s">
        <v>628</v>
      </c>
      <c r="AQ26" s="20">
        <v>10</v>
      </c>
      <c r="AR26" s="20">
        <v>13</v>
      </c>
      <c r="AS26" s="20" t="s">
        <v>592</v>
      </c>
    </row>
    <row r="27" spans="2:45" ht="15.75" customHeight="1" x14ac:dyDescent="0.2">
      <c r="B27" s="20" t="s">
        <v>646</v>
      </c>
      <c r="C27" s="20" t="s">
        <v>334</v>
      </c>
      <c r="D27" s="20" t="s">
        <v>509</v>
      </c>
      <c r="E27" s="20" t="s">
        <v>1195</v>
      </c>
      <c r="F27" s="20" t="s">
        <v>835</v>
      </c>
      <c r="G27" s="20">
        <v>5</v>
      </c>
      <c r="H27" s="20">
        <v>1</v>
      </c>
      <c r="I27" s="20" t="s">
        <v>592</v>
      </c>
      <c r="K27" s="20" t="s">
        <v>1141</v>
      </c>
      <c r="L27" s="20" t="s">
        <v>780</v>
      </c>
      <c r="M27" s="20" t="s">
        <v>1456</v>
      </c>
      <c r="N27" s="20" t="s">
        <v>1457</v>
      </c>
      <c r="O27" s="20" t="s">
        <v>628</v>
      </c>
      <c r="P27" s="20">
        <v>10</v>
      </c>
      <c r="Q27" s="20">
        <v>2</v>
      </c>
      <c r="R27" s="20" t="s">
        <v>592</v>
      </c>
      <c r="T27" s="20" t="s">
        <v>1169</v>
      </c>
      <c r="U27" s="20" t="s">
        <v>216</v>
      </c>
      <c r="V27" s="20" t="s">
        <v>1946</v>
      </c>
      <c r="W27" s="20" t="s">
        <v>2115</v>
      </c>
      <c r="X27" s="20" t="s">
        <v>628</v>
      </c>
      <c r="Y27" s="20">
        <v>10</v>
      </c>
      <c r="Z27" s="20">
        <v>2</v>
      </c>
      <c r="AA27" s="20" t="s">
        <v>593</v>
      </c>
      <c r="AC27" s="20" t="s">
        <v>2099</v>
      </c>
      <c r="AD27" s="20" t="s">
        <v>2109</v>
      </c>
      <c r="AE27" s="20" t="s">
        <v>2532</v>
      </c>
      <c r="AF27" s="20" t="s">
        <v>2576</v>
      </c>
      <c r="AG27" s="20" t="s">
        <v>835</v>
      </c>
      <c r="AH27" s="20">
        <v>5</v>
      </c>
      <c r="AI27" s="20">
        <v>5</v>
      </c>
      <c r="AJ27" s="20" t="s">
        <v>592</v>
      </c>
      <c r="AL27" s="20" t="s">
        <v>1155</v>
      </c>
      <c r="AM27" s="20" t="s">
        <v>286</v>
      </c>
      <c r="AN27" s="20" t="s">
        <v>2536</v>
      </c>
      <c r="AO27" s="20" t="s">
        <v>2604</v>
      </c>
      <c r="AP27" s="20" t="s">
        <v>628</v>
      </c>
      <c r="AQ27" s="20">
        <v>10</v>
      </c>
      <c r="AR27" s="20">
        <v>9</v>
      </c>
      <c r="AS27" s="20" t="s">
        <v>592</v>
      </c>
    </row>
    <row r="28" spans="2:45" ht="15.75" customHeight="1" x14ac:dyDescent="0.2">
      <c r="B28" s="20" t="s">
        <v>1144</v>
      </c>
      <c r="C28" s="20" t="s">
        <v>1107</v>
      </c>
      <c r="D28" s="20" t="s">
        <v>498</v>
      </c>
      <c r="E28" s="20" t="s">
        <v>1112</v>
      </c>
      <c r="F28" s="20" t="s">
        <v>628</v>
      </c>
      <c r="G28" s="20">
        <v>10</v>
      </c>
      <c r="H28" s="20">
        <v>6</v>
      </c>
      <c r="I28" s="20" t="s">
        <v>592</v>
      </c>
      <c r="K28" s="20" t="s">
        <v>1141</v>
      </c>
      <c r="L28" s="20" t="s">
        <v>780</v>
      </c>
      <c r="M28" s="20" t="s">
        <v>1458</v>
      </c>
      <c r="N28" s="20" t="s">
        <v>1457</v>
      </c>
      <c r="O28" s="20" t="s">
        <v>628</v>
      </c>
      <c r="P28" s="20">
        <v>10</v>
      </c>
      <c r="Q28" s="20">
        <v>7</v>
      </c>
      <c r="R28" s="20" t="s">
        <v>592</v>
      </c>
      <c r="T28" s="20" t="s">
        <v>1143</v>
      </c>
      <c r="U28" s="20" t="s">
        <v>706</v>
      </c>
      <c r="V28" s="20" t="s">
        <v>404</v>
      </c>
      <c r="W28" s="20" t="s">
        <v>1257</v>
      </c>
      <c r="X28" s="20" t="s">
        <v>835</v>
      </c>
      <c r="Y28" s="20">
        <v>5</v>
      </c>
      <c r="Z28" s="20">
        <v>6</v>
      </c>
      <c r="AA28" s="20" t="s">
        <v>592</v>
      </c>
      <c r="AC28" s="20" t="s">
        <v>646</v>
      </c>
      <c r="AD28" s="20" t="s">
        <v>285</v>
      </c>
      <c r="AE28" s="20" t="s">
        <v>459</v>
      </c>
      <c r="AF28" s="20" t="s">
        <v>1581</v>
      </c>
      <c r="AG28" s="20" t="s">
        <v>835</v>
      </c>
      <c r="AH28" s="20">
        <v>5</v>
      </c>
      <c r="AI28" s="20">
        <v>5</v>
      </c>
      <c r="AJ28" s="20" t="s">
        <v>592</v>
      </c>
      <c r="AL28" s="20" t="s">
        <v>1155</v>
      </c>
      <c r="AM28" s="20" t="s">
        <v>286</v>
      </c>
      <c r="AN28" s="20" t="s">
        <v>2782</v>
      </c>
      <c r="AO28" s="20" t="s">
        <v>2912</v>
      </c>
      <c r="AP28" s="20" t="s">
        <v>628</v>
      </c>
      <c r="AQ28" s="20">
        <v>10</v>
      </c>
      <c r="AR28" s="20">
        <v>3</v>
      </c>
      <c r="AS28" s="20" t="s">
        <v>593</v>
      </c>
    </row>
    <row r="29" spans="2:45" ht="15.75" customHeight="1" x14ac:dyDescent="0.2">
      <c r="B29" s="20" t="s">
        <v>1144</v>
      </c>
      <c r="C29" s="20" t="s">
        <v>1107</v>
      </c>
      <c r="D29" s="20" t="s">
        <v>498</v>
      </c>
      <c r="E29" s="20" t="s">
        <v>1196</v>
      </c>
      <c r="F29" s="20" t="s">
        <v>628</v>
      </c>
      <c r="G29" s="20">
        <v>10</v>
      </c>
      <c r="H29" s="20">
        <v>2</v>
      </c>
      <c r="I29" s="20" t="s">
        <v>592</v>
      </c>
      <c r="K29" s="20" t="s">
        <v>1144</v>
      </c>
      <c r="L29" s="20" t="s">
        <v>23</v>
      </c>
      <c r="M29" s="20" t="s">
        <v>1120</v>
      </c>
      <c r="N29" s="20" t="s">
        <v>545</v>
      </c>
      <c r="O29" s="20" t="s">
        <v>628</v>
      </c>
      <c r="P29" s="20">
        <v>10</v>
      </c>
      <c r="Q29" s="20">
        <v>10</v>
      </c>
      <c r="R29" s="20" t="s">
        <v>592</v>
      </c>
      <c r="T29" s="20" t="s">
        <v>1144</v>
      </c>
      <c r="U29" s="20" t="s">
        <v>1145</v>
      </c>
      <c r="V29" s="20" t="s">
        <v>853</v>
      </c>
      <c r="W29" s="20" t="s">
        <v>2116</v>
      </c>
      <c r="X29" s="20" t="s">
        <v>628</v>
      </c>
      <c r="Y29" s="20">
        <v>10</v>
      </c>
      <c r="Z29" s="20">
        <v>9</v>
      </c>
      <c r="AA29" s="20" t="s">
        <v>592</v>
      </c>
      <c r="AC29" s="20" t="s">
        <v>1144</v>
      </c>
      <c r="AD29" s="20" t="s">
        <v>313</v>
      </c>
      <c r="AE29" s="20" t="s">
        <v>529</v>
      </c>
      <c r="AF29" s="20" t="s">
        <v>1034</v>
      </c>
      <c r="AG29" s="20" t="s">
        <v>835</v>
      </c>
      <c r="AH29" s="20">
        <v>5</v>
      </c>
      <c r="AI29" s="20">
        <v>6</v>
      </c>
      <c r="AJ29" s="20" t="s">
        <v>592</v>
      </c>
      <c r="AL29" s="20" t="s">
        <v>1155</v>
      </c>
      <c r="AM29" s="20" t="s">
        <v>286</v>
      </c>
      <c r="AN29" s="20" t="s">
        <v>2783</v>
      </c>
      <c r="AO29" s="20" t="s">
        <v>2913</v>
      </c>
      <c r="AP29" s="20" t="s">
        <v>628</v>
      </c>
      <c r="AQ29" s="20">
        <v>10</v>
      </c>
      <c r="AR29" s="20">
        <v>2</v>
      </c>
      <c r="AS29" s="20" t="s">
        <v>593</v>
      </c>
    </row>
    <row r="30" spans="2:45" ht="15.75" customHeight="1" x14ac:dyDescent="0.2">
      <c r="B30" s="20" t="s">
        <v>1149</v>
      </c>
      <c r="C30" s="20" t="s">
        <v>301</v>
      </c>
      <c r="D30" s="20" t="s">
        <v>501</v>
      </c>
      <c r="E30" s="20" t="s">
        <v>1197</v>
      </c>
      <c r="F30" s="20" t="s">
        <v>628</v>
      </c>
      <c r="G30" s="20">
        <v>10</v>
      </c>
      <c r="H30" s="20">
        <v>7</v>
      </c>
      <c r="I30" s="20" t="s">
        <v>592</v>
      </c>
      <c r="K30" s="20" t="s">
        <v>1147</v>
      </c>
      <c r="L30" s="20" t="s">
        <v>20</v>
      </c>
      <c r="M30" s="20" t="s">
        <v>637</v>
      </c>
      <c r="N30" s="20" t="s">
        <v>449</v>
      </c>
      <c r="O30" s="20" t="s">
        <v>628</v>
      </c>
      <c r="P30" s="20">
        <v>10</v>
      </c>
      <c r="Q30" s="20">
        <v>11</v>
      </c>
      <c r="R30" s="20" t="s">
        <v>592</v>
      </c>
      <c r="T30" s="20" t="s">
        <v>1147</v>
      </c>
      <c r="U30" s="20" t="s">
        <v>244</v>
      </c>
      <c r="V30" s="20" t="s">
        <v>421</v>
      </c>
      <c r="W30" s="20" t="s">
        <v>777</v>
      </c>
      <c r="X30" s="20" t="s">
        <v>628</v>
      </c>
      <c r="Y30" s="20">
        <v>10</v>
      </c>
      <c r="Z30" s="20">
        <v>10</v>
      </c>
      <c r="AA30" s="20" t="s">
        <v>592</v>
      </c>
      <c r="AC30" s="20" t="s">
        <v>1141</v>
      </c>
      <c r="AD30" s="20" t="s">
        <v>218</v>
      </c>
      <c r="AE30" s="20" t="s">
        <v>732</v>
      </c>
      <c r="AF30" s="20" t="s">
        <v>1219</v>
      </c>
      <c r="AG30" s="20" t="s">
        <v>628</v>
      </c>
      <c r="AH30" s="20">
        <v>10</v>
      </c>
      <c r="AI30" s="20">
        <v>8</v>
      </c>
      <c r="AJ30" s="20" t="s">
        <v>592</v>
      </c>
      <c r="AL30" s="20" t="s">
        <v>1155</v>
      </c>
      <c r="AM30" s="20" t="s">
        <v>1156</v>
      </c>
      <c r="AN30" s="20" t="s">
        <v>2561</v>
      </c>
      <c r="AO30" s="20" t="s">
        <v>2748</v>
      </c>
      <c r="AP30" s="20" t="s">
        <v>628</v>
      </c>
      <c r="AQ30" s="20">
        <v>10</v>
      </c>
      <c r="AR30" s="20">
        <v>13</v>
      </c>
      <c r="AS30" s="20" t="s">
        <v>592</v>
      </c>
    </row>
    <row r="31" spans="2:45" ht="15.75" customHeight="1" x14ac:dyDescent="0.2">
      <c r="B31" s="20" t="s">
        <v>1169</v>
      </c>
      <c r="C31" s="20" t="s">
        <v>701</v>
      </c>
      <c r="D31" s="20" t="s">
        <v>681</v>
      </c>
      <c r="E31" s="20" t="s">
        <v>967</v>
      </c>
      <c r="F31" s="20" t="s">
        <v>628</v>
      </c>
      <c r="G31" s="20">
        <v>10</v>
      </c>
      <c r="H31" s="20">
        <v>14</v>
      </c>
      <c r="I31" s="20" t="s">
        <v>592</v>
      </c>
      <c r="K31" s="20" t="s">
        <v>1147</v>
      </c>
      <c r="L31" s="20" t="s">
        <v>20</v>
      </c>
      <c r="M31" s="20" t="s">
        <v>851</v>
      </c>
      <c r="N31" s="20" t="s">
        <v>449</v>
      </c>
      <c r="O31" s="20" t="s">
        <v>628</v>
      </c>
      <c r="P31" s="20">
        <v>10</v>
      </c>
      <c r="Q31" s="20">
        <v>1</v>
      </c>
      <c r="R31" s="20" t="s">
        <v>592</v>
      </c>
      <c r="T31" s="20" t="s">
        <v>1147</v>
      </c>
      <c r="U31" s="20" t="s">
        <v>20</v>
      </c>
      <c r="V31" s="20" t="s">
        <v>446</v>
      </c>
      <c r="W31" s="20" t="s">
        <v>584</v>
      </c>
      <c r="X31" s="20" t="s">
        <v>628</v>
      </c>
      <c r="Y31" s="20">
        <v>10</v>
      </c>
      <c r="Z31" s="20">
        <v>9</v>
      </c>
      <c r="AA31" s="20" t="s">
        <v>592</v>
      </c>
      <c r="AC31" s="20" t="s">
        <v>1144</v>
      </c>
      <c r="AD31" s="20" t="s">
        <v>249</v>
      </c>
      <c r="AE31" s="20" t="s">
        <v>563</v>
      </c>
      <c r="AF31" s="20" t="s">
        <v>861</v>
      </c>
      <c r="AG31" s="20" t="s">
        <v>835</v>
      </c>
      <c r="AH31" s="20">
        <v>5</v>
      </c>
      <c r="AI31" s="20">
        <v>7</v>
      </c>
      <c r="AJ31" s="20" t="s">
        <v>592</v>
      </c>
      <c r="AL31" s="20" t="s">
        <v>1155</v>
      </c>
      <c r="AM31" s="20" t="s">
        <v>1156</v>
      </c>
      <c r="AN31" s="20" t="s">
        <v>2543</v>
      </c>
      <c r="AO31" s="20" t="s">
        <v>2646</v>
      </c>
      <c r="AP31" s="20" t="s">
        <v>628</v>
      </c>
      <c r="AQ31" s="20">
        <v>10</v>
      </c>
      <c r="AR31" s="20">
        <v>8</v>
      </c>
      <c r="AS31" s="20" t="s">
        <v>592</v>
      </c>
    </row>
    <row r="32" spans="2:45" ht="15.75" customHeight="1" x14ac:dyDescent="0.2">
      <c r="B32" s="20" t="s">
        <v>1149</v>
      </c>
      <c r="C32" s="20" t="s">
        <v>301</v>
      </c>
      <c r="D32" s="20" t="s">
        <v>501</v>
      </c>
      <c r="E32" s="20" t="s">
        <v>1198</v>
      </c>
      <c r="F32" s="20" t="s">
        <v>628</v>
      </c>
      <c r="G32" s="20">
        <v>10</v>
      </c>
      <c r="H32" s="20">
        <v>1</v>
      </c>
      <c r="I32" s="20" t="s">
        <v>592</v>
      </c>
      <c r="K32" s="20" t="s">
        <v>1144</v>
      </c>
      <c r="L32" s="20" t="s">
        <v>249</v>
      </c>
      <c r="M32" s="20" t="s">
        <v>761</v>
      </c>
      <c r="N32" s="20" t="s">
        <v>562</v>
      </c>
      <c r="O32" s="20" t="s">
        <v>628</v>
      </c>
      <c r="P32" s="20">
        <v>10</v>
      </c>
      <c r="Q32" s="20">
        <v>14</v>
      </c>
      <c r="R32" s="20" t="s">
        <v>592</v>
      </c>
      <c r="T32" s="20" t="s">
        <v>1147</v>
      </c>
      <c r="U32" s="20" t="s">
        <v>20</v>
      </c>
      <c r="V32" s="20" t="s">
        <v>446</v>
      </c>
      <c r="W32" s="20" t="s">
        <v>1827</v>
      </c>
      <c r="X32" s="20" t="s">
        <v>628</v>
      </c>
      <c r="Y32" s="20">
        <v>10</v>
      </c>
      <c r="Z32" s="20">
        <v>1</v>
      </c>
      <c r="AA32" s="20" t="s">
        <v>592</v>
      </c>
      <c r="AC32" s="20" t="s">
        <v>1144</v>
      </c>
      <c r="AD32" s="20" t="s">
        <v>249</v>
      </c>
      <c r="AE32" s="20" t="s">
        <v>491</v>
      </c>
      <c r="AF32" s="20" t="s">
        <v>1444</v>
      </c>
      <c r="AG32" s="20" t="s">
        <v>835</v>
      </c>
      <c r="AH32" s="20">
        <v>5</v>
      </c>
      <c r="AI32" s="20">
        <v>5</v>
      </c>
      <c r="AJ32" s="20" t="s">
        <v>592</v>
      </c>
      <c r="AL32" s="20" t="s">
        <v>1155</v>
      </c>
      <c r="AM32" s="20" t="s">
        <v>1156</v>
      </c>
      <c r="AN32" s="20" t="s">
        <v>518</v>
      </c>
      <c r="AO32" s="20" t="s">
        <v>2914</v>
      </c>
      <c r="AP32" s="20" t="s">
        <v>628</v>
      </c>
      <c r="AQ32" s="20">
        <v>10</v>
      </c>
      <c r="AR32" s="20">
        <v>6</v>
      </c>
      <c r="AS32" s="20" t="s">
        <v>593</v>
      </c>
    </row>
    <row r="33" spans="2:45" ht="15.75" customHeight="1" x14ac:dyDescent="0.2">
      <c r="B33" s="20" t="s">
        <v>646</v>
      </c>
      <c r="C33" s="20" t="s">
        <v>25</v>
      </c>
      <c r="D33" s="20" t="s">
        <v>373</v>
      </c>
      <c r="E33" s="20" t="s">
        <v>1199</v>
      </c>
      <c r="F33" s="20" t="s">
        <v>628</v>
      </c>
      <c r="G33" s="20">
        <v>10</v>
      </c>
      <c r="H33" s="20">
        <v>8</v>
      </c>
      <c r="I33" s="20" t="s">
        <v>592</v>
      </c>
      <c r="K33" s="20" t="s">
        <v>1158</v>
      </c>
      <c r="L33" s="20" t="s">
        <v>1040</v>
      </c>
      <c r="M33" s="20" t="s">
        <v>1459</v>
      </c>
      <c r="N33" s="20" t="s">
        <v>633</v>
      </c>
      <c r="O33" s="20" t="s">
        <v>835</v>
      </c>
      <c r="P33" s="20">
        <v>5</v>
      </c>
      <c r="Q33" s="20">
        <v>2</v>
      </c>
      <c r="R33" s="20" t="s">
        <v>593</v>
      </c>
      <c r="T33" s="20" t="s">
        <v>2099</v>
      </c>
      <c r="U33" s="20" t="s">
        <v>2117</v>
      </c>
      <c r="V33" s="20" t="s">
        <v>2455</v>
      </c>
      <c r="W33" s="20" t="s">
        <v>2118</v>
      </c>
      <c r="X33" s="20" t="s">
        <v>835</v>
      </c>
      <c r="Y33" s="20">
        <v>5</v>
      </c>
      <c r="Z33" s="20">
        <v>1</v>
      </c>
      <c r="AA33" s="20" t="s">
        <v>593</v>
      </c>
      <c r="AC33" s="20" t="s">
        <v>1144</v>
      </c>
      <c r="AD33" s="20" t="s">
        <v>707</v>
      </c>
      <c r="AE33" s="20" t="s">
        <v>2498</v>
      </c>
      <c r="AF33" s="20" t="s">
        <v>2577</v>
      </c>
      <c r="AG33" s="20" t="s">
        <v>835</v>
      </c>
      <c r="AH33" s="20">
        <v>5</v>
      </c>
      <c r="AI33" s="20">
        <v>7</v>
      </c>
      <c r="AJ33" s="20" t="s">
        <v>592</v>
      </c>
      <c r="AL33" s="20" t="s">
        <v>1155</v>
      </c>
      <c r="AM33" s="20" t="s">
        <v>657</v>
      </c>
      <c r="AN33" s="20" t="s">
        <v>1901</v>
      </c>
      <c r="AO33" s="20" t="s">
        <v>2674</v>
      </c>
      <c r="AP33" s="20" t="s">
        <v>628</v>
      </c>
      <c r="AQ33" s="20">
        <v>10</v>
      </c>
      <c r="AR33" s="20">
        <v>8</v>
      </c>
      <c r="AS33" s="20" t="s">
        <v>592</v>
      </c>
    </row>
    <row r="34" spans="2:45" ht="15.75" customHeight="1" x14ac:dyDescent="0.2">
      <c r="B34" s="20" t="s">
        <v>646</v>
      </c>
      <c r="C34" s="20" t="s">
        <v>25</v>
      </c>
      <c r="D34" s="20" t="s">
        <v>373</v>
      </c>
      <c r="E34" s="20" t="s">
        <v>1200</v>
      </c>
      <c r="F34" s="20" t="s">
        <v>628</v>
      </c>
      <c r="G34" s="20">
        <v>10</v>
      </c>
      <c r="H34" s="20">
        <v>1</v>
      </c>
      <c r="I34" s="20" t="s">
        <v>592</v>
      </c>
      <c r="K34" s="20" t="s">
        <v>1158</v>
      </c>
      <c r="L34" s="20" t="s">
        <v>1040</v>
      </c>
      <c r="M34" s="20" t="s">
        <v>1263</v>
      </c>
      <c r="N34" s="20" t="s">
        <v>633</v>
      </c>
      <c r="O34" s="20" t="s">
        <v>835</v>
      </c>
      <c r="P34" s="20">
        <v>5</v>
      </c>
      <c r="Q34" s="20">
        <v>2</v>
      </c>
      <c r="R34" s="20" t="s">
        <v>593</v>
      </c>
      <c r="T34" s="20" t="s">
        <v>2099</v>
      </c>
      <c r="U34" s="20" t="s">
        <v>2117</v>
      </c>
      <c r="V34" s="20" t="s">
        <v>2455</v>
      </c>
      <c r="W34" s="20" t="s">
        <v>2119</v>
      </c>
      <c r="X34" s="20" t="s">
        <v>835</v>
      </c>
      <c r="Y34" s="20">
        <v>5</v>
      </c>
      <c r="Z34" s="20">
        <v>1</v>
      </c>
      <c r="AA34" s="20" t="s">
        <v>593</v>
      </c>
      <c r="AC34" s="20" t="s">
        <v>1144</v>
      </c>
      <c r="AD34" s="20" t="s">
        <v>707</v>
      </c>
      <c r="AE34" s="20" t="s">
        <v>1955</v>
      </c>
      <c r="AF34" s="20" t="s">
        <v>1954</v>
      </c>
      <c r="AG34" s="20" t="s">
        <v>835</v>
      </c>
      <c r="AH34" s="20">
        <v>5</v>
      </c>
      <c r="AI34" s="20">
        <v>6</v>
      </c>
      <c r="AJ34" s="20" t="s">
        <v>592</v>
      </c>
      <c r="AL34" s="20" t="s">
        <v>1155</v>
      </c>
      <c r="AM34" s="20" t="s">
        <v>657</v>
      </c>
      <c r="AN34" s="20" t="s">
        <v>682</v>
      </c>
      <c r="AO34" s="20" t="s">
        <v>905</v>
      </c>
      <c r="AP34" s="20" t="s">
        <v>628</v>
      </c>
      <c r="AQ34" s="20">
        <v>10</v>
      </c>
      <c r="AR34" s="20">
        <v>11</v>
      </c>
      <c r="AS34" s="20" t="s">
        <v>592</v>
      </c>
    </row>
    <row r="35" spans="2:45" ht="15.75" customHeight="1" x14ac:dyDescent="0.2">
      <c r="B35" s="20" t="s">
        <v>1144</v>
      </c>
      <c r="C35" s="20" t="s">
        <v>23</v>
      </c>
      <c r="D35" s="20" t="s">
        <v>545</v>
      </c>
      <c r="E35" s="20" t="s">
        <v>590</v>
      </c>
      <c r="F35" s="20" t="s">
        <v>628</v>
      </c>
      <c r="G35" s="20">
        <v>10</v>
      </c>
      <c r="H35" s="20">
        <v>10</v>
      </c>
      <c r="I35" s="20" t="s">
        <v>592</v>
      </c>
      <c r="K35" s="20" t="s">
        <v>1149</v>
      </c>
      <c r="L35" s="20" t="s">
        <v>301</v>
      </c>
      <c r="M35" s="20" t="s">
        <v>1460</v>
      </c>
      <c r="N35" s="20" t="s">
        <v>1461</v>
      </c>
      <c r="O35" s="20" t="s">
        <v>628</v>
      </c>
      <c r="P35" s="20">
        <v>10</v>
      </c>
      <c r="Q35" s="20">
        <v>4</v>
      </c>
      <c r="R35" s="20" t="s">
        <v>592</v>
      </c>
      <c r="T35" s="20" t="s">
        <v>640</v>
      </c>
      <c r="U35" s="20" t="s">
        <v>756</v>
      </c>
      <c r="V35" s="20" t="s">
        <v>1531</v>
      </c>
      <c r="W35" s="20" t="s">
        <v>1530</v>
      </c>
      <c r="X35" s="20" t="s">
        <v>835</v>
      </c>
      <c r="Y35" s="20">
        <v>5</v>
      </c>
      <c r="Z35" s="20">
        <v>5</v>
      </c>
      <c r="AA35" s="20" t="s">
        <v>592</v>
      </c>
      <c r="AC35" s="20" t="s">
        <v>1144</v>
      </c>
      <c r="AD35" s="20" t="s">
        <v>313</v>
      </c>
      <c r="AE35" s="20" t="s">
        <v>530</v>
      </c>
      <c r="AF35" s="20" t="s">
        <v>2578</v>
      </c>
      <c r="AG35" s="20" t="s">
        <v>835</v>
      </c>
      <c r="AH35" s="20">
        <v>5</v>
      </c>
      <c r="AI35" s="20">
        <v>8</v>
      </c>
      <c r="AJ35" s="20" t="s">
        <v>592</v>
      </c>
      <c r="AL35" s="20" t="s">
        <v>1155</v>
      </c>
      <c r="AM35" s="20" t="s">
        <v>657</v>
      </c>
      <c r="AN35" s="20" t="s">
        <v>481</v>
      </c>
      <c r="AO35" s="20" t="s">
        <v>878</v>
      </c>
      <c r="AP35" s="20" t="s">
        <v>628</v>
      </c>
      <c r="AQ35" s="20">
        <v>10</v>
      </c>
      <c r="AR35" s="20">
        <v>9</v>
      </c>
      <c r="AS35" s="20" t="s">
        <v>592</v>
      </c>
    </row>
    <row r="36" spans="2:45" ht="15.75" customHeight="1" x14ac:dyDescent="0.2">
      <c r="B36" s="20" t="s">
        <v>1162</v>
      </c>
      <c r="C36" s="20" t="s">
        <v>240</v>
      </c>
      <c r="D36" s="20" t="s">
        <v>416</v>
      </c>
      <c r="E36" s="20" t="s">
        <v>962</v>
      </c>
      <c r="F36" s="20" t="s">
        <v>835</v>
      </c>
      <c r="G36" s="20">
        <v>5</v>
      </c>
      <c r="H36" s="20">
        <v>3</v>
      </c>
      <c r="I36" s="20" t="s">
        <v>593</v>
      </c>
      <c r="K36" s="20" t="s">
        <v>1149</v>
      </c>
      <c r="L36" s="20" t="s">
        <v>301</v>
      </c>
      <c r="M36" s="20" t="s">
        <v>1462</v>
      </c>
      <c r="N36" s="20" t="s">
        <v>1461</v>
      </c>
      <c r="O36" s="20" t="s">
        <v>628</v>
      </c>
      <c r="P36" s="20">
        <v>10</v>
      </c>
      <c r="Q36" s="20">
        <v>5</v>
      </c>
      <c r="R36" s="20" t="s">
        <v>592</v>
      </c>
      <c r="T36" s="20" t="s">
        <v>640</v>
      </c>
      <c r="U36" s="20" t="s">
        <v>705</v>
      </c>
      <c r="V36" s="20" t="s">
        <v>1965</v>
      </c>
      <c r="W36" s="20" t="s">
        <v>2120</v>
      </c>
      <c r="X36" s="20" t="s">
        <v>835</v>
      </c>
      <c r="Y36" s="20">
        <v>5</v>
      </c>
      <c r="Z36" s="20">
        <v>6</v>
      </c>
      <c r="AA36" s="20" t="s">
        <v>592</v>
      </c>
      <c r="AC36" s="20" t="s">
        <v>1158</v>
      </c>
      <c r="AD36" s="20" t="s">
        <v>925</v>
      </c>
      <c r="AE36" s="20" t="s">
        <v>1584</v>
      </c>
      <c r="AF36" s="20" t="s">
        <v>2579</v>
      </c>
      <c r="AG36" s="20" t="s">
        <v>835</v>
      </c>
      <c r="AH36" s="20">
        <v>5</v>
      </c>
      <c r="AI36" s="20">
        <v>2</v>
      </c>
      <c r="AJ36" s="20" t="s">
        <v>593</v>
      </c>
      <c r="AL36" s="20" t="s">
        <v>1155</v>
      </c>
      <c r="AM36" s="20" t="s">
        <v>1156</v>
      </c>
      <c r="AN36" s="20" t="s">
        <v>518</v>
      </c>
      <c r="AO36" s="20" t="s">
        <v>2914</v>
      </c>
      <c r="AP36" s="20" t="s">
        <v>835</v>
      </c>
      <c r="AQ36" s="20">
        <v>5</v>
      </c>
      <c r="AR36" s="20">
        <v>6</v>
      </c>
      <c r="AS36" s="20" t="s">
        <v>592</v>
      </c>
    </row>
    <row r="37" spans="2:45" ht="15.75" customHeight="1" x14ac:dyDescent="0.2">
      <c r="B37" s="20" t="s">
        <v>1162</v>
      </c>
      <c r="C37" s="20" t="s">
        <v>240</v>
      </c>
      <c r="D37" s="20" t="s">
        <v>848</v>
      </c>
      <c r="E37" s="20" t="s">
        <v>849</v>
      </c>
      <c r="F37" s="20" t="s">
        <v>835</v>
      </c>
      <c r="G37" s="20">
        <v>5</v>
      </c>
      <c r="H37" s="20">
        <v>1</v>
      </c>
      <c r="I37" s="20" t="s">
        <v>593</v>
      </c>
      <c r="K37" s="20" t="s">
        <v>1149</v>
      </c>
      <c r="L37" s="20" t="s">
        <v>301</v>
      </c>
      <c r="M37" s="20" t="s">
        <v>1463</v>
      </c>
      <c r="N37" s="20" t="s">
        <v>1464</v>
      </c>
      <c r="O37" s="20" t="s">
        <v>628</v>
      </c>
      <c r="P37" s="20">
        <v>10</v>
      </c>
      <c r="Q37" s="20">
        <v>12</v>
      </c>
      <c r="R37" s="20" t="s">
        <v>592</v>
      </c>
      <c r="T37" s="20" t="s">
        <v>1162</v>
      </c>
      <c r="U37" s="20" t="s">
        <v>240</v>
      </c>
      <c r="V37" s="20" t="s">
        <v>416</v>
      </c>
      <c r="W37" s="20" t="s">
        <v>962</v>
      </c>
      <c r="X37" s="20" t="s">
        <v>628</v>
      </c>
      <c r="Y37" s="20">
        <v>10</v>
      </c>
      <c r="Z37" s="20">
        <v>9</v>
      </c>
      <c r="AA37" s="20" t="s">
        <v>592</v>
      </c>
      <c r="AC37" s="20" t="s">
        <v>646</v>
      </c>
      <c r="AD37" s="20" t="s">
        <v>246</v>
      </c>
      <c r="AE37" s="20" t="s">
        <v>1543</v>
      </c>
      <c r="AF37" s="20" t="s">
        <v>2580</v>
      </c>
      <c r="AG37" s="20" t="s">
        <v>835</v>
      </c>
      <c r="AH37" s="20">
        <v>5</v>
      </c>
      <c r="AI37" s="20">
        <v>6</v>
      </c>
      <c r="AJ37" s="20" t="s">
        <v>592</v>
      </c>
      <c r="AL37" s="20" t="s">
        <v>1155</v>
      </c>
      <c r="AM37" s="20" t="s">
        <v>286</v>
      </c>
      <c r="AN37" s="20" t="s">
        <v>2782</v>
      </c>
      <c r="AO37" s="20" t="s">
        <v>2912</v>
      </c>
      <c r="AP37" s="20" t="s">
        <v>628</v>
      </c>
      <c r="AQ37" s="20">
        <v>10</v>
      </c>
      <c r="AR37" s="20">
        <v>15</v>
      </c>
      <c r="AS37" s="20" t="s">
        <v>592</v>
      </c>
    </row>
    <row r="38" spans="2:45" ht="15.75" customHeight="1" x14ac:dyDescent="0.2">
      <c r="B38" s="20" t="s">
        <v>1147</v>
      </c>
      <c r="C38" s="20" t="s">
        <v>699</v>
      </c>
      <c r="D38" s="20" t="s">
        <v>447</v>
      </c>
      <c r="E38" s="20" t="s">
        <v>1201</v>
      </c>
      <c r="F38" s="20" t="s">
        <v>628</v>
      </c>
      <c r="G38" s="20">
        <v>10</v>
      </c>
      <c r="H38" s="20">
        <v>4</v>
      </c>
      <c r="I38" s="20" t="s">
        <v>592</v>
      </c>
      <c r="K38" s="20" t="s">
        <v>1149</v>
      </c>
      <c r="L38" s="20" t="s">
        <v>301</v>
      </c>
      <c r="M38" s="20" t="s">
        <v>1198</v>
      </c>
      <c r="N38" s="20" t="s">
        <v>501</v>
      </c>
      <c r="O38" s="20" t="s">
        <v>628</v>
      </c>
      <c r="P38" s="20">
        <v>10</v>
      </c>
      <c r="Q38" s="20">
        <v>1</v>
      </c>
      <c r="R38" s="20" t="s">
        <v>592</v>
      </c>
      <c r="T38" s="20" t="s">
        <v>1141</v>
      </c>
      <c r="U38" s="20" t="s">
        <v>218</v>
      </c>
      <c r="V38" s="20" t="s">
        <v>494</v>
      </c>
      <c r="W38" s="20" t="s">
        <v>1677</v>
      </c>
      <c r="X38" s="20" t="s">
        <v>628</v>
      </c>
      <c r="Y38" s="20">
        <v>10</v>
      </c>
      <c r="Z38" s="20">
        <v>10</v>
      </c>
      <c r="AA38" s="20" t="s">
        <v>592</v>
      </c>
      <c r="AC38" s="20" t="s">
        <v>640</v>
      </c>
      <c r="AD38" s="20" t="s">
        <v>756</v>
      </c>
      <c r="AE38" s="20" t="s">
        <v>1531</v>
      </c>
      <c r="AF38" s="20" t="s">
        <v>1530</v>
      </c>
      <c r="AG38" s="20" t="s">
        <v>835</v>
      </c>
      <c r="AH38" s="20">
        <v>5</v>
      </c>
      <c r="AI38" s="20">
        <v>5</v>
      </c>
      <c r="AJ38" s="20" t="s">
        <v>592</v>
      </c>
      <c r="AL38" s="20" t="s">
        <v>1155</v>
      </c>
      <c r="AM38" s="20" t="s">
        <v>1156</v>
      </c>
      <c r="AN38" s="20" t="s">
        <v>517</v>
      </c>
      <c r="AO38" s="20" t="s">
        <v>2909</v>
      </c>
      <c r="AP38" s="20" t="s">
        <v>628</v>
      </c>
      <c r="AQ38" s="20">
        <v>10</v>
      </c>
      <c r="AR38" s="20">
        <v>8</v>
      </c>
      <c r="AS38" s="20" t="s">
        <v>592</v>
      </c>
    </row>
    <row r="39" spans="2:45" ht="15.75" customHeight="1" x14ac:dyDescent="0.2">
      <c r="B39" s="20" t="s">
        <v>1147</v>
      </c>
      <c r="C39" s="20" t="s">
        <v>699</v>
      </c>
      <c r="D39" s="20" t="s">
        <v>447</v>
      </c>
      <c r="E39" s="20" t="s">
        <v>1202</v>
      </c>
      <c r="F39" s="20" t="s">
        <v>628</v>
      </c>
      <c r="G39" s="20">
        <v>10</v>
      </c>
      <c r="H39" s="20">
        <v>4</v>
      </c>
      <c r="I39" s="20" t="s">
        <v>592</v>
      </c>
      <c r="K39" s="20" t="s">
        <v>1149</v>
      </c>
      <c r="L39" s="20" t="s">
        <v>301</v>
      </c>
      <c r="M39" s="20" t="s">
        <v>1197</v>
      </c>
      <c r="N39" s="20" t="s">
        <v>501</v>
      </c>
      <c r="O39" s="20" t="s">
        <v>628</v>
      </c>
      <c r="P39" s="20">
        <v>10</v>
      </c>
      <c r="Q39" s="20">
        <v>8</v>
      </c>
      <c r="R39" s="20" t="s">
        <v>592</v>
      </c>
      <c r="T39" s="20" t="s">
        <v>646</v>
      </c>
      <c r="U39" s="20" t="s">
        <v>246</v>
      </c>
      <c r="V39" s="20" t="s">
        <v>1543</v>
      </c>
      <c r="W39" s="20" t="s">
        <v>1542</v>
      </c>
      <c r="X39" s="20" t="s">
        <v>835</v>
      </c>
      <c r="Y39" s="20">
        <v>5</v>
      </c>
      <c r="Z39" s="20">
        <v>5</v>
      </c>
      <c r="AA39" s="20" t="s">
        <v>592</v>
      </c>
      <c r="AC39" s="20" t="s">
        <v>640</v>
      </c>
      <c r="AD39" s="20" t="s">
        <v>31</v>
      </c>
      <c r="AE39" s="20" t="s">
        <v>393</v>
      </c>
      <c r="AF39" s="20" t="s">
        <v>1756</v>
      </c>
      <c r="AG39" s="20" t="s">
        <v>835</v>
      </c>
      <c r="AH39" s="20">
        <v>5</v>
      </c>
      <c r="AI39" s="20">
        <v>5</v>
      </c>
      <c r="AJ39" s="20" t="s">
        <v>592</v>
      </c>
      <c r="AL39" s="20" t="s">
        <v>1155</v>
      </c>
      <c r="AM39" s="20" t="s">
        <v>1156</v>
      </c>
      <c r="AN39" s="20" t="s">
        <v>2475</v>
      </c>
      <c r="AO39" s="20" t="s">
        <v>2225</v>
      </c>
      <c r="AP39" s="20" t="s">
        <v>835</v>
      </c>
      <c r="AQ39" s="20">
        <v>5</v>
      </c>
      <c r="AR39" s="20">
        <v>5</v>
      </c>
      <c r="AS39" s="20" t="s">
        <v>592</v>
      </c>
    </row>
    <row r="40" spans="2:45" ht="15.75" customHeight="1" x14ac:dyDescent="0.2">
      <c r="B40" s="20" t="s">
        <v>1163</v>
      </c>
      <c r="C40" s="20" t="s">
        <v>207</v>
      </c>
      <c r="D40" s="20" t="s">
        <v>363</v>
      </c>
      <c r="E40" s="20" t="s">
        <v>904</v>
      </c>
      <c r="F40" s="20" t="s">
        <v>628</v>
      </c>
      <c r="G40" s="20">
        <v>10</v>
      </c>
      <c r="H40" s="20">
        <v>7</v>
      </c>
      <c r="I40" s="20" t="s">
        <v>592</v>
      </c>
      <c r="K40" s="20" t="s">
        <v>1162</v>
      </c>
      <c r="L40" s="20" t="s">
        <v>240</v>
      </c>
      <c r="M40" s="20" t="s">
        <v>887</v>
      </c>
      <c r="N40" s="20" t="s">
        <v>848</v>
      </c>
      <c r="O40" s="20" t="s">
        <v>835</v>
      </c>
      <c r="P40" s="20">
        <v>5</v>
      </c>
      <c r="Q40" s="20">
        <v>4</v>
      </c>
      <c r="R40" s="20" t="s">
        <v>592</v>
      </c>
      <c r="T40" s="20" t="s">
        <v>1162</v>
      </c>
      <c r="U40" s="20" t="s">
        <v>230</v>
      </c>
      <c r="V40" s="20" t="s">
        <v>610</v>
      </c>
      <c r="W40" s="20" t="s">
        <v>1976</v>
      </c>
      <c r="X40" s="20" t="s">
        <v>835</v>
      </c>
      <c r="Y40" s="20">
        <v>5</v>
      </c>
      <c r="Z40" s="20">
        <v>2</v>
      </c>
      <c r="AA40" s="20" t="s">
        <v>593</v>
      </c>
      <c r="AC40" s="20" t="s">
        <v>2099</v>
      </c>
      <c r="AD40" s="20" t="s">
        <v>2103</v>
      </c>
      <c r="AE40" s="20" t="s">
        <v>2533</v>
      </c>
      <c r="AF40" s="20" t="s">
        <v>2581</v>
      </c>
      <c r="AG40" s="20" t="s">
        <v>2514</v>
      </c>
      <c r="AH40" s="20">
        <v>3</v>
      </c>
      <c r="AI40" s="20">
        <v>4</v>
      </c>
      <c r="AJ40" s="20" t="s">
        <v>592</v>
      </c>
      <c r="AL40" s="20" t="s">
        <v>1154</v>
      </c>
      <c r="AM40" s="20" t="s">
        <v>307</v>
      </c>
      <c r="AN40" s="20" t="s">
        <v>2485</v>
      </c>
      <c r="AO40" s="20" t="s">
        <v>2280</v>
      </c>
      <c r="AP40" s="20" t="s">
        <v>628</v>
      </c>
      <c r="AQ40" s="20">
        <v>10</v>
      </c>
      <c r="AR40" s="20">
        <v>4</v>
      </c>
      <c r="AS40" s="20" t="s">
        <v>593</v>
      </c>
    </row>
    <row r="41" spans="2:45" ht="15.75" customHeight="1" x14ac:dyDescent="0.2">
      <c r="B41" s="20" t="s">
        <v>1163</v>
      </c>
      <c r="C41" s="20" t="s">
        <v>207</v>
      </c>
      <c r="D41" s="20" t="s">
        <v>363</v>
      </c>
      <c r="E41" s="20" t="s">
        <v>1203</v>
      </c>
      <c r="F41" s="20" t="s">
        <v>628</v>
      </c>
      <c r="G41" s="20">
        <v>10</v>
      </c>
      <c r="H41" s="20">
        <v>1</v>
      </c>
      <c r="I41" s="20" t="s">
        <v>592</v>
      </c>
      <c r="K41" s="20" t="s">
        <v>1162</v>
      </c>
      <c r="L41" s="20" t="s">
        <v>240</v>
      </c>
      <c r="M41" s="20" t="s">
        <v>1465</v>
      </c>
      <c r="N41" s="20" t="s">
        <v>848</v>
      </c>
      <c r="O41" s="20" t="s">
        <v>835</v>
      </c>
      <c r="P41" s="20">
        <v>5</v>
      </c>
      <c r="Q41" s="20">
        <v>1</v>
      </c>
      <c r="R41" s="20" t="s">
        <v>592</v>
      </c>
      <c r="T41" s="20" t="s">
        <v>1163</v>
      </c>
      <c r="U41" s="20" t="s">
        <v>837</v>
      </c>
      <c r="V41" s="20" t="s">
        <v>358</v>
      </c>
      <c r="W41" s="20" t="s">
        <v>2001</v>
      </c>
      <c r="X41" s="20" t="s">
        <v>628</v>
      </c>
      <c r="Y41" s="20">
        <v>10</v>
      </c>
      <c r="Z41" s="20">
        <v>12</v>
      </c>
      <c r="AA41" s="20" t="s">
        <v>592</v>
      </c>
      <c r="AC41" s="20" t="s">
        <v>1161</v>
      </c>
      <c r="AD41" s="20" t="s">
        <v>1432</v>
      </c>
      <c r="AE41" s="20" t="s">
        <v>2471</v>
      </c>
      <c r="AF41" s="20" t="s">
        <v>2582</v>
      </c>
      <c r="AG41" s="20" t="s">
        <v>835</v>
      </c>
      <c r="AH41" s="20">
        <v>5</v>
      </c>
      <c r="AI41" s="20">
        <v>5</v>
      </c>
      <c r="AJ41" s="20" t="s">
        <v>592</v>
      </c>
      <c r="AL41" s="20" t="s">
        <v>1154</v>
      </c>
      <c r="AM41" s="20" t="s">
        <v>307</v>
      </c>
      <c r="AN41" s="20" t="s">
        <v>2489</v>
      </c>
      <c r="AO41" s="20" t="s">
        <v>2291</v>
      </c>
      <c r="AP41" s="20" t="s">
        <v>628</v>
      </c>
      <c r="AQ41" s="20">
        <v>10</v>
      </c>
      <c r="AR41" s="20">
        <v>21</v>
      </c>
      <c r="AS41" s="20" t="s">
        <v>592</v>
      </c>
    </row>
    <row r="42" spans="2:45" ht="15.75" customHeight="1" x14ac:dyDescent="0.2">
      <c r="B42" s="20" t="s">
        <v>646</v>
      </c>
      <c r="C42" s="20" t="s">
        <v>246</v>
      </c>
      <c r="D42" s="20" t="s">
        <v>523</v>
      </c>
      <c r="E42" s="20" t="s">
        <v>903</v>
      </c>
      <c r="F42" s="20" t="s">
        <v>628</v>
      </c>
      <c r="G42" s="20">
        <v>10</v>
      </c>
      <c r="H42" s="20">
        <v>9</v>
      </c>
      <c r="I42" s="20" t="s">
        <v>592</v>
      </c>
      <c r="K42" s="20" t="s">
        <v>1141</v>
      </c>
      <c r="L42" s="20" t="s">
        <v>218</v>
      </c>
      <c r="M42" s="20" t="s">
        <v>1466</v>
      </c>
      <c r="N42" s="20" t="s">
        <v>1467</v>
      </c>
      <c r="O42" s="20" t="s">
        <v>835</v>
      </c>
      <c r="P42" s="20">
        <v>5</v>
      </c>
      <c r="Q42" s="20">
        <v>5</v>
      </c>
      <c r="R42" s="20" t="s">
        <v>592</v>
      </c>
      <c r="T42" s="20" t="s">
        <v>2099</v>
      </c>
      <c r="U42" s="20" t="s">
        <v>350</v>
      </c>
      <c r="V42" s="20" t="s">
        <v>2456</v>
      </c>
      <c r="W42" s="20" t="s">
        <v>2121</v>
      </c>
      <c r="X42" s="20" t="s">
        <v>835</v>
      </c>
      <c r="Y42" s="20">
        <v>5</v>
      </c>
      <c r="Z42" s="20">
        <v>6</v>
      </c>
      <c r="AA42" s="20" t="s">
        <v>592</v>
      </c>
      <c r="AC42" s="20" t="s">
        <v>1161</v>
      </c>
      <c r="AD42" s="20" t="s">
        <v>1432</v>
      </c>
      <c r="AE42" s="20" t="s">
        <v>464</v>
      </c>
      <c r="AF42" s="20" t="s">
        <v>2330</v>
      </c>
      <c r="AG42" s="20" t="s">
        <v>835</v>
      </c>
      <c r="AH42" s="20">
        <v>5</v>
      </c>
      <c r="AI42" s="20">
        <v>5</v>
      </c>
      <c r="AJ42" s="20" t="s">
        <v>592</v>
      </c>
      <c r="AL42" s="20" t="s">
        <v>1154</v>
      </c>
      <c r="AM42" s="20" t="s">
        <v>307</v>
      </c>
      <c r="AN42" s="20" t="s">
        <v>567</v>
      </c>
      <c r="AO42" s="20" t="s">
        <v>865</v>
      </c>
      <c r="AP42" s="20" t="s">
        <v>628</v>
      </c>
      <c r="AQ42" s="20">
        <v>10</v>
      </c>
      <c r="AR42" s="20">
        <v>40</v>
      </c>
      <c r="AS42" s="20" t="s">
        <v>592</v>
      </c>
    </row>
    <row r="43" spans="2:45" ht="15.75" customHeight="1" x14ac:dyDescent="0.2">
      <c r="B43" s="20" t="s">
        <v>646</v>
      </c>
      <c r="C43" s="20" t="s">
        <v>303</v>
      </c>
      <c r="D43" s="20" t="s">
        <v>428</v>
      </c>
      <c r="E43" s="20" t="s">
        <v>890</v>
      </c>
      <c r="F43" s="20" t="s">
        <v>835</v>
      </c>
      <c r="G43" s="20">
        <v>5</v>
      </c>
      <c r="H43" s="20">
        <v>5</v>
      </c>
      <c r="I43" s="20" t="s">
        <v>592</v>
      </c>
      <c r="K43" s="20" t="s">
        <v>1162</v>
      </c>
      <c r="L43" s="20" t="s">
        <v>352</v>
      </c>
      <c r="M43" s="20" t="s">
        <v>1468</v>
      </c>
      <c r="N43" s="20" t="s">
        <v>1469</v>
      </c>
      <c r="O43" s="20" t="s">
        <v>628</v>
      </c>
      <c r="P43" s="20">
        <v>10</v>
      </c>
      <c r="Q43" s="20">
        <v>9</v>
      </c>
      <c r="R43" s="20" t="s">
        <v>592</v>
      </c>
      <c r="T43" s="20" t="s">
        <v>1147</v>
      </c>
      <c r="U43" s="20" t="s">
        <v>222</v>
      </c>
      <c r="V43" s="20" t="s">
        <v>1859</v>
      </c>
      <c r="W43" s="20" t="s">
        <v>2122</v>
      </c>
      <c r="X43" s="20" t="s">
        <v>628</v>
      </c>
      <c r="Y43" s="20">
        <v>10</v>
      </c>
      <c r="Z43" s="20">
        <v>8</v>
      </c>
      <c r="AA43" s="20" t="s">
        <v>592</v>
      </c>
      <c r="AC43" s="20" t="s">
        <v>1144</v>
      </c>
      <c r="AD43" s="20" t="s">
        <v>194</v>
      </c>
      <c r="AE43" s="20" t="s">
        <v>1849</v>
      </c>
      <c r="AF43" s="20" t="s">
        <v>1848</v>
      </c>
      <c r="AG43" s="20" t="s">
        <v>628</v>
      </c>
      <c r="AH43" s="20">
        <v>10</v>
      </c>
      <c r="AI43" s="20">
        <v>7</v>
      </c>
      <c r="AJ43" s="20" t="s">
        <v>592</v>
      </c>
      <c r="AL43" s="20" t="s">
        <v>1154</v>
      </c>
      <c r="AM43" s="20" t="s">
        <v>307</v>
      </c>
      <c r="AN43" s="20" t="s">
        <v>515</v>
      </c>
      <c r="AO43" s="20" t="s">
        <v>1004</v>
      </c>
      <c r="AP43" s="20" t="s">
        <v>628</v>
      </c>
      <c r="AQ43" s="20">
        <v>10</v>
      </c>
      <c r="AR43" s="20">
        <v>32</v>
      </c>
      <c r="AS43" s="20" t="s">
        <v>592</v>
      </c>
    </row>
    <row r="44" spans="2:45" ht="15.75" customHeight="1" x14ac:dyDescent="0.2">
      <c r="B44" s="20" t="s">
        <v>1141</v>
      </c>
      <c r="C44" s="20" t="s">
        <v>218</v>
      </c>
      <c r="D44" s="20" t="s">
        <v>377</v>
      </c>
      <c r="E44" s="20" t="s">
        <v>1090</v>
      </c>
      <c r="F44" s="20" t="s">
        <v>628</v>
      </c>
      <c r="G44" s="20">
        <v>10</v>
      </c>
      <c r="H44" s="20">
        <v>1</v>
      </c>
      <c r="I44" s="20" t="s">
        <v>592</v>
      </c>
      <c r="K44" s="20" t="s">
        <v>646</v>
      </c>
      <c r="L44" s="20" t="s">
        <v>334</v>
      </c>
      <c r="M44" s="20" t="s">
        <v>1470</v>
      </c>
      <c r="N44" s="20" t="s">
        <v>486</v>
      </c>
      <c r="O44" s="20" t="s">
        <v>835</v>
      </c>
      <c r="P44" s="20">
        <v>5</v>
      </c>
      <c r="Q44" s="20">
        <v>5</v>
      </c>
      <c r="R44" s="20" t="s">
        <v>592</v>
      </c>
      <c r="T44" s="20" t="s">
        <v>640</v>
      </c>
      <c r="U44" s="20" t="s">
        <v>248</v>
      </c>
      <c r="V44" s="20" t="s">
        <v>1963</v>
      </c>
      <c r="W44" s="20" t="s">
        <v>1962</v>
      </c>
      <c r="X44" s="20" t="s">
        <v>835</v>
      </c>
      <c r="Y44" s="20">
        <v>5</v>
      </c>
      <c r="Z44" s="20">
        <v>5</v>
      </c>
      <c r="AA44" s="20" t="s">
        <v>592</v>
      </c>
      <c r="AC44" s="20" t="s">
        <v>1144</v>
      </c>
      <c r="AD44" s="20" t="s">
        <v>194</v>
      </c>
      <c r="AE44" s="20" t="s">
        <v>1849</v>
      </c>
      <c r="AF44" s="20" t="s">
        <v>1850</v>
      </c>
      <c r="AG44" s="20" t="s">
        <v>628</v>
      </c>
      <c r="AH44" s="20">
        <v>10</v>
      </c>
      <c r="AI44" s="20">
        <v>1</v>
      </c>
      <c r="AJ44" s="20" t="s">
        <v>592</v>
      </c>
      <c r="AL44" s="20" t="s">
        <v>1154</v>
      </c>
      <c r="AM44" s="20" t="s">
        <v>307</v>
      </c>
      <c r="AN44" s="20" t="s">
        <v>2540</v>
      </c>
      <c r="AO44" s="20" t="s">
        <v>2626</v>
      </c>
      <c r="AP44" s="20" t="s">
        <v>835</v>
      </c>
      <c r="AQ44" s="20">
        <v>5</v>
      </c>
      <c r="AR44" s="20">
        <v>3</v>
      </c>
      <c r="AS44" s="20" t="s">
        <v>593</v>
      </c>
    </row>
    <row r="45" spans="2:45" ht="15.75" customHeight="1" x14ac:dyDescent="0.2">
      <c r="B45" s="20" t="s">
        <v>1141</v>
      </c>
      <c r="C45" s="20" t="s">
        <v>218</v>
      </c>
      <c r="D45" s="20" t="s">
        <v>377</v>
      </c>
      <c r="E45" s="20" t="s">
        <v>1058</v>
      </c>
      <c r="F45" s="20" t="s">
        <v>628</v>
      </c>
      <c r="G45" s="20">
        <v>10</v>
      </c>
      <c r="H45" s="20">
        <v>7</v>
      </c>
      <c r="I45" s="20" t="s">
        <v>592</v>
      </c>
      <c r="K45" s="20" t="s">
        <v>1144</v>
      </c>
      <c r="L45" s="20" t="s">
        <v>707</v>
      </c>
      <c r="M45" s="20" t="s">
        <v>1471</v>
      </c>
      <c r="N45" s="20" t="s">
        <v>490</v>
      </c>
      <c r="O45" s="20" t="s">
        <v>628</v>
      </c>
      <c r="P45" s="20">
        <v>10</v>
      </c>
      <c r="Q45" s="20">
        <v>9</v>
      </c>
      <c r="R45" s="20" t="s">
        <v>592</v>
      </c>
      <c r="T45" s="20" t="s">
        <v>1144</v>
      </c>
      <c r="U45" s="20" t="s">
        <v>707</v>
      </c>
      <c r="V45" s="20" t="s">
        <v>490</v>
      </c>
      <c r="W45" s="20" t="s">
        <v>984</v>
      </c>
      <c r="X45" s="20" t="s">
        <v>628</v>
      </c>
      <c r="Y45" s="20">
        <v>10</v>
      </c>
      <c r="Z45" s="20">
        <v>8</v>
      </c>
      <c r="AA45" s="20" t="s">
        <v>592</v>
      </c>
      <c r="AC45" s="20" t="s">
        <v>646</v>
      </c>
      <c r="AD45" s="20" t="s">
        <v>334</v>
      </c>
      <c r="AE45" s="20" t="s">
        <v>507</v>
      </c>
      <c r="AF45" s="20" t="s">
        <v>1938</v>
      </c>
      <c r="AG45" s="20" t="s">
        <v>835</v>
      </c>
      <c r="AH45" s="20">
        <v>5</v>
      </c>
      <c r="AI45" s="20">
        <v>6</v>
      </c>
      <c r="AJ45" s="20" t="s">
        <v>592</v>
      </c>
      <c r="AL45" s="20" t="s">
        <v>1154</v>
      </c>
      <c r="AM45" s="20" t="s">
        <v>307</v>
      </c>
      <c r="AN45" s="20" t="s">
        <v>549</v>
      </c>
      <c r="AO45" s="20" t="s">
        <v>1335</v>
      </c>
      <c r="AP45" s="20" t="s">
        <v>628</v>
      </c>
      <c r="AQ45" s="20">
        <v>10</v>
      </c>
      <c r="AR45" s="20">
        <v>11</v>
      </c>
      <c r="AS45" s="20" t="s">
        <v>592</v>
      </c>
    </row>
    <row r="46" spans="2:45" ht="15.75" customHeight="1" x14ac:dyDescent="0.2">
      <c r="B46" s="20" t="s">
        <v>1147</v>
      </c>
      <c r="C46" s="20" t="s">
        <v>222</v>
      </c>
      <c r="D46" s="20" t="s">
        <v>553</v>
      </c>
      <c r="E46" s="20" t="s">
        <v>1204</v>
      </c>
      <c r="F46" s="20" t="s">
        <v>628</v>
      </c>
      <c r="G46" s="20">
        <v>10</v>
      </c>
      <c r="H46" s="20">
        <v>2</v>
      </c>
      <c r="I46" s="20" t="s">
        <v>592</v>
      </c>
      <c r="K46" s="20" t="s">
        <v>646</v>
      </c>
      <c r="L46" s="20" t="s">
        <v>25</v>
      </c>
      <c r="M46" s="20" t="s">
        <v>1305</v>
      </c>
      <c r="N46" s="20" t="s">
        <v>372</v>
      </c>
      <c r="O46" s="20" t="s">
        <v>835</v>
      </c>
      <c r="P46" s="20">
        <v>5</v>
      </c>
      <c r="Q46" s="20">
        <v>8</v>
      </c>
      <c r="R46" s="20" t="s">
        <v>592</v>
      </c>
      <c r="T46" s="20" t="s">
        <v>1144</v>
      </c>
      <c r="U46" s="20" t="s">
        <v>249</v>
      </c>
      <c r="V46" s="20" t="s">
        <v>562</v>
      </c>
      <c r="W46" s="20" t="s">
        <v>1994</v>
      </c>
      <c r="X46" s="20" t="s">
        <v>835</v>
      </c>
      <c r="Y46" s="20">
        <v>5</v>
      </c>
      <c r="Z46" s="20">
        <v>10</v>
      </c>
      <c r="AA46" s="20" t="s">
        <v>592</v>
      </c>
      <c r="AC46" s="20" t="s">
        <v>646</v>
      </c>
      <c r="AD46" s="20" t="s">
        <v>1109</v>
      </c>
      <c r="AE46" s="20" t="s">
        <v>375</v>
      </c>
      <c r="AF46" s="20" t="s">
        <v>1311</v>
      </c>
      <c r="AG46" s="20" t="s">
        <v>835</v>
      </c>
      <c r="AH46" s="20">
        <v>5</v>
      </c>
      <c r="AI46" s="20">
        <v>2</v>
      </c>
      <c r="AJ46" s="20" t="s">
        <v>593</v>
      </c>
      <c r="AL46" s="20" t="s">
        <v>1154</v>
      </c>
      <c r="AM46" s="20" t="s">
        <v>307</v>
      </c>
      <c r="AN46" s="20" t="s">
        <v>514</v>
      </c>
      <c r="AO46" s="20" t="s">
        <v>2281</v>
      </c>
      <c r="AP46" s="20" t="s">
        <v>628</v>
      </c>
      <c r="AQ46" s="20">
        <v>10</v>
      </c>
      <c r="AR46" s="20">
        <v>9</v>
      </c>
      <c r="AS46" s="20" t="s">
        <v>592</v>
      </c>
    </row>
    <row r="47" spans="2:45" ht="15.75" customHeight="1" x14ac:dyDescent="0.2">
      <c r="B47" s="20" t="s">
        <v>1147</v>
      </c>
      <c r="C47" s="20" t="s">
        <v>222</v>
      </c>
      <c r="D47" s="20" t="s">
        <v>553</v>
      </c>
      <c r="E47" s="20" t="s">
        <v>1205</v>
      </c>
      <c r="F47" s="20" t="s">
        <v>628</v>
      </c>
      <c r="G47" s="20">
        <v>10</v>
      </c>
      <c r="H47" s="20">
        <v>6</v>
      </c>
      <c r="I47" s="20" t="s">
        <v>592</v>
      </c>
      <c r="K47" s="20" t="s">
        <v>1147</v>
      </c>
      <c r="L47" s="20" t="s">
        <v>70</v>
      </c>
      <c r="M47" s="20" t="s">
        <v>1472</v>
      </c>
      <c r="N47" s="20" t="s">
        <v>1473</v>
      </c>
      <c r="O47" s="20" t="s">
        <v>835</v>
      </c>
      <c r="P47" s="20">
        <v>5</v>
      </c>
      <c r="Q47" s="20">
        <v>5</v>
      </c>
      <c r="R47" s="20" t="s">
        <v>592</v>
      </c>
      <c r="T47" s="20" t="s">
        <v>1147</v>
      </c>
      <c r="U47" s="20" t="s">
        <v>225</v>
      </c>
      <c r="V47" s="20" t="s">
        <v>383</v>
      </c>
      <c r="W47" s="20" t="s">
        <v>2123</v>
      </c>
      <c r="X47" s="20" t="s">
        <v>835</v>
      </c>
      <c r="Y47" s="20">
        <v>5</v>
      </c>
      <c r="Z47" s="20">
        <v>5</v>
      </c>
      <c r="AA47" s="20" t="s">
        <v>592</v>
      </c>
      <c r="AC47" s="20" t="s">
        <v>1163</v>
      </c>
      <c r="AD47" s="20" t="s">
        <v>1165</v>
      </c>
      <c r="AE47" s="20" t="s">
        <v>504</v>
      </c>
      <c r="AF47" s="20" t="s">
        <v>1262</v>
      </c>
      <c r="AG47" s="20" t="s">
        <v>835</v>
      </c>
      <c r="AH47" s="20">
        <v>5</v>
      </c>
      <c r="AI47" s="20">
        <v>5</v>
      </c>
      <c r="AJ47" s="20" t="s">
        <v>592</v>
      </c>
      <c r="AL47" s="20" t="s">
        <v>1154</v>
      </c>
      <c r="AM47" s="20" t="s">
        <v>307</v>
      </c>
      <c r="AN47" s="20" t="s">
        <v>1574</v>
      </c>
      <c r="AO47" s="20" t="s">
        <v>1573</v>
      </c>
      <c r="AP47" s="20" t="s">
        <v>628</v>
      </c>
      <c r="AQ47" s="20">
        <v>10</v>
      </c>
      <c r="AR47" s="20">
        <v>2</v>
      </c>
      <c r="AS47" s="20" t="s">
        <v>593</v>
      </c>
    </row>
    <row r="48" spans="2:45" ht="15.75" customHeight="1" x14ac:dyDescent="0.2">
      <c r="B48" s="20" t="s">
        <v>1158</v>
      </c>
      <c r="C48" s="20" t="s">
        <v>1073</v>
      </c>
      <c r="D48" s="20" t="s">
        <v>709</v>
      </c>
      <c r="E48" s="20" t="s">
        <v>1206</v>
      </c>
      <c r="F48" s="20" t="s">
        <v>835</v>
      </c>
      <c r="G48" s="20">
        <v>5</v>
      </c>
      <c r="H48" s="20">
        <v>6</v>
      </c>
      <c r="I48" s="20" t="s">
        <v>592</v>
      </c>
      <c r="K48" s="20" t="s">
        <v>640</v>
      </c>
      <c r="L48" s="20" t="s">
        <v>705</v>
      </c>
      <c r="M48" s="20" t="s">
        <v>1474</v>
      </c>
      <c r="N48" s="20" t="s">
        <v>1475</v>
      </c>
      <c r="O48" s="20" t="s">
        <v>835</v>
      </c>
      <c r="P48" s="20">
        <v>5</v>
      </c>
      <c r="Q48" s="20">
        <v>5</v>
      </c>
      <c r="R48" s="20" t="s">
        <v>592</v>
      </c>
      <c r="T48" s="20" t="s">
        <v>1147</v>
      </c>
      <c r="U48" s="20" t="s">
        <v>20</v>
      </c>
      <c r="V48" s="20" t="s">
        <v>452</v>
      </c>
      <c r="W48" s="20" t="s">
        <v>1293</v>
      </c>
      <c r="X48" s="20" t="s">
        <v>628</v>
      </c>
      <c r="Y48" s="20">
        <v>10</v>
      </c>
      <c r="Z48" s="20">
        <v>9</v>
      </c>
      <c r="AA48" s="20" t="s">
        <v>592</v>
      </c>
      <c r="AC48" s="20" t="s">
        <v>1147</v>
      </c>
      <c r="AD48" s="20" t="s">
        <v>222</v>
      </c>
      <c r="AE48" s="20" t="s">
        <v>2482</v>
      </c>
      <c r="AF48" s="20" t="s">
        <v>2259</v>
      </c>
      <c r="AG48" s="20" t="s">
        <v>835</v>
      </c>
      <c r="AH48" s="20">
        <v>5</v>
      </c>
      <c r="AI48" s="20">
        <v>5</v>
      </c>
      <c r="AJ48" s="20" t="s">
        <v>592</v>
      </c>
      <c r="AL48" s="20" t="s">
        <v>1154</v>
      </c>
      <c r="AM48" s="20" t="s">
        <v>307</v>
      </c>
      <c r="AN48" s="20" t="s">
        <v>514</v>
      </c>
      <c r="AO48" s="20" t="s">
        <v>2915</v>
      </c>
      <c r="AP48" s="20" t="s">
        <v>628</v>
      </c>
      <c r="AQ48" s="20">
        <v>10</v>
      </c>
      <c r="AR48" s="20">
        <v>1</v>
      </c>
      <c r="AS48" s="20" t="s">
        <v>592</v>
      </c>
    </row>
    <row r="49" spans="2:45" ht="15.75" customHeight="1" x14ac:dyDescent="0.2">
      <c r="B49" s="20" t="s">
        <v>1144</v>
      </c>
      <c r="C49" s="20" t="s">
        <v>249</v>
      </c>
      <c r="D49" s="20" t="s">
        <v>491</v>
      </c>
      <c r="E49" s="20" t="s">
        <v>1207</v>
      </c>
      <c r="F49" s="20" t="s">
        <v>628</v>
      </c>
      <c r="G49" s="20">
        <v>10</v>
      </c>
      <c r="H49" s="20">
        <v>12</v>
      </c>
      <c r="I49" s="20" t="s">
        <v>592</v>
      </c>
      <c r="K49" s="20" t="s">
        <v>640</v>
      </c>
      <c r="L49" s="20" t="s">
        <v>705</v>
      </c>
      <c r="M49" s="20" t="s">
        <v>1476</v>
      </c>
      <c r="N49" s="20" t="s">
        <v>1475</v>
      </c>
      <c r="O49" s="20" t="s">
        <v>835</v>
      </c>
      <c r="P49" s="20">
        <v>5</v>
      </c>
      <c r="Q49" s="20">
        <v>1</v>
      </c>
      <c r="R49" s="20" t="s">
        <v>592</v>
      </c>
      <c r="T49" s="20" t="s">
        <v>1147</v>
      </c>
      <c r="U49" s="20" t="s">
        <v>225</v>
      </c>
      <c r="V49" s="20" t="s">
        <v>382</v>
      </c>
      <c r="W49" s="20" t="s">
        <v>1532</v>
      </c>
      <c r="X49" s="20" t="s">
        <v>628</v>
      </c>
      <c r="Y49" s="20">
        <v>10</v>
      </c>
      <c r="Z49" s="20">
        <v>8</v>
      </c>
      <c r="AA49" s="20" t="s">
        <v>592</v>
      </c>
      <c r="AC49" s="20" t="s">
        <v>1158</v>
      </c>
      <c r="AD49" s="20" t="s">
        <v>72</v>
      </c>
      <c r="AE49" s="20" t="s">
        <v>1728</v>
      </c>
      <c r="AF49" s="20" t="s">
        <v>2197</v>
      </c>
      <c r="AG49" s="20" t="s">
        <v>835</v>
      </c>
      <c r="AH49" s="20">
        <v>5</v>
      </c>
      <c r="AI49" s="20">
        <v>6</v>
      </c>
      <c r="AJ49" s="20" t="s">
        <v>592</v>
      </c>
      <c r="AL49" s="20" t="s">
        <v>1154</v>
      </c>
      <c r="AM49" s="20" t="s">
        <v>307</v>
      </c>
      <c r="AN49" s="20" t="s">
        <v>565</v>
      </c>
      <c r="AO49" s="20" t="s">
        <v>2133</v>
      </c>
      <c r="AP49" s="20" t="s">
        <v>628</v>
      </c>
      <c r="AQ49" s="20">
        <v>10</v>
      </c>
      <c r="AR49" s="20">
        <v>23</v>
      </c>
      <c r="AS49" s="20" t="s">
        <v>592</v>
      </c>
    </row>
    <row r="50" spans="2:45" ht="15.75" customHeight="1" x14ac:dyDescent="0.2">
      <c r="B50" s="20" t="s">
        <v>1144</v>
      </c>
      <c r="C50" s="20" t="s">
        <v>23</v>
      </c>
      <c r="D50" s="20" t="s">
        <v>558</v>
      </c>
      <c r="E50" s="20" t="s">
        <v>1117</v>
      </c>
      <c r="F50" s="20" t="s">
        <v>628</v>
      </c>
      <c r="G50" s="20">
        <v>10</v>
      </c>
      <c r="H50" s="20">
        <v>10</v>
      </c>
      <c r="I50" s="20" t="s">
        <v>592</v>
      </c>
      <c r="K50" s="20" t="s">
        <v>1154</v>
      </c>
      <c r="L50" s="20" t="s">
        <v>217</v>
      </c>
      <c r="M50" s="20" t="s">
        <v>1477</v>
      </c>
      <c r="N50" s="20" t="s">
        <v>578</v>
      </c>
      <c r="O50" s="20" t="s">
        <v>835</v>
      </c>
      <c r="P50" s="20">
        <v>5</v>
      </c>
      <c r="Q50" s="20">
        <v>1</v>
      </c>
      <c r="R50" s="20" t="s">
        <v>593</v>
      </c>
      <c r="T50" s="20" t="s">
        <v>1143</v>
      </c>
      <c r="U50" s="20" t="s">
        <v>689</v>
      </c>
      <c r="V50" s="20" t="s">
        <v>527</v>
      </c>
      <c r="W50" s="20" t="s">
        <v>2124</v>
      </c>
      <c r="X50" s="20" t="s">
        <v>835</v>
      </c>
      <c r="Y50" s="20">
        <v>5</v>
      </c>
      <c r="Z50" s="20">
        <v>6</v>
      </c>
      <c r="AA50" s="20" t="s">
        <v>592</v>
      </c>
      <c r="AC50" s="20" t="s">
        <v>1147</v>
      </c>
      <c r="AD50" s="20" t="s">
        <v>244</v>
      </c>
      <c r="AE50" s="20" t="s">
        <v>2473</v>
      </c>
      <c r="AF50" s="20" t="s">
        <v>2216</v>
      </c>
      <c r="AG50" s="20" t="s">
        <v>835</v>
      </c>
      <c r="AH50" s="20">
        <v>5</v>
      </c>
      <c r="AI50" s="20">
        <v>6</v>
      </c>
      <c r="AJ50" s="20" t="s">
        <v>592</v>
      </c>
      <c r="AL50" s="20" t="s">
        <v>1154</v>
      </c>
      <c r="AM50" s="20" t="s">
        <v>307</v>
      </c>
      <c r="AN50" s="20" t="s">
        <v>1624</v>
      </c>
      <c r="AO50" s="20" t="s">
        <v>1623</v>
      </c>
      <c r="AP50" s="20" t="s">
        <v>628</v>
      </c>
      <c r="AQ50" s="20">
        <v>10</v>
      </c>
      <c r="AR50" s="20">
        <v>8</v>
      </c>
      <c r="AS50" s="20" t="s">
        <v>592</v>
      </c>
    </row>
    <row r="51" spans="2:45" ht="15.75" customHeight="1" x14ac:dyDescent="0.2">
      <c r="B51" s="20" t="s">
        <v>1144</v>
      </c>
      <c r="C51" s="20" t="s">
        <v>23</v>
      </c>
      <c r="D51" s="20" t="s">
        <v>558</v>
      </c>
      <c r="E51" s="20" t="s">
        <v>1208</v>
      </c>
      <c r="F51" s="20" t="s">
        <v>628</v>
      </c>
      <c r="G51" s="20">
        <v>10</v>
      </c>
      <c r="H51" s="20">
        <v>1</v>
      </c>
      <c r="I51" s="20" t="s">
        <v>592</v>
      </c>
      <c r="K51" s="20" t="s">
        <v>1141</v>
      </c>
      <c r="L51" s="20" t="s">
        <v>218</v>
      </c>
      <c r="M51" s="20" t="s">
        <v>1478</v>
      </c>
      <c r="N51" s="20" t="s">
        <v>493</v>
      </c>
      <c r="O51" s="20" t="s">
        <v>628</v>
      </c>
      <c r="P51" s="20">
        <v>10</v>
      </c>
      <c r="Q51" s="20">
        <v>8</v>
      </c>
      <c r="R51" s="20" t="s">
        <v>592</v>
      </c>
      <c r="T51" s="20" t="s">
        <v>1144</v>
      </c>
      <c r="U51" s="20" t="s">
        <v>313</v>
      </c>
      <c r="V51" s="20" t="s">
        <v>530</v>
      </c>
      <c r="W51" s="20" t="s">
        <v>999</v>
      </c>
      <c r="X51" s="20" t="s">
        <v>628</v>
      </c>
      <c r="Y51" s="20">
        <v>10</v>
      </c>
      <c r="Z51" s="20">
        <v>8</v>
      </c>
      <c r="AA51" s="20" t="s">
        <v>592</v>
      </c>
      <c r="AC51" s="20" t="s">
        <v>1143</v>
      </c>
      <c r="AD51" s="20" t="s">
        <v>61</v>
      </c>
      <c r="AE51" s="20" t="s">
        <v>526</v>
      </c>
      <c r="AF51" s="20" t="s">
        <v>588</v>
      </c>
      <c r="AG51" s="20" t="s">
        <v>835</v>
      </c>
      <c r="AH51" s="20">
        <v>5</v>
      </c>
      <c r="AI51" s="20">
        <v>3</v>
      </c>
      <c r="AJ51" s="20" t="s">
        <v>593</v>
      </c>
      <c r="AL51" s="20" t="s">
        <v>1154</v>
      </c>
      <c r="AM51" s="20" t="s">
        <v>307</v>
      </c>
      <c r="AN51" s="20" t="s">
        <v>513</v>
      </c>
      <c r="AO51" s="20" t="s">
        <v>1265</v>
      </c>
      <c r="AP51" s="20" t="s">
        <v>628</v>
      </c>
      <c r="AQ51" s="20">
        <v>10</v>
      </c>
      <c r="AR51" s="20">
        <v>9</v>
      </c>
      <c r="AS51" s="20" t="s">
        <v>592</v>
      </c>
    </row>
    <row r="52" spans="2:45" ht="15.75" customHeight="1" x14ac:dyDescent="0.2">
      <c r="B52" s="20" t="s">
        <v>640</v>
      </c>
      <c r="C52" s="20" t="s">
        <v>756</v>
      </c>
      <c r="D52" s="20" t="s">
        <v>433</v>
      </c>
      <c r="E52" s="20" t="s">
        <v>988</v>
      </c>
      <c r="F52" s="20" t="s">
        <v>835</v>
      </c>
      <c r="G52" s="20">
        <v>5</v>
      </c>
      <c r="H52" s="20">
        <v>3</v>
      </c>
      <c r="I52" s="20" t="s">
        <v>592</v>
      </c>
      <c r="K52" s="20" t="s">
        <v>646</v>
      </c>
      <c r="L52" s="20" t="s">
        <v>298</v>
      </c>
      <c r="M52" s="20" t="s">
        <v>775</v>
      </c>
      <c r="N52" s="20" t="s">
        <v>370</v>
      </c>
      <c r="O52" s="20" t="s">
        <v>835</v>
      </c>
      <c r="P52" s="20">
        <v>5</v>
      </c>
      <c r="Q52" s="20">
        <v>1</v>
      </c>
      <c r="R52" s="20" t="s">
        <v>593</v>
      </c>
      <c r="T52" s="20" t="s">
        <v>1144</v>
      </c>
      <c r="U52" s="20" t="s">
        <v>313</v>
      </c>
      <c r="V52" s="20" t="s">
        <v>530</v>
      </c>
      <c r="W52" s="20" t="s">
        <v>2125</v>
      </c>
      <c r="X52" s="20" t="s">
        <v>628</v>
      </c>
      <c r="Y52" s="20">
        <v>10</v>
      </c>
      <c r="Z52" s="20">
        <v>2</v>
      </c>
      <c r="AA52" s="20" t="s">
        <v>592</v>
      </c>
      <c r="AC52" s="20" t="s">
        <v>1154</v>
      </c>
      <c r="AD52" s="20" t="s">
        <v>1152</v>
      </c>
      <c r="AE52" s="20" t="s">
        <v>516</v>
      </c>
      <c r="AF52" s="20" t="s">
        <v>1264</v>
      </c>
      <c r="AG52" s="20" t="s">
        <v>835</v>
      </c>
      <c r="AH52" s="20">
        <v>5</v>
      </c>
      <c r="AI52" s="20">
        <v>4</v>
      </c>
      <c r="AJ52" s="20" t="s">
        <v>593</v>
      </c>
      <c r="AL52" s="20" t="s">
        <v>1154</v>
      </c>
      <c r="AM52" s="20" t="s">
        <v>335</v>
      </c>
      <c r="AN52" s="20" t="s">
        <v>623</v>
      </c>
      <c r="AO52" s="20" t="s">
        <v>2424</v>
      </c>
      <c r="AP52" s="20" t="s">
        <v>628</v>
      </c>
      <c r="AQ52" s="20">
        <v>10</v>
      </c>
      <c r="AR52" s="20">
        <v>16</v>
      </c>
      <c r="AS52" s="20" t="s">
        <v>592</v>
      </c>
    </row>
    <row r="53" spans="2:45" ht="15.75" customHeight="1" x14ac:dyDescent="0.2">
      <c r="B53" s="20" t="s">
        <v>640</v>
      </c>
      <c r="C53" s="20" t="s">
        <v>756</v>
      </c>
      <c r="D53" s="20" t="s">
        <v>433</v>
      </c>
      <c r="E53" s="20" t="s">
        <v>1060</v>
      </c>
      <c r="F53" s="20" t="s">
        <v>835</v>
      </c>
      <c r="G53" s="20">
        <v>5</v>
      </c>
      <c r="H53" s="20">
        <v>2</v>
      </c>
      <c r="I53" s="20" t="s">
        <v>592</v>
      </c>
      <c r="K53" s="20" t="s">
        <v>646</v>
      </c>
      <c r="L53" s="20" t="s">
        <v>285</v>
      </c>
      <c r="M53" s="20" t="s">
        <v>1479</v>
      </c>
      <c r="N53" s="20" t="s">
        <v>1480</v>
      </c>
      <c r="O53" s="20" t="s">
        <v>835</v>
      </c>
      <c r="P53" s="20">
        <v>5</v>
      </c>
      <c r="Q53" s="20">
        <v>3</v>
      </c>
      <c r="R53" s="20" t="s">
        <v>593</v>
      </c>
      <c r="T53" s="20" t="s">
        <v>1141</v>
      </c>
      <c r="U53" s="20" t="s">
        <v>224</v>
      </c>
      <c r="V53" s="20" t="s">
        <v>1666</v>
      </c>
      <c r="W53" s="20" t="s">
        <v>2126</v>
      </c>
      <c r="X53" s="20" t="s">
        <v>835</v>
      </c>
      <c r="Y53" s="20">
        <v>5</v>
      </c>
      <c r="Z53" s="20">
        <v>6</v>
      </c>
      <c r="AA53" s="20" t="s">
        <v>592</v>
      </c>
      <c r="AC53" s="20" t="s">
        <v>1141</v>
      </c>
      <c r="AD53" s="20" t="s">
        <v>780</v>
      </c>
      <c r="AE53" s="20" t="s">
        <v>1766</v>
      </c>
      <c r="AF53" s="20" t="s">
        <v>1765</v>
      </c>
      <c r="AG53" s="20" t="s">
        <v>628</v>
      </c>
      <c r="AH53" s="20">
        <v>10</v>
      </c>
      <c r="AI53" s="20">
        <v>8</v>
      </c>
      <c r="AJ53" s="20" t="s">
        <v>592</v>
      </c>
      <c r="AL53" s="20" t="s">
        <v>1154</v>
      </c>
      <c r="AM53" s="20" t="s">
        <v>335</v>
      </c>
      <c r="AN53" s="20" t="s">
        <v>566</v>
      </c>
      <c r="AO53" s="20" t="s">
        <v>985</v>
      </c>
      <c r="AP53" s="20" t="s">
        <v>628</v>
      </c>
      <c r="AQ53" s="20">
        <v>10</v>
      </c>
      <c r="AR53" s="20">
        <v>23</v>
      </c>
      <c r="AS53" s="20" t="s">
        <v>592</v>
      </c>
    </row>
    <row r="54" spans="2:45" ht="15.75" customHeight="1" x14ac:dyDescent="0.2">
      <c r="B54" s="20" t="s">
        <v>640</v>
      </c>
      <c r="C54" s="20" t="s">
        <v>248</v>
      </c>
      <c r="D54" s="20" t="s">
        <v>809</v>
      </c>
      <c r="E54" s="20" t="s">
        <v>1071</v>
      </c>
      <c r="F54" s="20" t="s">
        <v>628</v>
      </c>
      <c r="G54" s="20">
        <v>10</v>
      </c>
      <c r="H54" s="20">
        <v>4</v>
      </c>
      <c r="I54" s="20" t="s">
        <v>592</v>
      </c>
      <c r="K54" s="20" t="s">
        <v>1149</v>
      </c>
      <c r="L54" s="20" t="s">
        <v>806</v>
      </c>
      <c r="M54" s="20" t="s">
        <v>1269</v>
      </c>
      <c r="N54" s="20" t="s">
        <v>468</v>
      </c>
      <c r="O54" s="20" t="s">
        <v>628</v>
      </c>
      <c r="P54" s="20">
        <v>10</v>
      </c>
      <c r="Q54" s="20">
        <v>8</v>
      </c>
      <c r="R54" s="20" t="s">
        <v>592</v>
      </c>
      <c r="T54" s="20" t="s">
        <v>1141</v>
      </c>
      <c r="U54" s="20" t="s">
        <v>224</v>
      </c>
      <c r="V54" s="20" t="s">
        <v>1669</v>
      </c>
      <c r="W54" s="20" t="s">
        <v>1668</v>
      </c>
      <c r="X54" s="20" t="s">
        <v>835</v>
      </c>
      <c r="Y54" s="20">
        <v>5</v>
      </c>
      <c r="Z54" s="20">
        <v>7</v>
      </c>
      <c r="AA54" s="20" t="s">
        <v>592</v>
      </c>
      <c r="AC54" s="20" t="s">
        <v>1144</v>
      </c>
      <c r="AD54" s="20" t="s">
        <v>249</v>
      </c>
      <c r="AE54" s="20" t="s">
        <v>2480</v>
      </c>
      <c r="AF54" s="20" t="s">
        <v>2236</v>
      </c>
      <c r="AG54" s="20" t="s">
        <v>628</v>
      </c>
      <c r="AH54" s="20">
        <v>10</v>
      </c>
      <c r="AI54" s="20">
        <v>12</v>
      </c>
      <c r="AJ54" s="20" t="s">
        <v>592</v>
      </c>
      <c r="AL54" s="20" t="s">
        <v>1154</v>
      </c>
      <c r="AM54" s="20" t="s">
        <v>335</v>
      </c>
      <c r="AN54" s="20" t="s">
        <v>548</v>
      </c>
      <c r="AO54" s="20" t="s">
        <v>2916</v>
      </c>
      <c r="AP54" s="20" t="s">
        <v>628</v>
      </c>
      <c r="AQ54" s="20">
        <v>10</v>
      </c>
      <c r="AR54" s="20">
        <v>39</v>
      </c>
      <c r="AS54" s="20" t="s">
        <v>592</v>
      </c>
    </row>
    <row r="55" spans="2:45" ht="15.75" customHeight="1" x14ac:dyDescent="0.2">
      <c r="B55" s="20" t="s">
        <v>640</v>
      </c>
      <c r="C55" s="20" t="s">
        <v>248</v>
      </c>
      <c r="D55" s="20" t="s">
        <v>809</v>
      </c>
      <c r="E55" s="20" t="s">
        <v>1070</v>
      </c>
      <c r="F55" s="20" t="s">
        <v>628</v>
      </c>
      <c r="G55" s="20">
        <v>10</v>
      </c>
      <c r="H55" s="20">
        <v>4</v>
      </c>
      <c r="I55" s="20" t="s">
        <v>592</v>
      </c>
      <c r="K55" s="20" t="s">
        <v>1149</v>
      </c>
      <c r="L55" s="20" t="s">
        <v>63</v>
      </c>
      <c r="M55" s="20" t="s">
        <v>1481</v>
      </c>
      <c r="N55" s="20" t="s">
        <v>1482</v>
      </c>
      <c r="O55" s="20" t="s">
        <v>835</v>
      </c>
      <c r="P55" s="20">
        <v>5</v>
      </c>
      <c r="Q55" s="20">
        <v>3</v>
      </c>
      <c r="R55" s="20" t="s">
        <v>593</v>
      </c>
      <c r="T55" s="20" t="s">
        <v>1147</v>
      </c>
      <c r="U55" s="20" t="s">
        <v>225</v>
      </c>
      <c r="V55" s="20" t="s">
        <v>1917</v>
      </c>
      <c r="W55" s="20" t="s">
        <v>1916</v>
      </c>
      <c r="X55" s="20" t="s">
        <v>835</v>
      </c>
      <c r="Y55" s="20">
        <v>5</v>
      </c>
      <c r="Z55" s="20">
        <v>5</v>
      </c>
      <c r="AA55" s="20" t="s">
        <v>592</v>
      </c>
      <c r="AC55" s="20" t="s">
        <v>1144</v>
      </c>
      <c r="AD55" s="20" t="s">
        <v>249</v>
      </c>
      <c r="AE55" s="20" t="s">
        <v>2480</v>
      </c>
      <c r="AF55" s="20" t="s">
        <v>2237</v>
      </c>
      <c r="AG55" s="20" t="s">
        <v>628</v>
      </c>
      <c r="AH55" s="20">
        <v>10</v>
      </c>
      <c r="AI55" s="20">
        <v>1</v>
      </c>
      <c r="AJ55" s="20" t="s">
        <v>592</v>
      </c>
      <c r="AL55" s="20" t="s">
        <v>1154</v>
      </c>
      <c r="AM55" s="20" t="s">
        <v>335</v>
      </c>
      <c r="AN55" s="20" t="s">
        <v>2048</v>
      </c>
      <c r="AO55" s="20" t="s">
        <v>2917</v>
      </c>
      <c r="AP55" s="20" t="s">
        <v>628</v>
      </c>
      <c r="AQ55" s="20">
        <v>10</v>
      </c>
      <c r="AR55" s="20">
        <v>8</v>
      </c>
      <c r="AS55" s="20" t="s">
        <v>592</v>
      </c>
    </row>
    <row r="56" spans="2:45" ht="15.75" customHeight="1" x14ac:dyDescent="0.2">
      <c r="B56" s="20" t="s">
        <v>1163</v>
      </c>
      <c r="C56" s="20" t="s">
        <v>1165</v>
      </c>
      <c r="D56" s="20" t="s">
        <v>360</v>
      </c>
      <c r="E56" s="20" t="s">
        <v>1209</v>
      </c>
      <c r="F56" s="20" t="s">
        <v>628</v>
      </c>
      <c r="G56" s="20">
        <v>10</v>
      </c>
      <c r="H56" s="20">
        <v>7</v>
      </c>
      <c r="I56" s="20" t="s">
        <v>592</v>
      </c>
      <c r="K56" s="20" t="s">
        <v>1144</v>
      </c>
      <c r="L56" s="20" t="s">
        <v>249</v>
      </c>
      <c r="M56" s="20" t="s">
        <v>1483</v>
      </c>
      <c r="N56" s="20" t="s">
        <v>560</v>
      </c>
      <c r="O56" s="20" t="s">
        <v>835</v>
      </c>
      <c r="P56" s="20">
        <v>5</v>
      </c>
      <c r="Q56" s="20">
        <v>7</v>
      </c>
      <c r="R56" s="20" t="s">
        <v>592</v>
      </c>
      <c r="T56" s="20" t="s">
        <v>1141</v>
      </c>
      <c r="U56" s="20" t="s">
        <v>224</v>
      </c>
      <c r="V56" s="20" t="s">
        <v>2457</v>
      </c>
      <c r="W56" s="20" t="s">
        <v>2127</v>
      </c>
      <c r="X56" s="20" t="s">
        <v>835</v>
      </c>
      <c r="Y56" s="20">
        <v>5</v>
      </c>
      <c r="Z56" s="20">
        <v>5</v>
      </c>
      <c r="AA56" s="20" t="s">
        <v>592</v>
      </c>
      <c r="AC56" s="20" t="s">
        <v>1144</v>
      </c>
      <c r="AD56" s="20" t="s">
        <v>804</v>
      </c>
      <c r="AE56" s="20" t="s">
        <v>559</v>
      </c>
      <c r="AF56" s="20" t="s">
        <v>2213</v>
      </c>
      <c r="AG56" s="20" t="s">
        <v>835</v>
      </c>
      <c r="AH56" s="20">
        <v>5</v>
      </c>
      <c r="AI56" s="20">
        <v>5</v>
      </c>
      <c r="AJ56" s="20" t="s">
        <v>592</v>
      </c>
      <c r="AL56" s="20" t="s">
        <v>1154</v>
      </c>
      <c r="AM56" s="20" t="s">
        <v>335</v>
      </c>
      <c r="AN56" s="20" t="s">
        <v>474</v>
      </c>
      <c r="AO56" s="20" t="s">
        <v>2918</v>
      </c>
      <c r="AP56" s="20" t="s">
        <v>628</v>
      </c>
      <c r="AQ56" s="20">
        <v>10</v>
      </c>
      <c r="AR56" s="20">
        <v>45</v>
      </c>
      <c r="AS56" s="20" t="s">
        <v>592</v>
      </c>
    </row>
    <row r="57" spans="2:45" ht="15.75" customHeight="1" x14ac:dyDescent="0.2">
      <c r="B57" s="20" t="s">
        <v>1163</v>
      </c>
      <c r="C57" s="20" t="s">
        <v>1165</v>
      </c>
      <c r="D57" s="20" t="s">
        <v>360</v>
      </c>
      <c r="E57" s="20" t="s">
        <v>1210</v>
      </c>
      <c r="F57" s="20" t="s">
        <v>628</v>
      </c>
      <c r="G57" s="20">
        <v>10</v>
      </c>
      <c r="H57" s="20">
        <v>1</v>
      </c>
      <c r="I57" s="20" t="s">
        <v>592</v>
      </c>
      <c r="K57" s="20" t="s">
        <v>1144</v>
      </c>
      <c r="L57" s="20" t="s">
        <v>194</v>
      </c>
      <c r="M57" s="20" t="s">
        <v>1484</v>
      </c>
      <c r="N57" s="20" t="s">
        <v>437</v>
      </c>
      <c r="O57" s="20" t="s">
        <v>628</v>
      </c>
      <c r="P57" s="20">
        <v>10</v>
      </c>
      <c r="Q57" s="20">
        <v>19</v>
      </c>
      <c r="R57" s="20" t="s">
        <v>592</v>
      </c>
      <c r="T57" s="20" t="s">
        <v>646</v>
      </c>
      <c r="U57" s="20" t="s">
        <v>285</v>
      </c>
      <c r="V57" s="20" t="s">
        <v>461</v>
      </c>
      <c r="W57" s="20" t="s">
        <v>1799</v>
      </c>
      <c r="X57" s="20" t="s">
        <v>835</v>
      </c>
      <c r="Y57" s="20">
        <v>5</v>
      </c>
      <c r="Z57" s="20">
        <v>6</v>
      </c>
      <c r="AA57" s="20" t="s">
        <v>592</v>
      </c>
      <c r="AC57" s="20" t="s">
        <v>1144</v>
      </c>
      <c r="AD57" s="20" t="s">
        <v>707</v>
      </c>
      <c r="AE57" s="20" t="s">
        <v>846</v>
      </c>
      <c r="AF57" s="20" t="s">
        <v>1027</v>
      </c>
      <c r="AG57" s="20" t="s">
        <v>835</v>
      </c>
      <c r="AH57" s="20">
        <v>5</v>
      </c>
      <c r="AI57" s="20">
        <v>6</v>
      </c>
      <c r="AJ57" s="20" t="s">
        <v>592</v>
      </c>
      <c r="AL57" s="20" t="s">
        <v>1154</v>
      </c>
      <c r="AM57" s="20" t="s">
        <v>335</v>
      </c>
      <c r="AN57" s="20" t="s">
        <v>2784</v>
      </c>
      <c r="AO57" s="20" t="s">
        <v>2919</v>
      </c>
      <c r="AP57" s="20" t="s">
        <v>835</v>
      </c>
      <c r="AQ57" s="20">
        <v>5</v>
      </c>
      <c r="AR57" s="20">
        <v>6</v>
      </c>
      <c r="AS57" s="20" t="s">
        <v>592</v>
      </c>
    </row>
    <row r="58" spans="2:45" ht="15.75" customHeight="1" x14ac:dyDescent="0.2">
      <c r="B58" s="20" t="s">
        <v>1169</v>
      </c>
      <c r="C58" s="20" t="s">
        <v>216</v>
      </c>
      <c r="D58" s="20" t="s">
        <v>542</v>
      </c>
      <c r="E58" s="20" t="s">
        <v>1211</v>
      </c>
      <c r="F58" s="20" t="s">
        <v>628</v>
      </c>
      <c r="G58" s="20">
        <v>10</v>
      </c>
      <c r="H58" s="20">
        <v>8</v>
      </c>
      <c r="I58" s="20" t="s">
        <v>592</v>
      </c>
      <c r="K58" s="20" t="s">
        <v>1144</v>
      </c>
      <c r="L58" s="20" t="s">
        <v>194</v>
      </c>
      <c r="M58" s="20" t="s">
        <v>1485</v>
      </c>
      <c r="N58" s="20" t="s">
        <v>437</v>
      </c>
      <c r="O58" s="20" t="s">
        <v>628</v>
      </c>
      <c r="P58" s="20">
        <v>10</v>
      </c>
      <c r="Q58" s="20">
        <v>1</v>
      </c>
      <c r="R58" s="20" t="s">
        <v>592</v>
      </c>
      <c r="T58" s="20" t="s">
        <v>646</v>
      </c>
      <c r="U58" s="20" t="s">
        <v>285</v>
      </c>
      <c r="V58" s="20" t="s">
        <v>458</v>
      </c>
      <c r="W58" s="20" t="s">
        <v>1902</v>
      </c>
      <c r="X58" s="20" t="s">
        <v>835</v>
      </c>
      <c r="Y58" s="20">
        <v>5</v>
      </c>
      <c r="Z58" s="20">
        <v>5</v>
      </c>
      <c r="AA58" s="20" t="s">
        <v>592</v>
      </c>
      <c r="AC58" s="20" t="s">
        <v>1144</v>
      </c>
      <c r="AD58" s="20" t="s">
        <v>194</v>
      </c>
      <c r="AE58" s="20" t="s">
        <v>438</v>
      </c>
      <c r="AF58" s="20" t="s">
        <v>2583</v>
      </c>
      <c r="AG58" s="20" t="s">
        <v>835</v>
      </c>
      <c r="AH58" s="20">
        <v>5</v>
      </c>
      <c r="AI58" s="20">
        <v>5</v>
      </c>
      <c r="AJ58" s="20" t="s">
        <v>592</v>
      </c>
      <c r="AL58" s="20" t="s">
        <v>1154</v>
      </c>
      <c r="AM58" s="20" t="s">
        <v>335</v>
      </c>
      <c r="AN58" s="20" t="s">
        <v>1501</v>
      </c>
      <c r="AO58" s="20" t="s">
        <v>1500</v>
      </c>
      <c r="AP58" s="20" t="s">
        <v>628</v>
      </c>
      <c r="AQ58" s="20">
        <v>10</v>
      </c>
      <c r="AR58" s="20">
        <v>14</v>
      </c>
      <c r="AS58" s="20" t="s">
        <v>592</v>
      </c>
    </row>
    <row r="59" spans="2:45" ht="15.75" customHeight="1" x14ac:dyDescent="0.2">
      <c r="B59" s="20" t="s">
        <v>1169</v>
      </c>
      <c r="C59" s="20" t="s">
        <v>216</v>
      </c>
      <c r="D59" s="20" t="s">
        <v>542</v>
      </c>
      <c r="E59" s="20" t="s">
        <v>1212</v>
      </c>
      <c r="F59" s="20" t="s">
        <v>628</v>
      </c>
      <c r="G59" s="20">
        <v>10</v>
      </c>
      <c r="H59" s="20">
        <v>1</v>
      </c>
      <c r="I59" s="20" t="s">
        <v>592</v>
      </c>
      <c r="K59" s="20" t="s">
        <v>1144</v>
      </c>
      <c r="L59" s="20" t="s">
        <v>249</v>
      </c>
      <c r="M59" s="20" t="s">
        <v>1003</v>
      </c>
      <c r="N59" s="20" t="s">
        <v>622</v>
      </c>
      <c r="O59" s="20" t="s">
        <v>628</v>
      </c>
      <c r="P59" s="20">
        <v>10</v>
      </c>
      <c r="Q59" s="20">
        <v>13</v>
      </c>
      <c r="R59" s="20" t="s">
        <v>592</v>
      </c>
      <c r="T59" s="20" t="s">
        <v>646</v>
      </c>
      <c r="U59" s="20" t="s">
        <v>285</v>
      </c>
      <c r="V59" s="20" t="s">
        <v>461</v>
      </c>
      <c r="W59" s="20" t="s">
        <v>1800</v>
      </c>
      <c r="X59" s="20" t="s">
        <v>835</v>
      </c>
      <c r="Y59" s="20">
        <v>5</v>
      </c>
      <c r="Z59" s="20">
        <v>1</v>
      </c>
      <c r="AA59" s="20" t="s">
        <v>592</v>
      </c>
      <c r="AC59" s="20" t="s">
        <v>1155</v>
      </c>
      <c r="AD59" s="20" t="s">
        <v>286</v>
      </c>
      <c r="AE59" s="20" t="s">
        <v>1499</v>
      </c>
      <c r="AF59" s="20" t="s">
        <v>1498</v>
      </c>
      <c r="AG59" s="20" t="s">
        <v>835</v>
      </c>
      <c r="AH59" s="20">
        <v>5</v>
      </c>
      <c r="AI59" s="20">
        <v>5</v>
      </c>
      <c r="AJ59" s="20" t="s">
        <v>592</v>
      </c>
      <c r="AL59" s="20" t="s">
        <v>1154</v>
      </c>
      <c r="AM59" s="20" t="s">
        <v>335</v>
      </c>
      <c r="AN59" s="20" t="s">
        <v>2785</v>
      </c>
      <c r="AO59" s="20" t="s">
        <v>2920</v>
      </c>
      <c r="AP59" s="20" t="s">
        <v>628</v>
      </c>
      <c r="AQ59" s="20">
        <v>10</v>
      </c>
      <c r="AR59" s="20">
        <v>12</v>
      </c>
      <c r="AS59" s="20" t="s">
        <v>592</v>
      </c>
    </row>
    <row r="60" spans="2:45" ht="15.75" customHeight="1" x14ac:dyDescent="0.2">
      <c r="B60" s="20" t="s">
        <v>1155</v>
      </c>
      <c r="C60" s="20" t="s">
        <v>657</v>
      </c>
      <c r="D60" s="20" t="s">
        <v>484</v>
      </c>
      <c r="E60" s="20" t="s">
        <v>852</v>
      </c>
      <c r="F60" s="20" t="s">
        <v>628</v>
      </c>
      <c r="G60" s="20">
        <v>10</v>
      </c>
      <c r="H60" s="20">
        <v>10</v>
      </c>
      <c r="I60" s="20" t="s">
        <v>592</v>
      </c>
      <c r="K60" s="20" t="s">
        <v>1144</v>
      </c>
      <c r="L60" s="20" t="s">
        <v>249</v>
      </c>
      <c r="M60" s="20" t="s">
        <v>1486</v>
      </c>
      <c r="N60" s="20" t="s">
        <v>622</v>
      </c>
      <c r="O60" s="20" t="s">
        <v>628</v>
      </c>
      <c r="P60" s="20">
        <v>10</v>
      </c>
      <c r="Q60" s="20">
        <v>1</v>
      </c>
      <c r="R60" s="20" t="s">
        <v>592</v>
      </c>
      <c r="T60" s="20" t="s">
        <v>1144</v>
      </c>
      <c r="U60" s="20" t="s">
        <v>249</v>
      </c>
      <c r="V60" s="20" t="s">
        <v>436</v>
      </c>
      <c r="W60" s="20" t="s">
        <v>1002</v>
      </c>
      <c r="X60" s="20" t="s">
        <v>628</v>
      </c>
      <c r="Y60" s="20">
        <v>10</v>
      </c>
      <c r="Z60" s="20">
        <v>8</v>
      </c>
      <c r="AA60" s="20" t="s">
        <v>592</v>
      </c>
      <c r="AC60" s="20" t="s">
        <v>1161</v>
      </c>
      <c r="AD60" s="20" t="s">
        <v>41</v>
      </c>
      <c r="AE60" s="20" t="s">
        <v>538</v>
      </c>
      <c r="AF60" s="20" t="s">
        <v>2192</v>
      </c>
      <c r="AG60" s="20" t="s">
        <v>835</v>
      </c>
      <c r="AH60" s="20">
        <v>5</v>
      </c>
      <c r="AI60" s="20">
        <v>5</v>
      </c>
      <c r="AJ60" s="20" t="s">
        <v>592</v>
      </c>
      <c r="AL60" s="20" t="s">
        <v>1154</v>
      </c>
      <c r="AM60" s="20" t="s">
        <v>335</v>
      </c>
      <c r="AN60" s="20" t="s">
        <v>2786</v>
      </c>
      <c r="AO60" s="20" t="s">
        <v>2921</v>
      </c>
      <c r="AP60" s="20" t="s">
        <v>835</v>
      </c>
      <c r="AQ60" s="20">
        <v>5</v>
      </c>
      <c r="AR60" s="20">
        <v>2</v>
      </c>
      <c r="AS60" s="20" t="s">
        <v>593</v>
      </c>
    </row>
    <row r="61" spans="2:45" ht="15.75" customHeight="1" x14ac:dyDescent="0.2">
      <c r="B61" s="20" t="s">
        <v>1169</v>
      </c>
      <c r="C61" s="20" t="s">
        <v>671</v>
      </c>
      <c r="D61" s="20" t="s">
        <v>470</v>
      </c>
      <c r="E61" s="20" t="s">
        <v>908</v>
      </c>
      <c r="F61" s="20" t="s">
        <v>628</v>
      </c>
      <c r="G61" s="20">
        <v>10</v>
      </c>
      <c r="H61" s="20">
        <v>12</v>
      </c>
      <c r="I61" s="20" t="s">
        <v>592</v>
      </c>
      <c r="K61" s="20" t="s">
        <v>1144</v>
      </c>
      <c r="L61" s="20" t="s">
        <v>313</v>
      </c>
      <c r="M61" s="20" t="s">
        <v>1487</v>
      </c>
      <c r="N61" s="20" t="s">
        <v>529</v>
      </c>
      <c r="O61" s="20" t="s">
        <v>628</v>
      </c>
      <c r="P61" s="20">
        <v>10</v>
      </c>
      <c r="Q61" s="20">
        <v>11</v>
      </c>
      <c r="R61" s="20" t="s">
        <v>592</v>
      </c>
      <c r="T61" s="20" t="s">
        <v>1144</v>
      </c>
      <c r="U61" s="20" t="s">
        <v>249</v>
      </c>
      <c r="V61" s="20" t="s">
        <v>436</v>
      </c>
      <c r="W61" s="20" t="s">
        <v>2128</v>
      </c>
      <c r="X61" s="20" t="s">
        <v>628</v>
      </c>
      <c r="Y61" s="20">
        <v>10</v>
      </c>
      <c r="Z61" s="20">
        <v>1</v>
      </c>
      <c r="AA61" s="20" t="s">
        <v>592</v>
      </c>
      <c r="AC61" s="20" t="s">
        <v>1162</v>
      </c>
      <c r="AD61" s="20" t="s">
        <v>352</v>
      </c>
      <c r="AE61" s="20" t="s">
        <v>445</v>
      </c>
      <c r="AF61" s="20" t="s">
        <v>2584</v>
      </c>
      <c r="AG61" s="20" t="s">
        <v>628</v>
      </c>
      <c r="AH61" s="20">
        <v>10</v>
      </c>
      <c r="AI61" s="20">
        <v>9</v>
      </c>
      <c r="AJ61" s="20" t="s">
        <v>592</v>
      </c>
      <c r="AL61" s="20" t="s">
        <v>1154</v>
      </c>
      <c r="AM61" s="20" t="s">
        <v>335</v>
      </c>
      <c r="AN61" s="20" t="s">
        <v>711</v>
      </c>
      <c r="AO61" s="20" t="s">
        <v>2922</v>
      </c>
      <c r="AP61" s="20" t="s">
        <v>628</v>
      </c>
      <c r="AQ61" s="20">
        <v>10</v>
      </c>
      <c r="AR61" s="20">
        <v>10</v>
      </c>
      <c r="AS61" s="20" t="s">
        <v>592</v>
      </c>
    </row>
    <row r="62" spans="2:45" ht="15.75" customHeight="1" x14ac:dyDescent="0.2">
      <c r="B62" s="20" t="s">
        <v>1169</v>
      </c>
      <c r="C62" s="20" t="s">
        <v>671</v>
      </c>
      <c r="D62" s="20" t="s">
        <v>608</v>
      </c>
      <c r="E62" s="20" t="s">
        <v>1122</v>
      </c>
      <c r="F62" s="20" t="s">
        <v>628</v>
      </c>
      <c r="G62" s="20">
        <v>10</v>
      </c>
      <c r="H62" s="20">
        <v>14</v>
      </c>
      <c r="I62" s="20" t="s">
        <v>592</v>
      </c>
      <c r="K62" s="20" t="s">
        <v>1144</v>
      </c>
      <c r="L62" s="20" t="s">
        <v>313</v>
      </c>
      <c r="M62" s="20" t="s">
        <v>1488</v>
      </c>
      <c r="N62" s="20" t="s">
        <v>529</v>
      </c>
      <c r="O62" s="20" t="s">
        <v>628</v>
      </c>
      <c r="P62" s="20">
        <v>10</v>
      </c>
      <c r="Q62" s="20">
        <v>1</v>
      </c>
      <c r="R62" s="20" t="s">
        <v>592</v>
      </c>
      <c r="T62" s="20" t="s">
        <v>1149</v>
      </c>
      <c r="U62" s="20" t="s">
        <v>301</v>
      </c>
      <c r="V62" s="20" t="s">
        <v>501</v>
      </c>
      <c r="W62" s="20" t="s">
        <v>2129</v>
      </c>
      <c r="X62" s="20" t="s">
        <v>835</v>
      </c>
      <c r="Y62" s="20">
        <v>5</v>
      </c>
      <c r="Z62" s="20">
        <v>5</v>
      </c>
      <c r="AA62" s="20" t="s">
        <v>592</v>
      </c>
      <c r="AC62" s="20" t="s">
        <v>1144</v>
      </c>
      <c r="AD62" s="20" t="s">
        <v>194</v>
      </c>
      <c r="AE62" s="20" t="s">
        <v>437</v>
      </c>
      <c r="AF62" s="20" t="s">
        <v>1484</v>
      </c>
      <c r="AG62" s="20" t="s">
        <v>835</v>
      </c>
      <c r="AH62" s="20">
        <v>5</v>
      </c>
      <c r="AI62" s="20">
        <v>6</v>
      </c>
      <c r="AJ62" s="20" t="s">
        <v>592</v>
      </c>
      <c r="AL62" s="20" t="s">
        <v>1154</v>
      </c>
      <c r="AM62" s="20" t="s">
        <v>335</v>
      </c>
      <c r="AN62" s="20" t="s">
        <v>475</v>
      </c>
      <c r="AO62" s="20" t="s">
        <v>2923</v>
      </c>
      <c r="AP62" s="20" t="s">
        <v>628</v>
      </c>
      <c r="AQ62" s="20">
        <v>10</v>
      </c>
      <c r="AR62" s="20">
        <v>21</v>
      </c>
      <c r="AS62" s="20" t="s">
        <v>592</v>
      </c>
    </row>
    <row r="63" spans="2:45" ht="15.75" customHeight="1" x14ac:dyDescent="0.2">
      <c r="B63" s="20" t="s">
        <v>1169</v>
      </c>
      <c r="C63" s="20" t="s">
        <v>671</v>
      </c>
      <c r="D63" s="20" t="s">
        <v>608</v>
      </c>
      <c r="E63" s="20" t="s">
        <v>1123</v>
      </c>
      <c r="F63" s="20" t="s">
        <v>628</v>
      </c>
      <c r="G63" s="20">
        <v>10</v>
      </c>
      <c r="H63" s="20">
        <v>1</v>
      </c>
      <c r="I63" s="20" t="s">
        <v>592</v>
      </c>
      <c r="K63" s="20" t="s">
        <v>1147</v>
      </c>
      <c r="L63" s="20" t="s">
        <v>699</v>
      </c>
      <c r="M63" s="20" t="s">
        <v>1282</v>
      </c>
      <c r="N63" s="20" t="s">
        <v>489</v>
      </c>
      <c r="O63" s="20" t="s">
        <v>628</v>
      </c>
      <c r="P63" s="20">
        <v>10</v>
      </c>
      <c r="Q63" s="20">
        <v>20</v>
      </c>
      <c r="R63" s="20" t="s">
        <v>592</v>
      </c>
      <c r="T63" s="20" t="s">
        <v>640</v>
      </c>
      <c r="U63" s="20" t="s">
        <v>31</v>
      </c>
      <c r="V63" s="20" t="s">
        <v>394</v>
      </c>
      <c r="W63" s="20" t="s">
        <v>2130</v>
      </c>
      <c r="X63" s="20" t="s">
        <v>835</v>
      </c>
      <c r="Y63" s="20">
        <v>5</v>
      </c>
      <c r="Z63" s="20">
        <v>5</v>
      </c>
      <c r="AA63" s="20" t="s">
        <v>592</v>
      </c>
      <c r="AC63" s="20" t="s">
        <v>1147</v>
      </c>
      <c r="AD63" s="20" t="s">
        <v>20</v>
      </c>
      <c r="AE63" s="20" t="s">
        <v>452</v>
      </c>
      <c r="AF63" s="20" t="s">
        <v>1293</v>
      </c>
      <c r="AG63" s="20" t="s">
        <v>835</v>
      </c>
      <c r="AH63" s="20">
        <v>5</v>
      </c>
      <c r="AI63" s="20">
        <v>3</v>
      </c>
      <c r="AJ63" s="20" t="s">
        <v>592</v>
      </c>
      <c r="AL63" s="20" t="s">
        <v>1154</v>
      </c>
      <c r="AM63" s="20" t="s">
        <v>335</v>
      </c>
      <c r="AN63" s="20" t="s">
        <v>2787</v>
      </c>
      <c r="AO63" s="20" t="s">
        <v>2924</v>
      </c>
      <c r="AP63" s="20" t="s">
        <v>628</v>
      </c>
      <c r="AQ63" s="20">
        <v>10</v>
      </c>
      <c r="AR63" s="20">
        <v>11</v>
      </c>
      <c r="AS63" s="20" t="s">
        <v>592</v>
      </c>
    </row>
    <row r="64" spans="2:45" ht="15.75" customHeight="1" x14ac:dyDescent="0.2">
      <c r="B64" s="20" t="s">
        <v>1144</v>
      </c>
      <c r="C64" s="20" t="s">
        <v>194</v>
      </c>
      <c r="D64" s="20" t="s">
        <v>487</v>
      </c>
      <c r="E64" s="20" t="s">
        <v>1213</v>
      </c>
      <c r="F64" s="20" t="s">
        <v>628</v>
      </c>
      <c r="G64" s="20">
        <v>10</v>
      </c>
      <c r="H64" s="20">
        <v>1</v>
      </c>
      <c r="I64" s="20" t="s">
        <v>592</v>
      </c>
      <c r="K64" s="20" t="s">
        <v>1147</v>
      </c>
      <c r="L64" s="20" t="s">
        <v>699</v>
      </c>
      <c r="M64" s="20" t="s">
        <v>1489</v>
      </c>
      <c r="N64" s="20" t="s">
        <v>489</v>
      </c>
      <c r="O64" s="20" t="s">
        <v>628</v>
      </c>
      <c r="P64" s="20">
        <v>10</v>
      </c>
      <c r="Q64" s="20">
        <v>2</v>
      </c>
      <c r="R64" s="20" t="s">
        <v>592</v>
      </c>
      <c r="T64" s="20" t="s">
        <v>640</v>
      </c>
      <c r="U64" s="20" t="s">
        <v>31</v>
      </c>
      <c r="V64" s="20" t="s">
        <v>394</v>
      </c>
      <c r="W64" s="20" t="s">
        <v>2131</v>
      </c>
      <c r="X64" s="20" t="s">
        <v>835</v>
      </c>
      <c r="Y64" s="20">
        <v>5</v>
      </c>
      <c r="Z64" s="20">
        <v>1</v>
      </c>
      <c r="AA64" s="20" t="s">
        <v>592</v>
      </c>
      <c r="AC64" s="20" t="s">
        <v>1147</v>
      </c>
      <c r="AD64" s="20" t="s">
        <v>20</v>
      </c>
      <c r="AE64" s="20" t="s">
        <v>452</v>
      </c>
      <c r="AF64" s="20" t="s">
        <v>1292</v>
      </c>
      <c r="AG64" s="20" t="s">
        <v>835</v>
      </c>
      <c r="AH64" s="20">
        <v>5</v>
      </c>
      <c r="AI64" s="20">
        <v>2</v>
      </c>
      <c r="AJ64" s="20" t="s">
        <v>592</v>
      </c>
      <c r="AL64" s="20" t="s">
        <v>1154</v>
      </c>
      <c r="AM64" s="20" t="s">
        <v>335</v>
      </c>
      <c r="AN64" s="20" t="s">
        <v>2788</v>
      </c>
      <c r="AO64" s="20" t="s">
        <v>2925</v>
      </c>
      <c r="AP64" s="20" t="s">
        <v>835</v>
      </c>
      <c r="AQ64" s="20">
        <v>5</v>
      </c>
      <c r="AR64" s="20">
        <v>4</v>
      </c>
      <c r="AS64" s="20" t="s">
        <v>593</v>
      </c>
    </row>
    <row r="65" spans="2:45" ht="15.75" customHeight="1" x14ac:dyDescent="0.2">
      <c r="B65" s="20" t="s">
        <v>1144</v>
      </c>
      <c r="C65" s="20" t="s">
        <v>194</v>
      </c>
      <c r="D65" s="20" t="s">
        <v>487</v>
      </c>
      <c r="E65" s="20" t="s">
        <v>1214</v>
      </c>
      <c r="F65" s="20" t="s">
        <v>628</v>
      </c>
      <c r="G65" s="20">
        <v>10</v>
      </c>
      <c r="H65" s="20">
        <v>8</v>
      </c>
      <c r="I65" s="20" t="s">
        <v>592</v>
      </c>
      <c r="K65" s="20" t="s">
        <v>1158</v>
      </c>
      <c r="L65" s="20" t="s">
        <v>928</v>
      </c>
      <c r="M65" s="20" t="s">
        <v>1407</v>
      </c>
      <c r="N65" s="20" t="s">
        <v>888</v>
      </c>
      <c r="O65" s="20" t="s">
        <v>835</v>
      </c>
      <c r="P65" s="20">
        <v>5</v>
      </c>
      <c r="Q65" s="20">
        <v>5</v>
      </c>
      <c r="R65" s="20" t="s">
        <v>592</v>
      </c>
      <c r="T65" s="20" t="s">
        <v>1147</v>
      </c>
      <c r="U65" s="20" t="s">
        <v>29</v>
      </c>
      <c r="V65" s="20" t="s">
        <v>422</v>
      </c>
      <c r="W65" s="20" t="s">
        <v>2132</v>
      </c>
      <c r="X65" s="20" t="s">
        <v>835</v>
      </c>
      <c r="Y65" s="20">
        <v>5</v>
      </c>
      <c r="Z65" s="20">
        <v>5</v>
      </c>
      <c r="AA65" s="20" t="s">
        <v>592</v>
      </c>
      <c r="AC65" s="20" t="s">
        <v>640</v>
      </c>
      <c r="AD65" s="20" t="s">
        <v>756</v>
      </c>
      <c r="AE65" s="20" t="s">
        <v>431</v>
      </c>
      <c r="AF65" s="20" t="s">
        <v>987</v>
      </c>
      <c r="AG65" s="20" t="s">
        <v>835</v>
      </c>
      <c r="AH65" s="20">
        <v>5</v>
      </c>
      <c r="AI65" s="20">
        <v>6</v>
      </c>
      <c r="AJ65" s="20" t="s">
        <v>592</v>
      </c>
      <c r="AL65" s="20" t="s">
        <v>1154</v>
      </c>
      <c r="AM65" s="20" t="s">
        <v>335</v>
      </c>
      <c r="AN65" s="20" t="s">
        <v>575</v>
      </c>
      <c r="AO65" s="20" t="s">
        <v>1029</v>
      </c>
      <c r="AP65" s="20" t="s">
        <v>628</v>
      </c>
      <c r="AQ65" s="20">
        <v>10</v>
      </c>
      <c r="AR65" s="20">
        <v>13</v>
      </c>
      <c r="AS65" s="20" t="s">
        <v>592</v>
      </c>
    </row>
    <row r="66" spans="2:45" ht="15.75" customHeight="1" x14ac:dyDescent="0.2">
      <c r="B66" s="20" t="s">
        <v>1144</v>
      </c>
      <c r="C66" s="20" t="s">
        <v>249</v>
      </c>
      <c r="D66" s="20" t="s">
        <v>562</v>
      </c>
      <c r="E66" s="20" t="s">
        <v>761</v>
      </c>
      <c r="F66" s="20" t="s">
        <v>628</v>
      </c>
      <c r="G66" s="20">
        <v>10</v>
      </c>
      <c r="H66" s="20">
        <v>6</v>
      </c>
      <c r="I66" s="20" t="s">
        <v>592</v>
      </c>
      <c r="K66" s="20" t="s">
        <v>1158</v>
      </c>
      <c r="L66" s="20" t="s">
        <v>291</v>
      </c>
      <c r="M66" s="20" t="s">
        <v>1408</v>
      </c>
      <c r="N66" s="20" t="s">
        <v>495</v>
      </c>
      <c r="O66" s="20" t="s">
        <v>835</v>
      </c>
      <c r="P66" s="20">
        <v>5</v>
      </c>
      <c r="Q66" s="20">
        <v>5</v>
      </c>
      <c r="R66" s="20" t="s">
        <v>592</v>
      </c>
      <c r="T66" s="20" t="s">
        <v>1149</v>
      </c>
      <c r="U66" s="20" t="s">
        <v>806</v>
      </c>
      <c r="V66" s="20" t="s">
        <v>469</v>
      </c>
      <c r="W66" s="20" t="s">
        <v>977</v>
      </c>
      <c r="X66" s="20" t="s">
        <v>628</v>
      </c>
      <c r="Y66" s="20">
        <v>10</v>
      </c>
      <c r="Z66" s="20">
        <v>6</v>
      </c>
      <c r="AA66" s="20" t="s">
        <v>592</v>
      </c>
      <c r="AC66" s="20" t="s">
        <v>1162</v>
      </c>
      <c r="AD66" s="20" t="s">
        <v>240</v>
      </c>
      <c r="AE66" s="20" t="s">
        <v>364</v>
      </c>
      <c r="AF66" s="20" t="s">
        <v>626</v>
      </c>
      <c r="AG66" s="20" t="s">
        <v>628</v>
      </c>
      <c r="AH66" s="20">
        <v>10</v>
      </c>
      <c r="AI66" s="20">
        <v>10</v>
      </c>
      <c r="AJ66" s="20" t="s">
        <v>592</v>
      </c>
      <c r="AL66" s="20" t="s">
        <v>1154</v>
      </c>
      <c r="AM66" s="20" t="s">
        <v>217</v>
      </c>
      <c r="AN66" s="20" t="s">
        <v>1622</v>
      </c>
      <c r="AO66" s="20" t="s">
        <v>2265</v>
      </c>
      <c r="AP66" s="20" t="s">
        <v>628</v>
      </c>
      <c r="AQ66" s="20">
        <v>10</v>
      </c>
      <c r="AR66" s="20">
        <v>8</v>
      </c>
      <c r="AS66" s="20" t="s">
        <v>592</v>
      </c>
    </row>
    <row r="67" spans="2:45" ht="15.75" customHeight="1" x14ac:dyDescent="0.2">
      <c r="B67" s="20" t="s">
        <v>1144</v>
      </c>
      <c r="C67" s="20" t="s">
        <v>249</v>
      </c>
      <c r="D67" s="20" t="s">
        <v>562</v>
      </c>
      <c r="E67" s="20" t="s">
        <v>762</v>
      </c>
      <c r="F67" s="20" t="s">
        <v>628</v>
      </c>
      <c r="G67" s="20">
        <v>10</v>
      </c>
      <c r="H67" s="20">
        <v>3</v>
      </c>
      <c r="I67" s="20" t="s">
        <v>592</v>
      </c>
      <c r="K67" s="20" t="s">
        <v>1158</v>
      </c>
      <c r="L67" s="20" t="s">
        <v>928</v>
      </c>
      <c r="M67" s="20" t="s">
        <v>1490</v>
      </c>
      <c r="N67" s="20" t="s">
        <v>888</v>
      </c>
      <c r="O67" s="20" t="s">
        <v>835</v>
      </c>
      <c r="P67" s="20">
        <v>5</v>
      </c>
      <c r="Q67" s="20">
        <v>1</v>
      </c>
      <c r="R67" s="20" t="s">
        <v>592</v>
      </c>
      <c r="T67" s="20" t="s">
        <v>1149</v>
      </c>
      <c r="U67" s="20" t="s">
        <v>806</v>
      </c>
      <c r="V67" s="20" t="s">
        <v>469</v>
      </c>
      <c r="W67" s="20" t="s">
        <v>978</v>
      </c>
      <c r="X67" s="20" t="s">
        <v>628</v>
      </c>
      <c r="Y67" s="20">
        <v>10</v>
      </c>
      <c r="Z67" s="20">
        <v>2</v>
      </c>
      <c r="AA67" s="20" t="s">
        <v>592</v>
      </c>
      <c r="AC67" s="20" t="s">
        <v>1158</v>
      </c>
      <c r="AD67" s="20" t="s">
        <v>925</v>
      </c>
      <c r="AE67" s="20" t="s">
        <v>533</v>
      </c>
      <c r="AF67" s="20" t="s">
        <v>1418</v>
      </c>
      <c r="AG67" s="20" t="s">
        <v>835</v>
      </c>
      <c r="AH67" s="20">
        <v>5</v>
      </c>
      <c r="AI67" s="20">
        <v>5</v>
      </c>
      <c r="AJ67" s="20" t="s">
        <v>592</v>
      </c>
      <c r="AL67" s="20" t="s">
        <v>1154</v>
      </c>
      <c r="AM67" s="20" t="s">
        <v>217</v>
      </c>
      <c r="AN67" s="20" t="s">
        <v>1557</v>
      </c>
      <c r="AO67" s="20" t="s">
        <v>2926</v>
      </c>
      <c r="AP67" s="20" t="s">
        <v>628</v>
      </c>
      <c r="AQ67" s="20">
        <v>10</v>
      </c>
      <c r="AR67" s="20">
        <v>20</v>
      </c>
      <c r="AS67" s="20" t="s">
        <v>592</v>
      </c>
    </row>
    <row r="68" spans="2:45" ht="15.75" customHeight="1" x14ac:dyDescent="0.2">
      <c r="B68" s="20" t="s">
        <v>1147</v>
      </c>
      <c r="C68" s="20" t="s">
        <v>20</v>
      </c>
      <c r="D68" s="20" t="s">
        <v>449</v>
      </c>
      <c r="E68" s="20" t="s">
        <v>637</v>
      </c>
      <c r="F68" s="20" t="s">
        <v>628</v>
      </c>
      <c r="G68" s="20">
        <v>10</v>
      </c>
      <c r="H68" s="20">
        <v>7</v>
      </c>
      <c r="I68" s="20" t="s">
        <v>592</v>
      </c>
      <c r="K68" s="20" t="s">
        <v>1158</v>
      </c>
      <c r="L68" s="20" t="s">
        <v>726</v>
      </c>
      <c r="M68" s="20" t="s">
        <v>1491</v>
      </c>
      <c r="N68" s="20" t="s">
        <v>412</v>
      </c>
      <c r="O68" s="20" t="s">
        <v>835</v>
      </c>
      <c r="P68" s="20">
        <v>5</v>
      </c>
      <c r="Q68" s="20">
        <v>2</v>
      </c>
      <c r="R68" s="20" t="s">
        <v>593</v>
      </c>
      <c r="T68" s="20" t="s">
        <v>640</v>
      </c>
      <c r="U68" s="20" t="s">
        <v>191</v>
      </c>
      <c r="V68" s="20" t="s">
        <v>572</v>
      </c>
      <c r="W68" s="20" t="s">
        <v>1755</v>
      </c>
      <c r="X68" s="20" t="s">
        <v>835</v>
      </c>
      <c r="Y68" s="20">
        <v>5</v>
      </c>
      <c r="Z68" s="20">
        <v>5</v>
      </c>
      <c r="AA68" s="20" t="s">
        <v>592</v>
      </c>
      <c r="AC68" s="20" t="s">
        <v>1163</v>
      </c>
      <c r="AD68" s="20" t="s">
        <v>221</v>
      </c>
      <c r="AE68" s="20" t="s">
        <v>2534</v>
      </c>
      <c r="AF68" s="20" t="s">
        <v>2585</v>
      </c>
      <c r="AG68" s="20" t="s">
        <v>628</v>
      </c>
      <c r="AH68" s="20">
        <v>10</v>
      </c>
      <c r="AI68" s="20">
        <v>10</v>
      </c>
      <c r="AJ68" s="20" t="s">
        <v>592</v>
      </c>
      <c r="AL68" s="20" t="s">
        <v>1154</v>
      </c>
      <c r="AM68" s="20" t="s">
        <v>217</v>
      </c>
      <c r="AN68" s="20" t="s">
        <v>577</v>
      </c>
      <c r="AO68" s="20" t="s">
        <v>1067</v>
      </c>
      <c r="AP68" s="20" t="s">
        <v>628</v>
      </c>
      <c r="AQ68" s="20">
        <v>10</v>
      </c>
      <c r="AR68" s="20">
        <v>47</v>
      </c>
      <c r="AS68" s="20" t="s">
        <v>592</v>
      </c>
    </row>
    <row r="69" spans="2:45" ht="15.75" customHeight="1" x14ac:dyDescent="0.2">
      <c r="B69" s="20" t="s">
        <v>1147</v>
      </c>
      <c r="C69" s="20" t="s">
        <v>20</v>
      </c>
      <c r="D69" s="20" t="s">
        <v>449</v>
      </c>
      <c r="E69" s="20" t="s">
        <v>851</v>
      </c>
      <c r="F69" s="20" t="s">
        <v>628</v>
      </c>
      <c r="G69" s="20">
        <v>10</v>
      </c>
      <c r="H69" s="20">
        <v>1</v>
      </c>
      <c r="I69" s="20" t="s">
        <v>592</v>
      </c>
      <c r="K69" s="20" t="s">
        <v>1158</v>
      </c>
      <c r="L69" s="20" t="s">
        <v>726</v>
      </c>
      <c r="M69" s="20" t="s">
        <v>1492</v>
      </c>
      <c r="N69" s="20" t="s">
        <v>412</v>
      </c>
      <c r="O69" s="20" t="s">
        <v>835</v>
      </c>
      <c r="P69" s="20">
        <v>5</v>
      </c>
      <c r="Q69" s="20">
        <v>1</v>
      </c>
      <c r="R69" s="20" t="s">
        <v>593</v>
      </c>
      <c r="T69" s="20" t="s">
        <v>646</v>
      </c>
      <c r="U69" s="20" t="s">
        <v>298</v>
      </c>
      <c r="V69" s="20" t="s">
        <v>374</v>
      </c>
      <c r="W69" s="20" t="s">
        <v>968</v>
      </c>
      <c r="X69" s="20" t="s">
        <v>835</v>
      </c>
      <c r="Y69" s="20">
        <v>5</v>
      </c>
      <c r="Z69" s="20">
        <v>1</v>
      </c>
      <c r="AA69" s="20" t="s">
        <v>593</v>
      </c>
      <c r="AC69" s="20" t="s">
        <v>1154</v>
      </c>
      <c r="AD69" s="20" t="s">
        <v>217</v>
      </c>
      <c r="AE69" s="20" t="s">
        <v>2512</v>
      </c>
      <c r="AF69" s="20" t="s">
        <v>2435</v>
      </c>
      <c r="AG69" s="20" t="s">
        <v>835</v>
      </c>
      <c r="AH69" s="20">
        <v>5</v>
      </c>
      <c r="AI69" s="20">
        <v>1</v>
      </c>
      <c r="AJ69" s="20" t="s">
        <v>593</v>
      </c>
      <c r="AL69" s="20" t="s">
        <v>1154</v>
      </c>
      <c r="AM69" s="20" t="s">
        <v>217</v>
      </c>
      <c r="AN69" s="20" t="s">
        <v>578</v>
      </c>
      <c r="AO69" s="20" t="s">
        <v>2700</v>
      </c>
      <c r="AP69" s="20" t="s">
        <v>628</v>
      </c>
      <c r="AQ69" s="20">
        <v>10</v>
      </c>
      <c r="AR69" s="20">
        <v>51</v>
      </c>
      <c r="AS69" s="20" t="s">
        <v>592</v>
      </c>
    </row>
    <row r="70" spans="2:45" ht="15.75" customHeight="1" x14ac:dyDescent="0.2">
      <c r="B70" s="20" t="s">
        <v>1147</v>
      </c>
      <c r="C70" s="20" t="s">
        <v>20</v>
      </c>
      <c r="D70" s="20" t="s">
        <v>451</v>
      </c>
      <c r="E70" s="20" t="s">
        <v>585</v>
      </c>
      <c r="F70" s="20" t="s">
        <v>628</v>
      </c>
      <c r="G70" s="20">
        <v>10</v>
      </c>
      <c r="H70" s="20">
        <v>7</v>
      </c>
      <c r="I70" s="20" t="s">
        <v>592</v>
      </c>
      <c r="K70" s="20" t="s">
        <v>1163</v>
      </c>
      <c r="L70" s="20" t="s">
        <v>57</v>
      </c>
      <c r="M70" s="20" t="s">
        <v>1493</v>
      </c>
      <c r="N70" s="20" t="s">
        <v>506</v>
      </c>
      <c r="O70" s="20" t="s">
        <v>835</v>
      </c>
      <c r="P70" s="20">
        <v>5</v>
      </c>
      <c r="Q70" s="20">
        <v>5</v>
      </c>
      <c r="R70" s="20" t="s">
        <v>592</v>
      </c>
      <c r="T70" s="20" t="s">
        <v>1154</v>
      </c>
      <c r="U70" s="20" t="s">
        <v>307</v>
      </c>
      <c r="V70" s="20" t="s">
        <v>565</v>
      </c>
      <c r="W70" s="20" t="s">
        <v>2133</v>
      </c>
      <c r="X70" s="20" t="s">
        <v>835</v>
      </c>
      <c r="Y70" s="20">
        <v>5</v>
      </c>
      <c r="Z70" s="20">
        <v>1</v>
      </c>
      <c r="AA70" s="20" t="s">
        <v>593</v>
      </c>
      <c r="AC70" s="20" t="s">
        <v>1155</v>
      </c>
      <c r="AD70" s="20" t="s">
        <v>657</v>
      </c>
      <c r="AE70" s="20" t="s">
        <v>2481</v>
      </c>
      <c r="AF70" s="20" t="s">
        <v>2254</v>
      </c>
      <c r="AG70" s="20" t="s">
        <v>835</v>
      </c>
      <c r="AH70" s="20">
        <v>5</v>
      </c>
      <c r="AI70" s="20">
        <v>2</v>
      </c>
      <c r="AJ70" s="20" t="s">
        <v>593</v>
      </c>
      <c r="AL70" s="20" t="s">
        <v>1154</v>
      </c>
      <c r="AM70" s="20" t="s">
        <v>217</v>
      </c>
      <c r="AN70" s="20" t="s">
        <v>1871</v>
      </c>
      <c r="AO70" s="20" t="s">
        <v>1870</v>
      </c>
      <c r="AP70" s="20" t="s">
        <v>628</v>
      </c>
      <c r="AQ70" s="20">
        <v>10</v>
      </c>
      <c r="AR70" s="20">
        <v>18</v>
      </c>
      <c r="AS70" s="20" t="s">
        <v>592</v>
      </c>
    </row>
    <row r="71" spans="2:45" ht="15.75" customHeight="1" x14ac:dyDescent="0.2">
      <c r="B71" s="20" t="s">
        <v>1147</v>
      </c>
      <c r="C71" s="20" t="s">
        <v>20</v>
      </c>
      <c r="D71" s="20" t="s">
        <v>451</v>
      </c>
      <c r="E71" s="20" t="s">
        <v>746</v>
      </c>
      <c r="F71" s="20" t="s">
        <v>628</v>
      </c>
      <c r="G71" s="20">
        <v>10</v>
      </c>
      <c r="H71" s="20">
        <v>2</v>
      </c>
      <c r="I71" s="20" t="s">
        <v>592</v>
      </c>
      <c r="K71" s="20" t="s">
        <v>1163</v>
      </c>
      <c r="L71" s="20" t="s">
        <v>221</v>
      </c>
      <c r="M71" s="20" t="s">
        <v>1494</v>
      </c>
      <c r="N71" s="20" t="s">
        <v>621</v>
      </c>
      <c r="O71" s="20" t="s">
        <v>835</v>
      </c>
      <c r="P71" s="20">
        <v>5</v>
      </c>
      <c r="Q71" s="20">
        <v>5</v>
      </c>
      <c r="R71" s="20" t="s">
        <v>592</v>
      </c>
      <c r="T71" s="20" t="s">
        <v>1155</v>
      </c>
      <c r="U71" s="20" t="s">
        <v>286</v>
      </c>
      <c r="V71" s="20" t="s">
        <v>1512</v>
      </c>
      <c r="W71" s="20" t="s">
        <v>1717</v>
      </c>
      <c r="X71" s="20" t="s">
        <v>628</v>
      </c>
      <c r="Y71" s="20">
        <v>10</v>
      </c>
      <c r="Z71" s="20">
        <v>9</v>
      </c>
      <c r="AA71" s="20" t="s">
        <v>592</v>
      </c>
      <c r="AC71" s="20" t="s">
        <v>1162</v>
      </c>
      <c r="AD71" s="20" t="s">
        <v>230</v>
      </c>
      <c r="AE71" s="20" t="s">
        <v>366</v>
      </c>
      <c r="AF71" s="20" t="s">
        <v>1239</v>
      </c>
      <c r="AG71" s="20" t="s">
        <v>835</v>
      </c>
      <c r="AH71" s="20">
        <v>5</v>
      </c>
      <c r="AI71" s="20">
        <v>3</v>
      </c>
      <c r="AJ71" s="20" t="s">
        <v>593</v>
      </c>
      <c r="AL71" s="20" t="s">
        <v>1154</v>
      </c>
      <c r="AM71" s="20" t="s">
        <v>217</v>
      </c>
      <c r="AN71" s="20" t="s">
        <v>2789</v>
      </c>
      <c r="AO71" s="20" t="s">
        <v>2927</v>
      </c>
      <c r="AP71" s="20" t="s">
        <v>628</v>
      </c>
      <c r="AQ71" s="20">
        <v>10</v>
      </c>
      <c r="AR71" s="20">
        <v>11</v>
      </c>
      <c r="AS71" s="20" t="s">
        <v>592</v>
      </c>
    </row>
    <row r="72" spans="2:45" ht="15.75" customHeight="1" x14ac:dyDescent="0.2">
      <c r="B72" s="20" t="s">
        <v>1163</v>
      </c>
      <c r="C72" s="20" t="s">
        <v>299</v>
      </c>
      <c r="D72" s="20" t="s">
        <v>408</v>
      </c>
      <c r="E72" s="20" t="s">
        <v>1025</v>
      </c>
      <c r="F72" s="20" t="s">
        <v>628</v>
      </c>
      <c r="G72" s="20">
        <v>10</v>
      </c>
      <c r="H72" s="20">
        <v>3</v>
      </c>
      <c r="I72" s="20" t="s">
        <v>593</v>
      </c>
      <c r="K72" s="20" t="s">
        <v>1163</v>
      </c>
      <c r="L72" s="20" t="s">
        <v>57</v>
      </c>
      <c r="M72" s="20" t="s">
        <v>1132</v>
      </c>
      <c r="N72" s="20" t="s">
        <v>359</v>
      </c>
      <c r="O72" s="20" t="s">
        <v>835</v>
      </c>
      <c r="P72" s="20">
        <v>5</v>
      </c>
      <c r="Q72" s="20">
        <v>13</v>
      </c>
      <c r="R72" s="20" t="s">
        <v>592</v>
      </c>
      <c r="T72" s="20" t="s">
        <v>1155</v>
      </c>
      <c r="U72" s="20" t="s">
        <v>286</v>
      </c>
      <c r="V72" s="20" t="s">
        <v>1512</v>
      </c>
      <c r="W72" s="20" t="s">
        <v>1718</v>
      </c>
      <c r="X72" s="20" t="s">
        <v>628</v>
      </c>
      <c r="Y72" s="20">
        <v>10</v>
      </c>
      <c r="Z72" s="20">
        <v>1</v>
      </c>
      <c r="AA72" s="20" t="s">
        <v>592</v>
      </c>
      <c r="AC72" s="20" t="s">
        <v>1154</v>
      </c>
      <c r="AD72" s="20" t="s">
        <v>335</v>
      </c>
      <c r="AE72" s="20" t="s">
        <v>711</v>
      </c>
      <c r="AF72" s="20" t="s">
        <v>2049</v>
      </c>
      <c r="AG72" s="20" t="s">
        <v>835</v>
      </c>
      <c r="AH72" s="20">
        <v>5</v>
      </c>
      <c r="AI72" s="20">
        <v>5</v>
      </c>
      <c r="AJ72" s="20" t="s">
        <v>592</v>
      </c>
      <c r="AL72" s="20" t="s">
        <v>1154</v>
      </c>
      <c r="AM72" s="20" t="s">
        <v>217</v>
      </c>
      <c r="AN72" s="20" t="s">
        <v>576</v>
      </c>
      <c r="AO72" s="20" t="s">
        <v>2622</v>
      </c>
      <c r="AP72" s="20" t="s">
        <v>628</v>
      </c>
      <c r="AQ72" s="20">
        <v>10</v>
      </c>
      <c r="AR72" s="20">
        <v>49</v>
      </c>
      <c r="AS72" s="20" t="s">
        <v>592</v>
      </c>
    </row>
    <row r="73" spans="2:45" ht="15.75" customHeight="1" x14ac:dyDescent="0.2">
      <c r="B73" s="20" t="s">
        <v>1163</v>
      </c>
      <c r="C73" s="20" t="s">
        <v>299</v>
      </c>
      <c r="D73" s="20" t="s">
        <v>557</v>
      </c>
      <c r="E73" s="20" t="s">
        <v>1024</v>
      </c>
      <c r="F73" s="20" t="s">
        <v>628</v>
      </c>
      <c r="G73" s="20">
        <v>10</v>
      </c>
      <c r="H73" s="20">
        <v>2</v>
      </c>
      <c r="I73" s="20" t="s">
        <v>593</v>
      </c>
      <c r="K73" s="20" t="s">
        <v>1163</v>
      </c>
      <c r="L73" s="20" t="s">
        <v>207</v>
      </c>
      <c r="M73" s="20" t="s">
        <v>1495</v>
      </c>
      <c r="N73" s="20" t="s">
        <v>1496</v>
      </c>
      <c r="O73" s="20" t="s">
        <v>835</v>
      </c>
      <c r="P73" s="20">
        <v>5</v>
      </c>
      <c r="Q73" s="20">
        <v>6</v>
      </c>
      <c r="R73" s="20" t="s">
        <v>592</v>
      </c>
      <c r="T73" s="20" t="s">
        <v>1169</v>
      </c>
      <c r="U73" s="20" t="s">
        <v>671</v>
      </c>
      <c r="V73" s="20" t="s">
        <v>710</v>
      </c>
      <c r="W73" s="20" t="s">
        <v>975</v>
      </c>
      <c r="X73" s="20" t="s">
        <v>628</v>
      </c>
      <c r="Y73" s="20">
        <v>10</v>
      </c>
      <c r="Z73" s="20">
        <v>14</v>
      </c>
      <c r="AA73" s="20" t="s">
        <v>592</v>
      </c>
      <c r="AC73" s="20" t="s">
        <v>1155</v>
      </c>
      <c r="AD73" s="20" t="s">
        <v>657</v>
      </c>
      <c r="AE73" s="20" t="s">
        <v>483</v>
      </c>
      <c r="AF73" s="20" t="s">
        <v>1630</v>
      </c>
      <c r="AG73" s="20" t="s">
        <v>835</v>
      </c>
      <c r="AH73" s="20">
        <v>5</v>
      </c>
      <c r="AI73" s="20">
        <v>5</v>
      </c>
      <c r="AJ73" s="20" t="s">
        <v>592</v>
      </c>
      <c r="AL73" s="20" t="s">
        <v>1154</v>
      </c>
      <c r="AM73" s="20" t="s">
        <v>217</v>
      </c>
      <c r="AN73" s="20" t="s">
        <v>2045</v>
      </c>
      <c r="AO73" s="20" t="s">
        <v>2044</v>
      </c>
      <c r="AP73" s="20" t="s">
        <v>628</v>
      </c>
      <c r="AQ73" s="20">
        <v>10</v>
      </c>
      <c r="AR73" s="20">
        <v>1</v>
      </c>
      <c r="AS73" s="20" t="s">
        <v>593</v>
      </c>
    </row>
    <row r="74" spans="2:45" ht="15.75" customHeight="1" x14ac:dyDescent="0.2">
      <c r="B74" s="20" t="s">
        <v>1163</v>
      </c>
      <c r="C74" s="20" t="s">
        <v>221</v>
      </c>
      <c r="D74" s="20" t="s">
        <v>556</v>
      </c>
      <c r="E74" s="20" t="s">
        <v>797</v>
      </c>
      <c r="F74" s="20" t="s">
        <v>628</v>
      </c>
      <c r="G74" s="20">
        <v>10</v>
      </c>
      <c r="H74" s="20">
        <v>9</v>
      </c>
      <c r="I74" s="20" t="s">
        <v>592</v>
      </c>
      <c r="K74" s="20" t="s">
        <v>1163</v>
      </c>
      <c r="L74" s="20" t="s">
        <v>57</v>
      </c>
      <c r="M74" s="20" t="s">
        <v>1497</v>
      </c>
      <c r="N74" s="20" t="s">
        <v>361</v>
      </c>
      <c r="O74" s="20" t="s">
        <v>835</v>
      </c>
      <c r="P74" s="20">
        <v>5</v>
      </c>
      <c r="Q74" s="20">
        <v>2</v>
      </c>
      <c r="R74" s="20" t="s">
        <v>593</v>
      </c>
      <c r="T74" s="20" t="s">
        <v>1162</v>
      </c>
      <c r="U74" s="20" t="s">
        <v>352</v>
      </c>
      <c r="V74" s="20" t="s">
        <v>1469</v>
      </c>
      <c r="W74" s="20" t="s">
        <v>2080</v>
      </c>
      <c r="X74" s="20" t="s">
        <v>628</v>
      </c>
      <c r="Y74" s="20">
        <v>10</v>
      </c>
      <c r="Z74" s="20">
        <v>7</v>
      </c>
      <c r="AA74" s="20" t="s">
        <v>592</v>
      </c>
      <c r="AC74" s="20" t="s">
        <v>1161</v>
      </c>
      <c r="AD74" s="20" t="s">
        <v>41</v>
      </c>
      <c r="AE74" s="20" t="s">
        <v>540</v>
      </c>
      <c r="AF74" s="20" t="s">
        <v>2342</v>
      </c>
      <c r="AG74" s="20" t="s">
        <v>835</v>
      </c>
      <c r="AH74" s="20">
        <v>5</v>
      </c>
      <c r="AI74" s="20">
        <v>6</v>
      </c>
      <c r="AJ74" s="20" t="s">
        <v>592</v>
      </c>
      <c r="AL74" s="20" t="s">
        <v>1154</v>
      </c>
      <c r="AM74" s="20" t="s">
        <v>1152</v>
      </c>
      <c r="AN74" s="20" t="s">
        <v>520</v>
      </c>
      <c r="AO74" s="20" t="s">
        <v>1502</v>
      </c>
      <c r="AP74" s="20" t="s">
        <v>628</v>
      </c>
      <c r="AQ74" s="20">
        <v>10</v>
      </c>
      <c r="AR74" s="20">
        <v>17</v>
      </c>
      <c r="AS74" s="20" t="s">
        <v>592</v>
      </c>
    </row>
    <row r="75" spans="2:45" ht="15.75" customHeight="1" x14ac:dyDescent="0.2">
      <c r="B75" s="20" t="s">
        <v>1163</v>
      </c>
      <c r="C75" s="20" t="s">
        <v>221</v>
      </c>
      <c r="D75" s="20" t="s">
        <v>621</v>
      </c>
      <c r="E75" s="20" t="s">
        <v>1215</v>
      </c>
      <c r="F75" s="20" t="s">
        <v>628</v>
      </c>
      <c r="G75" s="20">
        <v>10</v>
      </c>
      <c r="H75" s="20">
        <v>2</v>
      </c>
      <c r="I75" s="20" t="s">
        <v>593</v>
      </c>
      <c r="K75" s="20" t="s">
        <v>1155</v>
      </c>
      <c r="L75" s="20" t="s">
        <v>286</v>
      </c>
      <c r="M75" s="20" t="s">
        <v>1498</v>
      </c>
      <c r="N75" s="20" t="s">
        <v>1499</v>
      </c>
      <c r="O75" s="20" t="s">
        <v>835</v>
      </c>
      <c r="P75" s="20">
        <v>5</v>
      </c>
      <c r="Q75" s="20">
        <v>1</v>
      </c>
      <c r="R75" s="20" t="s">
        <v>593</v>
      </c>
      <c r="T75" s="20" t="s">
        <v>1162</v>
      </c>
      <c r="U75" s="20" t="s">
        <v>352</v>
      </c>
      <c r="V75" s="20" t="s">
        <v>1469</v>
      </c>
      <c r="W75" s="20" t="s">
        <v>2134</v>
      </c>
      <c r="X75" s="20" t="s">
        <v>628</v>
      </c>
      <c r="Y75" s="20">
        <v>10</v>
      </c>
      <c r="Z75" s="20">
        <v>1</v>
      </c>
      <c r="AA75" s="20" t="s">
        <v>592</v>
      </c>
      <c r="AC75" s="20" t="s">
        <v>1141</v>
      </c>
      <c r="AD75" s="20" t="s">
        <v>787</v>
      </c>
      <c r="AE75" s="20" t="s">
        <v>767</v>
      </c>
      <c r="AF75" s="20" t="s">
        <v>2303</v>
      </c>
      <c r="AG75" s="20" t="s">
        <v>835</v>
      </c>
      <c r="AH75" s="20">
        <v>5</v>
      </c>
      <c r="AI75" s="20">
        <v>5</v>
      </c>
      <c r="AJ75" s="20" t="s">
        <v>592</v>
      </c>
      <c r="AL75" s="20" t="s">
        <v>1154</v>
      </c>
      <c r="AM75" s="20" t="s">
        <v>217</v>
      </c>
      <c r="AN75" s="20" t="s">
        <v>625</v>
      </c>
      <c r="AO75" s="20" t="s">
        <v>1036</v>
      </c>
      <c r="AP75" s="20" t="s">
        <v>628</v>
      </c>
      <c r="AQ75" s="20">
        <v>10</v>
      </c>
      <c r="AR75" s="20">
        <v>5</v>
      </c>
      <c r="AS75" s="20" t="s">
        <v>593</v>
      </c>
    </row>
    <row r="76" spans="2:45" ht="15.75" customHeight="1" x14ac:dyDescent="0.2">
      <c r="B76" s="20" t="s">
        <v>1141</v>
      </c>
      <c r="C76" s="20" t="s">
        <v>787</v>
      </c>
      <c r="D76" s="20" t="s">
        <v>714</v>
      </c>
      <c r="E76" s="20" t="s">
        <v>818</v>
      </c>
      <c r="F76" s="20" t="s">
        <v>628</v>
      </c>
      <c r="G76" s="20">
        <v>10</v>
      </c>
      <c r="H76" s="20">
        <v>9</v>
      </c>
      <c r="I76" s="20" t="s">
        <v>592</v>
      </c>
      <c r="K76" s="20" t="s">
        <v>1154</v>
      </c>
      <c r="L76" s="20" t="s">
        <v>335</v>
      </c>
      <c r="M76" s="20" t="s">
        <v>720</v>
      </c>
      <c r="N76" s="20" t="s">
        <v>550</v>
      </c>
      <c r="O76" s="20" t="s">
        <v>835</v>
      </c>
      <c r="P76" s="20">
        <v>5</v>
      </c>
      <c r="Q76" s="20">
        <v>1</v>
      </c>
      <c r="R76" s="20" t="s">
        <v>593</v>
      </c>
      <c r="T76" s="20" t="s">
        <v>1147</v>
      </c>
      <c r="U76" s="20" t="s">
        <v>20</v>
      </c>
      <c r="V76" s="20" t="s">
        <v>450</v>
      </c>
      <c r="W76" s="20" t="s">
        <v>2135</v>
      </c>
      <c r="X76" s="20" t="s">
        <v>835</v>
      </c>
      <c r="Y76" s="20">
        <v>5</v>
      </c>
      <c r="Z76" s="20">
        <v>8</v>
      </c>
      <c r="AA76" s="20" t="s">
        <v>592</v>
      </c>
      <c r="AC76" s="20" t="s">
        <v>640</v>
      </c>
      <c r="AD76" s="20" t="s">
        <v>248</v>
      </c>
      <c r="AE76" s="20" t="s">
        <v>961</v>
      </c>
      <c r="AF76" s="20" t="s">
        <v>2586</v>
      </c>
      <c r="AG76" s="20" t="s">
        <v>835</v>
      </c>
      <c r="AH76" s="20">
        <v>5</v>
      </c>
      <c r="AI76" s="20">
        <v>1</v>
      </c>
      <c r="AJ76" s="20" t="s">
        <v>593</v>
      </c>
      <c r="AL76" s="20" t="s">
        <v>1154</v>
      </c>
      <c r="AM76" s="20" t="s">
        <v>1152</v>
      </c>
      <c r="AN76" s="20" t="s">
        <v>1864</v>
      </c>
      <c r="AO76" s="20" t="s">
        <v>2928</v>
      </c>
      <c r="AP76" s="20" t="s">
        <v>628</v>
      </c>
      <c r="AQ76" s="20">
        <v>10</v>
      </c>
      <c r="AR76" s="20">
        <v>11</v>
      </c>
      <c r="AS76" s="20" t="s">
        <v>592</v>
      </c>
    </row>
    <row r="77" spans="2:45" ht="15.75" customHeight="1" x14ac:dyDescent="0.2">
      <c r="B77" s="20" t="s">
        <v>1141</v>
      </c>
      <c r="C77" s="20" t="s">
        <v>787</v>
      </c>
      <c r="D77" s="20" t="s">
        <v>714</v>
      </c>
      <c r="E77" s="20" t="s">
        <v>1079</v>
      </c>
      <c r="F77" s="20" t="s">
        <v>628</v>
      </c>
      <c r="G77" s="20">
        <v>10</v>
      </c>
      <c r="H77" s="20">
        <v>1</v>
      </c>
      <c r="I77" s="20" t="s">
        <v>592</v>
      </c>
      <c r="K77" s="20" t="s">
        <v>1154</v>
      </c>
      <c r="L77" s="20" t="s">
        <v>335</v>
      </c>
      <c r="M77" s="20" t="s">
        <v>1500</v>
      </c>
      <c r="N77" s="20" t="s">
        <v>1501</v>
      </c>
      <c r="O77" s="20" t="s">
        <v>835</v>
      </c>
      <c r="P77" s="20">
        <v>5</v>
      </c>
      <c r="Q77" s="20">
        <v>5</v>
      </c>
      <c r="R77" s="20" t="s">
        <v>592</v>
      </c>
      <c r="T77" s="20" t="s">
        <v>1141</v>
      </c>
      <c r="U77" s="20" t="s">
        <v>218</v>
      </c>
      <c r="V77" s="20" t="s">
        <v>2458</v>
      </c>
      <c r="W77" s="20" t="s">
        <v>2136</v>
      </c>
      <c r="X77" s="20" t="s">
        <v>835</v>
      </c>
      <c r="Y77" s="20">
        <v>5</v>
      </c>
      <c r="Z77" s="20">
        <v>5</v>
      </c>
      <c r="AA77" s="20" t="s">
        <v>592</v>
      </c>
      <c r="AC77" s="20" t="s">
        <v>640</v>
      </c>
      <c r="AD77" s="20" t="s">
        <v>248</v>
      </c>
      <c r="AE77" s="20" t="s">
        <v>2060</v>
      </c>
      <c r="AF77" s="20" t="s">
        <v>2059</v>
      </c>
      <c r="AG77" s="20" t="s">
        <v>835</v>
      </c>
      <c r="AH77" s="20">
        <v>5</v>
      </c>
      <c r="AI77" s="20">
        <v>5</v>
      </c>
      <c r="AJ77" s="20" t="s">
        <v>592</v>
      </c>
      <c r="AL77" s="20" t="s">
        <v>1154</v>
      </c>
      <c r="AM77" s="20" t="s">
        <v>1152</v>
      </c>
      <c r="AN77" s="20" t="s">
        <v>624</v>
      </c>
      <c r="AO77" s="20" t="s">
        <v>1290</v>
      </c>
      <c r="AP77" s="20" t="s">
        <v>628</v>
      </c>
      <c r="AQ77" s="20">
        <v>10</v>
      </c>
      <c r="AR77" s="20">
        <v>20</v>
      </c>
      <c r="AS77" s="20" t="s">
        <v>592</v>
      </c>
    </row>
    <row r="78" spans="2:45" ht="15.75" customHeight="1" x14ac:dyDescent="0.2">
      <c r="B78" s="20" t="s">
        <v>640</v>
      </c>
      <c r="C78" s="20" t="s">
        <v>31</v>
      </c>
      <c r="D78" s="20" t="s">
        <v>850</v>
      </c>
      <c r="E78" s="20" t="s">
        <v>1016</v>
      </c>
      <c r="F78" s="20" t="s">
        <v>835</v>
      </c>
      <c r="G78" s="20">
        <v>5</v>
      </c>
      <c r="H78" s="20">
        <v>5</v>
      </c>
      <c r="I78" s="20" t="s">
        <v>592</v>
      </c>
      <c r="K78" s="20" t="s">
        <v>1154</v>
      </c>
      <c r="L78" s="20" t="s">
        <v>1152</v>
      </c>
      <c r="M78" s="20" t="s">
        <v>1502</v>
      </c>
      <c r="N78" s="20" t="s">
        <v>520</v>
      </c>
      <c r="O78" s="20" t="s">
        <v>835</v>
      </c>
      <c r="P78" s="20">
        <v>5</v>
      </c>
      <c r="Q78" s="20">
        <v>7</v>
      </c>
      <c r="R78" s="20" t="s">
        <v>592</v>
      </c>
      <c r="T78" s="20" t="s">
        <v>1141</v>
      </c>
      <c r="U78" s="20" t="s">
        <v>780</v>
      </c>
      <c r="V78" s="20" t="s">
        <v>398</v>
      </c>
      <c r="W78" s="20" t="s">
        <v>1287</v>
      </c>
      <c r="X78" s="20" t="s">
        <v>628</v>
      </c>
      <c r="Y78" s="20">
        <v>10</v>
      </c>
      <c r="Z78" s="20">
        <v>8</v>
      </c>
      <c r="AA78" s="20" t="s">
        <v>592</v>
      </c>
      <c r="AC78" s="20" t="s">
        <v>1141</v>
      </c>
      <c r="AD78" s="20" t="s">
        <v>780</v>
      </c>
      <c r="AE78" s="20" t="s">
        <v>2535</v>
      </c>
      <c r="AF78" s="20" t="s">
        <v>2587</v>
      </c>
      <c r="AG78" s="20" t="s">
        <v>835</v>
      </c>
      <c r="AH78" s="20">
        <v>5</v>
      </c>
      <c r="AI78" s="20">
        <v>5</v>
      </c>
      <c r="AJ78" s="20" t="s">
        <v>592</v>
      </c>
      <c r="AL78" s="20" t="s">
        <v>1154</v>
      </c>
      <c r="AM78" s="20" t="s">
        <v>1152</v>
      </c>
      <c r="AN78" s="20" t="s">
        <v>715</v>
      </c>
      <c r="AO78" s="20" t="s">
        <v>2929</v>
      </c>
      <c r="AP78" s="20" t="s">
        <v>628</v>
      </c>
      <c r="AQ78" s="20">
        <v>10</v>
      </c>
      <c r="AR78" s="20">
        <v>19</v>
      </c>
      <c r="AS78" s="20" t="s">
        <v>592</v>
      </c>
    </row>
    <row r="79" spans="2:45" ht="15.75" customHeight="1" x14ac:dyDescent="0.2">
      <c r="B79" s="20" t="s">
        <v>1147</v>
      </c>
      <c r="C79" s="20" t="s">
        <v>29</v>
      </c>
      <c r="D79" s="20" t="s">
        <v>422</v>
      </c>
      <c r="E79" s="20" t="s">
        <v>770</v>
      </c>
      <c r="F79" s="20" t="s">
        <v>628</v>
      </c>
      <c r="G79" s="20">
        <v>10</v>
      </c>
      <c r="H79" s="20">
        <v>5</v>
      </c>
      <c r="I79" s="20" t="s">
        <v>592</v>
      </c>
      <c r="K79" s="20" t="s">
        <v>1149</v>
      </c>
      <c r="L79" s="20" t="s">
        <v>806</v>
      </c>
      <c r="M79" s="20" t="s">
        <v>1503</v>
      </c>
      <c r="N79" s="20" t="s">
        <v>1504</v>
      </c>
      <c r="O79" s="20" t="s">
        <v>628</v>
      </c>
      <c r="P79" s="20">
        <v>10</v>
      </c>
      <c r="Q79" s="20">
        <v>8</v>
      </c>
      <c r="R79" s="20" t="s">
        <v>592</v>
      </c>
      <c r="T79" s="20" t="s">
        <v>1147</v>
      </c>
      <c r="U79" s="20" t="s">
        <v>699</v>
      </c>
      <c r="V79" s="20" t="s">
        <v>489</v>
      </c>
      <c r="W79" s="20" t="s">
        <v>1282</v>
      </c>
      <c r="X79" s="20" t="s">
        <v>628</v>
      </c>
      <c r="Y79" s="20">
        <v>10</v>
      </c>
      <c r="Z79" s="20">
        <v>8</v>
      </c>
      <c r="AA79" s="20" t="s">
        <v>592</v>
      </c>
      <c r="AC79" s="20" t="s">
        <v>640</v>
      </c>
      <c r="AD79" s="20" t="s">
        <v>31</v>
      </c>
      <c r="AE79" s="20" t="s">
        <v>432</v>
      </c>
      <c r="AF79" s="20" t="s">
        <v>2588</v>
      </c>
      <c r="AG79" s="20" t="s">
        <v>835</v>
      </c>
      <c r="AH79" s="20">
        <v>5</v>
      </c>
      <c r="AI79" s="20">
        <v>1</v>
      </c>
      <c r="AJ79" s="20" t="s">
        <v>593</v>
      </c>
      <c r="AL79" s="20" t="s">
        <v>1154</v>
      </c>
      <c r="AM79" s="20" t="s">
        <v>1152</v>
      </c>
      <c r="AN79" s="20" t="s">
        <v>574</v>
      </c>
      <c r="AO79" s="20" t="s">
        <v>2930</v>
      </c>
      <c r="AP79" s="20" t="s">
        <v>628</v>
      </c>
      <c r="AQ79" s="20">
        <v>10</v>
      </c>
      <c r="AR79" s="20">
        <v>8</v>
      </c>
      <c r="AS79" s="20" t="s">
        <v>592</v>
      </c>
    </row>
    <row r="80" spans="2:45" ht="15.75" customHeight="1" x14ac:dyDescent="0.2">
      <c r="B80" s="20" t="s">
        <v>1163</v>
      </c>
      <c r="C80" s="20" t="s">
        <v>207</v>
      </c>
      <c r="D80" s="20" t="s">
        <v>600</v>
      </c>
      <c r="E80" s="20" t="s">
        <v>1019</v>
      </c>
      <c r="F80" s="20" t="s">
        <v>628</v>
      </c>
      <c r="G80" s="20">
        <v>10</v>
      </c>
      <c r="H80" s="20">
        <v>1</v>
      </c>
      <c r="I80" s="20" t="s">
        <v>593</v>
      </c>
      <c r="K80" s="20" t="s">
        <v>646</v>
      </c>
      <c r="L80" s="20" t="s">
        <v>1109</v>
      </c>
      <c r="M80" s="20" t="s">
        <v>1232</v>
      </c>
      <c r="N80" s="20" t="s">
        <v>367</v>
      </c>
      <c r="O80" s="20" t="s">
        <v>835</v>
      </c>
      <c r="P80" s="20">
        <v>5</v>
      </c>
      <c r="Q80" s="20">
        <v>11</v>
      </c>
      <c r="R80" s="20" t="s">
        <v>592</v>
      </c>
      <c r="T80" s="20" t="s">
        <v>1144</v>
      </c>
      <c r="U80" s="20" t="s">
        <v>313</v>
      </c>
      <c r="V80" s="20" t="s">
        <v>531</v>
      </c>
      <c r="W80" s="20" t="s">
        <v>1442</v>
      </c>
      <c r="X80" s="20" t="s">
        <v>835</v>
      </c>
      <c r="Y80" s="20">
        <v>5</v>
      </c>
      <c r="Z80" s="20">
        <v>6</v>
      </c>
      <c r="AA80" s="20" t="s">
        <v>592</v>
      </c>
      <c r="AC80" s="20" t="s">
        <v>646</v>
      </c>
      <c r="AD80" s="20" t="s">
        <v>25</v>
      </c>
      <c r="AE80" s="20" t="s">
        <v>521</v>
      </c>
      <c r="AF80" s="20" t="s">
        <v>2345</v>
      </c>
      <c r="AG80" s="20" t="s">
        <v>628</v>
      </c>
      <c r="AH80" s="20">
        <v>10</v>
      </c>
      <c r="AI80" s="20">
        <v>10</v>
      </c>
      <c r="AJ80" s="20" t="s">
        <v>592</v>
      </c>
      <c r="AL80" s="20" t="s">
        <v>1154</v>
      </c>
      <c r="AM80" s="20" t="s">
        <v>1152</v>
      </c>
      <c r="AN80" s="20" t="s">
        <v>2486</v>
      </c>
      <c r="AO80" s="20" t="s">
        <v>2931</v>
      </c>
      <c r="AP80" s="20" t="s">
        <v>835</v>
      </c>
      <c r="AQ80" s="20">
        <v>5</v>
      </c>
      <c r="AR80" s="20">
        <v>9</v>
      </c>
      <c r="AS80" s="20" t="s">
        <v>592</v>
      </c>
    </row>
    <row r="81" spans="2:45" ht="15.75" customHeight="1" x14ac:dyDescent="0.2">
      <c r="B81" s="20" t="s">
        <v>1147</v>
      </c>
      <c r="C81" s="20" t="s">
        <v>29</v>
      </c>
      <c r="D81" s="20" t="s">
        <v>422</v>
      </c>
      <c r="E81" s="20" t="s">
        <v>973</v>
      </c>
      <c r="F81" s="20" t="s">
        <v>628</v>
      </c>
      <c r="G81" s="20">
        <v>10</v>
      </c>
      <c r="H81" s="20">
        <v>3</v>
      </c>
      <c r="I81" s="20" t="s">
        <v>592</v>
      </c>
      <c r="K81" s="20" t="s">
        <v>1163</v>
      </c>
      <c r="L81" s="20" t="s">
        <v>837</v>
      </c>
      <c r="M81" s="20" t="s">
        <v>1368</v>
      </c>
      <c r="N81" s="20" t="s">
        <v>358</v>
      </c>
      <c r="O81" s="20" t="s">
        <v>835</v>
      </c>
      <c r="P81" s="20">
        <v>5</v>
      </c>
      <c r="Q81" s="20">
        <v>9</v>
      </c>
      <c r="R81" s="20" t="s">
        <v>592</v>
      </c>
      <c r="T81" s="20" t="s">
        <v>1163</v>
      </c>
      <c r="U81" s="20" t="s">
        <v>299</v>
      </c>
      <c r="V81" s="20" t="s">
        <v>1569</v>
      </c>
      <c r="W81" s="20" t="s">
        <v>1568</v>
      </c>
      <c r="X81" s="20" t="s">
        <v>835</v>
      </c>
      <c r="Y81" s="20">
        <v>5</v>
      </c>
      <c r="Z81" s="20">
        <v>4</v>
      </c>
      <c r="AA81" s="20" t="s">
        <v>592</v>
      </c>
      <c r="AC81" s="20" t="s">
        <v>1144</v>
      </c>
      <c r="AD81" s="20" t="s">
        <v>804</v>
      </c>
      <c r="AE81" s="20" t="s">
        <v>546</v>
      </c>
      <c r="AF81" s="20" t="s">
        <v>830</v>
      </c>
      <c r="AG81" s="20" t="s">
        <v>835</v>
      </c>
      <c r="AH81" s="20">
        <v>5</v>
      </c>
      <c r="AI81" s="20">
        <v>6</v>
      </c>
      <c r="AJ81" s="20" t="s">
        <v>592</v>
      </c>
      <c r="AL81" s="20" t="s">
        <v>1154</v>
      </c>
      <c r="AM81" s="20" t="s">
        <v>1152</v>
      </c>
      <c r="AN81" s="20" t="s">
        <v>1862</v>
      </c>
      <c r="AO81" s="20" t="s">
        <v>2151</v>
      </c>
      <c r="AP81" s="20" t="s">
        <v>835</v>
      </c>
      <c r="AQ81" s="20">
        <v>5</v>
      </c>
      <c r="AR81" s="20">
        <v>6</v>
      </c>
      <c r="AS81" s="20" t="s">
        <v>592</v>
      </c>
    </row>
    <row r="82" spans="2:45" ht="15.75" customHeight="1" x14ac:dyDescent="0.2">
      <c r="B82" s="20" t="s">
        <v>640</v>
      </c>
      <c r="C82" s="20" t="s">
        <v>31</v>
      </c>
      <c r="D82" s="20" t="s">
        <v>810</v>
      </c>
      <c r="E82" s="20" t="s">
        <v>862</v>
      </c>
      <c r="F82" s="20" t="s">
        <v>835</v>
      </c>
      <c r="G82" s="20">
        <v>5</v>
      </c>
      <c r="H82" s="20">
        <v>7</v>
      </c>
      <c r="I82" s="20" t="s">
        <v>592</v>
      </c>
      <c r="K82" s="20" t="s">
        <v>646</v>
      </c>
      <c r="L82" s="20" t="s">
        <v>25</v>
      </c>
      <c r="M82" s="20" t="s">
        <v>1013</v>
      </c>
      <c r="N82" s="20" t="s">
        <v>524</v>
      </c>
      <c r="O82" s="20" t="s">
        <v>835</v>
      </c>
      <c r="P82" s="20">
        <v>5</v>
      </c>
      <c r="Q82" s="20">
        <v>6</v>
      </c>
      <c r="R82" s="20" t="s">
        <v>592</v>
      </c>
      <c r="T82" s="20" t="s">
        <v>1163</v>
      </c>
      <c r="U82" s="20" t="s">
        <v>299</v>
      </c>
      <c r="V82" s="20" t="s">
        <v>1569</v>
      </c>
      <c r="W82" s="20" t="s">
        <v>1570</v>
      </c>
      <c r="X82" s="20" t="s">
        <v>835</v>
      </c>
      <c r="Y82" s="20">
        <v>5</v>
      </c>
      <c r="Z82" s="20">
        <v>1</v>
      </c>
      <c r="AA82" s="20" t="s">
        <v>592</v>
      </c>
      <c r="AC82" s="20" t="s">
        <v>1147</v>
      </c>
      <c r="AD82" s="20" t="s">
        <v>225</v>
      </c>
      <c r="AE82" s="20" t="s">
        <v>1917</v>
      </c>
      <c r="AF82" s="20" t="s">
        <v>1916</v>
      </c>
      <c r="AG82" s="20" t="s">
        <v>835</v>
      </c>
      <c r="AH82" s="20">
        <v>5</v>
      </c>
      <c r="AI82" s="20">
        <v>1</v>
      </c>
      <c r="AJ82" s="20" t="s">
        <v>593</v>
      </c>
      <c r="AL82" s="20" t="s">
        <v>1154</v>
      </c>
      <c r="AM82" s="20" t="s">
        <v>1152</v>
      </c>
      <c r="AN82" s="20" t="s">
        <v>1867</v>
      </c>
      <c r="AO82" s="20" t="s">
        <v>1866</v>
      </c>
      <c r="AP82" s="20" t="s">
        <v>628</v>
      </c>
      <c r="AQ82" s="20">
        <v>10</v>
      </c>
      <c r="AR82" s="20">
        <v>10</v>
      </c>
      <c r="AS82" s="20" t="s">
        <v>592</v>
      </c>
    </row>
    <row r="83" spans="2:45" ht="15.75" customHeight="1" x14ac:dyDescent="0.2">
      <c r="B83" s="20" t="s">
        <v>640</v>
      </c>
      <c r="C83" s="20" t="s">
        <v>31</v>
      </c>
      <c r="D83" s="20" t="s">
        <v>810</v>
      </c>
      <c r="E83" s="20" t="s">
        <v>1018</v>
      </c>
      <c r="F83" s="20" t="s">
        <v>835</v>
      </c>
      <c r="G83" s="20">
        <v>5</v>
      </c>
      <c r="H83" s="20">
        <v>4</v>
      </c>
      <c r="I83" s="20" t="s">
        <v>592</v>
      </c>
      <c r="K83" s="20" t="s">
        <v>1144</v>
      </c>
      <c r="L83" s="20" t="s">
        <v>804</v>
      </c>
      <c r="M83" s="20" t="s">
        <v>830</v>
      </c>
      <c r="N83" s="20" t="s">
        <v>546</v>
      </c>
      <c r="O83" s="20" t="s">
        <v>628</v>
      </c>
      <c r="P83" s="20">
        <v>10</v>
      </c>
      <c r="Q83" s="20">
        <v>8</v>
      </c>
      <c r="R83" s="20" t="s">
        <v>592</v>
      </c>
      <c r="T83" s="20" t="s">
        <v>1149</v>
      </c>
      <c r="U83" s="20" t="s">
        <v>63</v>
      </c>
      <c r="V83" s="20" t="s">
        <v>1482</v>
      </c>
      <c r="W83" s="20" t="s">
        <v>1481</v>
      </c>
      <c r="X83" s="20" t="s">
        <v>835</v>
      </c>
      <c r="Y83" s="20">
        <v>5</v>
      </c>
      <c r="Z83" s="20">
        <v>2</v>
      </c>
      <c r="AA83" s="20" t="s">
        <v>593</v>
      </c>
      <c r="AC83" s="20" t="s">
        <v>1147</v>
      </c>
      <c r="AD83" s="20" t="s">
        <v>70</v>
      </c>
      <c r="AE83" s="20" t="s">
        <v>632</v>
      </c>
      <c r="AF83" s="20" t="s">
        <v>2589</v>
      </c>
      <c r="AG83" s="20" t="s">
        <v>835</v>
      </c>
      <c r="AH83" s="20">
        <v>5</v>
      </c>
      <c r="AI83" s="20">
        <v>5</v>
      </c>
      <c r="AJ83" s="20" t="s">
        <v>592</v>
      </c>
      <c r="AL83" s="20" t="s">
        <v>1154</v>
      </c>
      <c r="AM83" s="20" t="s">
        <v>1152</v>
      </c>
      <c r="AN83" s="20" t="s">
        <v>2552</v>
      </c>
      <c r="AO83" s="20" t="s">
        <v>2692</v>
      </c>
      <c r="AP83" s="20" t="s">
        <v>628</v>
      </c>
      <c r="AQ83" s="20">
        <v>10</v>
      </c>
      <c r="AR83" s="20">
        <v>14</v>
      </c>
      <c r="AS83" s="20" t="s">
        <v>592</v>
      </c>
    </row>
    <row r="84" spans="2:45" ht="15.75" customHeight="1" x14ac:dyDescent="0.2">
      <c r="B84" s="20" t="s">
        <v>1141</v>
      </c>
      <c r="C84" s="20" t="s">
        <v>780</v>
      </c>
      <c r="D84" s="20" t="s">
        <v>400</v>
      </c>
      <c r="E84" s="20" t="s">
        <v>1001</v>
      </c>
      <c r="F84" s="20" t="s">
        <v>628</v>
      </c>
      <c r="G84" s="20">
        <v>10</v>
      </c>
      <c r="H84" s="20">
        <v>7</v>
      </c>
      <c r="I84" s="20" t="s">
        <v>592</v>
      </c>
      <c r="K84" s="20" t="s">
        <v>1144</v>
      </c>
      <c r="L84" s="20" t="s">
        <v>804</v>
      </c>
      <c r="M84" s="20" t="s">
        <v>1030</v>
      </c>
      <c r="N84" s="20" t="s">
        <v>546</v>
      </c>
      <c r="O84" s="20" t="s">
        <v>628</v>
      </c>
      <c r="P84" s="20">
        <v>10</v>
      </c>
      <c r="Q84" s="20">
        <v>1</v>
      </c>
      <c r="R84" s="20" t="s">
        <v>592</v>
      </c>
      <c r="T84" s="20" t="s">
        <v>1141</v>
      </c>
      <c r="U84" s="20" t="s">
        <v>224</v>
      </c>
      <c r="V84" s="20" t="s">
        <v>1798</v>
      </c>
      <c r="W84" s="20" t="s">
        <v>1797</v>
      </c>
      <c r="X84" s="20" t="s">
        <v>835</v>
      </c>
      <c r="Y84" s="20">
        <v>5</v>
      </c>
      <c r="Z84" s="20">
        <v>5</v>
      </c>
      <c r="AA84" s="20" t="s">
        <v>592</v>
      </c>
      <c r="AC84" s="20" t="s">
        <v>1147</v>
      </c>
      <c r="AD84" s="20" t="s">
        <v>70</v>
      </c>
      <c r="AE84" s="20" t="s">
        <v>632</v>
      </c>
      <c r="AF84" s="20" t="s">
        <v>2590</v>
      </c>
      <c r="AG84" s="20" t="s">
        <v>835</v>
      </c>
      <c r="AH84" s="20">
        <v>5</v>
      </c>
      <c r="AI84" s="20">
        <v>1</v>
      </c>
      <c r="AJ84" s="20" t="s">
        <v>592</v>
      </c>
      <c r="AL84" s="20" t="s">
        <v>1154</v>
      </c>
      <c r="AM84" s="20" t="s">
        <v>217</v>
      </c>
      <c r="AN84" s="20" t="s">
        <v>579</v>
      </c>
      <c r="AO84" s="20" t="s">
        <v>2932</v>
      </c>
      <c r="AP84" s="20" t="s">
        <v>628</v>
      </c>
      <c r="AQ84" s="20">
        <v>10</v>
      </c>
      <c r="AR84" s="20">
        <v>18</v>
      </c>
      <c r="AS84" s="20" t="s">
        <v>592</v>
      </c>
    </row>
    <row r="85" spans="2:45" ht="15.75" customHeight="1" x14ac:dyDescent="0.2">
      <c r="B85" s="20" t="s">
        <v>1141</v>
      </c>
      <c r="C85" s="20" t="s">
        <v>780</v>
      </c>
      <c r="D85" s="20" t="s">
        <v>400</v>
      </c>
      <c r="E85" s="20" t="s">
        <v>1137</v>
      </c>
      <c r="F85" s="20" t="s">
        <v>628</v>
      </c>
      <c r="G85" s="20">
        <v>10</v>
      </c>
      <c r="H85" s="20">
        <v>1</v>
      </c>
      <c r="I85" s="20" t="s">
        <v>592</v>
      </c>
      <c r="K85" s="20" t="s">
        <v>1143</v>
      </c>
      <c r="L85" s="20" t="s">
        <v>689</v>
      </c>
      <c r="M85" s="20" t="s">
        <v>1505</v>
      </c>
      <c r="N85" s="20" t="s">
        <v>1506</v>
      </c>
      <c r="O85" s="20" t="s">
        <v>835</v>
      </c>
      <c r="P85" s="20">
        <v>5</v>
      </c>
      <c r="Q85" s="20">
        <v>7</v>
      </c>
      <c r="R85" s="20" t="s">
        <v>592</v>
      </c>
      <c r="T85" s="20" t="s">
        <v>646</v>
      </c>
      <c r="U85" s="20" t="s">
        <v>303</v>
      </c>
      <c r="V85" s="20" t="s">
        <v>426</v>
      </c>
      <c r="W85" s="20" t="s">
        <v>2137</v>
      </c>
      <c r="X85" s="20" t="s">
        <v>835</v>
      </c>
      <c r="Y85" s="20">
        <v>5</v>
      </c>
      <c r="Z85" s="20">
        <v>5</v>
      </c>
      <c r="AA85" s="20" t="s">
        <v>592</v>
      </c>
      <c r="AC85" s="20" t="s">
        <v>1147</v>
      </c>
      <c r="AD85" s="20" t="s">
        <v>225</v>
      </c>
      <c r="AE85" s="20" t="s">
        <v>381</v>
      </c>
      <c r="AF85" s="20" t="s">
        <v>2251</v>
      </c>
      <c r="AG85" s="20" t="s">
        <v>835</v>
      </c>
      <c r="AH85" s="20">
        <v>5</v>
      </c>
      <c r="AI85" s="20">
        <v>7</v>
      </c>
      <c r="AJ85" s="20" t="s">
        <v>592</v>
      </c>
      <c r="AL85" s="20" t="s">
        <v>1154</v>
      </c>
      <c r="AM85" s="20" t="s">
        <v>1152</v>
      </c>
      <c r="AN85" s="20" t="s">
        <v>2790</v>
      </c>
      <c r="AO85" s="20" t="s">
        <v>2933</v>
      </c>
      <c r="AP85" s="20" t="s">
        <v>835</v>
      </c>
      <c r="AQ85" s="20">
        <v>5</v>
      </c>
      <c r="AR85" s="20">
        <v>5</v>
      </c>
      <c r="AS85" s="20" t="s">
        <v>592</v>
      </c>
    </row>
    <row r="86" spans="2:45" ht="15.75" customHeight="1" x14ac:dyDescent="0.2">
      <c r="B86" s="20" t="s">
        <v>1163</v>
      </c>
      <c r="C86" s="20" t="s">
        <v>837</v>
      </c>
      <c r="D86" s="20" t="s">
        <v>407</v>
      </c>
      <c r="E86" s="20" t="s">
        <v>1216</v>
      </c>
      <c r="F86" s="20" t="s">
        <v>628</v>
      </c>
      <c r="G86" s="20">
        <v>10</v>
      </c>
      <c r="H86" s="20">
        <v>5</v>
      </c>
      <c r="I86" s="20" t="s">
        <v>593</v>
      </c>
      <c r="K86" s="20" t="s">
        <v>1143</v>
      </c>
      <c r="L86" s="20" t="s">
        <v>706</v>
      </c>
      <c r="M86" s="20" t="s">
        <v>1507</v>
      </c>
      <c r="N86" s="20" t="s">
        <v>605</v>
      </c>
      <c r="O86" s="20" t="s">
        <v>835</v>
      </c>
      <c r="P86" s="20">
        <v>5</v>
      </c>
      <c r="Q86" s="20">
        <v>5</v>
      </c>
      <c r="R86" s="20" t="s">
        <v>592</v>
      </c>
      <c r="T86" s="20" t="s">
        <v>1141</v>
      </c>
      <c r="U86" s="20" t="s">
        <v>787</v>
      </c>
      <c r="V86" s="20" t="s">
        <v>1980</v>
      </c>
      <c r="W86" s="20" t="s">
        <v>1979</v>
      </c>
      <c r="X86" s="20" t="s">
        <v>835</v>
      </c>
      <c r="Y86" s="20">
        <v>5</v>
      </c>
      <c r="Z86" s="20">
        <v>5</v>
      </c>
      <c r="AA86" s="20" t="s">
        <v>592</v>
      </c>
      <c r="AC86" s="20" t="s">
        <v>1147</v>
      </c>
      <c r="AD86" s="20" t="s">
        <v>70</v>
      </c>
      <c r="AE86" s="20" t="s">
        <v>1742</v>
      </c>
      <c r="AF86" s="20" t="s">
        <v>1741</v>
      </c>
      <c r="AG86" s="20" t="s">
        <v>835</v>
      </c>
      <c r="AH86" s="20">
        <v>5</v>
      </c>
      <c r="AI86" s="20">
        <v>5</v>
      </c>
      <c r="AJ86" s="20" t="s">
        <v>592</v>
      </c>
      <c r="AL86" s="20" t="s">
        <v>1154</v>
      </c>
      <c r="AM86" s="20" t="s">
        <v>335</v>
      </c>
      <c r="AN86" s="20" t="s">
        <v>550</v>
      </c>
      <c r="AO86" s="20" t="s">
        <v>2934</v>
      </c>
      <c r="AP86" s="20" t="s">
        <v>628</v>
      </c>
      <c r="AQ86" s="20">
        <v>10</v>
      </c>
      <c r="AR86" s="20">
        <v>1</v>
      </c>
      <c r="AS86" s="20" t="s">
        <v>593</v>
      </c>
    </row>
    <row r="87" spans="2:45" ht="15.75" customHeight="1" x14ac:dyDescent="0.2">
      <c r="B87" s="20" t="s">
        <v>646</v>
      </c>
      <c r="C87" s="20" t="s">
        <v>285</v>
      </c>
      <c r="D87" s="20" t="s">
        <v>461</v>
      </c>
      <c r="E87" s="20" t="s">
        <v>864</v>
      </c>
      <c r="F87" s="20" t="s">
        <v>628</v>
      </c>
      <c r="G87" s="20">
        <v>10</v>
      </c>
      <c r="H87" s="20">
        <v>10</v>
      </c>
      <c r="I87" s="20" t="s">
        <v>592</v>
      </c>
      <c r="K87" s="20" t="s">
        <v>1143</v>
      </c>
      <c r="L87" s="20" t="s">
        <v>689</v>
      </c>
      <c r="M87" s="20" t="s">
        <v>1508</v>
      </c>
      <c r="N87" s="20" t="s">
        <v>1506</v>
      </c>
      <c r="O87" s="20" t="s">
        <v>835</v>
      </c>
      <c r="P87" s="20">
        <v>5</v>
      </c>
      <c r="Q87" s="20">
        <v>2</v>
      </c>
      <c r="R87" s="20" t="s">
        <v>592</v>
      </c>
      <c r="T87" s="20" t="s">
        <v>1155</v>
      </c>
      <c r="U87" s="20" t="s">
        <v>657</v>
      </c>
      <c r="V87" s="20" t="s">
        <v>481</v>
      </c>
      <c r="W87" s="20" t="s">
        <v>878</v>
      </c>
      <c r="X87" s="20" t="s">
        <v>628</v>
      </c>
      <c r="Y87" s="20">
        <v>10</v>
      </c>
      <c r="Z87" s="20">
        <v>1</v>
      </c>
      <c r="AA87" s="20" t="s">
        <v>593</v>
      </c>
      <c r="AC87" s="20" t="s">
        <v>1149</v>
      </c>
      <c r="AD87" s="20" t="s">
        <v>806</v>
      </c>
      <c r="AE87" s="20" t="s">
        <v>468</v>
      </c>
      <c r="AF87" s="20" t="s">
        <v>2052</v>
      </c>
      <c r="AG87" s="20" t="s">
        <v>835</v>
      </c>
      <c r="AH87" s="20">
        <v>5</v>
      </c>
      <c r="AI87" s="20">
        <v>5</v>
      </c>
      <c r="AJ87" s="20" t="s">
        <v>592</v>
      </c>
      <c r="AL87" s="20" t="s">
        <v>1154</v>
      </c>
      <c r="AM87" s="20" t="s">
        <v>217</v>
      </c>
      <c r="AN87" s="20" t="s">
        <v>2544</v>
      </c>
      <c r="AO87" s="20" t="s">
        <v>2648</v>
      </c>
      <c r="AP87" s="20" t="s">
        <v>628</v>
      </c>
      <c r="AQ87" s="20">
        <v>10</v>
      </c>
      <c r="AR87" s="20">
        <v>2</v>
      </c>
      <c r="AS87" s="20" t="s">
        <v>593</v>
      </c>
    </row>
    <row r="88" spans="2:45" ht="15.75" customHeight="1" x14ac:dyDescent="0.2">
      <c r="B88" s="20" t="s">
        <v>1155</v>
      </c>
      <c r="C88" s="20" t="s">
        <v>286</v>
      </c>
      <c r="D88" s="20" t="s">
        <v>898</v>
      </c>
      <c r="E88" s="20" t="s">
        <v>1014</v>
      </c>
      <c r="F88" s="20" t="s">
        <v>628</v>
      </c>
      <c r="G88" s="20">
        <v>10</v>
      </c>
      <c r="H88" s="20">
        <v>9</v>
      </c>
      <c r="I88" s="20" t="s">
        <v>592</v>
      </c>
      <c r="K88" s="20" t="s">
        <v>1149</v>
      </c>
      <c r="L88" s="20" t="s">
        <v>1150</v>
      </c>
      <c r="M88" s="20" t="s">
        <v>1388</v>
      </c>
      <c r="N88" s="20" t="s">
        <v>479</v>
      </c>
      <c r="O88" s="20" t="s">
        <v>628</v>
      </c>
      <c r="P88" s="20">
        <v>10</v>
      </c>
      <c r="Q88" s="20">
        <v>8</v>
      </c>
      <c r="R88" s="20" t="s">
        <v>592</v>
      </c>
      <c r="T88" s="20" t="s">
        <v>1155</v>
      </c>
      <c r="U88" s="20" t="s">
        <v>1156</v>
      </c>
      <c r="V88" s="20" t="s">
        <v>1538</v>
      </c>
      <c r="W88" s="20" t="s">
        <v>1537</v>
      </c>
      <c r="X88" s="20" t="s">
        <v>835</v>
      </c>
      <c r="Y88" s="20">
        <v>5</v>
      </c>
      <c r="Z88" s="20">
        <v>6</v>
      </c>
      <c r="AA88" s="20" t="s">
        <v>592</v>
      </c>
      <c r="AC88" s="20" t="s">
        <v>1162</v>
      </c>
      <c r="AD88" s="20" t="s">
        <v>230</v>
      </c>
      <c r="AE88" s="20" t="s">
        <v>415</v>
      </c>
      <c r="AF88" s="20" t="s">
        <v>2349</v>
      </c>
      <c r="AG88" s="20" t="s">
        <v>628</v>
      </c>
      <c r="AH88" s="20">
        <v>10</v>
      </c>
      <c r="AI88" s="20">
        <v>2</v>
      </c>
      <c r="AJ88" s="20" t="s">
        <v>593</v>
      </c>
      <c r="AL88" s="20" t="s">
        <v>1154</v>
      </c>
      <c r="AM88" s="20" t="s">
        <v>307</v>
      </c>
      <c r="AN88" s="20" t="s">
        <v>567</v>
      </c>
      <c r="AO88" s="20" t="s">
        <v>2935</v>
      </c>
      <c r="AP88" s="20" t="s">
        <v>628</v>
      </c>
      <c r="AQ88" s="20">
        <v>10</v>
      </c>
      <c r="AR88" s="20">
        <v>10</v>
      </c>
      <c r="AS88" s="20" t="s">
        <v>592</v>
      </c>
    </row>
    <row r="89" spans="2:45" ht="15.75" customHeight="1" x14ac:dyDescent="0.2">
      <c r="B89" s="20" t="s">
        <v>646</v>
      </c>
      <c r="C89" s="20" t="s">
        <v>285</v>
      </c>
      <c r="D89" s="20" t="s">
        <v>461</v>
      </c>
      <c r="E89" s="20" t="s">
        <v>1217</v>
      </c>
      <c r="F89" s="20" t="s">
        <v>628</v>
      </c>
      <c r="G89" s="20">
        <v>10</v>
      </c>
      <c r="H89" s="20">
        <v>1</v>
      </c>
      <c r="I89" s="20" t="s">
        <v>592</v>
      </c>
      <c r="K89" s="20" t="s">
        <v>1149</v>
      </c>
      <c r="L89" s="20" t="s">
        <v>1150</v>
      </c>
      <c r="M89" s="20" t="s">
        <v>1509</v>
      </c>
      <c r="N89" s="20" t="s">
        <v>479</v>
      </c>
      <c r="O89" s="20" t="s">
        <v>628</v>
      </c>
      <c r="P89" s="20">
        <v>10</v>
      </c>
      <c r="Q89" s="20">
        <v>1</v>
      </c>
      <c r="R89" s="20" t="s">
        <v>592</v>
      </c>
      <c r="T89" s="20" t="s">
        <v>1169</v>
      </c>
      <c r="U89" s="20" t="s">
        <v>701</v>
      </c>
      <c r="V89" s="20" t="s">
        <v>2067</v>
      </c>
      <c r="W89" s="20" t="s">
        <v>2066</v>
      </c>
      <c r="X89" s="20" t="s">
        <v>628</v>
      </c>
      <c r="Y89" s="20">
        <v>10</v>
      </c>
      <c r="Z89" s="20">
        <v>9</v>
      </c>
      <c r="AA89" s="20" t="s">
        <v>592</v>
      </c>
      <c r="AC89" s="20" t="s">
        <v>1155</v>
      </c>
      <c r="AD89" s="20" t="s">
        <v>1156</v>
      </c>
      <c r="AE89" s="20" t="s">
        <v>517</v>
      </c>
      <c r="AF89" s="20" t="s">
        <v>1416</v>
      </c>
      <c r="AG89" s="20" t="s">
        <v>835</v>
      </c>
      <c r="AH89" s="20">
        <v>5</v>
      </c>
      <c r="AI89" s="20">
        <v>4</v>
      </c>
      <c r="AJ89" s="20" t="s">
        <v>593</v>
      </c>
      <c r="AL89" s="20" t="s">
        <v>1154</v>
      </c>
      <c r="AM89" s="20" t="s">
        <v>307</v>
      </c>
      <c r="AN89" s="20" t="s">
        <v>2485</v>
      </c>
      <c r="AO89" s="20" t="s">
        <v>2280</v>
      </c>
      <c r="AP89" s="20" t="s">
        <v>835</v>
      </c>
      <c r="AQ89" s="20">
        <v>5</v>
      </c>
      <c r="AR89" s="20">
        <v>1</v>
      </c>
      <c r="AS89" s="20" t="s">
        <v>593</v>
      </c>
    </row>
    <row r="90" spans="2:45" ht="15.75" customHeight="1" x14ac:dyDescent="0.2">
      <c r="B90" s="20" t="s">
        <v>1155</v>
      </c>
      <c r="C90" s="20" t="s">
        <v>286</v>
      </c>
      <c r="D90" s="20" t="s">
        <v>898</v>
      </c>
      <c r="E90" s="20" t="s">
        <v>1218</v>
      </c>
      <c r="F90" s="20" t="s">
        <v>628</v>
      </c>
      <c r="G90" s="20">
        <v>10</v>
      </c>
      <c r="H90" s="20">
        <v>2</v>
      </c>
      <c r="I90" s="20" t="s">
        <v>592</v>
      </c>
      <c r="K90" s="20" t="s">
        <v>1149</v>
      </c>
      <c r="L90" s="20" t="s">
        <v>301</v>
      </c>
      <c r="M90" s="20" t="s">
        <v>1510</v>
      </c>
      <c r="N90" s="20" t="s">
        <v>503</v>
      </c>
      <c r="O90" s="20" t="s">
        <v>628</v>
      </c>
      <c r="P90" s="20">
        <v>10</v>
      </c>
      <c r="Q90" s="20">
        <v>3</v>
      </c>
      <c r="R90" s="20" t="s">
        <v>592</v>
      </c>
      <c r="T90" s="20" t="s">
        <v>1141</v>
      </c>
      <c r="U90" s="20" t="s">
        <v>218</v>
      </c>
      <c r="V90" s="20" t="s">
        <v>2459</v>
      </c>
      <c r="W90" s="20" t="s">
        <v>2138</v>
      </c>
      <c r="X90" s="20" t="s">
        <v>835</v>
      </c>
      <c r="Y90" s="20">
        <v>5</v>
      </c>
      <c r="Z90" s="20">
        <v>1</v>
      </c>
      <c r="AA90" s="20" t="s">
        <v>593</v>
      </c>
      <c r="AC90" s="20" t="s">
        <v>1162</v>
      </c>
      <c r="AD90" s="20" t="s">
        <v>352</v>
      </c>
      <c r="AE90" s="20" t="s">
        <v>869</v>
      </c>
      <c r="AF90" s="20" t="s">
        <v>2591</v>
      </c>
      <c r="AG90" s="20" t="s">
        <v>835</v>
      </c>
      <c r="AH90" s="20">
        <v>5</v>
      </c>
      <c r="AI90" s="20">
        <v>5</v>
      </c>
      <c r="AJ90" s="20" t="s">
        <v>592</v>
      </c>
      <c r="AL90" s="20" t="s">
        <v>1154</v>
      </c>
      <c r="AM90" s="20" t="s">
        <v>217</v>
      </c>
      <c r="AN90" s="20" t="s">
        <v>2045</v>
      </c>
      <c r="AO90" s="20" t="s">
        <v>2044</v>
      </c>
      <c r="AP90" s="20" t="s">
        <v>835</v>
      </c>
      <c r="AQ90" s="20">
        <v>5</v>
      </c>
      <c r="AR90" s="20">
        <v>2</v>
      </c>
      <c r="AS90" s="20" t="s">
        <v>593</v>
      </c>
    </row>
    <row r="91" spans="2:45" ht="15.75" customHeight="1" x14ac:dyDescent="0.2">
      <c r="B91" s="20" t="s">
        <v>1141</v>
      </c>
      <c r="C91" s="20" t="s">
        <v>218</v>
      </c>
      <c r="D91" s="20" t="s">
        <v>732</v>
      </c>
      <c r="E91" s="20" t="s">
        <v>1219</v>
      </c>
      <c r="F91" s="20" t="s">
        <v>628</v>
      </c>
      <c r="G91" s="20">
        <v>10</v>
      </c>
      <c r="H91" s="20">
        <v>6</v>
      </c>
      <c r="I91" s="20" t="s">
        <v>592</v>
      </c>
      <c r="K91" s="20" t="s">
        <v>1149</v>
      </c>
      <c r="L91" s="20" t="s">
        <v>301</v>
      </c>
      <c r="M91" s="20" t="s">
        <v>1301</v>
      </c>
      <c r="N91" s="20" t="s">
        <v>503</v>
      </c>
      <c r="O91" s="20" t="s">
        <v>628</v>
      </c>
      <c r="P91" s="20">
        <v>10</v>
      </c>
      <c r="Q91" s="20">
        <v>5</v>
      </c>
      <c r="R91" s="20" t="s">
        <v>592</v>
      </c>
      <c r="T91" s="20" t="s">
        <v>1161</v>
      </c>
      <c r="U91" s="20" t="s">
        <v>765</v>
      </c>
      <c r="V91" s="20" t="s">
        <v>858</v>
      </c>
      <c r="W91" s="20" t="s">
        <v>1135</v>
      </c>
      <c r="X91" s="20" t="s">
        <v>835</v>
      </c>
      <c r="Y91" s="20">
        <v>5</v>
      </c>
      <c r="Z91" s="20">
        <v>4</v>
      </c>
      <c r="AA91" s="20" t="s">
        <v>592</v>
      </c>
      <c r="AC91" s="20" t="s">
        <v>2099</v>
      </c>
      <c r="AD91" s="20" t="s">
        <v>2103</v>
      </c>
      <c r="AE91" s="20" t="s">
        <v>2533</v>
      </c>
      <c r="AF91" s="20" t="s">
        <v>2592</v>
      </c>
      <c r="AG91" s="20" t="s">
        <v>835</v>
      </c>
      <c r="AH91" s="20">
        <v>5</v>
      </c>
      <c r="AI91" s="20">
        <v>5</v>
      </c>
      <c r="AJ91" s="20" t="s">
        <v>592</v>
      </c>
      <c r="AL91" s="20" t="s">
        <v>1154</v>
      </c>
      <c r="AM91" s="20" t="s">
        <v>1152</v>
      </c>
      <c r="AN91" s="20" t="s">
        <v>715</v>
      </c>
      <c r="AO91" s="20" t="s">
        <v>2929</v>
      </c>
      <c r="AP91" s="20" t="s">
        <v>835</v>
      </c>
      <c r="AQ91" s="20">
        <v>5</v>
      </c>
      <c r="AR91" s="20">
        <v>7</v>
      </c>
      <c r="AS91" s="20" t="s">
        <v>592</v>
      </c>
    </row>
    <row r="92" spans="2:45" ht="15.75" customHeight="1" x14ac:dyDescent="0.2">
      <c r="B92" s="20" t="s">
        <v>1141</v>
      </c>
      <c r="C92" s="20" t="s">
        <v>218</v>
      </c>
      <c r="D92" s="20" t="s">
        <v>732</v>
      </c>
      <c r="E92" s="20" t="s">
        <v>1220</v>
      </c>
      <c r="F92" s="20" t="s">
        <v>628</v>
      </c>
      <c r="G92" s="20">
        <v>10</v>
      </c>
      <c r="H92" s="20">
        <v>2</v>
      </c>
      <c r="I92" s="20" t="s">
        <v>592</v>
      </c>
      <c r="K92" s="20" t="s">
        <v>1155</v>
      </c>
      <c r="L92" s="20" t="s">
        <v>286</v>
      </c>
      <c r="M92" s="20" t="s">
        <v>1511</v>
      </c>
      <c r="N92" s="20" t="s">
        <v>1512</v>
      </c>
      <c r="O92" s="20" t="s">
        <v>835</v>
      </c>
      <c r="P92" s="20">
        <v>5</v>
      </c>
      <c r="Q92" s="20">
        <v>5</v>
      </c>
      <c r="R92" s="20" t="s">
        <v>592</v>
      </c>
      <c r="T92" s="20" t="s">
        <v>1161</v>
      </c>
      <c r="U92" s="20" t="s">
        <v>765</v>
      </c>
      <c r="V92" s="20" t="s">
        <v>858</v>
      </c>
      <c r="W92" s="20" t="s">
        <v>1136</v>
      </c>
      <c r="X92" s="20" t="s">
        <v>835</v>
      </c>
      <c r="Y92" s="20">
        <v>5</v>
      </c>
      <c r="Z92" s="20">
        <v>1</v>
      </c>
      <c r="AA92" s="20" t="s">
        <v>592</v>
      </c>
      <c r="AC92" s="20" t="s">
        <v>1144</v>
      </c>
      <c r="AD92" s="20" t="s">
        <v>23</v>
      </c>
      <c r="AE92" s="20" t="s">
        <v>543</v>
      </c>
      <c r="AF92" s="20" t="s">
        <v>2593</v>
      </c>
      <c r="AG92" s="20" t="s">
        <v>628</v>
      </c>
      <c r="AH92" s="20">
        <v>10</v>
      </c>
      <c r="AI92" s="20">
        <v>8</v>
      </c>
      <c r="AJ92" s="20" t="s">
        <v>592</v>
      </c>
      <c r="AL92" s="20" t="s">
        <v>1154</v>
      </c>
      <c r="AM92" s="20" t="s">
        <v>307</v>
      </c>
      <c r="AN92" s="20" t="s">
        <v>549</v>
      </c>
      <c r="AO92" s="20" t="s">
        <v>2936</v>
      </c>
      <c r="AP92" s="20" t="s">
        <v>628</v>
      </c>
      <c r="AQ92" s="20">
        <v>10</v>
      </c>
      <c r="AR92" s="20">
        <v>4</v>
      </c>
      <c r="AS92" s="20" t="s">
        <v>593</v>
      </c>
    </row>
    <row r="93" spans="2:45" ht="15.75" customHeight="1" x14ac:dyDescent="0.2">
      <c r="B93" s="20" t="s">
        <v>1147</v>
      </c>
      <c r="C93" s="20" t="s">
        <v>244</v>
      </c>
      <c r="D93" s="20" t="s">
        <v>421</v>
      </c>
      <c r="E93" s="20" t="s">
        <v>777</v>
      </c>
      <c r="F93" s="20" t="s">
        <v>628</v>
      </c>
      <c r="G93" s="20">
        <v>10</v>
      </c>
      <c r="H93" s="20">
        <v>6</v>
      </c>
      <c r="I93" s="20" t="s">
        <v>592</v>
      </c>
      <c r="K93" s="20" t="s">
        <v>1144</v>
      </c>
      <c r="L93" s="20" t="s">
        <v>194</v>
      </c>
      <c r="M93" s="20" t="s">
        <v>828</v>
      </c>
      <c r="N93" s="20" t="s">
        <v>438</v>
      </c>
      <c r="O93" s="20" t="s">
        <v>835</v>
      </c>
      <c r="P93" s="20">
        <v>5</v>
      </c>
      <c r="Q93" s="20">
        <v>10</v>
      </c>
      <c r="R93" s="20" t="s">
        <v>592</v>
      </c>
      <c r="T93" s="20" t="s">
        <v>1161</v>
      </c>
      <c r="U93" s="20" t="s">
        <v>1432</v>
      </c>
      <c r="V93" s="20" t="s">
        <v>464</v>
      </c>
      <c r="W93" s="20" t="s">
        <v>2139</v>
      </c>
      <c r="X93" s="20" t="s">
        <v>835</v>
      </c>
      <c r="Y93" s="20">
        <v>5</v>
      </c>
      <c r="Z93" s="20">
        <v>5</v>
      </c>
      <c r="AA93" s="20" t="s">
        <v>592</v>
      </c>
      <c r="AC93" s="20" t="s">
        <v>1144</v>
      </c>
      <c r="AD93" s="20" t="s">
        <v>194</v>
      </c>
      <c r="AE93" s="20" t="s">
        <v>897</v>
      </c>
      <c r="AF93" s="20" t="s">
        <v>1373</v>
      </c>
      <c r="AG93" s="20" t="s">
        <v>835</v>
      </c>
      <c r="AH93" s="20">
        <v>5</v>
      </c>
      <c r="AI93" s="20">
        <v>5</v>
      </c>
      <c r="AJ93" s="20" t="s">
        <v>592</v>
      </c>
      <c r="AL93" s="20" t="s">
        <v>1154</v>
      </c>
      <c r="AM93" s="20" t="s">
        <v>307</v>
      </c>
      <c r="AN93" s="20" t="s">
        <v>2489</v>
      </c>
      <c r="AO93" s="20" t="s">
        <v>2937</v>
      </c>
      <c r="AP93" s="20" t="s">
        <v>628</v>
      </c>
      <c r="AQ93" s="20">
        <v>10</v>
      </c>
      <c r="AR93" s="20">
        <v>4</v>
      </c>
      <c r="AS93" s="20" t="s">
        <v>593</v>
      </c>
    </row>
    <row r="94" spans="2:45" ht="15.75" customHeight="1" x14ac:dyDescent="0.2">
      <c r="B94" s="20" t="s">
        <v>1147</v>
      </c>
      <c r="C94" s="20" t="s">
        <v>244</v>
      </c>
      <c r="D94" s="20" t="s">
        <v>421</v>
      </c>
      <c r="E94" s="20" t="s">
        <v>778</v>
      </c>
      <c r="F94" s="20" t="s">
        <v>628</v>
      </c>
      <c r="G94" s="20">
        <v>10</v>
      </c>
      <c r="H94" s="20">
        <v>2</v>
      </c>
      <c r="I94" s="20" t="s">
        <v>592</v>
      </c>
      <c r="K94" s="20" t="s">
        <v>1154</v>
      </c>
      <c r="L94" s="20" t="s">
        <v>307</v>
      </c>
      <c r="M94" s="20" t="s">
        <v>1513</v>
      </c>
      <c r="N94" s="20" t="s">
        <v>549</v>
      </c>
      <c r="O94" s="20" t="s">
        <v>835</v>
      </c>
      <c r="P94" s="20">
        <v>5</v>
      </c>
      <c r="Q94" s="20">
        <v>8</v>
      </c>
      <c r="R94" s="20" t="s">
        <v>592</v>
      </c>
      <c r="T94" s="20" t="s">
        <v>1158</v>
      </c>
      <c r="U94" s="20" t="s">
        <v>928</v>
      </c>
      <c r="V94" s="20" t="s">
        <v>888</v>
      </c>
      <c r="W94" s="20" t="s">
        <v>2140</v>
      </c>
      <c r="X94" s="20" t="s">
        <v>835</v>
      </c>
      <c r="Y94" s="20">
        <v>5</v>
      </c>
      <c r="Z94" s="20">
        <v>1</v>
      </c>
      <c r="AA94" s="20" t="s">
        <v>593</v>
      </c>
      <c r="AC94" s="20" t="s">
        <v>1155</v>
      </c>
      <c r="AD94" s="20" t="s">
        <v>657</v>
      </c>
      <c r="AE94" s="20" t="s">
        <v>480</v>
      </c>
      <c r="AF94" s="20" t="s">
        <v>889</v>
      </c>
      <c r="AG94" s="20" t="s">
        <v>835</v>
      </c>
      <c r="AH94" s="20">
        <v>5</v>
      </c>
      <c r="AI94" s="20">
        <v>5</v>
      </c>
      <c r="AJ94" s="20" t="s">
        <v>592</v>
      </c>
      <c r="AL94" s="20" t="s">
        <v>1154</v>
      </c>
      <c r="AM94" s="20" t="s">
        <v>307</v>
      </c>
      <c r="AN94" s="20" t="s">
        <v>565</v>
      </c>
      <c r="AO94" s="20" t="s">
        <v>763</v>
      </c>
      <c r="AP94" s="20" t="s">
        <v>628</v>
      </c>
      <c r="AQ94" s="20">
        <v>10</v>
      </c>
      <c r="AR94" s="20">
        <v>3</v>
      </c>
      <c r="AS94" s="20" t="s">
        <v>593</v>
      </c>
    </row>
    <row r="95" spans="2:45" ht="15.75" customHeight="1" x14ac:dyDescent="0.2">
      <c r="B95" s="20" t="s">
        <v>1147</v>
      </c>
      <c r="C95" s="20" t="s">
        <v>70</v>
      </c>
      <c r="D95" s="20" t="s">
        <v>632</v>
      </c>
      <c r="E95" s="20" t="s">
        <v>1221</v>
      </c>
      <c r="F95" s="20" t="s">
        <v>628</v>
      </c>
      <c r="G95" s="20">
        <v>10</v>
      </c>
      <c r="H95" s="20">
        <v>8</v>
      </c>
      <c r="I95" s="20" t="s">
        <v>592</v>
      </c>
      <c r="K95" s="20" t="s">
        <v>1154</v>
      </c>
      <c r="L95" s="20" t="s">
        <v>307</v>
      </c>
      <c r="M95" s="20" t="s">
        <v>763</v>
      </c>
      <c r="N95" s="20" t="s">
        <v>565</v>
      </c>
      <c r="O95" s="20" t="s">
        <v>835</v>
      </c>
      <c r="P95" s="20">
        <v>5</v>
      </c>
      <c r="Q95" s="20">
        <v>2</v>
      </c>
      <c r="R95" s="20" t="s">
        <v>593</v>
      </c>
      <c r="T95" s="20" t="s">
        <v>1158</v>
      </c>
      <c r="U95" s="20" t="s">
        <v>928</v>
      </c>
      <c r="V95" s="20" t="s">
        <v>888</v>
      </c>
      <c r="W95" s="20" t="s">
        <v>2141</v>
      </c>
      <c r="X95" s="20" t="s">
        <v>835</v>
      </c>
      <c r="Y95" s="20">
        <v>5</v>
      </c>
      <c r="Z95" s="20">
        <v>1</v>
      </c>
      <c r="AA95" s="20" t="s">
        <v>593</v>
      </c>
      <c r="AC95" s="20" t="s">
        <v>1163</v>
      </c>
      <c r="AD95" s="20" t="s">
        <v>57</v>
      </c>
      <c r="AE95" s="20" t="s">
        <v>768</v>
      </c>
      <c r="AF95" s="20" t="s">
        <v>1279</v>
      </c>
      <c r="AG95" s="20" t="s">
        <v>835</v>
      </c>
      <c r="AH95" s="20">
        <v>5</v>
      </c>
      <c r="AI95" s="20">
        <v>1</v>
      </c>
      <c r="AJ95" s="20" t="s">
        <v>593</v>
      </c>
      <c r="AL95" s="20" t="s">
        <v>1154</v>
      </c>
      <c r="AM95" s="20" t="s">
        <v>217</v>
      </c>
      <c r="AN95" s="20" t="s">
        <v>577</v>
      </c>
      <c r="AO95" s="20" t="s">
        <v>1869</v>
      </c>
      <c r="AP95" s="20" t="s">
        <v>628</v>
      </c>
      <c r="AQ95" s="20">
        <v>10</v>
      </c>
      <c r="AR95" s="20">
        <v>8</v>
      </c>
      <c r="AS95" s="20" t="s">
        <v>592</v>
      </c>
    </row>
    <row r="96" spans="2:45" ht="15.75" customHeight="1" x14ac:dyDescent="0.2">
      <c r="B96" s="20" t="s">
        <v>1155</v>
      </c>
      <c r="C96" s="20" t="s">
        <v>657</v>
      </c>
      <c r="D96" s="20" t="s">
        <v>481</v>
      </c>
      <c r="E96" s="20" t="s">
        <v>878</v>
      </c>
      <c r="F96" s="20" t="s">
        <v>628</v>
      </c>
      <c r="G96" s="20">
        <v>10</v>
      </c>
      <c r="H96" s="20">
        <v>10</v>
      </c>
      <c r="I96" s="20" t="s">
        <v>592</v>
      </c>
      <c r="K96" s="20" t="s">
        <v>646</v>
      </c>
      <c r="L96" s="20" t="s">
        <v>209</v>
      </c>
      <c r="M96" s="20" t="s">
        <v>1514</v>
      </c>
      <c r="N96" s="20" t="s">
        <v>1515</v>
      </c>
      <c r="O96" s="20" t="s">
        <v>835</v>
      </c>
      <c r="P96" s="20">
        <v>5</v>
      </c>
      <c r="Q96" s="20">
        <v>7</v>
      </c>
      <c r="R96" s="20" t="s">
        <v>592</v>
      </c>
      <c r="T96" s="20" t="s">
        <v>1163</v>
      </c>
      <c r="U96" s="20" t="s">
        <v>1165</v>
      </c>
      <c r="V96" s="20" t="s">
        <v>631</v>
      </c>
      <c r="W96" s="20" t="s">
        <v>1261</v>
      </c>
      <c r="X96" s="20" t="s">
        <v>835</v>
      </c>
      <c r="Y96" s="20">
        <v>5</v>
      </c>
      <c r="Z96" s="20">
        <v>5</v>
      </c>
      <c r="AA96" s="20" t="s">
        <v>592</v>
      </c>
      <c r="AC96" s="20" t="s">
        <v>1163</v>
      </c>
      <c r="AD96" s="20" t="s">
        <v>299</v>
      </c>
      <c r="AE96" s="20" t="s">
        <v>557</v>
      </c>
      <c r="AF96" s="20" t="s">
        <v>2594</v>
      </c>
      <c r="AG96" s="20" t="s">
        <v>628</v>
      </c>
      <c r="AH96" s="20">
        <v>10</v>
      </c>
      <c r="AI96" s="20">
        <v>5</v>
      </c>
      <c r="AJ96" s="20" t="s">
        <v>593</v>
      </c>
      <c r="AL96" s="20" t="s">
        <v>1154</v>
      </c>
      <c r="AM96" s="20" t="s">
        <v>217</v>
      </c>
      <c r="AN96" s="20" t="s">
        <v>578</v>
      </c>
      <c r="AO96" s="20" t="s">
        <v>2700</v>
      </c>
      <c r="AP96" s="20" t="s">
        <v>628</v>
      </c>
      <c r="AQ96" s="20">
        <v>10</v>
      </c>
      <c r="AR96" s="20">
        <v>31</v>
      </c>
      <c r="AS96" s="20" t="s">
        <v>592</v>
      </c>
    </row>
    <row r="97" spans="2:45" ht="15.75" customHeight="1" x14ac:dyDescent="0.2">
      <c r="B97" s="20" t="s">
        <v>640</v>
      </c>
      <c r="C97" s="20" t="s">
        <v>31</v>
      </c>
      <c r="D97" s="20" t="s">
        <v>432</v>
      </c>
      <c r="E97" s="20" t="s">
        <v>716</v>
      </c>
      <c r="F97" s="20" t="s">
        <v>835</v>
      </c>
      <c r="G97" s="20">
        <v>5</v>
      </c>
      <c r="H97" s="20">
        <v>6</v>
      </c>
      <c r="I97" s="20" t="s">
        <v>592</v>
      </c>
      <c r="K97" s="20" t="s">
        <v>1144</v>
      </c>
      <c r="L97" s="20" t="s">
        <v>249</v>
      </c>
      <c r="M97" s="20" t="s">
        <v>1516</v>
      </c>
      <c r="N97" s="20" t="s">
        <v>436</v>
      </c>
      <c r="O97" s="20" t="s">
        <v>628</v>
      </c>
      <c r="P97" s="20">
        <v>10</v>
      </c>
      <c r="Q97" s="20">
        <v>10</v>
      </c>
      <c r="R97" s="20" t="s">
        <v>592</v>
      </c>
      <c r="T97" s="20" t="s">
        <v>640</v>
      </c>
      <c r="U97" s="20" t="s">
        <v>756</v>
      </c>
      <c r="V97" s="20" t="s">
        <v>433</v>
      </c>
      <c r="W97" s="20" t="s">
        <v>988</v>
      </c>
      <c r="X97" s="20" t="s">
        <v>835</v>
      </c>
      <c r="Y97" s="20">
        <v>5</v>
      </c>
      <c r="Z97" s="20">
        <v>5</v>
      </c>
      <c r="AA97" s="20" t="s">
        <v>592</v>
      </c>
      <c r="AC97" s="20" t="s">
        <v>1163</v>
      </c>
      <c r="AD97" s="20" t="s">
        <v>207</v>
      </c>
      <c r="AE97" s="20" t="s">
        <v>1612</v>
      </c>
      <c r="AF97" s="20" t="s">
        <v>2169</v>
      </c>
      <c r="AG97" s="20" t="s">
        <v>628</v>
      </c>
      <c r="AH97" s="20">
        <v>10</v>
      </c>
      <c r="AI97" s="20">
        <v>8</v>
      </c>
      <c r="AJ97" s="20" t="s">
        <v>592</v>
      </c>
      <c r="AL97" s="20" t="s">
        <v>1154</v>
      </c>
      <c r="AM97" s="20" t="s">
        <v>217</v>
      </c>
      <c r="AN97" s="20" t="s">
        <v>1871</v>
      </c>
      <c r="AO97" s="20" t="s">
        <v>1870</v>
      </c>
      <c r="AP97" s="20" t="s">
        <v>628</v>
      </c>
      <c r="AQ97" s="20">
        <v>10</v>
      </c>
      <c r="AR97" s="20">
        <v>11</v>
      </c>
      <c r="AS97" s="20" t="s">
        <v>592</v>
      </c>
    </row>
    <row r="98" spans="2:45" ht="15.75" customHeight="1" x14ac:dyDescent="0.2">
      <c r="B98" s="20" t="s">
        <v>640</v>
      </c>
      <c r="C98" s="20" t="s">
        <v>705</v>
      </c>
      <c r="D98" s="20" t="s">
        <v>379</v>
      </c>
      <c r="E98" s="20" t="s">
        <v>1222</v>
      </c>
      <c r="F98" s="20" t="s">
        <v>628</v>
      </c>
      <c r="G98" s="20">
        <v>10</v>
      </c>
      <c r="H98" s="20">
        <v>7</v>
      </c>
      <c r="I98" s="20" t="s">
        <v>592</v>
      </c>
      <c r="K98" s="20" t="s">
        <v>1169</v>
      </c>
      <c r="L98" s="20" t="s">
        <v>216</v>
      </c>
      <c r="M98" s="20" t="s">
        <v>738</v>
      </c>
      <c r="N98" s="20" t="s">
        <v>680</v>
      </c>
      <c r="O98" s="20" t="s">
        <v>628</v>
      </c>
      <c r="P98" s="20">
        <v>10</v>
      </c>
      <c r="Q98" s="20">
        <v>8</v>
      </c>
      <c r="R98" s="20" t="s">
        <v>592</v>
      </c>
      <c r="T98" s="20" t="s">
        <v>646</v>
      </c>
      <c r="U98" s="20" t="s">
        <v>334</v>
      </c>
      <c r="V98" s="20" t="s">
        <v>581</v>
      </c>
      <c r="W98" s="20" t="s">
        <v>1807</v>
      </c>
      <c r="X98" s="20" t="s">
        <v>835</v>
      </c>
      <c r="Y98" s="20">
        <v>5</v>
      </c>
      <c r="Z98" s="20">
        <v>5</v>
      </c>
      <c r="AA98" s="20" t="s">
        <v>592</v>
      </c>
      <c r="AC98" s="20" t="s">
        <v>1147</v>
      </c>
      <c r="AD98" s="20" t="s">
        <v>222</v>
      </c>
      <c r="AE98" s="20" t="s">
        <v>1859</v>
      </c>
      <c r="AF98" s="20" t="s">
        <v>2122</v>
      </c>
      <c r="AG98" s="20" t="s">
        <v>835</v>
      </c>
      <c r="AH98" s="20">
        <v>5</v>
      </c>
      <c r="AI98" s="20">
        <v>5</v>
      </c>
      <c r="AJ98" s="20" t="s">
        <v>592</v>
      </c>
      <c r="AL98" s="20" t="s">
        <v>1154</v>
      </c>
      <c r="AM98" s="20" t="s">
        <v>217</v>
      </c>
      <c r="AN98" s="20" t="s">
        <v>1622</v>
      </c>
      <c r="AO98" s="20" t="s">
        <v>2265</v>
      </c>
      <c r="AP98" s="20" t="s">
        <v>628</v>
      </c>
      <c r="AQ98" s="20">
        <v>10</v>
      </c>
      <c r="AR98" s="20">
        <v>5</v>
      </c>
      <c r="AS98" s="20" t="s">
        <v>593</v>
      </c>
    </row>
    <row r="99" spans="2:45" ht="15.75" customHeight="1" x14ac:dyDescent="0.2">
      <c r="B99" s="20" t="s">
        <v>640</v>
      </c>
      <c r="C99" s="20" t="s">
        <v>705</v>
      </c>
      <c r="D99" s="20" t="s">
        <v>379</v>
      </c>
      <c r="E99" s="20" t="s">
        <v>1223</v>
      </c>
      <c r="F99" s="20" t="s">
        <v>628</v>
      </c>
      <c r="G99" s="20">
        <v>10</v>
      </c>
      <c r="H99" s="20">
        <v>1</v>
      </c>
      <c r="I99" s="20" t="s">
        <v>592</v>
      </c>
      <c r="K99" s="20" t="s">
        <v>1161</v>
      </c>
      <c r="L99" s="20" t="s">
        <v>304</v>
      </c>
      <c r="M99" s="20" t="s">
        <v>1517</v>
      </c>
      <c r="N99" s="20" t="s">
        <v>1518</v>
      </c>
      <c r="O99" s="20" t="s">
        <v>835</v>
      </c>
      <c r="P99" s="20">
        <v>5</v>
      </c>
      <c r="Q99" s="20">
        <v>2</v>
      </c>
      <c r="R99" s="20" t="s">
        <v>593</v>
      </c>
      <c r="T99" s="20" t="s">
        <v>646</v>
      </c>
      <c r="U99" s="20" t="s">
        <v>25</v>
      </c>
      <c r="V99" s="20" t="s">
        <v>371</v>
      </c>
      <c r="W99" s="20" t="s">
        <v>1235</v>
      </c>
      <c r="X99" s="20" t="s">
        <v>628</v>
      </c>
      <c r="Y99" s="20">
        <v>10</v>
      </c>
      <c r="Z99" s="20">
        <v>9</v>
      </c>
      <c r="AA99" s="20" t="s">
        <v>592</v>
      </c>
      <c r="AC99" s="20" t="s">
        <v>1147</v>
      </c>
      <c r="AD99" s="20" t="s">
        <v>225</v>
      </c>
      <c r="AE99" s="20" t="s">
        <v>2476</v>
      </c>
      <c r="AF99" s="20" t="s">
        <v>2595</v>
      </c>
      <c r="AG99" s="20" t="s">
        <v>628</v>
      </c>
      <c r="AH99" s="20">
        <v>10</v>
      </c>
      <c r="AI99" s="20">
        <v>8</v>
      </c>
      <c r="AJ99" s="20" t="s">
        <v>592</v>
      </c>
      <c r="AL99" s="20" t="s">
        <v>1154</v>
      </c>
      <c r="AM99" s="20" t="s">
        <v>307</v>
      </c>
      <c r="AN99" s="20" t="s">
        <v>2540</v>
      </c>
      <c r="AO99" s="20" t="s">
        <v>2938</v>
      </c>
      <c r="AP99" s="20" t="s">
        <v>628</v>
      </c>
      <c r="AQ99" s="20">
        <v>10</v>
      </c>
      <c r="AR99" s="20">
        <v>8</v>
      </c>
      <c r="AS99" s="20" t="s">
        <v>592</v>
      </c>
    </row>
    <row r="100" spans="2:45" ht="15.75" customHeight="1" x14ac:dyDescent="0.2">
      <c r="B100" s="20" t="s">
        <v>1169</v>
      </c>
      <c r="C100" s="20" t="s">
        <v>19</v>
      </c>
      <c r="D100" s="20" t="s">
        <v>500</v>
      </c>
      <c r="E100" s="20" t="s">
        <v>1224</v>
      </c>
      <c r="F100" s="20" t="s">
        <v>628</v>
      </c>
      <c r="G100" s="20">
        <v>10</v>
      </c>
      <c r="H100" s="20">
        <v>13</v>
      </c>
      <c r="I100" s="20" t="s">
        <v>592</v>
      </c>
      <c r="K100" s="20" t="s">
        <v>1161</v>
      </c>
      <c r="L100" s="20" t="s">
        <v>117</v>
      </c>
      <c r="M100" s="20" t="s">
        <v>1519</v>
      </c>
      <c r="N100" s="20" t="s">
        <v>455</v>
      </c>
      <c r="O100" s="20" t="s">
        <v>628</v>
      </c>
      <c r="P100" s="20">
        <v>10</v>
      </c>
      <c r="Q100" s="20">
        <v>15</v>
      </c>
      <c r="R100" s="20" t="s">
        <v>592</v>
      </c>
      <c r="T100" s="20" t="s">
        <v>1144</v>
      </c>
      <c r="U100" s="20" t="s">
        <v>23</v>
      </c>
      <c r="V100" s="20" t="s">
        <v>544</v>
      </c>
      <c r="W100" s="20" t="s">
        <v>589</v>
      </c>
      <c r="X100" s="20" t="s">
        <v>628</v>
      </c>
      <c r="Y100" s="20">
        <v>10</v>
      </c>
      <c r="Z100" s="20">
        <v>11</v>
      </c>
      <c r="AA100" s="20" t="s">
        <v>592</v>
      </c>
      <c r="AC100" s="20" t="s">
        <v>646</v>
      </c>
      <c r="AD100" s="20" t="s">
        <v>25</v>
      </c>
      <c r="AE100" s="20" t="s">
        <v>373</v>
      </c>
      <c r="AF100" s="20" t="s">
        <v>1199</v>
      </c>
      <c r="AG100" s="20" t="s">
        <v>835</v>
      </c>
      <c r="AH100" s="20">
        <v>5</v>
      </c>
      <c r="AI100" s="20">
        <v>5</v>
      </c>
      <c r="AJ100" s="20" t="s">
        <v>592</v>
      </c>
      <c r="AL100" s="20" t="s">
        <v>1154</v>
      </c>
      <c r="AM100" s="20" t="s">
        <v>335</v>
      </c>
      <c r="AN100" s="20" t="s">
        <v>623</v>
      </c>
      <c r="AO100" s="20" t="s">
        <v>2424</v>
      </c>
      <c r="AP100" s="20" t="s">
        <v>835</v>
      </c>
      <c r="AQ100" s="20">
        <v>5</v>
      </c>
      <c r="AR100" s="20">
        <v>1</v>
      </c>
      <c r="AS100" s="20" t="s">
        <v>593</v>
      </c>
    </row>
    <row r="101" spans="2:45" ht="15.75" customHeight="1" x14ac:dyDescent="0.2">
      <c r="B101" s="20" t="s">
        <v>1158</v>
      </c>
      <c r="C101" s="20" t="s">
        <v>72</v>
      </c>
      <c r="D101" s="20" t="s">
        <v>620</v>
      </c>
      <c r="E101" s="20" t="s">
        <v>1225</v>
      </c>
      <c r="F101" s="20" t="s">
        <v>835</v>
      </c>
      <c r="G101" s="20">
        <v>5</v>
      </c>
      <c r="H101" s="20">
        <v>6</v>
      </c>
      <c r="I101" s="20" t="s">
        <v>592</v>
      </c>
      <c r="K101" s="20" t="s">
        <v>1161</v>
      </c>
      <c r="L101" s="20" t="s">
        <v>659</v>
      </c>
      <c r="M101" s="20" t="s">
        <v>1520</v>
      </c>
      <c r="N101" s="20" t="s">
        <v>389</v>
      </c>
      <c r="O101" s="20" t="s">
        <v>835</v>
      </c>
      <c r="P101" s="20">
        <v>5</v>
      </c>
      <c r="Q101" s="20">
        <v>1</v>
      </c>
      <c r="R101" s="20" t="s">
        <v>593</v>
      </c>
      <c r="T101" s="20" t="s">
        <v>1158</v>
      </c>
      <c r="U101" s="20" t="s">
        <v>925</v>
      </c>
      <c r="V101" s="20" t="s">
        <v>533</v>
      </c>
      <c r="W101" s="20" t="s">
        <v>1418</v>
      </c>
      <c r="X101" s="20" t="s">
        <v>835</v>
      </c>
      <c r="Y101" s="20">
        <v>5</v>
      </c>
      <c r="Z101" s="20">
        <v>6</v>
      </c>
      <c r="AA101" s="20" t="s">
        <v>592</v>
      </c>
      <c r="AC101" s="20" t="s">
        <v>1154</v>
      </c>
      <c r="AD101" s="20" t="s">
        <v>307</v>
      </c>
      <c r="AE101" s="20" t="s">
        <v>2485</v>
      </c>
      <c r="AF101" s="20" t="s">
        <v>2280</v>
      </c>
      <c r="AG101" s="20" t="s">
        <v>835</v>
      </c>
      <c r="AH101" s="20">
        <v>5</v>
      </c>
      <c r="AI101" s="20">
        <v>5</v>
      </c>
      <c r="AJ101" s="20" t="s">
        <v>592</v>
      </c>
      <c r="AL101" s="20" t="s">
        <v>1154</v>
      </c>
      <c r="AM101" s="20" t="s">
        <v>335</v>
      </c>
      <c r="AN101" s="20" t="s">
        <v>548</v>
      </c>
      <c r="AO101" s="20" t="s">
        <v>2916</v>
      </c>
      <c r="AP101" s="20" t="s">
        <v>835</v>
      </c>
      <c r="AQ101" s="20">
        <v>5</v>
      </c>
      <c r="AR101" s="20">
        <v>5</v>
      </c>
      <c r="AS101" s="20" t="s">
        <v>592</v>
      </c>
    </row>
    <row r="102" spans="2:45" ht="15.75" customHeight="1" x14ac:dyDescent="0.2">
      <c r="B102" s="20" t="s">
        <v>1158</v>
      </c>
      <c r="C102" s="20" t="s">
        <v>72</v>
      </c>
      <c r="D102" s="20" t="s">
        <v>620</v>
      </c>
      <c r="E102" s="20" t="s">
        <v>1226</v>
      </c>
      <c r="F102" s="20" t="s">
        <v>835</v>
      </c>
      <c r="G102" s="20">
        <v>5</v>
      </c>
      <c r="H102" s="20">
        <v>3</v>
      </c>
      <c r="I102" s="20" t="s">
        <v>592</v>
      </c>
      <c r="K102" s="20" t="s">
        <v>646</v>
      </c>
      <c r="L102" s="20" t="s">
        <v>303</v>
      </c>
      <c r="M102" s="20" t="s">
        <v>718</v>
      </c>
      <c r="N102" s="20" t="s">
        <v>426</v>
      </c>
      <c r="O102" s="20" t="s">
        <v>835</v>
      </c>
      <c r="P102" s="20">
        <v>5</v>
      </c>
      <c r="Q102" s="20">
        <v>5</v>
      </c>
      <c r="R102" s="20" t="s">
        <v>592</v>
      </c>
      <c r="T102" s="20" t="s">
        <v>1158</v>
      </c>
      <c r="U102" s="20" t="s">
        <v>925</v>
      </c>
      <c r="V102" s="20" t="s">
        <v>533</v>
      </c>
      <c r="W102" s="20" t="s">
        <v>2142</v>
      </c>
      <c r="X102" s="20" t="s">
        <v>835</v>
      </c>
      <c r="Y102" s="20">
        <v>5</v>
      </c>
      <c r="Z102" s="20">
        <v>1</v>
      </c>
      <c r="AA102" s="20" t="s">
        <v>592</v>
      </c>
      <c r="AC102" s="20" t="s">
        <v>640</v>
      </c>
      <c r="AD102" s="20" t="s">
        <v>191</v>
      </c>
      <c r="AE102" s="20" t="s">
        <v>570</v>
      </c>
      <c r="AF102" s="20" t="s">
        <v>1754</v>
      </c>
      <c r="AG102" s="20" t="s">
        <v>835</v>
      </c>
      <c r="AH102" s="20">
        <v>5</v>
      </c>
      <c r="AI102" s="20">
        <v>3</v>
      </c>
      <c r="AJ102" s="20" t="s">
        <v>593</v>
      </c>
      <c r="AL102" s="20" t="s">
        <v>1154</v>
      </c>
      <c r="AM102" s="20" t="s">
        <v>335</v>
      </c>
      <c r="AN102" s="20" t="s">
        <v>1501</v>
      </c>
      <c r="AO102" s="20" t="s">
        <v>2621</v>
      </c>
      <c r="AP102" s="20" t="s">
        <v>628</v>
      </c>
      <c r="AQ102" s="20">
        <v>10</v>
      </c>
      <c r="AR102" s="20">
        <v>5</v>
      </c>
      <c r="AS102" s="20" t="s">
        <v>593</v>
      </c>
    </row>
    <row r="103" spans="2:45" ht="15.75" customHeight="1" x14ac:dyDescent="0.2">
      <c r="B103" s="20" t="s">
        <v>1144</v>
      </c>
      <c r="C103" s="20" t="s">
        <v>707</v>
      </c>
      <c r="D103" s="20" t="s">
        <v>490</v>
      </c>
      <c r="E103" s="20" t="s">
        <v>984</v>
      </c>
      <c r="F103" s="20" t="s">
        <v>628</v>
      </c>
      <c r="G103" s="20">
        <v>10</v>
      </c>
      <c r="H103" s="20">
        <v>8</v>
      </c>
      <c r="I103" s="20" t="s">
        <v>592</v>
      </c>
      <c r="K103" s="20" t="s">
        <v>1147</v>
      </c>
      <c r="L103" s="20" t="s">
        <v>20</v>
      </c>
      <c r="M103" s="20" t="s">
        <v>1521</v>
      </c>
      <c r="N103" s="20" t="s">
        <v>1522</v>
      </c>
      <c r="O103" s="20" t="s">
        <v>835</v>
      </c>
      <c r="P103" s="20">
        <v>5</v>
      </c>
      <c r="Q103" s="20">
        <v>7</v>
      </c>
      <c r="R103" s="20" t="s">
        <v>592</v>
      </c>
      <c r="T103" s="20" t="s">
        <v>1158</v>
      </c>
      <c r="U103" s="20" t="s">
        <v>1040</v>
      </c>
      <c r="V103" s="20" t="s">
        <v>633</v>
      </c>
      <c r="W103" s="20" t="s">
        <v>1263</v>
      </c>
      <c r="X103" s="20" t="s">
        <v>835</v>
      </c>
      <c r="Y103" s="20">
        <v>5</v>
      </c>
      <c r="Z103" s="20">
        <v>1</v>
      </c>
      <c r="AA103" s="20" t="s">
        <v>593</v>
      </c>
      <c r="AC103" s="20" t="s">
        <v>1147</v>
      </c>
      <c r="AD103" s="20" t="s">
        <v>244</v>
      </c>
      <c r="AE103" s="20" t="s">
        <v>421</v>
      </c>
      <c r="AF103" s="20" t="s">
        <v>777</v>
      </c>
      <c r="AG103" s="20" t="s">
        <v>628</v>
      </c>
      <c r="AH103" s="20">
        <v>10</v>
      </c>
      <c r="AI103" s="20">
        <v>8</v>
      </c>
      <c r="AJ103" s="20" t="s">
        <v>592</v>
      </c>
      <c r="AL103" s="20" t="s">
        <v>1154</v>
      </c>
      <c r="AM103" s="20" t="s">
        <v>335</v>
      </c>
      <c r="AN103" s="20" t="s">
        <v>2785</v>
      </c>
      <c r="AO103" s="20" t="s">
        <v>2920</v>
      </c>
      <c r="AP103" s="20" t="s">
        <v>628</v>
      </c>
      <c r="AQ103" s="20">
        <v>10</v>
      </c>
      <c r="AR103" s="20">
        <v>2</v>
      </c>
      <c r="AS103" s="20" t="s">
        <v>593</v>
      </c>
    </row>
    <row r="104" spans="2:45" ht="15.75" customHeight="1" x14ac:dyDescent="0.2">
      <c r="B104" s="20" t="s">
        <v>1144</v>
      </c>
      <c r="C104" s="20" t="s">
        <v>707</v>
      </c>
      <c r="D104" s="20" t="s">
        <v>490</v>
      </c>
      <c r="E104" s="20" t="s">
        <v>1028</v>
      </c>
      <c r="F104" s="20" t="s">
        <v>628</v>
      </c>
      <c r="G104" s="20">
        <v>10</v>
      </c>
      <c r="H104" s="20">
        <v>1</v>
      </c>
      <c r="I104" s="20" t="s">
        <v>592</v>
      </c>
      <c r="K104" s="20" t="s">
        <v>1161</v>
      </c>
      <c r="L104" s="20" t="s">
        <v>41</v>
      </c>
      <c r="M104" s="20" t="s">
        <v>1241</v>
      </c>
      <c r="N104" s="20" t="s">
        <v>536</v>
      </c>
      <c r="O104" s="20" t="s">
        <v>628</v>
      </c>
      <c r="P104" s="20">
        <v>10</v>
      </c>
      <c r="Q104" s="20">
        <v>11</v>
      </c>
      <c r="R104" s="20" t="s">
        <v>592</v>
      </c>
      <c r="T104" s="20" t="s">
        <v>1158</v>
      </c>
      <c r="U104" s="20" t="s">
        <v>1040</v>
      </c>
      <c r="V104" s="20" t="s">
        <v>633</v>
      </c>
      <c r="W104" s="20" t="s">
        <v>1459</v>
      </c>
      <c r="X104" s="20" t="s">
        <v>835</v>
      </c>
      <c r="Y104" s="20">
        <v>5</v>
      </c>
      <c r="Z104" s="20">
        <v>1</v>
      </c>
      <c r="AA104" s="20" t="s">
        <v>593</v>
      </c>
      <c r="AC104" s="20" t="s">
        <v>1161</v>
      </c>
      <c r="AD104" s="20" t="s">
        <v>765</v>
      </c>
      <c r="AE104" s="20" t="s">
        <v>537</v>
      </c>
      <c r="AF104" s="20" t="s">
        <v>2596</v>
      </c>
      <c r="AG104" s="20" t="s">
        <v>835</v>
      </c>
      <c r="AH104" s="20">
        <v>5</v>
      </c>
      <c r="AI104" s="20">
        <v>6</v>
      </c>
      <c r="AJ104" s="20" t="s">
        <v>592</v>
      </c>
      <c r="AL104" s="20" t="s">
        <v>1154</v>
      </c>
      <c r="AM104" s="20" t="s">
        <v>335</v>
      </c>
      <c r="AN104" s="20" t="s">
        <v>550</v>
      </c>
      <c r="AO104" s="20" t="s">
        <v>720</v>
      </c>
      <c r="AP104" s="20" t="s">
        <v>628</v>
      </c>
      <c r="AQ104" s="20">
        <v>10</v>
      </c>
      <c r="AR104" s="20">
        <v>4</v>
      </c>
      <c r="AS104" s="20" t="s">
        <v>593</v>
      </c>
    </row>
    <row r="105" spans="2:45" ht="15.75" customHeight="1" x14ac:dyDescent="0.2">
      <c r="B105" s="20" t="s">
        <v>1161</v>
      </c>
      <c r="C105" s="20" t="s">
        <v>304</v>
      </c>
      <c r="D105" s="20" t="s">
        <v>454</v>
      </c>
      <c r="E105" s="20" t="s">
        <v>1227</v>
      </c>
      <c r="F105" s="20" t="s">
        <v>628</v>
      </c>
      <c r="G105" s="20">
        <v>10</v>
      </c>
      <c r="H105" s="20">
        <v>7</v>
      </c>
      <c r="I105" s="20" t="s">
        <v>592</v>
      </c>
      <c r="K105" s="20" t="s">
        <v>1158</v>
      </c>
      <c r="L105" s="20" t="s">
        <v>1073</v>
      </c>
      <c r="M105" s="20" t="s">
        <v>1523</v>
      </c>
      <c r="N105" s="20" t="s">
        <v>895</v>
      </c>
      <c r="O105" s="20" t="s">
        <v>835</v>
      </c>
      <c r="P105" s="20">
        <v>5</v>
      </c>
      <c r="Q105" s="20">
        <v>4</v>
      </c>
      <c r="R105" s="20" t="s">
        <v>593</v>
      </c>
      <c r="T105" s="20" t="s">
        <v>1161</v>
      </c>
      <c r="U105" s="20" t="s">
        <v>659</v>
      </c>
      <c r="V105" s="20" t="s">
        <v>390</v>
      </c>
      <c r="W105" s="20" t="s">
        <v>2143</v>
      </c>
      <c r="X105" s="20" t="s">
        <v>628</v>
      </c>
      <c r="Y105" s="20">
        <v>10</v>
      </c>
      <c r="Z105" s="20">
        <v>9</v>
      </c>
      <c r="AA105" s="20" t="s">
        <v>592</v>
      </c>
      <c r="AC105" s="20" t="s">
        <v>646</v>
      </c>
      <c r="AD105" s="20" t="s">
        <v>209</v>
      </c>
      <c r="AE105" s="20" t="s">
        <v>886</v>
      </c>
      <c r="AF105" s="20" t="s">
        <v>900</v>
      </c>
      <c r="AG105" s="20" t="s">
        <v>628</v>
      </c>
      <c r="AH105" s="20">
        <v>10</v>
      </c>
      <c r="AI105" s="20">
        <v>5</v>
      </c>
      <c r="AJ105" s="20" t="s">
        <v>593</v>
      </c>
      <c r="AL105" s="20" t="s">
        <v>1154</v>
      </c>
      <c r="AM105" s="20" t="s">
        <v>335</v>
      </c>
      <c r="AN105" s="20" t="s">
        <v>711</v>
      </c>
      <c r="AO105" s="20" t="s">
        <v>2939</v>
      </c>
      <c r="AP105" s="20" t="s">
        <v>628</v>
      </c>
      <c r="AQ105" s="20">
        <v>10</v>
      </c>
      <c r="AR105" s="20">
        <v>3</v>
      </c>
      <c r="AS105" s="20" t="s">
        <v>593</v>
      </c>
    </row>
    <row r="106" spans="2:45" ht="15.75" customHeight="1" x14ac:dyDescent="0.2">
      <c r="B106" s="20" t="s">
        <v>1161</v>
      </c>
      <c r="C106" s="20" t="s">
        <v>304</v>
      </c>
      <c r="D106" s="20" t="s">
        <v>454</v>
      </c>
      <c r="E106" s="20" t="s">
        <v>1228</v>
      </c>
      <c r="F106" s="20" t="s">
        <v>628</v>
      </c>
      <c r="G106" s="20">
        <v>10</v>
      </c>
      <c r="H106" s="20">
        <v>1</v>
      </c>
      <c r="I106" s="20" t="s">
        <v>592</v>
      </c>
      <c r="K106" s="20" t="s">
        <v>1144</v>
      </c>
      <c r="L106" s="20" t="s">
        <v>1145</v>
      </c>
      <c r="M106" s="20" t="s">
        <v>1524</v>
      </c>
      <c r="N106" s="20" t="s">
        <v>1525</v>
      </c>
      <c r="O106" s="20" t="s">
        <v>628</v>
      </c>
      <c r="P106" s="20">
        <v>10</v>
      </c>
      <c r="Q106" s="20">
        <v>7</v>
      </c>
      <c r="R106" s="20" t="s">
        <v>592</v>
      </c>
      <c r="T106" s="20" t="s">
        <v>1163</v>
      </c>
      <c r="U106" s="20" t="s">
        <v>221</v>
      </c>
      <c r="V106" s="20" t="s">
        <v>556</v>
      </c>
      <c r="W106" s="20" t="s">
        <v>1943</v>
      </c>
      <c r="X106" s="20" t="s">
        <v>628</v>
      </c>
      <c r="Y106" s="20">
        <v>10</v>
      </c>
      <c r="Z106" s="20">
        <v>8</v>
      </c>
      <c r="AA106" s="20" t="s">
        <v>592</v>
      </c>
      <c r="AC106" s="20" t="s">
        <v>1149</v>
      </c>
      <c r="AD106" s="20" t="s">
        <v>63</v>
      </c>
      <c r="AE106" s="20" t="s">
        <v>1482</v>
      </c>
      <c r="AF106" s="20" t="s">
        <v>1481</v>
      </c>
      <c r="AG106" s="20" t="s">
        <v>835</v>
      </c>
      <c r="AH106" s="20">
        <v>5</v>
      </c>
      <c r="AI106" s="20">
        <v>2</v>
      </c>
      <c r="AJ106" s="20" t="s">
        <v>593</v>
      </c>
      <c r="AL106" s="20" t="s">
        <v>1154</v>
      </c>
      <c r="AM106" s="20" t="s">
        <v>335</v>
      </c>
      <c r="AN106" s="20" t="s">
        <v>475</v>
      </c>
      <c r="AO106" s="20" t="s">
        <v>586</v>
      </c>
      <c r="AP106" s="20" t="s">
        <v>628</v>
      </c>
      <c r="AQ106" s="20">
        <v>10</v>
      </c>
      <c r="AR106" s="20">
        <v>9</v>
      </c>
      <c r="AS106" s="20" t="s">
        <v>592</v>
      </c>
    </row>
    <row r="107" spans="2:45" ht="15.75" customHeight="1" x14ac:dyDescent="0.2">
      <c r="B107" s="20" t="s">
        <v>1144</v>
      </c>
      <c r="C107" s="20" t="s">
        <v>194</v>
      </c>
      <c r="D107" s="20" t="s">
        <v>561</v>
      </c>
      <c r="E107" s="20" t="s">
        <v>1229</v>
      </c>
      <c r="F107" s="20" t="s">
        <v>628</v>
      </c>
      <c r="G107" s="20">
        <v>10</v>
      </c>
      <c r="H107" s="20">
        <v>3</v>
      </c>
      <c r="I107" s="20" t="s">
        <v>592</v>
      </c>
      <c r="K107" s="20" t="s">
        <v>1144</v>
      </c>
      <c r="L107" s="20" t="s">
        <v>1145</v>
      </c>
      <c r="M107" s="20" t="s">
        <v>1526</v>
      </c>
      <c r="N107" s="20" t="s">
        <v>1525</v>
      </c>
      <c r="O107" s="20" t="s">
        <v>628</v>
      </c>
      <c r="P107" s="20">
        <v>10</v>
      </c>
      <c r="Q107" s="20">
        <v>1</v>
      </c>
      <c r="R107" s="20" t="s">
        <v>592</v>
      </c>
      <c r="T107" s="20" t="s">
        <v>2099</v>
      </c>
      <c r="U107" s="20" t="s">
        <v>2144</v>
      </c>
      <c r="V107" s="20" t="s">
        <v>2460</v>
      </c>
      <c r="W107" s="20" t="s">
        <v>2145</v>
      </c>
      <c r="X107" s="20" t="s">
        <v>835</v>
      </c>
      <c r="Y107" s="20">
        <v>5</v>
      </c>
      <c r="Z107" s="20">
        <v>4</v>
      </c>
      <c r="AA107" s="20" t="s">
        <v>592</v>
      </c>
      <c r="AC107" s="20" t="s">
        <v>1141</v>
      </c>
      <c r="AD107" s="20" t="s">
        <v>224</v>
      </c>
      <c r="AE107" s="20" t="s">
        <v>1452</v>
      </c>
      <c r="AF107" s="20" t="s">
        <v>2597</v>
      </c>
      <c r="AG107" s="20" t="s">
        <v>628</v>
      </c>
      <c r="AH107" s="20">
        <v>10</v>
      </c>
      <c r="AI107" s="20">
        <v>12</v>
      </c>
      <c r="AJ107" s="20" t="s">
        <v>592</v>
      </c>
      <c r="AL107" s="20" t="s">
        <v>1154</v>
      </c>
      <c r="AM107" s="20" t="s">
        <v>335</v>
      </c>
      <c r="AN107" s="20" t="s">
        <v>2787</v>
      </c>
      <c r="AO107" s="20" t="s">
        <v>2924</v>
      </c>
      <c r="AP107" s="20" t="s">
        <v>628</v>
      </c>
      <c r="AQ107" s="20">
        <v>10</v>
      </c>
      <c r="AR107" s="20">
        <v>9</v>
      </c>
      <c r="AS107" s="20" t="s">
        <v>592</v>
      </c>
    </row>
    <row r="108" spans="2:45" ht="15.75" customHeight="1" x14ac:dyDescent="0.2">
      <c r="B108" s="20" t="s">
        <v>1144</v>
      </c>
      <c r="C108" s="20" t="s">
        <v>194</v>
      </c>
      <c r="D108" s="20" t="s">
        <v>561</v>
      </c>
      <c r="E108" s="20" t="s">
        <v>1230</v>
      </c>
      <c r="F108" s="20" t="s">
        <v>628</v>
      </c>
      <c r="G108" s="20">
        <v>10</v>
      </c>
      <c r="H108" s="20">
        <v>6</v>
      </c>
      <c r="I108" s="20" t="s">
        <v>592</v>
      </c>
      <c r="K108" s="20" t="s">
        <v>640</v>
      </c>
      <c r="L108" s="20" t="s">
        <v>191</v>
      </c>
      <c r="M108" s="20" t="s">
        <v>1527</v>
      </c>
      <c r="N108" s="20" t="s">
        <v>1528</v>
      </c>
      <c r="O108" s="20" t="s">
        <v>835</v>
      </c>
      <c r="P108" s="20">
        <v>5</v>
      </c>
      <c r="Q108" s="20">
        <v>4</v>
      </c>
      <c r="R108" s="20" t="s">
        <v>592</v>
      </c>
      <c r="T108" s="20" t="s">
        <v>2099</v>
      </c>
      <c r="U108" s="20" t="s">
        <v>2144</v>
      </c>
      <c r="V108" s="20" t="s">
        <v>2460</v>
      </c>
      <c r="W108" s="20" t="s">
        <v>2146</v>
      </c>
      <c r="X108" s="20" t="s">
        <v>835</v>
      </c>
      <c r="Y108" s="20">
        <v>5</v>
      </c>
      <c r="Z108" s="20">
        <v>1</v>
      </c>
      <c r="AA108" s="20" t="s">
        <v>592</v>
      </c>
      <c r="AC108" s="20" t="s">
        <v>1141</v>
      </c>
      <c r="AD108" s="20" t="s">
        <v>218</v>
      </c>
      <c r="AE108" s="20" t="s">
        <v>492</v>
      </c>
      <c r="AF108" s="20" t="s">
        <v>2438</v>
      </c>
      <c r="AG108" s="20" t="s">
        <v>835</v>
      </c>
      <c r="AH108" s="20">
        <v>5</v>
      </c>
      <c r="AI108" s="20">
        <v>2</v>
      </c>
      <c r="AJ108" s="20" t="s">
        <v>593</v>
      </c>
      <c r="AL108" s="20" t="s">
        <v>1154</v>
      </c>
      <c r="AM108" s="20" t="s">
        <v>335</v>
      </c>
      <c r="AN108" s="20" t="s">
        <v>575</v>
      </c>
      <c r="AO108" s="20" t="s">
        <v>1029</v>
      </c>
      <c r="AP108" s="20" t="s">
        <v>628</v>
      </c>
      <c r="AQ108" s="20">
        <v>10</v>
      </c>
      <c r="AR108" s="20">
        <v>8</v>
      </c>
      <c r="AS108" s="20" t="s">
        <v>592</v>
      </c>
    </row>
    <row r="109" spans="2:45" ht="15.75" customHeight="1" x14ac:dyDescent="0.2">
      <c r="B109" s="20" t="s">
        <v>640</v>
      </c>
      <c r="C109" s="20" t="s">
        <v>191</v>
      </c>
      <c r="D109" s="20" t="s">
        <v>568</v>
      </c>
      <c r="E109" s="20" t="s">
        <v>816</v>
      </c>
      <c r="F109" s="20" t="s">
        <v>628</v>
      </c>
      <c r="G109" s="20">
        <v>10</v>
      </c>
      <c r="H109" s="20">
        <v>2</v>
      </c>
      <c r="I109" s="20" t="s">
        <v>592</v>
      </c>
      <c r="K109" s="20" t="s">
        <v>640</v>
      </c>
      <c r="L109" s="20" t="s">
        <v>191</v>
      </c>
      <c r="M109" s="20" t="s">
        <v>1529</v>
      </c>
      <c r="N109" s="20" t="s">
        <v>1528</v>
      </c>
      <c r="O109" s="20" t="s">
        <v>835</v>
      </c>
      <c r="P109" s="20">
        <v>5</v>
      </c>
      <c r="Q109" s="20">
        <v>1</v>
      </c>
      <c r="R109" s="20" t="s">
        <v>592</v>
      </c>
      <c r="T109" s="20" t="s">
        <v>646</v>
      </c>
      <c r="U109" s="20" t="s">
        <v>1109</v>
      </c>
      <c r="V109" s="20" t="s">
        <v>1738</v>
      </c>
      <c r="W109" s="20" t="s">
        <v>1737</v>
      </c>
      <c r="X109" s="20" t="s">
        <v>835</v>
      </c>
      <c r="Y109" s="20">
        <v>5</v>
      </c>
      <c r="Z109" s="20">
        <v>1</v>
      </c>
      <c r="AA109" s="20" t="s">
        <v>593</v>
      </c>
      <c r="AC109" s="20" t="s">
        <v>1158</v>
      </c>
      <c r="AD109" s="20" t="s">
        <v>291</v>
      </c>
      <c r="AE109" s="20" t="s">
        <v>2469</v>
      </c>
      <c r="AF109" s="20" t="s">
        <v>2198</v>
      </c>
      <c r="AG109" s="20" t="s">
        <v>835</v>
      </c>
      <c r="AH109" s="20">
        <v>5</v>
      </c>
      <c r="AI109" s="20">
        <v>1</v>
      </c>
      <c r="AJ109" s="20" t="s">
        <v>593</v>
      </c>
      <c r="AL109" s="20" t="s">
        <v>1154</v>
      </c>
      <c r="AM109" s="20" t="s">
        <v>1152</v>
      </c>
      <c r="AN109" s="20" t="s">
        <v>574</v>
      </c>
      <c r="AO109" s="20" t="s">
        <v>2930</v>
      </c>
      <c r="AP109" s="20" t="s">
        <v>628</v>
      </c>
      <c r="AQ109" s="20">
        <v>10</v>
      </c>
      <c r="AR109" s="20">
        <v>5</v>
      </c>
      <c r="AS109" s="20" t="s">
        <v>593</v>
      </c>
    </row>
    <row r="110" spans="2:45" ht="15.75" customHeight="1" x14ac:dyDescent="0.2">
      <c r="B110" s="20" t="s">
        <v>640</v>
      </c>
      <c r="C110" s="20" t="s">
        <v>191</v>
      </c>
      <c r="D110" s="20" t="s">
        <v>568</v>
      </c>
      <c r="E110" s="20" t="s">
        <v>815</v>
      </c>
      <c r="F110" s="20" t="s">
        <v>628</v>
      </c>
      <c r="G110" s="20">
        <v>10</v>
      </c>
      <c r="H110" s="20">
        <v>6</v>
      </c>
      <c r="I110" s="20" t="s">
        <v>592</v>
      </c>
      <c r="K110" s="20" t="s">
        <v>640</v>
      </c>
      <c r="L110" s="20" t="s">
        <v>756</v>
      </c>
      <c r="M110" s="20" t="s">
        <v>1530</v>
      </c>
      <c r="N110" s="20" t="s">
        <v>1531</v>
      </c>
      <c r="O110" s="20" t="s">
        <v>835</v>
      </c>
      <c r="P110" s="20">
        <v>5</v>
      </c>
      <c r="Q110" s="20">
        <v>6</v>
      </c>
      <c r="R110" s="20" t="s">
        <v>592</v>
      </c>
      <c r="T110" s="20" t="s">
        <v>1158</v>
      </c>
      <c r="U110" s="20" t="s">
        <v>925</v>
      </c>
      <c r="V110" s="20" t="s">
        <v>614</v>
      </c>
      <c r="W110" s="20" t="s">
        <v>1878</v>
      </c>
      <c r="X110" s="20" t="s">
        <v>835</v>
      </c>
      <c r="Y110" s="20">
        <v>5</v>
      </c>
      <c r="Z110" s="20">
        <v>5</v>
      </c>
      <c r="AA110" s="20" t="s">
        <v>592</v>
      </c>
      <c r="AC110" s="20" t="s">
        <v>1143</v>
      </c>
      <c r="AD110" s="20" t="s">
        <v>689</v>
      </c>
      <c r="AE110" s="20" t="s">
        <v>1506</v>
      </c>
      <c r="AF110" s="20" t="s">
        <v>1505</v>
      </c>
      <c r="AG110" s="20" t="s">
        <v>835</v>
      </c>
      <c r="AH110" s="20">
        <v>5</v>
      </c>
      <c r="AI110" s="20">
        <v>5</v>
      </c>
      <c r="AJ110" s="20" t="s">
        <v>592</v>
      </c>
      <c r="AL110" s="20" t="s">
        <v>1154</v>
      </c>
      <c r="AM110" s="20" t="s">
        <v>217</v>
      </c>
      <c r="AN110" s="20" t="s">
        <v>576</v>
      </c>
      <c r="AO110" s="20" t="s">
        <v>2622</v>
      </c>
      <c r="AP110" s="20" t="s">
        <v>835</v>
      </c>
      <c r="AQ110" s="20">
        <v>5</v>
      </c>
      <c r="AR110" s="20">
        <v>1</v>
      </c>
      <c r="AS110" s="20" t="s">
        <v>593</v>
      </c>
    </row>
    <row r="111" spans="2:45" ht="15.75" customHeight="1" x14ac:dyDescent="0.2">
      <c r="B111" s="20" t="s">
        <v>1144</v>
      </c>
      <c r="C111" s="20" t="s">
        <v>313</v>
      </c>
      <c r="D111" s="20" t="s">
        <v>441</v>
      </c>
      <c r="E111" s="20" t="s">
        <v>1231</v>
      </c>
      <c r="F111" s="20" t="s">
        <v>628</v>
      </c>
      <c r="G111" s="20">
        <v>10</v>
      </c>
      <c r="H111" s="20">
        <v>11</v>
      </c>
      <c r="I111" s="20" t="s">
        <v>592</v>
      </c>
      <c r="K111" s="20" t="s">
        <v>1147</v>
      </c>
      <c r="L111" s="20" t="s">
        <v>225</v>
      </c>
      <c r="M111" s="20" t="s">
        <v>1532</v>
      </c>
      <c r="N111" s="20" t="s">
        <v>382</v>
      </c>
      <c r="O111" s="20" t="s">
        <v>835</v>
      </c>
      <c r="P111" s="20">
        <v>5</v>
      </c>
      <c r="Q111" s="20">
        <v>6</v>
      </c>
      <c r="R111" s="20" t="s">
        <v>592</v>
      </c>
      <c r="T111" s="20" t="s">
        <v>1144</v>
      </c>
      <c r="U111" s="20" t="s">
        <v>249</v>
      </c>
      <c r="V111" s="20" t="s">
        <v>564</v>
      </c>
      <c r="W111" s="20" t="s">
        <v>834</v>
      </c>
      <c r="X111" s="20" t="s">
        <v>835</v>
      </c>
      <c r="Y111" s="20">
        <v>5</v>
      </c>
      <c r="Z111" s="20">
        <v>10</v>
      </c>
      <c r="AA111" s="20" t="s">
        <v>592</v>
      </c>
      <c r="AC111" s="20" t="s">
        <v>1141</v>
      </c>
      <c r="AD111" s="20" t="s">
        <v>224</v>
      </c>
      <c r="AE111" s="20" t="s">
        <v>386</v>
      </c>
      <c r="AF111" s="20" t="s">
        <v>2074</v>
      </c>
      <c r="AG111" s="20" t="s">
        <v>835</v>
      </c>
      <c r="AH111" s="20">
        <v>5</v>
      </c>
      <c r="AI111" s="20">
        <v>5</v>
      </c>
      <c r="AJ111" s="20" t="s">
        <v>592</v>
      </c>
      <c r="AL111" s="20" t="s">
        <v>1154</v>
      </c>
      <c r="AM111" s="20" t="s">
        <v>217</v>
      </c>
      <c r="AN111" s="20" t="s">
        <v>579</v>
      </c>
      <c r="AO111" s="20" t="s">
        <v>2932</v>
      </c>
      <c r="AP111" s="20" t="s">
        <v>835</v>
      </c>
      <c r="AQ111" s="20">
        <v>5</v>
      </c>
      <c r="AR111" s="20">
        <v>2</v>
      </c>
      <c r="AS111" s="20" t="s">
        <v>593</v>
      </c>
    </row>
    <row r="112" spans="2:45" ht="15.75" customHeight="1" x14ac:dyDescent="0.2">
      <c r="B112" s="20" t="s">
        <v>646</v>
      </c>
      <c r="C112" s="20" t="s">
        <v>1109</v>
      </c>
      <c r="D112" s="20" t="s">
        <v>367</v>
      </c>
      <c r="E112" s="20" t="s">
        <v>1232</v>
      </c>
      <c r="F112" s="20" t="s">
        <v>835</v>
      </c>
      <c r="G112" s="20">
        <v>5</v>
      </c>
      <c r="H112" s="20">
        <v>5</v>
      </c>
      <c r="I112" s="20" t="s">
        <v>592</v>
      </c>
      <c r="K112" s="20" t="s">
        <v>646</v>
      </c>
      <c r="L112" s="20" t="s">
        <v>209</v>
      </c>
      <c r="M112" s="20" t="s">
        <v>1533</v>
      </c>
      <c r="N112" s="20" t="s">
        <v>460</v>
      </c>
      <c r="O112" s="20" t="s">
        <v>835</v>
      </c>
      <c r="P112" s="20">
        <v>5</v>
      </c>
      <c r="Q112" s="20">
        <v>5</v>
      </c>
      <c r="R112" s="20" t="s">
        <v>592</v>
      </c>
      <c r="T112" s="20" t="s">
        <v>1144</v>
      </c>
      <c r="U112" s="20" t="s">
        <v>1145</v>
      </c>
      <c r="V112" s="20" t="s">
        <v>847</v>
      </c>
      <c r="W112" s="20" t="s">
        <v>2147</v>
      </c>
      <c r="X112" s="20" t="s">
        <v>835</v>
      </c>
      <c r="Y112" s="20">
        <v>5</v>
      </c>
      <c r="Z112" s="20">
        <v>5</v>
      </c>
      <c r="AA112" s="20" t="s">
        <v>592</v>
      </c>
      <c r="AC112" s="20" t="s">
        <v>1141</v>
      </c>
      <c r="AD112" s="20" t="s">
        <v>787</v>
      </c>
      <c r="AE112" s="20" t="s">
        <v>384</v>
      </c>
      <c r="AF112" s="20" t="s">
        <v>2598</v>
      </c>
      <c r="AG112" s="20" t="s">
        <v>628</v>
      </c>
      <c r="AH112" s="20">
        <v>10</v>
      </c>
      <c r="AI112" s="20">
        <v>9</v>
      </c>
      <c r="AJ112" s="20" t="s">
        <v>592</v>
      </c>
      <c r="AL112" s="20" t="s">
        <v>1154</v>
      </c>
      <c r="AM112" s="20" t="s">
        <v>307</v>
      </c>
      <c r="AN112" s="20" t="s">
        <v>1574</v>
      </c>
      <c r="AO112" s="20" t="s">
        <v>1573</v>
      </c>
      <c r="AP112" s="20" t="s">
        <v>835</v>
      </c>
      <c r="AQ112" s="20">
        <v>5</v>
      </c>
      <c r="AR112" s="20">
        <v>1</v>
      </c>
      <c r="AS112" s="20" t="s">
        <v>593</v>
      </c>
    </row>
    <row r="113" spans="2:45" ht="15.75" customHeight="1" x14ac:dyDescent="0.2">
      <c r="B113" s="20" t="s">
        <v>646</v>
      </c>
      <c r="C113" s="20" t="s">
        <v>1109</v>
      </c>
      <c r="D113" s="20" t="s">
        <v>369</v>
      </c>
      <c r="E113" s="20" t="s">
        <v>1233</v>
      </c>
      <c r="F113" s="20" t="s">
        <v>628</v>
      </c>
      <c r="G113" s="20">
        <v>10</v>
      </c>
      <c r="H113" s="20">
        <v>9</v>
      </c>
      <c r="I113" s="20" t="s">
        <v>592</v>
      </c>
      <c r="K113" s="20" t="s">
        <v>646</v>
      </c>
      <c r="L113" s="20" t="s">
        <v>298</v>
      </c>
      <c r="M113" s="20" t="s">
        <v>968</v>
      </c>
      <c r="N113" s="20" t="s">
        <v>374</v>
      </c>
      <c r="O113" s="20" t="s">
        <v>835</v>
      </c>
      <c r="P113" s="20">
        <v>5</v>
      </c>
      <c r="Q113" s="20">
        <v>3</v>
      </c>
      <c r="R113" s="20" t="s">
        <v>593</v>
      </c>
      <c r="T113" s="20" t="s">
        <v>1143</v>
      </c>
      <c r="U113" s="20" t="s">
        <v>61</v>
      </c>
      <c r="V113" s="20" t="s">
        <v>526</v>
      </c>
      <c r="W113" s="20" t="s">
        <v>588</v>
      </c>
      <c r="X113" s="20" t="s">
        <v>835</v>
      </c>
      <c r="Y113" s="20">
        <v>5</v>
      </c>
      <c r="Z113" s="20">
        <v>1</v>
      </c>
      <c r="AA113" s="20" t="s">
        <v>593</v>
      </c>
      <c r="AC113" s="20" t="s">
        <v>640</v>
      </c>
      <c r="AD113" s="20" t="s">
        <v>248</v>
      </c>
      <c r="AE113" s="20" t="s">
        <v>844</v>
      </c>
      <c r="AF113" s="20" t="s">
        <v>2599</v>
      </c>
      <c r="AG113" s="20" t="s">
        <v>835</v>
      </c>
      <c r="AH113" s="20">
        <v>5</v>
      </c>
      <c r="AI113" s="20">
        <v>1</v>
      </c>
      <c r="AJ113" s="20" t="s">
        <v>593</v>
      </c>
      <c r="AL113" s="20" t="s">
        <v>1154</v>
      </c>
      <c r="AM113" s="20" t="s">
        <v>307</v>
      </c>
      <c r="AN113" s="20" t="s">
        <v>514</v>
      </c>
      <c r="AO113" s="20" t="s">
        <v>2281</v>
      </c>
      <c r="AP113" s="20" t="s">
        <v>628</v>
      </c>
      <c r="AQ113" s="20">
        <v>10</v>
      </c>
      <c r="AR113" s="20">
        <v>10</v>
      </c>
      <c r="AS113" s="20" t="s">
        <v>592</v>
      </c>
    </row>
    <row r="114" spans="2:45" ht="15.75" customHeight="1" x14ac:dyDescent="0.2">
      <c r="B114" s="20" t="s">
        <v>646</v>
      </c>
      <c r="C114" s="20" t="s">
        <v>334</v>
      </c>
      <c r="D114" s="20" t="s">
        <v>507</v>
      </c>
      <c r="E114" s="20" t="s">
        <v>1062</v>
      </c>
      <c r="F114" s="20" t="s">
        <v>628</v>
      </c>
      <c r="G114" s="20">
        <v>10</v>
      </c>
      <c r="H114" s="20">
        <v>9</v>
      </c>
      <c r="I114" s="20" t="s">
        <v>592</v>
      </c>
      <c r="K114" s="20" t="s">
        <v>646</v>
      </c>
      <c r="L114" s="20" t="s">
        <v>303</v>
      </c>
      <c r="M114" s="20" t="s">
        <v>1534</v>
      </c>
      <c r="N114" s="20" t="s">
        <v>1535</v>
      </c>
      <c r="O114" s="20" t="s">
        <v>835</v>
      </c>
      <c r="P114" s="20">
        <v>5</v>
      </c>
      <c r="Q114" s="20">
        <v>1</v>
      </c>
      <c r="R114" s="20" t="s">
        <v>593</v>
      </c>
      <c r="T114" s="20" t="s">
        <v>1144</v>
      </c>
      <c r="U114" s="20" t="s">
        <v>707</v>
      </c>
      <c r="V114" s="20" t="s">
        <v>854</v>
      </c>
      <c r="W114" s="20" t="s">
        <v>2148</v>
      </c>
      <c r="X114" s="20" t="s">
        <v>835</v>
      </c>
      <c r="Y114" s="20">
        <v>5</v>
      </c>
      <c r="Z114" s="20">
        <v>6</v>
      </c>
      <c r="AA114" s="20" t="s">
        <v>592</v>
      </c>
      <c r="AC114" s="20" t="s">
        <v>640</v>
      </c>
      <c r="AD114" s="20" t="s">
        <v>705</v>
      </c>
      <c r="AE114" s="20" t="s">
        <v>379</v>
      </c>
      <c r="AF114" s="20" t="s">
        <v>1222</v>
      </c>
      <c r="AG114" s="20" t="s">
        <v>835</v>
      </c>
      <c r="AH114" s="20">
        <v>5</v>
      </c>
      <c r="AI114" s="20">
        <v>5</v>
      </c>
      <c r="AJ114" s="20" t="s">
        <v>592</v>
      </c>
      <c r="AL114" s="20" t="s">
        <v>1154</v>
      </c>
      <c r="AM114" s="20" t="s">
        <v>307</v>
      </c>
      <c r="AN114" s="20" t="s">
        <v>1624</v>
      </c>
      <c r="AO114" s="20" t="s">
        <v>1623</v>
      </c>
      <c r="AP114" s="20" t="s">
        <v>835</v>
      </c>
      <c r="AQ114" s="20">
        <v>5</v>
      </c>
      <c r="AR114" s="20">
        <v>3</v>
      </c>
      <c r="AS114" s="20" t="s">
        <v>593</v>
      </c>
    </row>
    <row r="115" spans="2:45" ht="15.75" customHeight="1" x14ac:dyDescent="0.2">
      <c r="B115" s="20" t="s">
        <v>1144</v>
      </c>
      <c r="C115" s="20" t="s">
        <v>23</v>
      </c>
      <c r="D115" s="20" t="s">
        <v>544</v>
      </c>
      <c r="E115" s="20" t="s">
        <v>589</v>
      </c>
      <c r="F115" s="20" t="s">
        <v>628</v>
      </c>
      <c r="G115" s="20">
        <v>10</v>
      </c>
      <c r="H115" s="20">
        <v>6</v>
      </c>
      <c r="I115" s="20" t="s">
        <v>592</v>
      </c>
      <c r="K115" s="20" t="s">
        <v>646</v>
      </c>
      <c r="L115" s="20" t="s">
        <v>209</v>
      </c>
      <c r="M115" s="20" t="s">
        <v>1536</v>
      </c>
      <c r="N115" s="20" t="s">
        <v>411</v>
      </c>
      <c r="O115" s="20" t="s">
        <v>835</v>
      </c>
      <c r="P115" s="20">
        <v>5</v>
      </c>
      <c r="Q115" s="20">
        <v>7</v>
      </c>
      <c r="R115" s="20" t="s">
        <v>592</v>
      </c>
      <c r="T115" s="20" t="s">
        <v>1144</v>
      </c>
      <c r="U115" s="20" t="s">
        <v>707</v>
      </c>
      <c r="V115" s="20" t="s">
        <v>846</v>
      </c>
      <c r="W115" s="20" t="s">
        <v>2149</v>
      </c>
      <c r="X115" s="20" t="s">
        <v>835</v>
      </c>
      <c r="Y115" s="20">
        <v>5</v>
      </c>
      <c r="Z115" s="20">
        <v>9</v>
      </c>
      <c r="AA115" s="20" t="s">
        <v>592</v>
      </c>
      <c r="AC115" s="20" t="s">
        <v>1163</v>
      </c>
      <c r="AD115" s="20" t="s">
        <v>837</v>
      </c>
      <c r="AE115" s="20" t="s">
        <v>358</v>
      </c>
      <c r="AF115" s="20" t="s">
        <v>2600</v>
      </c>
      <c r="AG115" s="20" t="s">
        <v>628</v>
      </c>
      <c r="AH115" s="20">
        <v>10</v>
      </c>
      <c r="AI115" s="20">
        <v>10</v>
      </c>
      <c r="AJ115" s="20" t="s">
        <v>592</v>
      </c>
      <c r="AL115" s="20" t="s">
        <v>1154</v>
      </c>
      <c r="AM115" s="20" t="s">
        <v>307</v>
      </c>
      <c r="AN115" s="20" t="s">
        <v>2791</v>
      </c>
      <c r="AO115" s="20" t="s">
        <v>2940</v>
      </c>
      <c r="AP115" s="20" t="s">
        <v>835</v>
      </c>
      <c r="AQ115" s="20">
        <v>5</v>
      </c>
      <c r="AR115" s="20">
        <v>5</v>
      </c>
      <c r="AS115" s="20" t="s">
        <v>592</v>
      </c>
    </row>
    <row r="116" spans="2:45" ht="15.75" customHeight="1" x14ac:dyDescent="0.2">
      <c r="B116" s="20" t="s">
        <v>1144</v>
      </c>
      <c r="C116" s="20" t="s">
        <v>23</v>
      </c>
      <c r="D116" s="20" t="s">
        <v>544</v>
      </c>
      <c r="E116" s="20" t="s">
        <v>745</v>
      </c>
      <c r="F116" s="20" t="s">
        <v>628</v>
      </c>
      <c r="G116" s="20">
        <v>10</v>
      </c>
      <c r="H116" s="20">
        <v>3</v>
      </c>
      <c r="I116" s="20" t="s">
        <v>592</v>
      </c>
      <c r="K116" s="20" t="s">
        <v>1155</v>
      </c>
      <c r="L116" s="20" t="s">
        <v>1156</v>
      </c>
      <c r="M116" s="20" t="s">
        <v>1537</v>
      </c>
      <c r="N116" s="20" t="s">
        <v>1538</v>
      </c>
      <c r="O116" s="20" t="s">
        <v>835</v>
      </c>
      <c r="P116" s="20">
        <v>5</v>
      </c>
      <c r="Q116" s="20">
        <v>5</v>
      </c>
      <c r="R116" s="20" t="s">
        <v>592</v>
      </c>
      <c r="T116" s="20" t="s">
        <v>1144</v>
      </c>
      <c r="U116" s="20" t="s">
        <v>804</v>
      </c>
      <c r="V116" s="20" t="s">
        <v>546</v>
      </c>
      <c r="W116" s="20" t="s">
        <v>830</v>
      </c>
      <c r="X116" s="20" t="s">
        <v>628</v>
      </c>
      <c r="Y116" s="20">
        <v>10</v>
      </c>
      <c r="Z116" s="20">
        <v>9</v>
      </c>
      <c r="AA116" s="20" t="s">
        <v>592</v>
      </c>
      <c r="AC116" s="20" t="s">
        <v>1163</v>
      </c>
      <c r="AD116" s="20" t="s">
        <v>837</v>
      </c>
      <c r="AE116" s="20" t="s">
        <v>1937</v>
      </c>
      <c r="AF116" s="20" t="s">
        <v>1936</v>
      </c>
      <c r="AG116" s="20" t="s">
        <v>835</v>
      </c>
      <c r="AH116" s="20">
        <v>5</v>
      </c>
      <c r="AI116" s="20">
        <v>5</v>
      </c>
      <c r="AJ116" s="20" t="s">
        <v>592</v>
      </c>
      <c r="AL116" s="20" t="s">
        <v>1154</v>
      </c>
      <c r="AM116" s="20" t="s">
        <v>217</v>
      </c>
      <c r="AN116" s="20" t="s">
        <v>2544</v>
      </c>
      <c r="AO116" s="20" t="s">
        <v>2941</v>
      </c>
      <c r="AP116" s="20" t="s">
        <v>628</v>
      </c>
      <c r="AQ116" s="20">
        <v>10</v>
      </c>
      <c r="AR116" s="20">
        <v>1</v>
      </c>
      <c r="AS116" s="20" t="s">
        <v>593</v>
      </c>
    </row>
    <row r="117" spans="2:45" ht="15.75" customHeight="1" x14ac:dyDescent="0.2">
      <c r="B117" s="20" t="s">
        <v>1144</v>
      </c>
      <c r="C117" s="20" t="s">
        <v>313</v>
      </c>
      <c r="D117" s="20" t="s">
        <v>530</v>
      </c>
      <c r="E117" s="20" t="s">
        <v>999</v>
      </c>
      <c r="F117" s="20" t="s">
        <v>835</v>
      </c>
      <c r="G117" s="20">
        <v>5</v>
      </c>
      <c r="H117" s="20">
        <v>6</v>
      </c>
      <c r="I117" s="20" t="s">
        <v>592</v>
      </c>
      <c r="K117" s="20" t="s">
        <v>1163</v>
      </c>
      <c r="L117" s="20" t="s">
        <v>1165</v>
      </c>
      <c r="M117" s="20" t="s">
        <v>1539</v>
      </c>
      <c r="N117" s="20" t="s">
        <v>360</v>
      </c>
      <c r="O117" s="20" t="s">
        <v>835</v>
      </c>
      <c r="P117" s="20">
        <v>5</v>
      </c>
      <c r="Q117" s="20">
        <v>14</v>
      </c>
      <c r="R117" s="20" t="s">
        <v>592</v>
      </c>
      <c r="T117" s="20" t="s">
        <v>1147</v>
      </c>
      <c r="U117" s="20" t="s">
        <v>70</v>
      </c>
      <c r="V117" s="20" t="s">
        <v>1742</v>
      </c>
      <c r="W117" s="20" t="s">
        <v>2150</v>
      </c>
      <c r="X117" s="20" t="s">
        <v>835</v>
      </c>
      <c r="Y117" s="20">
        <v>5</v>
      </c>
      <c r="Z117" s="20">
        <v>7</v>
      </c>
      <c r="AA117" s="20" t="s">
        <v>592</v>
      </c>
      <c r="AC117" s="20" t="s">
        <v>1141</v>
      </c>
      <c r="AD117" s="20" t="s">
        <v>224</v>
      </c>
      <c r="AE117" s="20" t="s">
        <v>399</v>
      </c>
      <c r="AF117" s="20" t="s">
        <v>1591</v>
      </c>
      <c r="AG117" s="20" t="s">
        <v>628</v>
      </c>
      <c r="AH117" s="20">
        <v>10</v>
      </c>
      <c r="AI117" s="20">
        <v>9</v>
      </c>
      <c r="AJ117" s="20" t="s">
        <v>592</v>
      </c>
      <c r="AL117" s="20" t="s">
        <v>1154</v>
      </c>
      <c r="AM117" s="20" t="s">
        <v>217</v>
      </c>
      <c r="AN117" s="20" t="s">
        <v>2544</v>
      </c>
      <c r="AO117" s="20" t="s">
        <v>2648</v>
      </c>
      <c r="AP117" s="20" t="s">
        <v>628</v>
      </c>
      <c r="AQ117" s="20">
        <v>10</v>
      </c>
      <c r="AR117" s="20">
        <v>1</v>
      </c>
      <c r="AS117" s="20" t="s">
        <v>593</v>
      </c>
    </row>
    <row r="118" spans="2:45" ht="15.75" customHeight="1" x14ac:dyDescent="0.2">
      <c r="B118" s="20" t="s">
        <v>1147</v>
      </c>
      <c r="C118" s="20" t="s">
        <v>699</v>
      </c>
      <c r="D118" s="20" t="s">
        <v>812</v>
      </c>
      <c r="E118" s="20" t="s">
        <v>1234</v>
      </c>
      <c r="F118" s="20" t="s">
        <v>628</v>
      </c>
      <c r="G118" s="20">
        <v>10</v>
      </c>
      <c r="H118" s="20">
        <v>11</v>
      </c>
      <c r="I118" s="20" t="s">
        <v>592</v>
      </c>
      <c r="K118" s="20" t="s">
        <v>646</v>
      </c>
      <c r="L118" s="20" t="s">
        <v>303</v>
      </c>
      <c r="M118" s="20" t="s">
        <v>890</v>
      </c>
      <c r="N118" s="20" t="s">
        <v>428</v>
      </c>
      <c r="O118" s="20" t="s">
        <v>835</v>
      </c>
      <c r="P118" s="20">
        <v>5</v>
      </c>
      <c r="Q118" s="20">
        <v>5</v>
      </c>
      <c r="R118" s="20" t="s">
        <v>592</v>
      </c>
      <c r="T118" s="20" t="s">
        <v>1154</v>
      </c>
      <c r="U118" s="20" t="s">
        <v>335</v>
      </c>
      <c r="V118" s="20" t="s">
        <v>566</v>
      </c>
      <c r="W118" s="20" t="s">
        <v>985</v>
      </c>
      <c r="X118" s="20" t="s">
        <v>628</v>
      </c>
      <c r="Y118" s="20">
        <v>10</v>
      </c>
      <c r="Z118" s="20">
        <v>2</v>
      </c>
      <c r="AA118" s="20" t="s">
        <v>593</v>
      </c>
      <c r="AC118" s="20" t="s">
        <v>646</v>
      </c>
      <c r="AD118" s="20" t="s">
        <v>285</v>
      </c>
      <c r="AE118" s="20" t="s">
        <v>461</v>
      </c>
      <c r="AF118" s="20" t="s">
        <v>864</v>
      </c>
      <c r="AG118" s="20" t="s">
        <v>835</v>
      </c>
      <c r="AH118" s="20">
        <v>5</v>
      </c>
      <c r="AI118" s="20">
        <v>2</v>
      </c>
      <c r="AJ118" s="20" t="s">
        <v>593</v>
      </c>
      <c r="AL118" s="20" t="s">
        <v>1154</v>
      </c>
      <c r="AM118" s="20" t="s">
        <v>217</v>
      </c>
      <c r="AN118" s="20" t="s">
        <v>1557</v>
      </c>
      <c r="AO118" s="20" t="s">
        <v>2926</v>
      </c>
      <c r="AP118" s="20" t="s">
        <v>835</v>
      </c>
      <c r="AQ118" s="20">
        <v>5</v>
      </c>
      <c r="AR118" s="20">
        <v>9</v>
      </c>
      <c r="AS118" s="20" t="s">
        <v>592</v>
      </c>
    </row>
    <row r="119" spans="2:45" ht="15.75" customHeight="1" x14ac:dyDescent="0.2">
      <c r="B119" s="20" t="s">
        <v>1144</v>
      </c>
      <c r="C119" s="20" t="s">
        <v>313</v>
      </c>
      <c r="D119" s="20" t="s">
        <v>713</v>
      </c>
      <c r="E119" s="20" t="s">
        <v>741</v>
      </c>
      <c r="F119" s="20" t="s">
        <v>628</v>
      </c>
      <c r="G119" s="20">
        <v>10</v>
      </c>
      <c r="H119" s="20">
        <v>6</v>
      </c>
      <c r="I119" s="20" t="s">
        <v>592</v>
      </c>
      <c r="K119" s="20" t="s">
        <v>646</v>
      </c>
      <c r="L119" s="20" t="s">
        <v>303</v>
      </c>
      <c r="M119" s="20" t="s">
        <v>1540</v>
      </c>
      <c r="N119" s="20" t="s">
        <v>428</v>
      </c>
      <c r="O119" s="20" t="s">
        <v>835</v>
      </c>
      <c r="P119" s="20">
        <v>5</v>
      </c>
      <c r="Q119" s="20">
        <v>1</v>
      </c>
      <c r="R119" s="20" t="s">
        <v>592</v>
      </c>
      <c r="T119" s="20" t="s">
        <v>1154</v>
      </c>
      <c r="U119" s="20" t="s">
        <v>307</v>
      </c>
      <c r="V119" s="20" t="s">
        <v>515</v>
      </c>
      <c r="W119" s="20" t="s">
        <v>1872</v>
      </c>
      <c r="X119" s="20" t="s">
        <v>835</v>
      </c>
      <c r="Y119" s="20">
        <v>5</v>
      </c>
      <c r="Z119" s="20">
        <v>2</v>
      </c>
      <c r="AA119" s="20" t="s">
        <v>592</v>
      </c>
      <c r="AC119" s="20" t="s">
        <v>1147</v>
      </c>
      <c r="AD119" s="20" t="s">
        <v>699</v>
      </c>
      <c r="AE119" s="20" t="s">
        <v>2501</v>
      </c>
      <c r="AF119" s="20" t="s">
        <v>2360</v>
      </c>
      <c r="AG119" s="20" t="s">
        <v>628</v>
      </c>
      <c r="AH119" s="20">
        <v>10</v>
      </c>
      <c r="AI119" s="20">
        <v>10</v>
      </c>
      <c r="AJ119" s="20" t="s">
        <v>592</v>
      </c>
      <c r="AL119" s="20" t="s">
        <v>1149</v>
      </c>
      <c r="AM119" s="20" t="s">
        <v>301</v>
      </c>
      <c r="AN119" s="20" t="s">
        <v>503</v>
      </c>
      <c r="AO119" s="20" t="s">
        <v>2028</v>
      </c>
      <c r="AP119" s="20" t="s">
        <v>835</v>
      </c>
      <c r="AQ119" s="20">
        <v>5</v>
      </c>
      <c r="AR119" s="20">
        <v>5</v>
      </c>
      <c r="AS119" s="20" t="s">
        <v>592</v>
      </c>
    </row>
    <row r="120" spans="2:45" ht="15.75" customHeight="1" x14ac:dyDescent="0.2">
      <c r="B120" s="20" t="s">
        <v>1144</v>
      </c>
      <c r="C120" s="20" t="s">
        <v>313</v>
      </c>
      <c r="D120" s="20" t="s">
        <v>713</v>
      </c>
      <c r="E120" s="20" t="s">
        <v>1065</v>
      </c>
      <c r="F120" s="20" t="s">
        <v>628</v>
      </c>
      <c r="G120" s="20">
        <v>10</v>
      </c>
      <c r="H120" s="20">
        <v>2</v>
      </c>
      <c r="I120" s="20" t="s">
        <v>592</v>
      </c>
      <c r="K120" s="20" t="s">
        <v>646</v>
      </c>
      <c r="L120" s="20" t="s">
        <v>25</v>
      </c>
      <c r="M120" s="20" t="s">
        <v>1541</v>
      </c>
      <c r="N120" s="20" t="s">
        <v>371</v>
      </c>
      <c r="O120" s="20" t="s">
        <v>628</v>
      </c>
      <c r="P120" s="20">
        <v>10</v>
      </c>
      <c r="Q120" s="20">
        <v>9</v>
      </c>
      <c r="R120" s="20" t="s">
        <v>592</v>
      </c>
      <c r="T120" s="20" t="s">
        <v>1154</v>
      </c>
      <c r="U120" s="20" t="s">
        <v>1152</v>
      </c>
      <c r="V120" s="20" t="s">
        <v>1862</v>
      </c>
      <c r="W120" s="20" t="s">
        <v>2151</v>
      </c>
      <c r="X120" s="20" t="s">
        <v>835</v>
      </c>
      <c r="Y120" s="20">
        <v>5</v>
      </c>
      <c r="Z120" s="20">
        <v>1</v>
      </c>
      <c r="AA120" s="20" t="s">
        <v>593</v>
      </c>
      <c r="AC120" s="20" t="s">
        <v>1144</v>
      </c>
      <c r="AD120" s="20" t="s">
        <v>707</v>
      </c>
      <c r="AE120" s="20" t="s">
        <v>1992</v>
      </c>
      <c r="AF120" s="20" t="s">
        <v>1991</v>
      </c>
      <c r="AG120" s="20" t="s">
        <v>628</v>
      </c>
      <c r="AH120" s="20">
        <v>10</v>
      </c>
      <c r="AI120" s="20">
        <v>8</v>
      </c>
      <c r="AJ120" s="20" t="s">
        <v>592</v>
      </c>
      <c r="AL120" s="20" t="s">
        <v>1149</v>
      </c>
      <c r="AM120" s="20" t="s">
        <v>1150</v>
      </c>
      <c r="AN120" s="20" t="s">
        <v>476</v>
      </c>
      <c r="AO120" s="20" t="s">
        <v>1403</v>
      </c>
      <c r="AP120" s="20" t="s">
        <v>628</v>
      </c>
      <c r="AQ120" s="20">
        <v>10</v>
      </c>
      <c r="AR120" s="20">
        <v>11</v>
      </c>
      <c r="AS120" s="20" t="s">
        <v>592</v>
      </c>
    </row>
    <row r="121" spans="2:45" ht="15.75" customHeight="1" x14ac:dyDescent="0.2">
      <c r="B121" s="20" t="s">
        <v>646</v>
      </c>
      <c r="C121" s="20" t="s">
        <v>25</v>
      </c>
      <c r="D121" s="20" t="s">
        <v>521</v>
      </c>
      <c r="E121" s="20" t="s">
        <v>963</v>
      </c>
      <c r="F121" s="20" t="s">
        <v>835</v>
      </c>
      <c r="G121" s="20">
        <v>5</v>
      </c>
      <c r="H121" s="20">
        <v>6</v>
      </c>
      <c r="I121" s="20" t="s">
        <v>592</v>
      </c>
      <c r="K121" s="20" t="s">
        <v>646</v>
      </c>
      <c r="L121" s="20" t="s">
        <v>246</v>
      </c>
      <c r="M121" s="20" t="s">
        <v>1542</v>
      </c>
      <c r="N121" s="20" t="s">
        <v>1543</v>
      </c>
      <c r="O121" s="20" t="s">
        <v>628</v>
      </c>
      <c r="P121" s="20">
        <v>10</v>
      </c>
      <c r="Q121" s="20">
        <v>5</v>
      </c>
      <c r="R121" s="20" t="s">
        <v>593</v>
      </c>
      <c r="T121" s="20" t="s">
        <v>1155</v>
      </c>
      <c r="U121" s="20" t="s">
        <v>657</v>
      </c>
      <c r="V121" s="20" t="s">
        <v>483</v>
      </c>
      <c r="W121" s="20" t="s">
        <v>1630</v>
      </c>
      <c r="X121" s="20" t="s">
        <v>628</v>
      </c>
      <c r="Y121" s="20">
        <v>10</v>
      </c>
      <c r="Z121" s="20">
        <v>2</v>
      </c>
      <c r="AA121" s="20" t="s">
        <v>593</v>
      </c>
      <c r="AC121" s="20" t="s">
        <v>1144</v>
      </c>
      <c r="AD121" s="20" t="s">
        <v>313</v>
      </c>
      <c r="AE121" s="20" t="s">
        <v>441</v>
      </c>
      <c r="AF121" s="20" t="s">
        <v>1231</v>
      </c>
      <c r="AG121" s="20" t="s">
        <v>628</v>
      </c>
      <c r="AH121" s="20">
        <v>10</v>
      </c>
      <c r="AI121" s="20">
        <v>14</v>
      </c>
      <c r="AJ121" s="20" t="s">
        <v>592</v>
      </c>
      <c r="AL121" s="20" t="s">
        <v>1149</v>
      </c>
      <c r="AM121" s="20" t="s">
        <v>1150</v>
      </c>
      <c r="AN121" s="20" t="s">
        <v>2792</v>
      </c>
      <c r="AO121" s="20" t="s">
        <v>2942</v>
      </c>
      <c r="AP121" s="20" t="s">
        <v>628</v>
      </c>
      <c r="AQ121" s="20">
        <v>10</v>
      </c>
      <c r="AR121" s="20">
        <v>3</v>
      </c>
      <c r="AS121" s="20" t="s">
        <v>593</v>
      </c>
    </row>
    <row r="122" spans="2:45" ht="15.75" customHeight="1" x14ac:dyDescent="0.2">
      <c r="B122" s="20" t="s">
        <v>646</v>
      </c>
      <c r="C122" s="20" t="s">
        <v>25</v>
      </c>
      <c r="D122" s="20" t="s">
        <v>371</v>
      </c>
      <c r="E122" s="20" t="s">
        <v>1235</v>
      </c>
      <c r="F122" s="20" t="s">
        <v>835</v>
      </c>
      <c r="G122" s="20">
        <v>5</v>
      </c>
      <c r="H122" s="20">
        <v>8</v>
      </c>
      <c r="I122" s="20" t="s">
        <v>592</v>
      </c>
      <c r="K122" s="20" t="s">
        <v>646</v>
      </c>
      <c r="L122" s="20" t="s">
        <v>334</v>
      </c>
      <c r="M122" s="20" t="s">
        <v>1544</v>
      </c>
      <c r="N122" s="20" t="s">
        <v>1545</v>
      </c>
      <c r="O122" s="20" t="s">
        <v>835</v>
      </c>
      <c r="P122" s="20">
        <v>5</v>
      </c>
      <c r="Q122" s="20">
        <v>5</v>
      </c>
      <c r="R122" s="20" t="s">
        <v>592</v>
      </c>
      <c r="T122" s="20" t="s">
        <v>1154</v>
      </c>
      <c r="U122" s="20" t="s">
        <v>307</v>
      </c>
      <c r="V122" s="20" t="s">
        <v>515</v>
      </c>
      <c r="W122" s="20" t="s">
        <v>1004</v>
      </c>
      <c r="X122" s="20" t="s">
        <v>835</v>
      </c>
      <c r="Y122" s="20">
        <v>5</v>
      </c>
      <c r="Z122" s="20">
        <v>3</v>
      </c>
      <c r="AA122" s="20" t="s">
        <v>592</v>
      </c>
      <c r="AC122" s="20" t="s">
        <v>1147</v>
      </c>
      <c r="AD122" s="20" t="s">
        <v>20</v>
      </c>
      <c r="AE122" s="20" t="s">
        <v>449</v>
      </c>
      <c r="AF122" s="20" t="s">
        <v>637</v>
      </c>
      <c r="AG122" s="20" t="s">
        <v>628</v>
      </c>
      <c r="AH122" s="20">
        <v>10</v>
      </c>
      <c r="AI122" s="20">
        <v>13</v>
      </c>
      <c r="AJ122" s="20" t="s">
        <v>592</v>
      </c>
      <c r="AL122" s="20" t="s">
        <v>1149</v>
      </c>
      <c r="AM122" s="20" t="s">
        <v>1150</v>
      </c>
      <c r="AN122" s="20" t="s">
        <v>479</v>
      </c>
      <c r="AO122" s="20" t="s">
        <v>2418</v>
      </c>
      <c r="AP122" s="20" t="s">
        <v>628</v>
      </c>
      <c r="AQ122" s="20">
        <v>10</v>
      </c>
      <c r="AR122" s="20">
        <v>38</v>
      </c>
      <c r="AS122" s="20" t="s">
        <v>592</v>
      </c>
    </row>
    <row r="123" spans="2:45" ht="15.75" customHeight="1" x14ac:dyDescent="0.2">
      <c r="B123" s="20" t="s">
        <v>646</v>
      </c>
      <c r="C123" s="20" t="s">
        <v>246</v>
      </c>
      <c r="D123" s="20" t="s">
        <v>368</v>
      </c>
      <c r="E123" s="20" t="s">
        <v>995</v>
      </c>
      <c r="F123" s="20" t="s">
        <v>628</v>
      </c>
      <c r="G123" s="20">
        <v>10</v>
      </c>
      <c r="H123" s="20">
        <v>2</v>
      </c>
      <c r="I123" s="20" t="s">
        <v>593</v>
      </c>
      <c r="K123" s="20" t="s">
        <v>640</v>
      </c>
      <c r="L123" s="20" t="s">
        <v>31</v>
      </c>
      <c r="M123" s="20" t="s">
        <v>1546</v>
      </c>
      <c r="N123" s="20" t="s">
        <v>602</v>
      </c>
      <c r="O123" s="20" t="s">
        <v>835</v>
      </c>
      <c r="P123" s="20">
        <v>5</v>
      </c>
      <c r="Q123" s="20">
        <v>5</v>
      </c>
      <c r="R123" s="20" t="s">
        <v>592</v>
      </c>
      <c r="T123" s="20" t="s">
        <v>1163</v>
      </c>
      <c r="U123" s="20" t="s">
        <v>299</v>
      </c>
      <c r="V123" s="20" t="s">
        <v>408</v>
      </c>
      <c r="W123" s="20" t="s">
        <v>1025</v>
      </c>
      <c r="X123" s="20" t="s">
        <v>835</v>
      </c>
      <c r="Y123" s="20">
        <v>5</v>
      </c>
      <c r="Z123" s="20">
        <v>3</v>
      </c>
      <c r="AA123" s="20" t="s">
        <v>593</v>
      </c>
      <c r="AC123" s="20" t="s">
        <v>1161</v>
      </c>
      <c r="AD123" s="20" t="s">
        <v>659</v>
      </c>
      <c r="AE123" s="20" t="s">
        <v>389</v>
      </c>
      <c r="AF123" s="20" t="s">
        <v>2601</v>
      </c>
      <c r="AG123" s="20" t="s">
        <v>835</v>
      </c>
      <c r="AH123" s="20">
        <v>5</v>
      </c>
      <c r="AI123" s="20">
        <v>5</v>
      </c>
      <c r="AJ123" s="20" t="s">
        <v>592</v>
      </c>
      <c r="AL123" s="20" t="s">
        <v>1149</v>
      </c>
      <c r="AM123" s="20" t="s">
        <v>1150</v>
      </c>
      <c r="AN123" s="20" t="s">
        <v>478</v>
      </c>
      <c r="AO123" s="20" t="s">
        <v>2943</v>
      </c>
      <c r="AP123" s="20" t="s">
        <v>628</v>
      </c>
      <c r="AQ123" s="20">
        <v>10</v>
      </c>
      <c r="AR123" s="20">
        <v>29</v>
      </c>
      <c r="AS123" s="20" t="s">
        <v>592</v>
      </c>
    </row>
    <row r="124" spans="2:45" ht="15.75" customHeight="1" x14ac:dyDescent="0.2">
      <c r="B124" s="20" t="s">
        <v>646</v>
      </c>
      <c r="C124" s="20" t="s">
        <v>246</v>
      </c>
      <c r="D124" s="20" t="s">
        <v>368</v>
      </c>
      <c r="E124" s="20" t="s">
        <v>1236</v>
      </c>
      <c r="F124" s="20" t="s">
        <v>628</v>
      </c>
      <c r="G124" s="20">
        <v>10</v>
      </c>
      <c r="H124" s="20">
        <v>1</v>
      </c>
      <c r="I124" s="20" t="s">
        <v>593</v>
      </c>
      <c r="K124" s="20" t="s">
        <v>1147</v>
      </c>
      <c r="L124" s="20" t="s">
        <v>29</v>
      </c>
      <c r="M124" s="20" t="s">
        <v>1547</v>
      </c>
      <c r="N124" s="20" t="s">
        <v>1548</v>
      </c>
      <c r="O124" s="20" t="s">
        <v>628</v>
      </c>
      <c r="P124" s="20">
        <v>10</v>
      </c>
      <c r="Q124" s="20">
        <v>2</v>
      </c>
      <c r="R124" s="20" t="s">
        <v>593</v>
      </c>
      <c r="T124" s="20" t="s">
        <v>1161</v>
      </c>
      <c r="U124" s="20" t="s">
        <v>304</v>
      </c>
      <c r="V124" s="20" t="s">
        <v>2461</v>
      </c>
      <c r="W124" s="20" t="s">
        <v>2152</v>
      </c>
      <c r="X124" s="20" t="s">
        <v>628</v>
      </c>
      <c r="Y124" s="20">
        <v>10</v>
      </c>
      <c r="Z124" s="20">
        <v>3</v>
      </c>
      <c r="AA124" s="20" t="s">
        <v>593</v>
      </c>
      <c r="AC124" s="20" t="s">
        <v>1162</v>
      </c>
      <c r="AD124" s="20" t="s">
        <v>230</v>
      </c>
      <c r="AE124" s="20" t="s">
        <v>417</v>
      </c>
      <c r="AF124" s="20" t="s">
        <v>1836</v>
      </c>
      <c r="AG124" s="20" t="s">
        <v>628</v>
      </c>
      <c r="AH124" s="20">
        <v>10</v>
      </c>
      <c r="AI124" s="20">
        <v>8</v>
      </c>
      <c r="AJ124" s="20" t="s">
        <v>592</v>
      </c>
      <c r="AL124" s="20" t="s">
        <v>1149</v>
      </c>
      <c r="AM124" s="20" t="s">
        <v>1150</v>
      </c>
      <c r="AN124" s="20" t="s">
        <v>893</v>
      </c>
      <c r="AO124" s="20" t="s">
        <v>1389</v>
      </c>
      <c r="AP124" s="20" t="s">
        <v>628</v>
      </c>
      <c r="AQ124" s="20">
        <v>10</v>
      </c>
      <c r="AR124" s="20">
        <v>2</v>
      </c>
      <c r="AS124" s="20" t="s">
        <v>593</v>
      </c>
    </row>
    <row r="125" spans="2:45" ht="15.75" customHeight="1" x14ac:dyDescent="0.2">
      <c r="B125" s="20" t="s">
        <v>1143</v>
      </c>
      <c r="C125" s="20" t="s">
        <v>689</v>
      </c>
      <c r="D125" s="20" t="s">
        <v>402</v>
      </c>
      <c r="E125" s="20" t="s">
        <v>821</v>
      </c>
      <c r="F125" s="20" t="s">
        <v>628</v>
      </c>
      <c r="G125" s="20">
        <v>10</v>
      </c>
      <c r="H125" s="20">
        <v>3</v>
      </c>
      <c r="I125" s="20" t="s">
        <v>592</v>
      </c>
      <c r="K125" s="20" t="s">
        <v>1149</v>
      </c>
      <c r="L125" s="20" t="s">
        <v>63</v>
      </c>
      <c r="M125" s="20" t="s">
        <v>1549</v>
      </c>
      <c r="N125" s="20" t="s">
        <v>472</v>
      </c>
      <c r="O125" s="20" t="s">
        <v>628</v>
      </c>
      <c r="P125" s="20">
        <v>10</v>
      </c>
      <c r="Q125" s="20">
        <v>1</v>
      </c>
      <c r="R125" s="20" t="s">
        <v>593</v>
      </c>
      <c r="T125" s="20" t="s">
        <v>1161</v>
      </c>
      <c r="U125" s="20" t="s">
        <v>1432</v>
      </c>
      <c r="V125" s="20" t="s">
        <v>2462</v>
      </c>
      <c r="W125" s="20" t="s">
        <v>2153</v>
      </c>
      <c r="X125" s="20" t="s">
        <v>835</v>
      </c>
      <c r="Y125" s="20">
        <v>5</v>
      </c>
      <c r="Z125" s="20">
        <v>4</v>
      </c>
      <c r="AA125" s="20" t="s">
        <v>592</v>
      </c>
      <c r="AC125" s="20" t="s">
        <v>1162</v>
      </c>
      <c r="AD125" s="20" t="s">
        <v>230</v>
      </c>
      <c r="AE125" s="20" t="s">
        <v>418</v>
      </c>
      <c r="AF125" s="20" t="s">
        <v>2602</v>
      </c>
      <c r="AG125" s="20" t="s">
        <v>628</v>
      </c>
      <c r="AH125" s="20">
        <v>10</v>
      </c>
      <c r="AI125" s="20">
        <v>1</v>
      </c>
      <c r="AJ125" s="20" t="s">
        <v>593</v>
      </c>
      <c r="AL125" s="20" t="s">
        <v>1149</v>
      </c>
      <c r="AM125" s="20" t="s">
        <v>1150</v>
      </c>
      <c r="AN125" s="20" t="s">
        <v>2040</v>
      </c>
      <c r="AO125" s="20" t="s">
        <v>2039</v>
      </c>
      <c r="AP125" s="20" t="s">
        <v>628</v>
      </c>
      <c r="AQ125" s="20">
        <v>10</v>
      </c>
      <c r="AR125" s="20">
        <v>25</v>
      </c>
      <c r="AS125" s="20" t="s">
        <v>592</v>
      </c>
    </row>
    <row r="126" spans="2:45" ht="15.75" customHeight="1" x14ac:dyDescent="0.2">
      <c r="B126" s="20" t="s">
        <v>1143</v>
      </c>
      <c r="C126" s="20" t="s">
        <v>689</v>
      </c>
      <c r="D126" s="20" t="s">
        <v>402</v>
      </c>
      <c r="E126" s="20" t="s">
        <v>733</v>
      </c>
      <c r="F126" s="20" t="s">
        <v>628</v>
      </c>
      <c r="G126" s="20">
        <v>10</v>
      </c>
      <c r="H126" s="20">
        <v>8</v>
      </c>
      <c r="I126" s="20" t="s">
        <v>592</v>
      </c>
      <c r="K126" s="20" t="s">
        <v>640</v>
      </c>
      <c r="L126" s="20" t="s">
        <v>705</v>
      </c>
      <c r="M126" s="20" t="s">
        <v>1550</v>
      </c>
      <c r="N126" s="20" t="s">
        <v>1551</v>
      </c>
      <c r="O126" s="20" t="s">
        <v>835</v>
      </c>
      <c r="P126" s="20">
        <v>5</v>
      </c>
      <c r="Q126" s="20">
        <v>5</v>
      </c>
      <c r="R126" s="20" t="s">
        <v>592</v>
      </c>
      <c r="T126" s="20" t="s">
        <v>1161</v>
      </c>
      <c r="U126" s="20" t="s">
        <v>1432</v>
      </c>
      <c r="V126" s="20" t="s">
        <v>2462</v>
      </c>
      <c r="W126" s="20" t="s">
        <v>2154</v>
      </c>
      <c r="X126" s="20" t="s">
        <v>835</v>
      </c>
      <c r="Y126" s="20">
        <v>5</v>
      </c>
      <c r="Z126" s="20">
        <v>1</v>
      </c>
      <c r="AA126" s="20" t="s">
        <v>592</v>
      </c>
      <c r="AC126" s="20" t="s">
        <v>2099</v>
      </c>
      <c r="AD126" s="20" t="s">
        <v>2103</v>
      </c>
      <c r="AE126" s="20" t="s">
        <v>2533</v>
      </c>
      <c r="AF126" s="20" t="s">
        <v>2105</v>
      </c>
      <c r="AG126" s="20" t="s">
        <v>835</v>
      </c>
      <c r="AH126" s="20">
        <v>5</v>
      </c>
      <c r="AI126" s="20">
        <v>14</v>
      </c>
      <c r="AJ126" s="20" t="s">
        <v>592</v>
      </c>
      <c r="AL126" s="20" t="s">
        <v>1149</v>
      </c>
      <c r="AM126" s="20" t="s">
        <v>301</v>
      </c>
      <c r="AN126" s="20" t="s">
        <v>501</v>
      </c>
      <c r="AO126" s="20" t="s">
        <v>2689</v>
      </c>
      <c r="AP126" s="20" t="s">
        <v>628</v>
      </c>
      <c r="AQ126" s="20">
        <v>10</v>
      </c>
      <c r="AR126" s="20">
        <v>75</v>
      </c>
      <c r="AS126" s="20" t="s">
        <v>592</v>
      </c>
    </row>
    <row r="127" spans="2:45" ht="15.75" customHeight="1" x14ac:dyDescent="0.2">
      <c r="B127" s="20" t="s">
        <v>646</v>
      </c>
      <c r="C127" s="20" t="s">
        <v>303</v>
      </c>
      <c r="D127" s="20" t="s">
        <v>409</v>
      </c>
      <c r="E127" s="20" t="s">
        <v>636</v>
      </c>
      <c r="F127" s="20" t="s">
        <v>628</v>
      </c>
      <c r="G127" s="20">
        <v>10</v>
      </c>
      <c r="H127" s="20">
        <v>8</v>
      </c>
      <c r="I127" s="20" t="s">
        <v>592</v>
      </c>
      <c r="K127" s="20" t="s">
        <v>1161</v>
      </c>
      <c r="L127" s="20" t="s">
        <v>41</v>
      </c>
      <c r="M127" s="20" t="s">
        <v>1419</v>
      </c>
      <c r="N127" s="20" t="s">
        <v>538</v>
      </c>
      <c r="O127" s="20" t="s">
        <v>628</v>
      </c>
      <c r="P127" s="20">
        <v>10</v>
      </c>
      <c r="Q127" s="20">
        <v>8</v>
      </c>
      <c r="R127" s="20" t="s">
        <v>592</v>
      </c>
      <c r="T127" s="20" t="s">
        <v>1158</v>
      </c>
      <c r="U127" s="20" t="s">
        <v>925</v>
      </c>
      <c r="V127" s="20" t="s">
        <v>1726</v>
      </c>
      <c r="W127" s="20" t="s">
        <v>2155</v>
      </c>
      <c r="X127" s="20" t="s">
        <v>835</v>
      </c>
      <c r="Y127" s="20">
        <v>5</v>
      </c>
      <c r="Z127" s="20">
        <v>1</v>
      </c>
      <c r="AA127" s="20" t="s">
        <v>593</v>
      </c>
      <c r="AC127" s="20" t="s">
        <v>2099</v>
      </c>
      <c r="AD127" s="20" t="s">
        <v>2103</v>
      </c>
      <c r="AE127" s="20" t="s">
        <v>2533</v>
      </c>
      <c r="AF127" s="20" t="s">
        <v>2104</v>
      </c>
      <c r="AG127" s="20" t="s">
        <v>835</v>
      </c>
      <c r="AH127" s="20">
        <v>5</v>
      </c>
      <c r="AI127" s="20">
        <v>1</v>
      </c>
      <c r="AJ127" s="20" t="s">
        <v>592</v>
      </c>
      <c r="AL127" s="20" t="s">
        <v>1149</v>
      </c>
      <c r="AM127" s="20" t="s">
        <v>301</v>
      </c>
      <c r="AN127" s="20" t="s">
        <v>2477</v>
      </c>
      <c r="AO127" s="20" t="s">
        <v>2231</v>
      </c>
      <c r="AP127" s="20" t="s">
        <v>628</v>
      </c>
      <c r="AQ127" s="20">
        <v>10</v>
      </c>
      <c r="AR127" s="20">
        <v>64</v>
      </c>
      <c r="AS127" s="20" t="s">
        <v>592</v>
      </c>
    </row>
    <row r="128" spans="2:45" ht="15.75" customHeight="1" x14ac:dyDescent="0.2">
      <c r="B128" s="20" t="s">
        <v>1162</v>
      </c>
      <c r="C128" s="20" t="s">
        <v>230</v>
      </c>
      <c r="D128" s="20" t="s">
        <v>417</v>
      </c>
      <c r="E128" s="20" t="s">
        <v>1237</v>
      </c>
      <c r="F128" s="20" t="s">
        <v>628</v>
      </c>
      <c r="G128" s="20">
        <v>10</v>
      </c>
      <c r="H128" s="20">
        <v>8</v>
      </c>
      <c r="I128" s="20" t="s">
        <v>592</v>
      </c>
      <c r="K128" s="20" t="s">
        <v>1147</v>
      </c>
      <c r="L128" s="20" t="s">
        <v>222</v>
      </c>
      <c r="M128" s="20" t="s">
        <v>1361</v>
      </c>
      <c r="N128" s="20" t="s">
        <v>551</v>
      </c>
      <c r="O128" s="20" t="s">
        <v>628</v>
      </c>
      <c r="P128" s="20">
        <v>10</v>
      </c>
      <c r="Q128" s="20">
        <v>7</v>
      </c>
      <c r="R128" s="20" t="s">
        <v>592</v>
      </c>
      <c r="T128" s="20" t="s">
        <v>1147</v>
      </c>
      <c r="U128" s="20" t="s">
        <v>222</v>
      </c>
      <c r="V128" s="20" t="s">
        <v>552</v>
      </c>
      <c r="W128" s="20" t="s">
        <v>1035</v>
      </c>
      <c r="X128" s="20" t="s">
        <v>628</v>
      </c>
      <c r="Y128" s="20">
        <v>10</v>
      </c>
      <c r="Z128" s="20">
        <v>8</v>
      </c>
      <c r="AA128" s="20" t="s">
        <v>592</v>
      </c>
      <c r="AC128" s="20" t="s">
        <v>1161</v>
      </c>
      <c r="AD128" s="20" t="s">
        <v>41</v>
      </c>
      <c r="AE128" s="20" t="s">
        <v>536</v>
      </c>
      <c r="AF128" s="20" t="s">
        <v>2603</v>
      </c>
      <c r="AG128" s="20" t="s">
        <v>628</v>
      </c>
      <c r="AH128" s="20">
        <v>10</v>
      </c>
      <c r="AI128" s="20">
        <v>9</v>
      </c>
      <c r="AJ128" s="20" t="s">
        <v>592</v>
      </c>
      <c r="AL128" s="20" t="s">
        <v>1149</v>
      </c>
      <c r="AM128" s="20" t="s">
        <v>301</v>
      </c>
      <c r="AN128" s="20" t="s">
        <v>1633</v>
      </c>
      <c r="AO128" s="20" t="s">
        <v>1632</v>
      </c>
      <c r="AP128" s="20" t="s">
        <v>628</v>
      </c>
      <c r="AQ128" s="20">
        <v>10</v>
      </c>
      <c r="AR128" s="20">
        <v>29</v>
      </c>
      <c r="AS128" s="20" t="s">
        <v>592</v>
      </c>
    </row>
    <row r="129" spans="2:45" ht="15.75" customHeight="1" x14ac:dyDescent="0.2">
      <c r="B129" s="20" t="s">
        <v>1162</v>
      </c>
      <c r="C129" s="20" t="s">
        <v>230</v>
      </c>
      <c r="D129" s="20" t="s">
        <v>414</v>
      </c>
      <c r="E129" s="20" t="s">
        <v>1238</v>
      </c>
      <c r="F129" s="20" t="s">
        <v>835</v>
      </c>
      <c r="G129" s="20">
        <v>5</v>
      </c>
      <c r="H129" s="20">
        <v>2</v>
      </c>
      <c r="I129" s="20" t="s">
        <v>593</v>
      </c>
      <c r="K129" s="20" t="s">
        <v>1147</v>
      </c>
      <c r="L129" s="20" t="s">
        <v>222</v>
      </c>
      <c r="M129" s="20" t="s">
        <v>1552</v>
      </c>
      <c r="N129" s="20" t="s">
        <v>551</v>
      </c>
      <c r="O129" s="20" t="s">
        <v>628</v>
      </c>
      <c r="P129" s="20">
        <v>10</v>
      </c>
      <c r="Q129" s="20">
        <v>1</v>
      </c>
      <c r="R129" s="20" t="s">
        <v>592</v>
      </c>
      <c r="T129" s="20" t="s">
        <v>646</v>
      </c>
      <c r="U129" s="20" t="s">
        <v>25</v>
      </c>
      <c r="V129" s="20" t="s">
        <v>521</v>
      </c>
      <c r="W129" s="20" t="s">
        <v>1804</v>
      </c>
      <c r="X129" s="20" t="s">
        <v>835</v>
      </c>
      <c r="Y129" s="20">
        <v>5</v>
      </c>
      <c r="Z129" s="20">
        <v>5</v>
      </c>
      <c r="AA129" s="20" t="s">
        <v>592</v>
      </c>
      <c r="AC129" s="20" t="s">
        <v>1147</v>
      </c>
      <c r="AD129" s="20" t="s">
        <v>222</v>
      </c>
      <c r="AE129" s="20" t="s">
        <v>1996</v>
      </c>
      <c r="AF129" s="20" t="s">
        <v>1995</v>
      </c>
      <c r="AG129" s="20" t="s">
        <v>628</v>
      </c>
      <c r="AH129" s="20">
        <v>10</v>
      </c>
      <c r="AI129" s="20">
        <v>8</v>
      </c>
      <c r="AJ129" s="20" t="s">
        <v>592</v>
      </c>
      <c r="AL129" s="20" t="s">
        <v>1149</v>
      </c>
      <c r="AM129" s="20" t="s">
        <v>301</v>
      </c>
      <c r="AN129" s="20" t="s">
        <v>2030</v>
      </c>
      <c r="AO129" s="20" t="s">
        <v>2395</v>
      </c>
      <c r="AP129" s="20" t="s">
        <v>628</v>
      </c>
      <c r="AQ129" s="20">
        <v>10</v>
      </c>
      <c r="AR129" s="20">
        <v>15</v>
      </c>
      <c r="AS129" s="20" t="s">
        <v>592</v>
      </c>
    </row>
    <row r="130" spans="2:45" ht="15.75" customHeight="1" x14ac:dyDescent="0.2">
      <c r="B130" s="20" t="s">
        <v>1162</v>
      </c>
      <c r="C130" s="20" t="s">
        <v>230</v>
      </c>
      <c r="D130" s="20" t="s">
        <v>366</v>
      </c>
      <c r="E130" s="20" t="s">
        <v>1239</v>
      </c>
      <c r="F130" s="20" t="s">
        <v>835</v>
      </c>
      <c r="G130" s="20">
        <v>5</v>
      </c>
      <c r="H130" s="20">
        <v>2</v>
      </c>
      <c r="I130" s="20" t="s">
        <v>593</v>
      </c>
      <c r="K130" s="20" t="s">
        <v>1155</v>
      </c>
      <c r="L130" s="20" t="s">
        <v>657</v>
      </c>
      <c r="M130" s="20" t="s">
        <v>1553</v>
      </c>
      <c r="N130" s="20" t="s">
        <v>484</v>
      </c>
      <c r="O130" s="20" t="s">
        <v>628</v>
      </c>
      <c r="P130" s="20">
        <v>10</v>
      </c>
      <c r="Q130" s="20">
        <v>4</v>
      </c>
      <c r="R130" s="20" t="s">
        <v>593</v>
      </c>
      <c r="T130" s="20" t="s">
        <v>1158</v>
      </c>
      <c r="U130" s="20" t="s">
        <v>1040</v>
      </c>
      <c r="V130" s="20" t="s">
        <v>2084</v>
      </c>
      <c r="W130" s="20" t="s">
        <v>2156</v>
      </c>
      <c r="X130" s="20" t="s">
        <v>835</v>
      </c>
      <c r="Y130" s="20">
        <v>5</v>
      </c>
      <c r="Z130" s="20">
        <v>2</v>
      </c>
      <c r="AA130" s="20" t="s">
        <v>593</v>
      </c>
      <c r="AC130" s="20" t="s">
        <v>1155</v>
      </c>
      <c r="AD130" s="20" t="s">
        <v>286</v>
      </c>
      <c r="AE130" s="20" t="s">
        <v>2536</v>
      </c>
      <c r="AF130" s="20" t="s">
        <v>2604</v>
      </c>
      <c r="AG130" s="20" t="s">
        <v>628</v>
      </c>
      <c r="AH130" s="20">
        <v>10</v>
      </c>
      <c r="AI130" s="20">
        <v>9</v>
      </c>
      <c r="AJ130" s="20" t="s">
        <v>592</v>
      </c>
      <c r="AL130" s="20" t="s">
        <v>1149</v>
      </c>
      <c r="AM130" s="20" t="s">
        <v>301</v>
      </c>
      <c r="AN130" s="20" t="s">
        <v>2032</v>
      </c>
      <c r="AO130" s="20" t="s">
        <v>2687</v>
      </c>
      <c r="AP130" s="20" t="s">
        <v>628</v>
      </c>
      <c r="AQ130" s="20">
        <v>10</v>
      </c>
      <c r="AR130" s="20">
        <v>13</v>
      </c>
      <c r="AS130" s="20" t="s">
        <v>592</v>
      </c>
    </row>
    <row r="131" spans="2:45" ht="15.75" customHeight="1" x14ac:dyDescent="0.2">
      <c r="B131" s="20" t="s">
        <v>1162</v>
      </c>
      <c r="C131" s="20" t="s">
        <v>230</v>
      </c>
      <c r="D131" s="20" t="s">
        <v>415</v>
      </c>
      <c r="E131" s="20" t="s">
        <v>1240</v>
      </c>
      <c r="F131" s="20" t="s">
        <v>835</v>
      </c>
      <c r="G131" s="20">
        <v>5</v>
      </c>
      <c r="H131" s="20">
        <v>5</v>
      </c>
      <c r="I131" s="20" t="s">
        <v>592</v>
      </c>
      <c r="K131" s="20" t="s">
        <v>1163</v>
      </c>
      <c r="L131" s="20" t="s">
        <v>299</v>
      </c>
      <c r="M131" s="20" t="s">
        <v>1554</v>
      </c>
      <c r="N131" s="20" t="s">
        <v>557</v>
      </c>
      <c r="O131" s="20" t="s">
        <v>835</v>
      </c>
      <c r="P131" s="20">
        <v>5</v>
      </c>
      <c r="Q131" s="20">
        <v>4</v>
      </c>
      <c r="R131" s="20" t="s">
        <v>592</v>
      </c>
      <c r="T131" s="20" t="s">
        <v>1158</v>
      </c>
      <c r="U131" s="20" t="s">
        <v>1040</v>
      </c>
      <c r="V131" s="20" t="s">
        <v>2463</v>
      </c>
      <c r="W131" s="20" t="s">
        <v>2157</v>
      </c>
      <c r="X131" s="20" t="s">
        <v>835</v>
      </c>
      <c r="Y131" s="20">
        <v>5</v>
      </c>
      <c r="Z131" s="20">
        <v>1</v>
      </c>
      <c r="AA131" s="20" t="s">
        <v>593</v>
      </c>
      <c r="AC131" s="20" t="s">
        <v>1144</v>
      </c>
      <c r="AD131" s="20" t="s">
        <v>1145</v>
      </c>
      <c r="AE131" s="20" t="s">
        <v>853</v>
      </c>
      <c r="AF131" s="20" t="s">
        <v>1251</v>
      </c>
      <c r="AG131" s="20" t="s">
        <v>628</v>
      </c>
      <c r="AH131" s="20">
        <v>10</v>
      </c>
      <c r="AI131" s="20">
        <v>13</v>
      </c>
      <c r="AJ131" s="20" t="s">
        <v>592</v>
      </c>
      <c r="AL131" s="20" t="s">
        <v>1149</v>
      </c>
      <c r="AM131" s="20" t="s">
        <v>301</v>
      </c>
      <c r="AN131" s="20" t="s">
        <v>1464</v>
      </c>
      <c r="AO131" s="20" t="s">
        <v>2688</v>
      </c>
      <c r="AP131" s="20" t="s">
        <v>628</v>
      </c>
      <c r="AQ131" s="20">
        <v>10</v>
      </c>
      <c r="AR131" s="20">
        <v>22</v>
      </c>
      <c r="AS131" s="20" t="s">
        <v>592</v>
      </c>
    </row>
    <row r="132" spans="2:45" ht="15.75" customHeight="1" x14ac:dyDescent="0.2">
      <c r="B132" s="20" t="s">
        <v>1161</v>
      </c>
      <c r="C132" s="20" t="s">
        <v>659</v>
      </c>
      <c r="D132" s="20" t="s">
        <v>391</v>
      </c>
      <c r="E132" s="20" t="s">
        <v>909</v>
      </c>
      <c r="F132" s="20" t="s">
        <v>835</v>
      </c>
      <c r="G132" s="20">
        <v>5</v>
      </c>
      <c r="H132" s="20">
        <v>5</v>
      </c>
      <c r="I132" s="20" t="s">
        <v>592</v>
      </c>
      <c r="K132" s="20" t="s">
        <v>1163</v>
      </c>
      <c r="L132" s="20" t="s">
        <v>299</v>
      </c>
      <c r="M132" s="20" t="s">
        <v>1555</v>
      </c>
      <c r="N132" s="20" t="s">
        <v>557</v>
      </c>
      <c r="O132" s="20" t="s">
        <v>835</v>
      </c>
      <c r="P132" s="20">
        <v>5</v>
      </c>
      <c r="Q132" s="20">
        <v>1</v>
      </c>
      <c r="R132" s="20" t="s">
        <v>592</v>
      </c>
      <c r="T132" s="20" t="s">
        <v>1163</v>
      </c>
      <c r="U132" s="20" t="s">
        <v>57</v>
      </c>
      <c r="V132" s="20" t="s">
        <v>359</v>
      </c>
      <c r="W132" s="20" t="s">
        <v>1981</v>
      </c>
      <c r="X132" s="20" t="s">
        <v>628</v>
      </c>
      <c r="Y132" s="20">
        <v>10</v>
      </c>
      <c r="Z132" s="20">
        <v>4</v>
      </c>
      <c r="AA132" s="20" t="s">
        <v>593</v>
      </c>
      <c r="AC132" s="20" t="s">
        <v>1155</v>
      </c>
      <c r="AD132" s="20" t="s">
        <v>657</v>
      </c>
      <c r="AE132" s="20" t="s">
        <v>1745</v>
      </c>
      <c r="AF132" s="20" t="s">
        <v>2363</v>
      </c>
      <c r="AG132" s="20" t="s">
        <v>628</v>
      </c>
      <c r="AH132" s="20">
        <v>10</v>
      </c>
      <c r="AI132" s="20">
        <v>13</v>
      </c>
      <c r="AJ132" s="20" t="s">
        <v>592</v>
      </c>
      <c r="AL132" s="20" t="s">
        <v>1149</v>
      </c>
      <c r="AM132" s="20" t="s">
        <v>301</v>
      </c>
      <c r="AN132" s="20" t="s">
        <v>1461</v>
      </c>
      <c r="AO132" s="20" t="s">
        <v>2944</v>
      </c>
      <c r="AP132" s="20" t="s">
        <v>628</v>
      </c>
      <c r="AQ132" s="20">
        <v>10</v>
      </c>
      <c r="AR132" s="20">
        <v>22</v>
      </c>
      <c r="AS132" s="20" t="s">
        <v>592</v>
      </c>
    </row>
    <row r="133" spans="2:45" ht="15.75" customHeight="1" x14ac:dyDescent="0.2">
      <c r="B133" s="20" t="s">
        <v>1161</v>
      </c>
      <c r="C133" s="20" t="s">
        <v>765</v>
      </c>
      <c r="D133" s="20" t="s">
        <v>463</v>
      </c>
      <c r="E133" s="20" t="s">
        <v>991</v>
      </c>
      <c r="F133" s="20" t="s">
        <v>835</v>
      </c>
      <c r="G133" s="20">
        <v>5</v>
      </c>
      <c r="H133" s="20">
        <v>5</v>
      </c>
      <c r="I133" s="20" t="s">
        <v>592</v>
      </c>
      <c r="K133" s="20" t="s">
        <v>1154</v>
      </c>
      <c r="L133" s="20" t="s">
        <v>217</v>
      </c>
      <c r="M133" s="20" t="s">
        <v>1556</v>
      </c>
      <c r="N133" s="20" t="s">
        <v>1557</v>
      </c>
      <c r="O133" s="20" t="s">
        <v>628</v>
      </c>
      <c r="P133" s="20">
        <v>10</v>
      </c>
      <c r="Q133" s="20">
        <v>7</v>
      </c>
      <c r="R133" s="20" t="s">
        <v>592</v>
      </c>
      <c r="T133" s="20" t="s">
        <v>1163</v>
      </c>
      <c r="U133" s="20" t="s">
        <v>837</v>
      </c>
      <c r="V133" s="20" t="s">
        <v>407</v>
      </c>
      <c r="W133" s="20" t="s">
        <v>1888</v>
      </c>
      <c r="X133" s="20" t="s">
        <v>835</v>
      </c>
      <c r="Y133" s="20">
        <v>5</v>
      </c>
      <c r="Z133" s="20">
        <v>6</v>
      </c>
      <c r="AA133" s="20" t="s">
        <v>592</v>
      </c>
      <c r="AC133" s="20" t="s">
        <v>1147</v>
      </c>
      <c r="AD133" s="20" t="s">
        <v>70</v>
      </c>
      <c r="AE133" s="20" t="s">
        <v>731</v>
      </c>
      <c r="AF133" s="20" t="s">
        <v>2605</v>
      </c>
      <c r="AG133" s="20" t="s">
        <v>628</v>
      </c>
      <c r="AH133" s="20">
        <v>10</v>
      </c>
      <c r="AI133" s="20">
        <v>3</v>
      </c>
      <c r="AJ133" s="20" t="s">
        <v>593</v>
      </c>
      <c r="AL133" s="20" t="s">
        <v>1149</v>
      </c>
      <c r="AM133" s="20" t="s">
        <v>301</v>
      </c>
      <c r="AN133" s="20" t="s">
        <v>2479</v>
      </c>
      <c r="AO133" s="20" t="s">
        <v>2235</v>
      </c>
      <c r="AP133" s="20" t="s">
        <v>628</v>
      </c>
      <c r="AQ133" s="20">
        <v>10</v>
      </c>
      <c r="AR133" s="20">
        <v>17</v>
      </c>
      <c r="AS133" s="20" t="s">
        <v>592</v>
      </c>
    </row>
    <row r="134" spans="2:45" ht="15.75" customHeight="1" x14ac:dyDescent="0.2">
      <c r="B134" s="20" t="s">
        <v>1161</v>
      </c>
      <c r="C134" s="20" t="s">
        <v>41</v>
      </c>
      <c r="D134" s="20" t="s">
        <v>536</v>
      </c>
      <c r="E134" s="20" t="s">
        <v>1241</v>
      </c>
      <c r="F134" s="20" t="s">
        <v>628</v>
      </c>
      <c r="G134" s="20">
        <v>10</v>
      </c>
      <c r="H134" s="20">
        <v>9</v>
      </c>
      <c r="I134" s="20" t="s">
        <v>592</v>
      </c>
      <c r="K134" s="20" t="s">
        <v>1154</v>
      </c>
      <c r="L134" s="20" t="s">
        <v>217</v>
      </c>
      <c r="M134" s="20" t="s">
        <v>1558</v>
      </c>
      <c r="N134" s="20" t="s">
        <v>1557</v>
      </c>
      <c r="O134" s="20" t="s">
        <v>628</v>
      </c>
      <c r="P134" s="20">
        <v>10</v>
      </c>
      <c r="Q134" s="20">
        <v>1</v>
      </c>
      <c r="R134" s="20" t="s">
        <v>592</v>
      </c>
      <c r="T134" s="20" t="s">
        <v>1144</v>
      </c>
      <c r="U134" s="20" t="s">
        <v>194</v>
      </c>
      <c r="V134" s="20" t="s">
        <v>437</v>
      </c>
      <c r="W134" s="20" t="s">
        <v>1484</v>
      </c>
      <c r="X134" s="20" t="s">
        <v>628</v>
      </c>
      <c r="Y134" s="20">
        <v>10</v>
      </c>
      <c r="Z134" s="20">
        <v>17</v>
      </c>
      <c r="AA134" s="20" t="s">
        <v>592</v>
      </c>
      <c r="AC134" s="20" t="s">
        <v>640</v>
      </c>
      <c r="AD134" s="20" t="s">
        <v>191</v>
      </c>
      <c r="AE134" s="20" t="s">
        <v>1697</v>
      </c>
      <c r="AF134" s="20" t="s">
        <v>2271</v>
      </c>
      <c r="AG134" s="20" t="s">
        <v>835</v>
      </c>
      <c r="AH134" s="20">
        <v>5</v>
      </c>
      <c r="AI134" s="20">
        <v>5</v>
      </c>
      <c r="AJ134" s="20" t="s">
        <v>592</v>
      </c>
      <c r="AL134" s="20" t="s">
        <v>1149</v>
      </c>
      <c r="AM134" s="20" t="s">
        <v>301</v>
      </c>
      <c r="AN134" s="20" t="s">
        <v>2793</v>
      </c>
      <c r="AO134" s="20" t="s">
        <v>2945</v>
      </c>
      <c r="AP134" s="20" t="s">
        <v>835</v>
      </c>
      <c r="AQ134" s="20">
        <v>5</v>
      </c>
      <c r="AR134" s="20">
        <v>6</v>
      </c>
      <c r="AS134" s="20" t="s">
        <v>592</v>
      </c>
    </row>
    <row r="135" spans="2:45" ht="15.75" customHeight="1" x14ac:dyDescent="0.2">
      <c r="B135" s="20" t="s">
        <v>1161</v>
      </c>
      <c r="C135" s="20" t="s">
        <v>41</v>
      </c>
      <c r="D135" s="20" t="s">
        <v>536</v>
      </c>
      <c r="E135" s="20" t="s">
        <v>1242</v>
      </c>
      <c r="F135" s="20" t="s">
        <v>628</v>
      </c>
      <c r="G135" s="20">
        <v>10</v>
      </c>
      <c r="H135" s="20">
        <v>1</v>
      </c>
      <c r="I135" s="20" t="s">
        <v>592</v>
      </c>
      <c r="K135" s="20" t="s">
        <v>1147</v>
      </c>
      <c r="L135" s="20" t="s">
        <v>699</v>
      </c>
      <c r="M135" s="20" t="s">
        <v>1202</v>
      </c>
      <c r="N135" s="20" t="s">
        <v>447</v>
      </c>
      <c r="O135" s="20" t="s">
        <v>835</v>
      </c>
      <c r="P135" s="20">
        <v>5</v>
      </c>
      <c r="Q135" s="20">
        <v>1</v>
      </c>
      <c r="R135" s="20" t="s">
        <v>593</v>
      </c>
      <c r="T135" s="20" t="s">
        <v>1144</v>
      </c>
      <c r="U135" s="20" t="s">
        <v>194</v>
      </c>
      <c r="V135" s="20" t="s">
        <v>897</v>
      </c>
      <c r="W135" s="20" t="s">
        <v>1373</v>
      </c>
      <c r="X135" s="20" t="s">
        <v>628</v>
      </c>
      <c r="Y135" s="20">
        <v>10</v>
      </c>
      <c r="Z135" s="20">
        <v>6</v>
      </c>
      <c r="AA135" s="20" t="s">
        <v>592</v>
      </c>
      <c r="AC135" s="20" t="s">
        <v>2099</v>
      </c>
      <c r="AD135" s="20" t="s">
        <v>2112</v>
      </c>
      <c r="AE135" s="20" t="s">
        <v>2527</v>
      </c>
      <c r="AF135" s="20" t="s">
        <v>2113</v>
      </c>
      <c r="AG135" s="20" t="s">
        <v>835</v>
      </c>
      <c r="AH135" s="20">
        <v>5</v>
      </c>
      <c r="AI135" s="20">
        <v>5</v>
      </c>
      <c r="AJ135" s="20" t="s">
        <v>592</v>
      </c>
      <c r="AL135" s="20" t="s">
        <v>1149</v>
      </c>
      <c r="AM135" s="20" t="s">
        <v>301</v>
      </c>
      <c r="AN135" s="20" t="s">
        <v>503</v>
      </c>
      <c r="AO135" s="20" t="s">
        <v>1301</v>
      </c>
      <c r="AP135" s="20" t="s">
        <v>628</v>
      </c>
      <c r="AQ135" s="20">
        <v>10</v>
      </c>
      <c r="AR135" s="20">
        <v>14</v>
      </c>
      <c r="AS135" s="20" t="s">
        <v>592</v>
      </c>
    </row>
    <row r="136" spans="2:45" ht="15.75" customHeight="1" x14ac:dyDescent="0.2">
      <c r="B136" s="20" t="s">
        <v>1161</v>
      </c>
      <c r="C136" s="20" t="s">
        <v>304</v>
      </c>
      <c r="D136" s="20" t="s">
        <v>857</v>
      </c>
      <c r="E136" s="20" t="s">
        <v>1243</v>
      </c>
      <c r="F136" s="20" t="s">
        <v>628</v>
      </c>
      <c r="G136" s="20">
        <v>10</v>
      </c>
      <c r="H136" s="20">
        <v>8</v>
      </c>
      <c r="I136" s="20" t="s">
        <v>592</v>
      </c>
      <c r="K136" s="20" t="s">
        <v>1163</v>
      </c>
      <c r="L136" s="20" t="s">
        <v>1165</v>
      </c>
      <c r="M136" s="20" t="s">
        <v>1559</v>
      </c>
      <c r="N136" s="20" t="s">
        <v>1560</v>
      </c>
      <c r="O136" s="20" t="s">
        <v>835</v>
      </c>
      <c r="P136" s="20">
        <v>5</v>
      </c>
      <c r="Q136" s="20">
        <v>5</v>
      </c>
      <c r="R136" s="20" t="s">
        <v>592</v>
      </c>
      <c r="T136" s="20" t="s">
        <v>1144</v>
      </c>
      <c r="U136" s="20" t="s">
        <v>313</v>
      </c>
      <c r="V136" s="20" t="s">
        <v>529</v>
      </c>
      <c r="W136" s="20" t="s">
        <v>1487</v>
      </c>
      <c r="X136" s="20" t="s">
        <v>628</v>
      </c>
      <c r="Y136" s="20">
        <v>10</v>
      </c>
      <c r="Z136" s="20">
        <v>10</v>
      </c>
      <c r="AA136" s="20" t="s">
        <v>592</v>
      </c>
      <c r="AC136" s="20" t="s">
        <v>1143</v>
      </c>
      <c r="AD136" s="20" t="s">
        <v>706</v>
      </c>
      <c r="AE136" s="20" t="s">
        <v>1812</v>
      </c>
      <c r="AF136" s="20" t="s">
        <v>1811</v>
      </c>
      <c r="AG136" s="20" t="s">
        <v>628</v>
      </c>
      <c r="AH136" s="20">
        <v>10</v>
      </c>
      <c r="AI136" s="20">
        <v>1</v>
      </c>
      <c r="AJ136" s="20" t="s">
        <v>593</v>
      </c>
      <c r="AL136" s="20" t="s">
        <v>1149</v>
      </c>
      <c r="AM136" s="20" t="s">
        <v>301</v>
      </c>
      <c r="AN136" s="20" t="s">
        <v>2794</v>
      </c>
      <c r="AO136" s="20" t="s">
        <v>2946</v>
      </c>
      <c r="AP136" s="20" t="s">
        <v>835</v>
      </c>
      <c r="AQ136" s="20">
        <v>5</v>
      </c>
      <c r="AR136" s="20">
        <v>10</v>
      </c>
      <c r="AS136" s="20" t="s">
        <v>592</v>
      </c>
    </row>
    <row r="137" spans="2:45" ht="15.75" customHeight="1" x14ac:dyDescent="0.2">
      <c r="B137" s="20" t="s">
        <v>1161</v>
      </c>
      <c r="C137" s="20" t="s">
        <v>304</v>
      </c>
      <c r="D137" s="20" t="s">
        <v>857</v>
      </c>
      <c r="E137" s="20" t="s">
        <v>1244</v>
      </c>
      <c r="F137" s="20" t="s">
        <v>628</v>
      </c>
      <c r="G137" s="20">
        <v>10</v>
      </c>
      <c r="H137" s="20">
        <v>1</v>
      </c>
      <c r="I137" s="20" t="s">
        <v>592</v>
      </c>
      <c r="K137" s="20" t="s">
        <v>1163</v>
      </c>
      <c r="L137" s="20" t="s">
        <v>1165</v>
      </c>
      <c r="M137" s="20" t="s">
        <v>1561</v>
      </c>
      <c r="N137" s="20" t="s">
        <v>1562</v>
      </c>
      <c r="O137" s="20" t="s">
        <v>835</v>
      </c>
      <c r="P137" s="20">
        <v>5</v>
      </c>
      <c r="Q137" s="20">
        <v>8</v>
      </c>
      <c r="R137" s="20" t="s">
        <v>592</v>
      </c>
      <c r="T137" s="20" t="s">
        <v>1144</v>
      </c>
      <c r="U137" s="20" t="s">
        <v>194</v>
      </c>
      <c r="V137" s="20" t="s">
        <v>897</v>
      </c>
      <c r="W137" s="20" t="s">
        <v>1722</v>
      </c>
      <c r="X137" s="20" t="s">
        <v>628</v>
      </c>
      <c r="Y137" s="20">
        <v>10</v>
      </c>
      <c r="Z137" s="20">
        <v>3</v>
      </c>
      <c r="AA137" s="20" t="s">
        <v>592</v>
      </c>
      <c r="AC137" s="20" t="s">
        <v>1147</v>
      </c>
      <c r="AD137" s="20" t="s">
        <v>70</v>
      </c>
      <c r="AE137" s="20" t="s">
        <v>1473</v>
      </c>
      <c r="AF137" s="20" t="s">
        <v>2606</v>
      </c>
      <c r="AG137" s="20" t="s">
        <v>628</v>
      </c>
      <c r="AH137" s="20">
        <v>10</v>
      </c>
      <c r="AI137" s="20">
        <v>8</v>
      </c>
      <c r="AJ137" s="20" t="s">
        <v>592</v>
      </c>
      <c r="AL137" s="20" t="s">
        <v>1149</v>
      </c>
      <c r="AM137" s="20" t="s">
        <v>301</v>
      </c>
      <c r="AN137" s="20" t="s">
        <v>2795</v>
      </c>
      <c r="AO137" s="20" t="s">
        <v>2947</v>
      </c>
      <c r="AP137" s="20" t="s">
        <v>835</v>
      </c>
      <c r="AQ137" s="20">
        <v>5</v>
      </c>
      <c r="AR137" s="20">
        <v>6</v>
      </c>
      <c r="AS137" s="20" t="s">
        <v>592</v>
      </c>
    </row>
    <row r="138" spans="2:45" ht="15.75" customHeight="1" x14ac:dyDescent="0.2">
      <c r="B138" s="20" t="s">
        <v>1161</v>
      </c>
      <c r="C138" s="20" t="s">
        <v>765</v>
      </c>
      <c r="D138" s="20" t="s">
        <v>537</v>
      </c>
      <c r="E138" s="20" t="s">
        <v>1245</v>
      </c>
      <c r="F138" s="20" t="s">
        <v>628</v>
      </c>
      <c r="G138" s="20">
        <v>10</v>
      </c>
      <c r="H138" s="20">
        <v>7</v>
      </c>
      <c r="I138" s="20" t="s">
        <v>592</v>
      </c>
      <c r="K138" s="20" t="s">
        <v>1144</v>
      </c>
      <c r="L138" s="20" t="s">
        <v>249</v>
      </c>
      <c r="M138" s="20" t="s">
        <v>1563</v>
      </c>
      <c r="N138" s="20" t="s">
        <v>564</v>
      </c>
      <c r="O138" s="20" t="s">
        <v>628</v>
      </c>
      <c r="P138" s="20">
        <v>10</v>
      </c>
      <c r="Q138" s="20">
        <v>9</v>
      </c>
      <c r="R138" s="20" t="s">
        <v>592</v>
      </c>
      <c r="T138" s="20" t="s">
        <v>1144</v>
      </c>
      <c r="U138" s="20" t="s">
        <v>313</v>
      </c>
      <c r="V138" s="20" t="s">
        <v>529</v>
      </c>
      <c r="W138" s="20" t="s">
        <v>1488</v>
      </c>
      <c r="X138" s="20" t="s">
        <v>628</v>
      </c>
      <c r="Y138" s="20">
        <v>10</v>
      </c>
      <c r="Z138" s="20">
        <v>1</v>
      </c>
      <c r="AA138" s="20" t="s">
        <v>592</v>
      </c>
      <c r="AC138" s="20" t="s">
        <v>1169</v>
      </c>
      <c r="AD138" s="20" t="s">
        <v>671</v>
      </c>
      <c r="AE138" s="20" t="s">
        <v>2499</v>
      </c>
      <c r="AF138" s="20" t="s">
        <v>2328</v>
      </c>
      <c r="AG138" s="20" t="s">
        <v>628</v>
      </c>
      <c r="AH138" s="20">
        <v>10</v>
      </c>
      <c r="AI138" s="20">
        <v>9</v>
      </c>
      <c r="AJ138" s="20" t="s">
        <v>592</v>
      </c>
      <c r="AL138" s="20" t="s">
        <v>1149</v>
      </c>
      <c r="AM138" s="20" t="s">
        <v>806</v>
      </c>
      <c r="AN138" s="20" t="s">
        <v>502</v>
      </c>
      <c r="AO138" s="20" t="s">
        <v>2247</v>
      </c>
      <c r="AP138" s="20" t="s">
        <v>628</v>
      </c>
      <c r="AQ138" s="20">
        <v>10</v>
      </c>
      <c r="AR138" s="20">
        <v>57</v>
      </c>
      <c r="AS138" s="20" t="s">
        <v>592</v>
      </c>
    </row>
    <row r="139" spans="2:45" ht="15.75" customHeight="1" x14ac:dyDescent="0.2">
      <c r="B139" s="20" t="s">
        <v>1161</v>
      </c>
      <c r="C139" s="20" t="s">
        <v>765</v>
      </c>
      <c r="D139" s="20" t="s">
        <v>537</v>
      </c>
      <c r="E139" s="20" t="s">
        <v>1246</v>
      </c>
      <c r="F139" s="20" t="s">
        <v>628</v>
      </c>
      <c r="G139" s="20">
        <v>10</v>
      </c>
      <c r="H139" s="20">
        <v>1</v>
      </c>
      <c r="I139" s="20" t="s">
        <v>592</v>
      </c>
      <c r="K139" s="20" t="s">
        <v>1144</v>
      </c>
      <c r="L139" s="20" t="s">
        <v>249</v>
      </c>
      <c r="M139" s="20" t="s">
        <v>1564</v>
      </c>
      <c r="N139" s="20" t="s">
        <v>564</v>
      </c>
      <c r="O139" s="20" t="s">
        <v>628</v>
      </c>
      <c r="P139" s="20">
        <v>10</v>
      </c>
      <c r="Q139" s="20">
        <v>1</v>
      </c>
      <c r="R139" s="20" t="s">
        <v>592</v>
      </c>
      <c r="T139" s="20" t="s">
        <v>1144</v>
      </c>
      <c r="U139" s="20" t="s">
        <v>23</v>
      </c>
      <c r="V139" s="20" t="s">
        <v>558</v>
      </c>
      <c r="W139" s="20" t="s">
        <v>1117</v>
      </c>
      <c r="X139" s="20" t="s">
        <v>835</v>
      </c>
      <c r="Y139" s="20">
        <v>5</v>
      </c>
      <c r="Z139" s="20">
        <v>5</v>
      </c>
      <c r="AA139" s="20" t="s">
        <v>592</v>
      </c>
      <c r="AC139" s="20" t="s">
        <v>1169</v>
      </c>
      <c r="AD139" s="20" t="s">
        <v>701</v>
      </c>
      <c r="AE139" s="20" t="s">
        <v>681</v>
      </c>
      <c r="AF139" s="20" t="s">
        <v>967</v>
      </c>
      <c r="AG139" s="20" t="s">
        <v>628</v>
      </c>
      <c r="AH139" s="20">
        <v>10</v>
      </c>
      <c r="AI139" s="20">
        <v>17</v>
      </c>
      <c r="AJ139" s="20" t="s">
        <v>592</v>
      </c>
      <c r="AL139" s="20" t="s">
        <v>1149</v>
      </c>
      <c r="AM139" s="20" t="s">
        <v>806</v>
      </c>
      <c r="AN139" s="20" t="s">
        <v>2796</v>
      </c>
      <c r="AO139" s="20" t="s">
        <v>2948</v>
      </c>
      <c r="AP139" s="20" t="s">
        <v>835</v>
      </c>
      <c r="AQ139" s="20">
        <v>5</v>
      </c>
      <c r="AR139" s="20">
        <v>7</v>
      </c>
      <c r="AS139" s="20" t="s">
        <v>592</v>
      </c>
    </row>
    <row r="140" spans="2:45" ht="15.75" customHeight="1" x14ac:dyDescent="0.2">
      <c r="B140" s="20" t="s">
        <v>1161</v>
      </c>
      <c r="C140" s="20" t="s">
        <v>659</v>
      </c>
      <c r="D140" s="20" t="s">
        <v>389</v>
      </c>
      <c r="E140" s="20" t="s">
        <v>1247</v>
      </c>
      <c r="F140" s="20" t="s">
        <v>628</v>
      </c>
      <c r="G140" s="20">
        <v>10</v>
      </c>
      <c r="H140" s="20">
        <v>14</v>
      </c>
      <c r="I140" s="20" t="s">
        <v>592</v>
      </c>
      <c r="K140" s="20" t="s">
        <v>1163</v>
      </c>
      <c r="L140" s="20" t="s">
        <v>207</v>
      </c>
      <c r="M140" s="20" t="s">
        <v>1565</v>
      </c>
      <c r="N140" s="20" t="s">
        <v>1566</v>
      </c>
      <c r="O140" s="20" t="s">
        <v>835</v>
      </c>
      <c r="P140" s="20">
        <v>5</v>
      </c>
      <c r="Q140" s="20">
        <v>7</v>
      </c>
      <c r="R140" s="20" t="s">
        <v>592</v>
      </c>
      <c r="T140" s="20" t="s">
        <v>1144</v>
      </c>
      <c r="U140" s="20" t="s">
        <v>313</v>
      </c>
      <c r="V140" s="20" t="s">
        <v>619</v>
      </c>
      <c r="W140" s="20" t="s">
        <v>2158</v>
      </c>
      <c r="X140" s="20" t="s">
        <v>835</v>
      </c>
      <c r="Y140" s="20">
        <v>5</v>
      </c>
      <c r="Z140" s="20">
        <v>7</v>
      </c>
      <c r="AA140" s="20" t="s">
        <v>592</v>
      </c>
      <c r="AC140" s="20" t="s">
        <v>640</v>
      </c>
      <c r="AD140" s="20" t="s">
        <v>31</v>
      </c>
      <c r="AE140" s="20" t="s">
        <v>396</v>
      </c>
      <c r="AF140" s="20" t="s">
        <v>2607</v>
      </c>
      <c r="AG140" s="20" t="s">
        <v>628</v>
      </c>
      <c r="AH140" s="20">
        <v>10</v>
      </c>
      <c r="AI140" s="20">
        <v>8</v>
      </c>
      <c r="AJ140" s="20" t="s">
        <v>592</v>
      </c>
      <c r="AL140" s="20" t="s">
        <v>1149</v>
      </c>
      <c r="AM140" s="20" t="s">
        <v>806</v>
      </c>
      <c r="AN140" s="20" t="s">
        <v>2797</v>
      </c>
      <c r="AO140" s="20" t="s">
        <v>2949</v>
      </c>
      <c r="AP140" s="20" t="s">
        <v>835</v>
      </c>
      <c r="AQ140" s="20">
        <v>5</v>
      </c>
      <c r="AR140" s="20">
        <v>8</v>
      </c>
      <c r="AS140" s="20" t="s">
        <v>592</v>
      </c>
    </row>
    <row r="141" spans="2:45" ht="15.75" customHeight="1" x14ac:dyDescent="0.2">
      <c r="B141" s="20" t="s">
        <v>1161</v>
      </c>
      <c r="C141" s="20" t="s">
        <v>41</v>
      </c>
      <c r="D141" s="20" t="s">
        <v>540</v>
      </c>
      <c r="E141" s="20" t="s">
        <v>859</v>
      </c>
      <c r="F141" s="20" t="s">
        <v>628</v>
      </c>
      <c r="G141" s="20">
        <v>10</v>
      </c>
      <c r="H141" s="20">
        <v>10</v>
      </c>
      <c r="I141" s="20" t="s">
        <v>592</v>
      </c>
      <c r="K141" s="20" t="s">
        <v>1163</v>
      </c>
      <c r="L141" s="20" t="s">
        <v>299</v>
      </c>
      <c r="M141" s="20" t="s">
        <v>1567</v>
      </c>
      <c r="N141" s="20" t="s">
        <v>408</v>
      </c>
      <c r="O141" s="20" t="s">
        <v>628</v>
      </c>
      <c r="P141" s="20">
        <v>10</v>
      </c>
      <c r="Q141" s="20">
        <v>9</v>
      </c>
      <c r="R141" s="20" t="s">
        <v>592</v>
      </c>
      <c r="T141" s="20" t="s">
        <v>1144</v>
      </c>
      <c r="U141" s="20" t="s">
        <v>249</v>
      </c>
      <c r="V141" s="20" t="s">
        <v>440</v>
      </c>
      <c r="W141" s="20" t="s">
        <v>1983</v>
      </c>
      <c r="X141" s="20" t="s">
        <v>835</v>
      </c>
      <c r="Y141" s="20">
        <v>5</v>
      </c>
      <c r="Z141" s="20">
        <v>6</v>
      </c>
      <c r="AA141" s="20" t="s">
        <v>592</v>
      </c>
      <c r="AC141" s="20" t="s">
        <v>2099</v>
      </c>
      <c r="AD141" s="20" t="s">
        <v>2144</v>
      </c>
      <c r="AE141" s="20" t="s">
        <v>2526</v>
      </c>
      <c r="AF141" s="20" t="s">
        <v>2608</v>
      </c>
      <c r="AG141" s="20" t="s">
        <v>835</v>
      </c>
      <c r="AH141" s="20">
        <v>5</v>
      </c>
      <c r="AI141" s="20">
        <v>8</v>
      </c>
      <c r="AJ141" s="20" t="s">
        <v>592</v>
      </c>
      <c r="AL141" s="20" t="s">
        <v>1149</v>
      </c>
      <c r="AM141" s="20" t="s">
        <v>806</v>
      </c>
      <c r="AN141" s="20" t="s">
        <v>2798</v>
      </c>
      <c r="AO141" s="20" t="s">
        <v>2950</v>
      </c>
      <c r="AP141" s="20" t="s">
        <v>835</v>
      </c>
      <c r="AQ141" s="20">
        <v>5</v>
      </c>
      <c r="AR141" s="20">
        <v>5</v>
      </c>
      <c r="AS141" s="20" t="s">
        <v>592</v>
      </c>
    </row>
    <row r="142" spans="2:45" ht="15.75" customHeight="1" x14ac:dyDescent="0.2">
      <c r="B142" s="20" t="s">
        <v>1161</v>
      </c>
      <c r="C142" s="20" t="s">
        <v>117</v>
      </c>
      <c r="D142" s="20" t="s">
        <v>455</v>
      </c>
      <c r="E142" s="20" t="s">
        <v>719</v>
      </c>
      <c r="F142" s="20" t="s">
        <v>628</v>
      </c>
      <c r="G142" s="20">
        <v>10</v>
      </c>
      <c r="H142" s="20">
        <v>19</v>
      </c>
      <c r="I142" s="20" t="s">
        <v>592</v>
      </c>
      <c r="K142" s="20" t="s">
        <v>1163</v>
      </c>
      <c r="L142" s="20" t="s">
        <v>299</v>
      </c>
      <c r="M142" s="20" t="s">
        <v>1568</v>
      </c>
      <c r="N142" s="20" t="s">
        <v>1569</v>
      </c>
      <c r="O142" s="20" t="s">
        <v>835</v>
      </c>
      <c r="P142" s="20">
        <v>5</v>
      </c>
      <c r="Q142" s="20">
        <v>4</v>
      </c>
      <c r="R142" s="20" t="s">
        <v>592</v>
      </c>
      <c r="T142" s="20" t="s">
        <v>1144</v>
      </c>
      <c r="U142" s="20" t="s">
        <v>194</v>
      </c>
      <c r="V142" s="20" t="s">
        <v>561</v>
      </c>
      <c r="W142" s="20" t="s">
        <v>1586</v>
      </c>
      <c r="X142" s="20" t="s">
        <v>835</v>
      </c>
      <c r="Y142" s="20">
        <v>5</v>
      </c>
      <c r="Z142" s="20">
        <v>7</v>
      </c>
      <c r="AA142" s="20" t="s">
        <v>592</v>
      </c>
      <c r="AC142" s="20" t="s">
        <v>1161</v>
      </c>
      <c r="AD142" s="20" t="s">
        <v>765</v>
      </c>
      <c r="AE142" s="20" t="s">
        <v>512</v>
      </c>
      <c r="AF142" s="20" t="s">
        <v>2382</v>
      </c>
      <c r="AG142" s="20" t="s">
        <v>628</v>
      </c>
      <c r="AH142" s="20">
        <v>10</v>
      </c>
      <c r="AI142" s="20">
        <v>11</v>
      </c>
      <c r="AJ142" s="20" t="s">
        <v>592</v>
      </c>
      <c r="AL142" s="20" t="s">
        <v>1149</v>
      </c>
      <c r="AM142" s="20" t="s">
        <v>63</v>
      </c>
      <c r="AN142" s="20" t="s">
        <v>2799</v>
      </c>
      <c r="AO142" s="20" t="s">
        <v>2951</v>
      </c>
      <c r="AP142" s="20" t="s">
        <v>835</v>
      </c>
      <c r="AQ142" s="20">
        <v>5</v>
      </c>
      <c r="AR142" s="20">
        <v>3</v>
      </c>
      <c r="AS142" s="20" t="s">
        <v>593</v>
      </c>
    </row>
    <row r="143" spans="2:45" ht="15.75" customHeight="1" x14ac:dyDescent="0.2">
      <c r="B143" s="20" t="s">
        <v>1161</v>
      </c>
      <c r="C143" s="20" t="s">
        <v>117</v>
      </c>
      <c r="D143" s="20" t="s">
        <v>455</v>
      </c>
      <c r="E143" s="20" t="s">
        <v>910</v>
      </c>
      <c r="F143" s="20" t="s">
        <v>628</v>
      </c>
      <c r="G143" s="20">
        <v>10</v>
      </c>
      <c r="H143" s="20">
        <v>2</v>
      </c>
      <c r="I143" s="20" t="s">
        <v>592</v>
      </c>
      <c r="K143" s="20" t="s">
        <v>1163</v>
      </c>
      <c r="L143" s="20" t="s">
        <v>299</v>
      </c>
      <c r="M143" s="20" t="s">
        <v>1570</v>
      </c>
      <c r="N143" s="20" t="s">
        <v>1569</v>
      </c>
      <c r="O143" s="20" t="s">
        <v>835</v>
      </c>
      <c r="P143" s="20">
        <v>5</v>
      </c>
      <c r="Q143" s="20">
        <v>1</v>
      </c>
      <c r="R143" s="20" t="s">
        <v>592</v>
      </c>
      <c r="T143" s="20" t="s">
        <v>1144</v>
      </c>
      <c r="U143" s="20" t="s">
        <v>194</v>
      </c>
      <c r="V143" s="20" t="s">
        <v>442</v>
      </c>
      <c r="W143" s="20" t="s">
        <v>979</v>
      </c>
      <c r="X143" s="20" t="s">
        <v>835</v>
      </c>
      <c r="Y143" s="20">
        <v>5</v>
      </c>
      <c r="Z143" s="20">
        <v>8</v>
      </c>
      <c r="AA143" s="20" t="s">
        <v>592</v>
      </c>
      <c r="AC143" s="20" t="s">
        <v>1161</v>
      </c>
      <c r="AD143" s="20" t="s">
        <v>117</v>
      </c>
      <c r="AE143" s="20" t="s">
        <v>465</v>
      </c>
      <c r="AF143" s="20" t="s">
        <v>1747</v>
      </c>
      <c r="AG143" s="20" t="s">
        <v>628</v>
      </c>
      <c r="AH143" s="20">
        <v>10</v>
      </c>
      <c r="AI143" s="20">
        <v>13</v>
      </c>
      <c r="AJ143" s="20" t="s">
        <v>592</v>
      </c>
      <c r="AL143" s="20" t="s">
        <v>1149</v>
      </c>
      <c r="AM143" s="20" t="s">
        <v>806</v>
      </c>
      <c r="AN143" s="20" t="s">
        <v>469</v>
      </c>
      <c r="AO143" s="20" t="s">
        <v>977</v>
      </c>
      <c r="AP143" s="20" t="s">
        <v>628</v>
      </c>
      <c r="AQ143" s="20">
        <v>10</v>
      </c>
      <c r="AR143" s="20">
        <v>32</v>
      </c>
      <c r="AS143" s="20" t="s">
        <v>592</v>
      </c>
    </row>
    <row r="144" spans="2:45" ht="15.75" customHeight="1" x14ac:dyDescent="0.2">
      <c r="B144" s="20" t="s">
        <v>1161</v>
      </c>
      <c r="C144" s="20" t="s">
        <v>117</v>
      </c>
      <c r="D144" s="20" t="s">
        <v>465</v>
      </c>
      <c r="E144" s="20" t="s">
        <v>1248</v>
      </c>
      <c r="F144" s="20" t="s">
        <v>628</v>
      </c>
      <c r="G144" s="20">
        <v>10</v>
      </c>
      <c r="H144" s="20">
        <v>10</v>
      </c>
      <c r="I144" s="20" t="s">
        <v>592</v>
      </c>
      <c r="K144" s="20" t="s">
        <v>1163</v>
      </c>
      <c r="L144" s="20" t="s">
        <v>221</v>
      </c>
      <c r="M144" s="20" t="s">
        <v>1571</v>
      </c>
      <c r="N144" s="20" t="s">
        <v>1572</v>
      </c>
      <c r="O144" s="20" t="s">
        <v>835</v>
      </c>
      <c r="P144" s="20">
        <v>5</v>
      </c>
      <c r="Q144" s="20">
        <v>7</v>
      </c>
      <c r="R144" s="20" t="s">
        <v>592</v>
      </c>
      <c r="T144" s="20" t="s">
        <v>1147</v>
      </c>
      <c r="U144" s="20" t="s">
        <v>244</v>
      </c>
      <c r="V144" s="20" t="s">
        <v>1441</v>
      </c>
      <c r="W144" s="20" t="s">
        <v>1440</v>
      </c>
      <c r="X144" s="20" t="s">
        <v>835</v>
      </c>
      <c r="Y144" s="20">
        <v>5</v>
      </c>
      <c r="Z144" s="20">
        <v>6</v>
      </c>
      <c r="AA144" s="20" t="s">
        <v>592</v>
      </c>
      <c r="AC144" s="20" t="s">
        <v>1161</v>
      </c>
      <c r="AD144" s="20" t="s">
        <v>117</v>
      </c>
      <c r="AE144" s="20" t="s">
        <v>456</v>
      </c>
      <c r="AF144" s="20" t="s">
        <v>1746</v>
      </c>
      <c r="AG144" s="20" t="s">
        <v>628</v>
      </c>
      <c r="AH144" s="20">
        <v>10</v>
      </c>
      <c r="AI144" s="20">
        <v>8</v>
      </c>
      <c r="AJ144" s="20" t="s">
        <v>592</v>
      </c>
      <c r="AL144" s="20" t="s">
        <v>1149</v>
      </c>
      <c r="AM144" s="20" t="s">
        <v>806</v>
      </c>
      <c r="AN144" s="20" t="s">
        <v>468</v>
      </c>
      <c r="AO144" s="20" t="s">
        <v>2052</v>
      </c>
      <c r="AP144" s="20" t="s">
        <v>628</v>
      </c>
      <c r="AQ144" s="20">
        <v>10</v>
      </c>
      <c r="AR144" s="20">
        <v>46</v>
      </c>
      <c r="AS144" s="20" t="s">
        <v>592</v>
      </c>
    </row>
    <row r="145" spans="2:45" ht="15.75" customHeight="1" x14ac:dyDescent="0.2">
      <c r="B145" s="20" t="s">
        <v>1161</v>
      </c>
      <c r="C145" s="20" t="s">
        <v>1041</v>
      </c>
      <c r="D145" s="20" t="s">
        <v>541</v>
      </c>
      <c r="E145" s="20" t="s">
        <v>1052</v>
      </c>
      <c r="F145" s="20" t="s">
        <v>628</v>
      </c>
      <c r="G145" s="20">
        <v>10</v>
      </c>
      <c r="H145" s="20">
        <v>8</v>
      </c>
      <c r="I145" s="20" t="s">
        <v>592</v>
      </c>
      <c r="K145" s="20" t="s">
        <v>1154</v>
      </c>
      <c r="L145" s="20" t="s">
        <v>307</v>
      </c>
      <c r="M145" s="20" t="s">
        <v>1573</v>
      </c>
      <c r="N145" s="20" t="s">
        <v>1574</v>
      </c>
      <c r="O145" s="20" t="s">
        <v>628</v>
      </c>
      <c r="P145" s="20">
        <v>10</v>
      </c>
      <c r="Q145" s="20">
        <v>7</v>
      </c>
      <c r="R145" s="20" t="s">
        <v>592</v>
      </c>
      <c r="T145" s="20" t="s">
        <v>1149</v>
      </c>
      <c r="U145" s="20" t="s">
        <v>63</v>
      </c>
      <c r="V145" s="20" t="s">
        <v>880</v>
      </c>
      <c r="W145" s="20" t="s">
        <v>906</v>
      </c>
      <c r="X145" s="20" t="s">
        <v>835</v>
      </c>
      <c r="Y145" s="20">
        <v>5</v>
      </c>
      <c r="Z145" s="20">
        <v>3</v>
      </c>
      <c r="AA145" s="20" t="s">
        <v>593</v>
      </c>
      <c r="AC145" s="20" t="s">
        <v>1161</v>
      </c>
      <c r="AD145" s="20" t="s">
        <v>2520</v>
      </c>
      <c r="AE145" s="20" t="s">
        <v>454</v>
      </c>
      <c r="AF145" s="20" t="s">
        <v>2609</v>
      </c>
      <c r="AG145" s="20" t="s">
        <v>835</v>
      </c>
      <c r="AH145" s="20">
        <v>5</v>
      </c>
      <c r="AI145" s="20">
        <v>4</v>
      </c>
      <c r="AJ145" s="20" t="s">
        <v>593</v>
      </c>
      <c r="AL145" s="20" t="s">
        <v>1149</v>
      </c>
      <c r="AM145" s="20" t="s">
        <v>806</v>
      </c>
      <c r="AN145" s="20" t="s">
        <v>468</v>
      </c>
      <c r="AO145" s="20" t="s">
        <v>2952</v>
      </c>
      <c r="AP145" s="20" t="s">
        <v>628</v>
      </c>
      <c r="AQ145" s="20">
        <v>10</v>
      </c>
      <c r="AR145" s="20">
        <v>9</v>
      </c>
      <c r="AS145" s="20" t="s">
        <v>592</v>
      </c>
    </row>
    <row r="146" spans="2:45" ht="15.75" customHeight="1" x14ac:dyDescent="0.2">
      <c r="B146" s="20" t="s">
        <v>1161</v>
      </c>
      <c r="C146" s="20" t="s">
        <v>1041</v>
      </c>
      <c r="D146" s="20" t="s">
        <v>541</v>
      </c>
      <c r="E146" s="20" t="s">
        <v>1093</v>
      </c>
      <c r="F146" s="20" t="s">
        <v>628</v>
      </c>
      <c r="G146" s="20">
        <v>10</v>
      </c>
      <c r="H146" s="20">
        <v>3</v>
      </c>
      <c r="I146" s="20" t="s">
        <v>592</v>
      </c>
      <c r="K146" s="20" t="s">
        <v>1154</v>
      </c>
      <c r="L146" s="20" t="s">
        <v>307</v>
      </c>
      <c r="M146" s="20" t="s">
        <v>1575</v>
      </c>
      <c r="N146" s="20" t="s">
        <v>1574</v>
      </c>
      <c r="O146" s="20" t="s">
        <v>628</v>
      </c>
      <c r="P146" s="20">
        <v>10</v>
      </c>
      <c r="Q146" s="20">
        <v>1</v>
      </c>
      <c r="R146" s="20" t="s">
        <v>592</v>
      </c>
      <c r="T146" s="20" t="s">
        <v>1149</v>
      </c>
      <c r="U146" s="20" t="s">
        <v>63</v>
      </c>
      <c r="V146" s="20" t="s">
        <v>472</v>
      </c>
      <c r="W146" s="20" t="s">
        <v>1549</v>
      </c>
      <c r="X146" s="20" t="s">
        <v>835</v>
      </c>
      <c r="Y146" s="20">
        <v>5</v>
      </c>
      <c r="Z146" s="20">
        <v>2</v>
      </c>
      <c r="AA146" s="20" t="s">
        <v>593</v>
      </c>
      <c r="AC146" s="20" t="s">
        <v>1158</v>
      </c>
      <c r="AD146" s="20" t="s">
        <v>2524</v>
      </c>
      <c r="AE146" s="20" t="s">
        <v>547</v>
      </c>
      <c r="AF146" s="20" t="s">
        <v>2610</v>
      </c>
      <c r="AG146" s="20" t="s">
        <v>835</v>
      </c>
      <c r="AH146" s="20">
        <v>5</v>
      </c>
      <c r="AI146" s="20">
        <v>5</v>
      </c>
      <c r="AJ146" s="20" t="s">
        <v>592</v>
      </c>
      <c r="AL146" s="20" t="s">
        <v>1149</v>
      </c>
      <c r="AM146" s="20" t="s">
        <v>806</v>
      </c>
      <c r="AN146" s="20" t="s">
        <v>1504</v>
      </c>
      <c r="AO146" s="20" t="s">
        <v>1503</v>
      </c>
      <c r="AP146" s="20" t="s">
        <v>628</v>
      </c>
      <c r="AQ146" s="20">
        <v>10</v>
      </c>
      <c r="AR146" s="20">
        <v>30</v>
      </c>
      <c r="AS146" s="20" t="s">
        <v>592</v>
      </c>
    </row>
    <row r="147" spans="2:45" ht="15.75" customHeight="1" x14ac:dyDescent="0.2">
      <c r="B147" s="20" t="s">
        <v>646</v>
      </c>
      <c r="C147" s="20" t="s">
        <v>209</v>
      </c>
      <c r="D147" s="20" t="s">
        <v>460</v>
      </c>
      <c r="E147" s="20" t="s">
        <v>970</v>
      </c>
      <c r="F147" s="20" t="s">
        <v>628</v>
      </c>
      <c r="G147" s="20">
        <v>10</v>
      </c>
      <c r="H147" s="20">
        <v>8</v>
      </c>
      <c r="I147" s="20" t="s">
        <v>592</v>
      </c>
      <c r="K147" s="20" t="s">
        <v>1143</v>
      </c>
      <c r="L147" s="20" t="s">
        <v>61</v>
      </c>
      <c r="M147" s="20" t="s">
        <v>1576</v>
      </c>
      <c r="N147" s="20" t="s">
        <v>525</v>
      </c>
      <c r="O147" s="20" t="s">
        <v>628</v>
      </c>
      <c r="P147" s="20">
        <v>10</v>
      </c>
      <c r="Q147" s="20">
        <v>2</v>
      </c>
      <c r="R147" s="20" t="s">
        <v>593</v>
      </c>
      <c r="T147" s="20" t="s">
        <v>1141</v>
      </c>
      <c r="U147" s="20" t="s">
        <v>224</v>
      </c>
      <c r="V147" s="20" t="s">
        <v>388</v>
      </c>
      <c r="W147" s="20" t="s">
        <v>1119</v>
      </c>
      <c r="X147" s="20" t="s">
        <v>628</v>
      </c>
      <c r="Y147" s="20">
        <v>10</v>
      </c>
      <c r="Z147" s="20">
        <v>12</v>
      </c>
      <c r="AA147" s="20" t="s">
        <v>592</v>
      </c>
      <c r="AC147" s="20" t="s">
        <v>1158</v>
      </c>
      <c r="AD147" s="20" t="s">
        <v>2524</v>
      </c>
      <c r="AE147" s="20" t="s">
        <v>1777</v>
      </c>
      <c r="AF147" s="20" t="s">
        <v>2611</v>
      </c>
      <c r="AG147" s="20" t="s">
        <v>835</v>
      </c>
      <c r="AH147" s="20">
        <v>5</v>
      </c>
      <c r="AI147" s="20">
        <v>6</v>
      </c>
      <c r="AJ147" s="20" t="s">
        <v>592</v>
      </c>
      <c r="AL147" s="20" t="s">
        <v>1149</v>
      </c>
      <c r="AM147" s="20" t="s">
        <v>806</v>
      </c>
      <c r="AN147" s="20" t="s">
        <v>1504</v>
      </c>
      <c r="AO147" s="20" t="s">
        <v>2953</v>
      </c>
      <c r="AP147" s="20" t="s">
        <v>628</v>
      </c>
      <c r="AQ147" s="20">
        <v>10</v>
      </c>
      <c r="AR147" s="20">
        <v>10</v>
      </c>
      <c r="AS147" s="20" t="s">
        <v>592</v>
      </c>
    </row>
    <row r="148" spans="2:45" ht="15.75" customHeight="1" x14ac:dyDescent="0.2">
      <c r="B148" s="20" t="s">
        <v>1162</v>
      </c>
      <c r="C148" s="20" t="s">
        <v>240</v>
      </c>
      <c r="D148" s="20" t="s">
        <v>416</v>
      </c>
      <c r="E148" s="20" t="s">
        <v>1080</v>
      </c>
      <c r="F148" s="20" t="s">
        <v>628</v>
      </c>
      <c r="G148" s="20">
        <v>10</v>
      </c>
      <c r="H148" s="20">
        <v>8</v>
      </c>
      <c r="I148" s="20" t="s">
        <v>592</v>
      </c>
      <c r="K148" s="20" t="s">
        <v>1163</v>
      </c>
      <c r="L148" s="20" t="s">
        <v>837</v>
      </c>
      <c r="M148" s="20" t="s">
        <v>1577</v>
      </c>
      <c r="N148" s="20" t="s">
        <v>555</v>
      </c>
      <c r="O148" s="20" t="s">
        <v>628</v>
      </c>
      <c r="P148" s="20">
        <v>10</v>
      </c>
      <c r="Q148" s="20">
        <v>1</v>
      </c>
      <c r="R148" s="20" t="s">
        <v>593</v>
      </c>
      <c r="T148" s="20" t="s">
        <v>1141</v>
      </c>
      <c r="U148" s="20" t="s">
        <v>224</v>
      </c>
      <c r="V148" s="20" t="s">
        <v>386</v>
      </c>
      <c r="W148" s="20" t="s">
        <v>2074</v>
      </c>
      <c r="X148" s="20" t="s">
        <v>835</v>
      </c>
      <c r="Y148" s="20">
        <v>5</v>
      </c>
      <c r="Z148" s="20">
        <v>9</v>
      </c>
      <c r="AA148" s="20" t="s">
        <v>592</v>
      </c>
      <c r="AC148" s="20" t="s">
        <v>640</v>
      </c>
      <c r="AD148" s="20" t="s">
        <v>31</v>
      </c>
      <c r="AE148" s="20" t="s">
        <v>1882</v>
      </c>
      <c r="AF148" s="20" t="s">
        <v>2612</v>
      </c>
      <c r="AG148" s="20" t="s">
        <v>628</v>
      </c>
      <c r="AH148" s="20">
        <v>10</v>
      </c>
      <c r="AI148" s="20">
        <v>3</v>
      </c>
      <c r="AJ148" s="20" t="s">
        <v>593</v>
      </c>
      <c r="AL148" s="20" t="s">
        <v>1149</v>
      </c>
      <c r="AM148" s="20" t="s">
        <v>806</v>
      </c>
      <c r="AN148" s="20" t="s">
        <v>1652</v>
      </c>
      <c r="AO148" s="20" t="s">
        <v>2162</v>
      </c>
      <c r="AP148" s="20" t="s">
        <v>628</v>
      </c>
      <c r="AQ148" s="20">
        <v>10</v>
      </c>
      <c r="AR148" s="20">
        <v>36</v>
      </c>
      <c r="AS148" s="20" t="s">
        <v>592</v>
      </c>
    </row>
    <row r="149" spans="2:45" ht="15.75" customHeight="1" x14ac:dyDescent="0.2">
      <c r="B149" s="20" t="s">
        <v>1158</v>
      </c>
      <c r="C149" s="20" t="s">
        <v>928</v>
      </c>
      <c r="D149" s="20" t="s">
        <v>879</v>
      </c>
      <c r="E149" s="20" t="s">
        <v>1249</v>
      </c>
      <c r="F149" s="20" t="s">
        <v>835</v>
      </c>
      <c r="G149" s="20">
        <v>5</v>
      </c>
      <c r="H149" s="20">
        <v>2</v>
      </c>
      <c r="I149" s="20" t="s">
        <v>592</v>
      </c>
      <c r="K149" s="20" t="s">
        <v>1163</v>
      </c>
      <c r="L149" s="20" t="s">
        <v>837</v>
      </c>
      <c r="M149" s="20" t="s">
        <v>1578</v>
      </c>
      <c r="N149" s="20" t="s">
        <v>555</v>
      </c>
      <c r="O149" s="20" t="s">
        <v>628</v>
      </c>
      <c r="P149" s="20">
        <v>10</v>
      </c>
      <c r="Q149" s="20">
        <v>1</v>
      </c>
      <c r="R149" s="20" t="s">
        <v>593</v>
      </c>
      <c r="T149" s="20" t="s">
        <v>1158</v>
      </c>
      <c r="U149" s="20" t="s">
        <v>291</v>
      </c>
      <c r="V149" s="20" t="s">
        <v>547</v>
      </c>
      <c r="W149" s="20" t="s">
        <v>2159</v>
      </c>
      <c r="X149" s="20" t="s">
        <v>835</v>
      </c>
      <c r="Y149" s="20">
        <v>5</v>
      </c>
      <c r="Z149" s="20">
        <v>4</v>
      </c>
      <c r="AA149" s="20" t="s">
        <v>593</v>
      </c>
      <c r="AC149" s="20" t="s">
        <v>1143</v>
      </c>
      <c r="AD149" s="20" t="s">
        <v>689</v>
      </c>
      <c r="AE149" s="20" t="s">
        <v>527</v>
      </c>
      <c r="AF149" s="20" t="s">
        <v>2613</v>
      </c>
      <c r="AG149" s="20" t="s">
        <v>628</v>
      </c>
      <c r="AH149" s="20">
        <v>10</v>
      </c>
      <c r="AI149" s="20">
        <v>3</v>
      </c>
      <c r="AJ149" s="20" t="s">
        <v>593</v>
      </c>
      <c r="AL149" s="20" t="s">
        <v>1149</v>
      </c>
      <c r="AM149" s="20" t="s">
        <v>806</v>
      </c>
      <c r="AN149" s="20" t="s">
        <v>1652</v>
      </c>
      <c r="AO149" s="20" t="s">
        <v>1651</v>
      </c>
      <c r="AP149" s="20" t="s">
        <v>628</v>
      </c>
      <c r="AQ149" s="20">
        <v>10</v>
      </c>
      <c r="AR149" s="20">
        <v>5</v>
      </c>
      <c r="AS149" s="20" t="s">
        <v>592</v>
      </c>
    </row>
    <row r="150" spans="2:45" ht="15.75" customHeight="1" x14ac:dyDescent="0.2">
      <c r="B150" s="20" t="s">
        <v>1158</v>
      </c>
      <c r="C150" s="20" t="s">
        <v>928</v>
      </c>
      <c r="D150" s="20" t="s">
        <v>879</v>
      </c>
      <c r="E150" s="20" t="s">
        <v>1250</v>
      </c>
      <c r="F150" s="20" t="s">
        <v>835</v>
      </c>
      <c r="G150" s="20">
        <v>5</v>
      </c>
      <c r="H150" s="20">
        <v>4</v>
      </c>
      <c r="I150" s="20" t="s">
        <v>592</v>
      </c>
      <c r="K150" s="20" t="s">
        <v>1169</v>
      </c>
      <c r="L150" s="20" t="s">
        <v>333</v>
      </c>
      <c r="M150" s="20" t="s">
        <v>1579</v>
      </c>
      <c r="N150" s="20" t="s">
        <v>453</v>
      </c>
      <c r="O150" s="20" t="s">
        <v>628</v>
      </c>
      <c r="P150" s="20">
        <v>10</v>
      </c>
      <c r="Q150" s="20">
        <v>8</v>
      </c>
      <c r="R150" s="20" t="s">
        <v>592</v>
      </c>
      <c r="T150" s="20" t="s">
        <v>1158</v>
      </c>
      <c r="U150" s="20" t="s">
        <v>291</v>
      </c>
      <c r="V150" s="20" t="s">
        <v>867</v>
      </c>
      <c r="W150" s="20" t="s">
        <v>2160</v>
      </c>
      <c r="X150" s="20" t="s">
        <v>835</v>
      </c>
      <c r="Y150" s="20">
        <v>5</v>
      </c>
      <c r="Z150" s="20">
        <v>5</v>
      </c>
      <c r="AA150" s="20" t="s">
        <v>592</v>
      </c>
      <c r="AC150" s="20" t="s">
        <v>1161</v>
      </c>
      <c r="AD150" s="20" t="s">
        <v>2520</v>
      </c>
      <c r="AE150" s="20" t="s">
        <v>2537</v>
      </c>
      <c r="AF150" s="20" t="s">
        <v>2614</v>
      </c>
      <c r="AG150" s="20" t="s">
        <v>835</v>
      </c>
      <c r="AH150" s="20">
        <v>5</v>
      </c>
      <c r="AI150" s="20">
        <v>2</v>
      </c>
      <c r="AJ150" s="20" t="s">
        <v>593</v>
      </c>
      <c r="AL150" s="20" t="s">
        <v>1149</v>
      </c>
      <c r="AM150" s="20" t="s">
        <v>806</v>
      </c>
      <c r="AN150" s="20" t="s">
        <v>2484</v>
      </c>
      <c r="AO150" s="20" t="s">
        <v>2414</v>
      </c>
      <c r="AP150" s="20" t="s">
        <v>628</v>
      </c>
      <c r="AQ150" s="20">
        <v>10</v>
      </c>
      <c r="AR150" s="20">
        <v>57</v>
      </c>
      <c r="AS150" s="20" t="s">
        <v>592</v>
      </c>
    </row>
    <row r="151" spans="2:45" ht="15.75" customHeight="1" x14ac:dyDescent="0.2">
      <c r="B151" s="20" t="s">
        <v>1144</v>
      </c>
      <c r="C151" s="20" t="s">
        <v>1145</v>
      </c>
      <c r="D151" s="20" t="s">
        <v>853</v>
      </c>
      <c r="E151" s="20" t="s">
        <v>1251</v>
      </c>
      <c r="F151" s="20" t="s">
        <v>628</v>
      </c>
      <c r="G151" s="20">
        <v>10</v>
      </c>
      <c r="H151" s="20">
        <v>9</v>
      </c>
      <c r="I151" s="20" t="s">
        <v>592</v>
      </c>
      <c r="K151" s="20" t="s">
        <v>1141</v>
      </c>
      <c r="L151" s="20" t="s">
        <v>787</v>
      </c>
      <c r="M151" s="20" t="s">
        <v>1580</v>
      </c>
      <c r="N151" s="20" t="s">
        <v>714</v>
      </c>
      <c r="O151" s="20" t="s">
        <v>628</v>
      </c>
      <c r="P151" s="20">
        <v>10</v>
      </c>
      <c r="Q151" s="20">
        <v>7</v>
      </c>
      <c r="R151" s="20" t="s">
        <v>592</v>
      </c>
      <c r="T151" s="20" t="s">
        <v>1161</v>
      </c>
      <c r="U151" s="20" t="s">
        <v>117</v>
      </c>
      <c r="V151" s="20" t="s">
        <v>456</v>
      </c>
      <c r="W151" s="20" t="s">
        <v>1260</v>
      </c>
      <c r="X151" s="20" t="s">
        <v>628</v>
      </c>
      <c r="Y151" s="20">
        <v>10</v>
      </c>
      <c r="Z151" s="20">
        <v>3</v>
      </c>
      <c r="AA151" s="20" t="s">
        <v>593</v>
      </c>
      <c r="AC151" s="20" t="s">
        <v>1162</v>
      </c>
      <c r="AD151" s="20" t="s">
        <v>352</v>
      </c>
      <c r="AE151" s="20" t="s">
        <v>2538</v>
      </c>
      <c r="AF151" s="20" t="s">
        <v>2615</v>
      </c>
      <c r="AG151" s="20" t="s">
        <v>628</v>
      </c>
      <c r="AH151" s="20">
        <v>10</v>
      </c>
      <c r="AI151" s="20">
        <v>13</v>
      </c>
      <c r="AJ151" s="20" t="s">
        <v>592</v>
      </c>
      <c r="AL151" s="20" t="s">
        <v>1149</v>
      </c>
      <c r="AM151" s="20" t="s">
        <v>806</v>
      </c>
      <c r="AN151" s="20" t="s">
        <v>467</v>
      </c>
      <c r="AO151" s="20" t="s">
        <v>976</v>
      </c>
      <c r="AP151" s="20" t="s">
        <v>628</v>
      </c>
      <c r="AQ151" s="20">
        <v>10</v>
      </c>
      <c r="AR151" s="20">
        <v>21</v>
      </c>
      <c r="AS151" s="20" t="s">
        <v>592</v>
      </c>
    </row>
    <row r="152" spans="2:45" ht="15.75" customHeight="1" x14ac:dyDescent="0.2">
      <c r="B152" s="20" t="s">
        <v>640</v>
      </c>
      <c r="C152" s="20" t="s">
        <v>31</v>
      </c>
      <c r="D152" s="20" t="s">
        <v>571</v>
      </c>
      <c r="E152" s="20" t="s">
        <v>845</v>
      </c>
      <c r="F152" s="20" t="s">
        <v>835</v>
      </c>
      <c r="G152" s="20">
        <v>5</v>
      </c>
      <c r="H152" s="20">
        <v>7</v>
      </c>
      <c r="I152" s="20" t="s">
        <v>592</v>
      </c>
      <c r="K152" s="20" t="s">
        <v>646</v>
      </c>
      <c r="L152" s="20" t="s">
        <v>285</v>
      </c>
      <c r="M152" s="20" t="s">
        <v>1581</v>
      </c>
      <c r="N152" s="20" t="s">
        <v>459</v>
      </c>
      <c r="O152" s="20" t="s">
        <v>628</v>
      </c>
      <c r="P152" s="20">
        <v>10</v>
      </c>
      <c r="Q152" s="20">
        <v>9</v>
      </c>
      <c r="R152" s="20" t="s">
        <v>592</v>
      </c>
      <c r="T152" s="20" t="s">
        <v>1141</v>
      </c>
      <c r="U152" s="20" t="s">
        <v>787</v>
      </c>
      <c r="V152" s="20" t="s">
        <v>385</v>
      </c>
      <c r="W152" s="20" t="s">
        <v>2161</v>
      </c>
      <c r="X152" s="20" t="s">
        <v>835</v>
      </c>
      <c r="Y152" s="20">
        <v>5</v>
      </c>
      <c r="Z152" s="20">
        <v>12</v>
      </c>
      <c r="AA152" s="20" t="s">
        <v>592</v>
      </c>
      <c r="AC152" s="20" t="s">
        <v>1163</v>
      </c>
      <c r="AD152" s="20" t="s">
        <v>1165</v>
      </c>
      <c r="AE152" s="20" t="s">
        <v>1560</v>
      </c>
      <c r="AF152" s="20" t="s">
        <v>1559</v>
      </c>
      <c r="AG152" s="20" t="s">
        <v>835</v>
      </c>
      <c r="AH152" s="20">
        <v>5</v>
      </c>
      <c r="AI152" s="20">
        <v>3</v>
      </c>
      <c r="AJ152" s="20" t="s">
        <v>593</v>
      </c>
      <c r="AL152" s="20" t="s">
        <v>1149</v>
      </c>
      <c r="AM152" s="20" t="s">
        <v>806</v>
      </c>
      <c r="AN152" s="20" t="s">
        <v>467</v>
      </c>
      <c r="AO152" s="20" t="s">
        <v>2954</v>
      </c>
      <c r="AP152" s="20" t="s">
        <v>628</v>
      </c>
      <c r="AQ152" s="20">
        <v>10</v>
      </c>
      <c r="AR152" s="20">
        <v>6</v>
      </c>
      <c r="AS152" s="20" t="s">
        <v>592</v>
      </c>
    </row>
    <row r="153" spans="2:45" ht="15.75" customHeight="1" x14ac:dyDescent="0.2">
      <c r="B153" s="20" t="s">
        <v>646</v>
      </c>
      <c r="C153" s="20" t="s">
        <v>298</v>
      </c>
      <c r="D153" s="20" t="s">
        <v>374</v>
      </c>
      <c r="E153" s="20" t="s">
        <v>968</v>
      </c>
      <c r="F153" s="20" t="s">
        <v>835</v>
      </c>
      <c r="G153" s="20">
        <v>5</v>
      </c>
      <c r="H153" s="20">
        <v>1</v>
      </c>
      <c r="I153" s="20" t="s">
        <v>593</v>
      </c>
      <c r="K153" s="20" t="s">
        <v>1141</v>
      </c>
      <c r="L153" s="20" t="s">
        <v>787</v>
      </c>
      <c r="M153" s="20" t="s">
        <v>1582</v>
      </c>
      <c r="N153" s="20" t="s">
        <v>714</v>
      </c>
      <c r="O153" s="20" t="s">
        <v>628</v>
      </c>
      <c r="P153" s="20">
        <v>10</v>
      </c>
      <c r="Q153" s="20">
        <v>2</v>
      </c>
      <c r="R153" s="20" t="s">
        <v>592</v>
      </c>
      <c r="T153" s="20" t="s">
        <v>1154</v>
      </c>
      <c r="U153" s="20" t="s">
        <v>335</v>
      </c>
      <c r="V153" s="20" t="s">
        <v>474</v>
      </c>
      <c r="W153" s="20" t="s">
        <v>1455</v>
      </c>
      <c r="X153" s="20" t="s">
        <v>835</v>
      </c>
      <c r="Y153" s="20">
        <v>5</v>
      </c>
      <c r="Z153" s="20">
        <v>2</v>
      </c>
      <c r="AA153" s="20" t="s">
        <v>593</v>
      </c>
      <c r="AC153" s="20" t="s">
        <v>1163</v>
      </c>
      <c r="AD153" s="20" t="s">
        <v>207</v>
      </c>
      <c r="AE153" s="20" t="s">
        <v>600</v>
      </c>
      <c r="AF153" s="20" t="s">
        <v>2398</v>
      </c>
      <c r="AG153" s="20" t="s">
        <v>628</v>
      </c>
      <c r="AH153" s="20">
        <v>10</v>
      </c>
      <c r="AI153" s="20">
        <v>12</v>
      </c>
      <c r="AJ153" s="20" t="s">
        <v>592</v>
      </c>
      <c r="AL153" s="20" t="s">
        <v>1149</v>
      </c>
      <c r="AM153" s="20" t="s">
        <v>806</v>
      </c>
      <c r="AN153" s="20" t="s">
        <v>1690</v>
      </c>
      <c r="AO153" s="20" t="s">
        <v>1689</v>
      </c>
      <c r="AP153" s="20" t="s">
        <v>628</v>
      </c>
      <c r="AQ153" s="20">
        <v>10</v>
      </c>
      <c r="AR153" s="20">
        <v>17</v>
      </c>
      <c r="AS153" s="20" t="s">
        <v>592</v>
      </c>
    </row>
    <row r="154" spans="2:45" ht="15.75" customHeight="1" x14ac:dyDescent="0.2">
      <c r="B154" s="20" t="s">
        <v>1158</v>
      </c>
      <c r="C154" s="20" t="s">
        <v>72</v>
      </c>
      <c r="D154" s="20" t="s">
        <v>612</v>
      </c>
      <c r="E154" s="20" t="s">
        <v>1252</v>
      </c>
      <c r="F154" s="20" t="s">
        <v>835</v>
      </c>
      <c r="G154" s="20">
        <v>5</v>
      </c>
      <c r="H154" s="20">
        <v>5</v>
      </c>
      <c r="I154" s="20" t="s">
        <v>592</v>
      </c>
      <c r="K154" s="20" t="s">
        <v>1158</v>
      </c>
      <c r="L154" s="20" t="s">
        <v>925</v>
      </c>
      <c r="M154" s="20" t="s">
        <v>1583</v>
      </c>
      <c r="N154" s="20" t="s">
        <v>1584</v>
      </c>
      <c r="O154" s="20" t="s">
        <v>835</v>
      </c>
      <c r="P154" s="20">
        <v>5</v>
      </c>
      <c r="Q154" s="20">
        <v>5</v>
      </c>
      <c r="R154" s="20" t="s">
        <v>592</v>
      </c>
      <c r="T154" s="20" t="s">
        <v>1149</v>
      </c>
      <c r="U154" s="20" t="s">
        <v>806</v>
      </c>
      <c r="V154" s="20" t="s">
        <v>1652</v>
      </c>
      <c r="W154" s="20" t="s">
        <v>2162</v>
      </c>
      <c r="X154" s="20" t="s">
        <v>628</v>
      </c>
      <c r="Y154" s="20">
        <v>10</v>
      </c>
      <c r="Z154" s="20">
        <v>1</v>
      </c>
      <c r="AA154" s="20" t="s">
        <v>593</v>
      </c>
      <c r="AC154" s="20" t="s">
        <v>640</v>
      </c>
      <c r="AD154" s="20" t="s">
        <v>191</v>
      </c>
      <c r="AE154" s="20" t="s">
        <v>1628</v>
      </c>
      <c r="AF154" s="20" t="s">
        <v>2616</v>
      </c>
      <c r="AG154" s="20" t="s">
        <v>628</v>
      </c>
      <c r="AH154" s="20">
        <v>10</v>
      </c>
      <c r="AI154" s="20">
        <v>6</v>
      </c>
      <c r="AJ154" s="20" t="s">
        <v>593</v>
      </c>
      <c r="AL154" s="20" t="s">
        <v>1149</v>
      </c>
      <c r="AM154" s="20" t="s">
        <v>63</v>
      </c>
      <c r="AN154" s="20" t="s">
        <v>472</v>
      </c>
      <c r="AO154" s="20" t="s">
        <v>742</v>
      </c>
      <c r="AP154" s="20" t="s">
        <v>628</v>
      </c>
      <c r="AQ154" s="20">
        <v>10</v>
      </c>
      <c r="AR154" s="20">
        <v>72</v>
      </c>
      <c r="AS154" s="20" t="s">
        <v>592</v>
      </c>
    </row>
    <row r="155" spans="2:45" ht="15.75" customHeight="1" x14ac:dyDescent="0.2">
      <c r="B155" s="20" t="s">
        <v>1147</v>
      </c>
      <c r="C155" s="20" t="s">
        <v>225</v>
      </c>
      <c r="D155" s="20" t="s">
        <v>383</v>
      </c>
      <c r="E155" s="20" t="s">
        <v>1253</v>
      </c>
      <c r="F155" s="20" t="s">
        <v>628</v>
      </c>
      <c r="G155" s="20">
        <v>10</v>
      </c>
      <c r="H155" s="20">
        <v>8</v>
      </c>
      <c r="I155" s="20" t="s">
        <v>592</v>
      </c>
      <c r="K155" s="20" t="s">
        <v>1149</v>
      </c>
      <c r="L155" s="20" t="s">
        <v>63</v>
      </c>
      <c r="M155" s="20" t="s">
        <v>906</v>
      </c>
      <c r="N155" s="20" t="s">
        <v>880</v>
      </c>
      <c r="O155" s="20" t="s">
        <v>835</v>
      </c>
      <c r="P155" s="20">
        <v>5</v>
      </c>
      <c r="Q155" s="20">
        <v>5</v>
      </c>
      <c r="R155" s="20" t="s">
        <v>592</v>
      </c>
      <c r="T155" s="20" t="s">
        <v>1162</v>
      </c>
      <c r="U155" s="20" t="s">
        <v>352</v>
      </c>
      <c r="V155" s="20" t="s">
        <v>443</v>
      </c>
      <c r="W155" s="20" t="s">
        <v>2163</v>
      </c>
      <c r="X155" s="20" t="s">
        <v>835</v>
      </c>
      <c r="Y155" s="20">
        <v>5</v>
      </c>
      <c r="Z155" s="20">
        <v>1</v>
      </c>
      <c r="AA155" s="20" t="s">
        <v>593</v>
      </c>
      <c r="AC155" s="20" t="s">
        <v>640</v>
      </c>
      <c r="AD155" s="20" t="s">
        <v>756</v>
      </c>
      <c r="AE155" s="20" t="s">
        <v>433</v>
      </c>
      <c r="AF155" s="20" t="s">
        <v>1703</v>
      </c>
      <c r="AG155" s="20" t="s">
        <v>628</v>
      </c>
      <c r="AH155" s="20">
        <v>10</v>
      </c>
      <c r="AI155" s="20">
        <v>1</v>
      </c>
      <c r="AJ155" s="20" t="s">
        <v>593</v>
      </c>
      <c r="AL155" s="20" t="s">
        <v>1149</v>
      </c>
      <c r="AM155" s="20" t="s">
        <v>63</v>
      </c>
      <c r="AN155" s="20" t="s">
        <v>473</v>
      </c>
      <c r="AO155" s="20" t="s">
        <v>1000</v>
      </c>
      <c r="AP155" s="20" t="s">
        <v>628</v>
      </c>
      <c r="AQ155" s="20">
        <v>10</v>
      </c>
      <c r="AR155" s="20">
        <v>9</v>
      </c>
      <c r="AS155" s="20" t="s">
        <v>592</v>
      </c>
    </row>
    <row r="156" spans="2:45" ht="15.75" customHeight="1" x14ac:dyDescent="0.2">
      <c r="B156" s="20" t="s">
        <v>1147</v>
      </c>
      <c r="C156" s="20" t="s">
        <v>699</v>
      </c>
      <c r="D156" s="20" t="s">
        <v>712</v>
      </c>
      <c r="E156" s="20" t="s">
        <v>785</v>
      </c>
      <c r="F156" s="20" t="s">
        <v>628</v>
      </c>
      <c r="G156" s="20">
        <v>10</v>
      </c>
      <c r="H156" s="20">
        <v>8</v>
      </c>
      <c r="I156" s="20" t="s">
        <v>592</v>
      </c>
      <c r="K156" s="20" t="s">
        <v>1149</v>
      </c>
      <c r="L156" s="20" t="s">
        <v>1150</v>
      </c>
      <c r="M156" s="20" t="s">
        <v>1403</v>
      </c>
      <c r="N156" s="20" t="s">
        <v>476</v>
      </c>
      <c r="O156" s="20" t="s">
        <v>628</v>
      </c>
      <c r="P156" s="20">
        <v>10</v>
      </c>
      <c r="Q156" s="20">
        <v>1</v>
      </c>
      <c r="R156" s="20" t="s">
        <v>593</v>
      </c>
      <c r="T156" s="20" t="s">
        <v>1143</v>
      </c>
      <c r="U156" s="20" t="s">
        <v>61</v>
      </c>
      <c r="V156" s="20" t="s">
        <v>604</v>
      </c>
      <c r="W156" s="20" t="s">
        <v>722</v>
      </c>
      <c r="X156" s="20" t="s">
        <v>835</v>
      </c>
      <c r="Y156" s="20">
        <v>5</v>
      </c>
      <c r="Z156" s="20">
        <v>2</v>
      </c>
      <c r="AA156" s="20" t="s">
        <v>593</v>
      </c>
      <c r="AC156" s="20" t="s">
        <v>1147</v>
      </c>
      <c r="AD156" s="20" t="s">
        <v>29</v>
      </c>
      <c r="AE156" s="20" t="s">
        <v>419</v>
      </c>
      <c r="AF156" s="20" t="s">
        <v>2358</v>
      </c>
      <c r="AG156" s="20" t="s">
        <v>628</v>
      </c>
      <c r="AH156" s="20">
        <v>10</v>
      </c>
      <c r="AI156" s="20">
        <v>11</v>
      </c>
      <c r="AJ156" s="20" t="s">
        <v>592</v>
      </c>
      <c r="AL156" s="20" t="s">
        <v>1149</v>
      </c>
      <c r="AM156" s="20" t="s">
        <v>63</v>
      </c>
      <c r="AN156" s="20" t="s">
        <v>1655</v>
      </c>
      <c r="AO156" s="20" t="s">
        <v>2053</v>
      </c>
      <c r="AP156" s="20" t="s">
        <v>628</v>
      </c>
      <c r="AQ156" s="20">
        <v>10</v>
      </c>
      <c r="AR156" s="20">
        <v>12</v>
      </c>
      <c r="AS156" s="20" t="s">
        <v>592</v>
      </c>
    </row>
    <row r="157" spans="2:45" ht="15.75" customHeight="1" x14ac:dyDescent="0.2">
      <c r="B157" s="20" t="s">
        <v>1147</v>
      </c>
      <c r="C157" s="20" t="s">
        <v>699</v>
      </c>
      <c r="D157" s="20" t="s">
        <v>712</v>
      </c>
      <c r="E157" s="20" t="s">
        <v>1091</v>
      </c>
      <c r="F157" s="20" t="s">
        <v>628</v>
      </c>
      <c r="G157" s="20">
        <v>10</v>
      </c>
      <c r="H157" s="20">
        <v>1</v>
      </c>
      <c r="I157" s="20" t="s">
        <v>592</v>
      </c>
      <c r="K157" s="20" t="s">
        <v>1147</v>
      </c>
      <c r="L157" s="20" t="s">
        <v>29</v>
      </c>
      <c r="M157" s="20" t="s">
        <v>1585</v>
      </c>
      <c r="N157" s="20" t="s">
        <v>420</v>
      </c>
      <c r="O157" s="20" t="s">
        <v>628</v>
      </c>
      <c r="P157" s="20">
        <v>10</v>
      </c>
      <c r="Q157" s="20">
        <v>8</v>
      </c>
      <c r="R157" s="20" t="s">
        <v>592</v>
      </c>
      <c r="T157" s="20" t="s">
        <v>1147</v>
      </c>
      <c r="U157" s="20" t="s">
        <v>29</v>
      </c>
      <c r="V157" s="20" t="s">
        <v>420</v>
      </c>
      <c r="W157" s="20" t="s">
        <v>820</v>
      </c>
      <c r="X157" s="20" t="s">
        <v>628</v>
      </c>
      <c r="Y157" s="20">
        <v>10</v>
      </c>
      <c r="Z157" s="20">
        <v>9</v>
      </c>
      <c r="AA157" s="20" t="s">
        <v>592</v>
      </c>
      <c r="AC157" s="20" t="s">
        <v>1147</v>
      </c>
      <c r="AD157" s="20" t="s">
        <v>699</v>
      </c>
      <c r="AE157" s="20" t="s">
        <v>447</v>
      </c>
      <c r="AF157" s="20" t="s">
        <v>2617</v>
      </c>
      <c r="AG157" s="20" t="s">
        <v>628</v>
      </c>
      <c r="AH157" s="20">
        <v>10</v>
      </c>
      <c r="AI157" s="20">
        <v>1</v>
      </c>
      <c r="AJ157" s="20" t="s">
        <v>592</v>
      </c>
      <c r="AL157" s="20" t="s">
        <v>1149</v>
      </c>
      <c r="AM157" s="20" t="s">
        <v>63</v>
      </c>
      <c r="AN157" s="20" t="s">
        <v>1482</v>
      </c>
      <c r="AO157" s="20" t="s">
        <v>2955</v>
      </c>
      <c r="AP157" s="20" t="s">
        <v>628</v>
      </c>
      <c r="AQ157" s="20">
        <v>10</v>
      </c>
      <c r="AR157" s="20">
        <v>25</v>
      </c>
      <c r="AS157" s="20" t="s">
        <v>592</v>
      </c>
    </row>
    <row r="158" spans="2:45" ht="15.75" customHeight="1" x14ac:dyDescent="0.2">
      <c r="B158" s="20" t="s">
        <v>1147</v>
      </c>
      <c r="C158" s="20" t="s">
        <v>225</v>
      </c>
      <c r="D158" s="20" t="s">
        <v>860</v>
      </c>
      <c r="E158" s="20" t="s">
        <v>1099</v>
      </c>
      <c r="F158" s="20" t="s">
        <v>628</v>
      </c>
      <c r="G158" s="20">
        <v>10</v>
      </c>
      <c r="H158" s="20">
        <v>6</v>
      </c>
      <c r="I158" s="20" t="s">
        <v>592</v>
      </c>
      <c r="K158" s="20" t="s">
        <v>1144</v>
      </c>
      <c r="L158" s="20" t="s">
        <v>194</v>
      </c>
      <c r="M158" s="20" t="s">
        <v>1586</v>
      </c>
      <c r="N158" s="20" t="s">
        <v>561</v>
      </c>
      <c r="O158" s="20" t="s">
        <v>628</v>
      </c>
      <c r="P158" s="20">
        <v>10</v>
      </c>
      <c r="Q158" s="20">
        <v>9</v>
      </c>
      <c r="R158" s="20" t="s">
        <v>592</v>
      </c>
      <c r="T158" s="20" t="s">
        <v>1147</v>
      </c>
      <c r="U158" s="20" t="s">
        <v>29</v>
      </c>
      <c r="V158" s="20" t="s">
        <v>2464</v>
      </c>
      <c r="W158" s="20" t="s">
        <v>2164</v>
      </c>
      <c r="X158" s="20" t="s">
        <v>835</v>
      </c>
      <c r="Y158" s="20">
        <v>5</v>
      </c>
      <c r="Z158" s="20">
        <v>1</v>
      </c>
      <c r="AA158" s="20" t="s">
        <v>593</v>
      </c>
      <c r="AC158" s="20" t="s">
        <v>1147</v>
      </c>
      <c r="AD158" s="20" t="s">
        <v>699</v>
      </c>
      <c r="AE158" s="20" t="s">
        <v>447</v>
      </c>
      <c r="AF158" s="20" t="s">
        <v>1997</v>
      </c>
      <c r="AG158" s="20" t="s">
        <v>628</v>
      </c>
      <c r="AH158" s="20">
        <v>10</v>
      </c>
      <c r="AI158" s="20">
        <v>8</v>
      </c>
      <c r="AJ158" s="20" t="s">
        <v>592</v>
      </c>
      <c r="AL158" s="20" t="s">
        <v>1149</v>
      </c>
      <c r="AM158" s="20" t="s">
        <v>63</v>
      </c>
      <c r="AN158" s="20" t="s">
        <v>2800</v>
      </c>
      <c r="AO158" s="20" t="s">
        <v>2956</v>
      </c>
      <c r="AP158" s="20" t="s">
        <v>628</v>
      </c>
      <c r="AQ158" s="20">
        <v>10</v>
      </c>
      <c r="AR158" s="20">
        <v>18</v>
      </c>
      <c r="AS158" s="20" t="s">
        <v>592</v>
      </c>
    </row>
    <row r="159" spans="2:45" ht="15.75" customHeight="1" x14ac:dyDescent="0.2">
      <c r="B159" s="20" t="s">
        <v>1147</v>
      </c>
      <c r="C159" s="20" t="s">
        <v>225</v>
      </c>
      <c r="D159" s="20" t="s">
        <v>860</v>
      </c>
      <c r="E159" s="20" t="s">
        <v>1254</v>
      </c>
      <c r="F159" s="20" t="s">
        <v>628</v>
      </c>
      <c r="G159" s="20">
        <v>10</v>
      </c>
      <c r="H159" s="20">
        <v>2</v>
      </c>
      <c r="I159" s="20" t="s">
        <v>592</v>
      </c>
      <c r="K159" s="20" t="s">
        <v>1144</v>
      </c>
      <c r="L159" s="20" t="s">
        <v>194</v>
      </c>
      <c r="M159" s="20" t="s">
        <v>1587</v>
      </c>
      <c r="N159" s="20" t="s">
        <v>561</v>
      </c>
      <c r="O159" s="20" t="s">
        <v>628</v>
      </c>
      <c r="P159" s="20">
        <v>10</v>
      </c>
      <c r="Q159" s="20">
        <v>1</v>
      </c>
      <c r="R159" s="20" t="s">
        <v>592</v>
      </c>
      <c r="T159" s="20" t="s">
        <v>1161</v>
      </c>
      <c r="U159" s="20" t="s">
        <v>117</v>
      </c>
      <c r="V159" s="20" t="s">
        <v>465</v>
      </c>
      <c r="W159" s="20" t="s">
        <v>1747</v>
      </c>
      <c r="X159" s="20" t="s">
        <v>628</v>
      </c>
      <c r="Y159" s="20">
        <v>10</v>
      </c>
      <c r="Z159" s="20">
        <v>7</v>
      </c>
      <c r="AA159" s="20" t="s">
        <v>592</v>
      </c>
      <c r="AC159" s="20" t="s">
        <v>646</v>
      </c>
      <c r="AD159" s="20" t="s">
        <v>25</v>
      </c>
      <c r="AE159" s="20" t="s">
        <v>2539</v>
      </c>
      <c r="AF159" s="20" t="s">
        <v>2618</v>
      </c>
      <c r="AG159" s="20" t="s">
        <v>628</v>
      </c>
      <c r="AH159" s="20">
        <v>10</v>
      </c>
      <c r="AI159" s="20">
        <v>8</v>
      </c>
      <c r="AJ159" s="20" t="s">
        <v>592</v>
      </c>
      <c r="AL159" s="20" t="s">
        <v>1149</v>
      </c>
      <c r="AM159" s="20" t="s">
        <v>63</v>
      </c>
      <c r="AN159" s="20" t="s">
        <v>477</v>
      </c>
      <c r="AO159" s="20" t="s">
        <v>2285</v>
      </c>
      <c r="AP159" s="20" t="s">
        <v>628</v>
      </c>
      <c r="AQ159" s="20">
        <v>10</v>
      </c>
      <c r="AR159" s="20">
        <v>18</v>
      </c>
      <c r="AS159" s="20" t="s">
        <v>592</v>
      </c>
    </row>
    <row r="160" spans="2:45" ht="15.75" customHeight="1" x14ac:dyDescent="0.2">
      <c r="B160" s="20" t="s">
        <v>1161</v>
      </c>
      <c r="C160" s="20" t="s">
        <v>765</v>
      </c>
      <c r="D160" s="20" t="s">
        <v>512</v>
      </c>
      <c r="E160" s="20" t="s">
        <v>1255</v>
      </c>
      <c r="F160" s="20" t="s">
        <v>628</v>
      </c>
      <c r="G160" s="20">
        <v>10</v>
      </c>
      <c r="H160" s="20">
        <v>6</v>
      </c>
      <c r="I160" s="20" t="s">
        <v>592</v>
      </c>
      <c r="K160" s="20" t="s">
        <v>1143</v>
      </c>
      <c r="L160" s="20" t="s">
        <v>689</v>
      </c>
      <c r="M160" s="20" t="s">
        <v>1588</v>
      </c>
      <c r="N160" s="20" t="s">
        <v>1589</v>
      </c>
      <c r="O160" s="20" t="s">
        <v>628</v>
      </c>
      <c r="P160" s="20">
        <v>10</v>
      </c>
      <c r="Q160" s="20">
        <v>10</v>
      </c>
      <c r="R160" s="20" t="s">
        <v>592</v>
      </c>
      <c r="T160" s="20" t="s">
        <v>1161</v>
      </c>
      <c r="U160" s="20" t="s">
        <v>117</v>
      </c>
      <c r="V160" s="20" t="s">
        <v>465</v>
      </c>
      <c r="W160" s="20" t="s">
        <v>1748</v>
      </c>
      <c r="X160" s="20" t="s">
        <v>628</v>
      </c>
      <c r="Y160" s="20">
        <v>10</v>
      </c>
      <c r="Z160" s="20">
        <v>1</v>
      </c>
      <c r="AA160" s="20" t="s">
        <v>592</v>
      </c>
      <c r="AC160" s="20" t="s">
        <v>640</v>
      </c>
      <c r="AD160" s="20" t="s">
        <v>248</v>
      </c>
      <c r="AE160" s="20" t="s">
        <v>809</v>
      </c>
      <c r="AF160" s="20" t="s">
        <v>1071</v>
      </c>
      <c r="AG160" s="20" t="s">
        <v>628</v>
      </c>
      <c r="AH160" s="20">
        <v>10</v>
      </c>
      <c r="AI160" s="20">
        <v>8</v>
      </c>
      <c r="AJ160" s="20" t="s">
        <v>592</v>
      </c>
      <c r="AL160" s="20" t="s">
        <v>1149</v>
      </c>
      <c r="AM160" s="20" t="s">
        <v>63</v>
      </c>
      <c r="AN160" s="20" t="s">
        <v>880</v>
      </c>
      <c r="AO160" s="20" t="s">
        <v>906</v>
      </c>
      <c r="AP160" s="20" t="s">
        <v>628</v>
      </c>
      <c r="AQ160" s="20">
        <v>10</v>
      </c>
      <c r="AR160" s="20">
        <v>48</v>
      </c>
      <c r="AS160" s="20" t="s">
        <v>592</v>
      </c>
    </row>
    <row r="161" spans="2:45" ht="15.75" customHeight="1" x14ac:dyDescent="0.2">
      <c r="B161" s="20" t="s">
        <v>1161</v>
      </c>
      <c r="C161" s="20" t="s">
        <v>765</v>
      </c>
      <c r="D161" s="20" t="s">
        <v>512</v>
      </c>
      <c r="E161" s="20" t="s">
        <v>1256</v>
      </c>
      <c r="F161" s="20" t="s">
        <v>628</v>
      </c>
      <c r="G161" s="20">
        <v>10</v>
      </c>
      <c r="H161" s="20">
        <v>2</v>
      </c>
      <c r="I161" s="20" t="s">
        <v>592</v>
      </c>
      <c r="K161" s="20" t="s">
        <v>1154</v>
      </c>
      <c r="L161" s="20" t="s">
        <v>335</v>
      </c>
      <c r="M161" s="20" t="s">
        <v>683</v>
      </c>
      <c r="N161" s="20" t="s">
        <v>623</v>
      </c>
      <c r="O161" s="20" t="s">
        <v>835</v>
      </c>
      <c r="P161" s="20">
        <v>5</v>
      </c>
      <c r="Q161" s="20">
        <v>1</v>
      </c>
      <c r="R161" s="20" t="s">
        <v>593</v>
      </c>
      <c r="T161" s="20" t="s">
        <v>1144</v>
      </c>
      <c r="U161" s="20" t="s">
        <v>194</v>
      </c>
      <c r="V161" s="20" t="s">
        <v>1849</v>
      </c>
      <c r="W161" s="20" t="s">
        <v>1848</v>
      </c>
      <c r="X161" s="20" t="s">
        <v>835</v>
      </c>
      <c r="Y161" s="20">
        <v>5</v>
      </c>
      <c r="Z161" s="20">
        <v>6</v>
      </c>
      <c r="AA161" s="20" t="s">
        <v>592</v>
      </c>
      <c r="AC161" s="20" t="s">
        <v>1154</v>
      </c>
      <c r="AD161" s="20" t="s">
        <v>335</v>
      </c>
      <c r="AE161" s="20" t="s">
        <v>474</v>
      </c>
      <c r="AF161" s="20" t="s">
        <v>1455</v>
      </c>
      <c r="AG161" s="20" t="s">
        <v>628</v>
      </c>
      <c r="AH161" s="20">
        <v>10</v>
      </c>
      <c r="AI161" s="20">
        <v>5</v>
      </c>
      <c r="AJ161" s="20" t="s">
        <v>593</v>
      </c>
      <c r="AL161" s="20" t="s">
        <v>1149</v>
      </c>
      <c r="AM161" s="20" t="s">
        <v>63</v>
      </c>
      <c r="AN161" s="20" t="s">
        <v>1711</v>
      </c>
      <c r="AO161" s="20" t="s">
        <v>2050</v>
      </c>
      <c r="AP161" s="20" t="s">
        <v>628</v>
      </c>
      <c r="AQ161" s="20">
        <v>10</v>
      </c>
      <c r="AR161" s="20">
        <v>24</v>
      </c>
      <c r="AS161" s="20" t="s">
        <v>592</v>
      </c>
    </row>
    <row r="162" spans="2:45" ht="15.75" customHeight="1" x14ac:dyDescent="0.2">
      <c r="B162" s="20" t="s">
        <v>1143</v>
      </c>
      <c r="C162" s="20" t="s">
        <v>706</v>
      </c>
      <c r="D162" s="20" t="s">
        <v>404</v>
      </c>
      <c r="E162" s="20" t="s">
        <v>1257</v>
      </c>
      <c r="F162" s="20" t="s">
        <v>628</v>
      </c>
      <c r="G162" s="20">
        <v>10</v>
      </c>
      <c r="H162" s="20">
        <v>7</v>
      </c>
      <c r="I162" s="20" t="s">
        <v>592</v>
      </c>
      <c r="K162" s="20" t="s">
        <v>1141</v>
      </c>
      <c r="L162" s="20" t="s">
        <v>224</v>
      </c>
      <c r="M162" s="20" t="s">
        <v>1590</v>
      </c>
      <c r="N162" s="20" t="s">
        <v>399</v>
      </c>
      <c r="O162" s="20" t="s">
        <v>628</v>
      </c>
      <c r="P162" s="20">
        <v>10</v>
      </c>
      <c r="Q162" s="20">
        <v>3</v>
      </c>
      <c r="R162" s="20" t="s">
        <v>592</v>
      </c>
      <c r="T162" s="20" t="s">
        <v>1155</v>
      </c>
      <c r="U162" s="20" t="s">
        <v>657</v>
      </c>
      <c r="V162" s="20" t="s">
        <v>484</v>
      </c>
      <c r="W162" s="20" t="s">
        <v>852</v>
      </c>
      <c r="X162" s="20" t="s">
        <v>835</v>
      </c>
      <c r="Y162" s="20">
        <v>5</v>
      </c>
      <c r="Z162" s="20">
        <v>5</v>
      </c>
      <c r="AA162" s="20" t="s">
        <v>592</v>
      </c>
      <c r="AC162" s="20" t="s">
        <v>1158</v>
      </c>
      <c r="AD162" s="20" t="s">
        <v>1040</v>
      </c>
      <c r="AE162" s="20" t="s">
        <v>485</v>
      </c>
      <c r="AF162" s="20" t="s">
        <v>1082</v>
      </c>
      <c r="AG162" s="20" t="s">
        <v>835</v>
      </c>
      <c r="AH162" s="20">
        <v>5</v>
      </c>
      <c r="AI162" s="20">
        <v>2</v>
      </c>
      <c r="AJ162" s="20" t="s">
        <v>593</v>
      </c>
      <c r="AL162" s="20" t="s">
        <v>1149</v>
      </c>
      <c r="AM162" s="20" t="s">
        <v>63</v>
      </c>
      <c r="AN162" s="20" t="s">
        <v>2487</v>
      </c>
      <c r="AO162" s="20" t="s">
        <v>2284</v>
      </c>
      <c r="AP162" s="20" t="s">
        <v>628</v>
      </c>
      <c r="AQ162" s="20">
        <v>10</v>
      </c>
      <c r="AR162" s="20">
        <v>20</v>
      </c>
      <c r="AS162" s="20" t="s">
        <v>592</v>
      </c>
    </row>
    <row r="163" spans="2:45" ht="15.75" customHeight="1" x14ac:dyDescent="0.2">
      <c r="B163" s="20" t="s">
        <v>1143</v>
      </c>
      <c r="C163" s="20" t="s">
        <v>706</v>
      </c>
      <c r="D163" s="20" t="s">
        <v>404</v>
      </c>
      <c r="E163" s="20" t="s">
        <v>1258</v>
      </c>
      <c r="F163" s="20" t="s">
        <v>628</v>
      </c>
      <c r="G163" s="20">
        <v>10</v>
      </c>
      <c r="H163" s="20">
        <v>1</v>
      </c>
      <c r="I163" s="20" t="s">
        <v>592</v>
      </c>
      <c r="K163" s="20" t="s">
        <v>1141</v>
      </c>
      <c r="L163" s="20" t="s">
        <v>224</v>
      </c>
      <c r="M163" s="20" t="s">
        <v>1591</v>
      </c>
      <c r="N163" s="20" t="s">
        <v>399</v>
      </c>
      <c r="O163" s="20" t="s">
        <v>628</v>
      </c>
      <c r="P163" s="20">
        <v>10</v>
      </c>
      <c r="Q163" s="20">
        <v>5</v>
      </c>
      <c r="R163" s="20" t="s">
        <v>592</v>
      </c>
      <c r="T163" s="20" t="s">
        <v>1144</v>
      </c>
      <c r="U163" s="20" t="s">
        <v>249</v>
      </c>
      <c r="V163" s="20" t="s">
        <v>563</v>
      </c>
      <c r="W163" s="20" t="s">
        <v>2165</v>
      </c>
      <c r="X163" s="20" t="s">
        <v>628</v>
      </c>
      <c r="Y163" s="20">
        <v>10</v>
      </c>
      <c r="Z163" s="20">
        <v>11</v>
      </c>
      <c r="AA163" s="20" t="s">
        <v>592</v>
      </c>
      <c r="AC163" s="20" t="s">
        <v>1163</v>
      </c>
      <c r="AD163" s="20" t="s">
        <v>2091</v>
      </c>
      <c r="AE163" s="20" t="s">
        <v>875</v>
      </c>
      <c r="AF163" s="20" t="s">
        <v>2619</v>
      </c>
      <c r="AG163" s="20" t="s">
        <v>628</v>
      </c>
      <c r="AH163" s="20">
        <v>10</v>
      </c>
      <c r="AI163" s="20">
        <v>8</v>
      </c>
      <c r="AJ163" s="20" t="s">
        <v>592</v>
      </c>
      <c r="AL163" s="20" t="s">
        <v>1149</v>
      </c>
      <c r="AM163" s="20" t="s">
        <v>1150</v>
      </c>
      <c r="AN163" s="20" t="s">
        <v>476</v>
      </c>
      <c r="AO163" s="20" t="s">
        <v>1403</v>
      </c>
      <c r="AP163" s="20" t="s">
        <v>628</v>
      </c>
      <c r="AQ163" s="20">
        <v>10</v>
      </c>
      <c r="AR163" s="20">
        <v>19</v>
      </c>
      <c r="AS163" s="20" t="s">
        <v>592</v>
      </c>
    </row>
    <row r="164" spans="2:45" ht="15.75" customHeight="1" x14ac:dyDescent="0.2">
      <c r="B164" s="20" t="s">
        <v>646</v>
      </c>
      <c r="C164" s="20" t="s">
        <v>209</v>
      </c>
      <c r="D164" s="20" t="s">
        <v>730</v>
      </c>
      <c r="E164" s="20" t="s">
        <v>736</v>
      </c>
      <c r="F164" s="20" t="s">
        <v>628</v>
      </c>
      <c r="G164" s="20">
        <v>10</v>
      </c>
      <c r="H164" s="20">
        <v>8</v>
      </c>
      <c r="I164" s="20" t="s">
        <v>592</v>
      </c>
      <c r="K164" s="20" t="s">
        <v>1144</v>
      </c>
      <c r="L164" s="20" t="s">
        <v>313</v>
      </c>
      <c r="M164" s="20" t="s">
        <v>998</v>
      </c>
      <c r="N164" s="20" t="s">
        <v>528</v>
      </c>
      <c r="O164" s="20" t="s">
        <v>628</v>
      </c>
      <c r="P164" s="20">
        <v>10</v>
      </c>
      <c r="Q164" s="20">
        <v>11</v>
      </c>
      <c r="R164" s="20" t="s">
        <v>592</v>
      </c>
      <c r="T164" s="20" t="s">
        <v>1144</v>
      </c>
      <c r="U164" s="20" t="s">
        <v>707</v>
      </c>
      <c r="V164" s="20" t="s">
        <v>956</v>
      </c>
      <c r="W164" s="20" t="s">
        <v>2166</v>
      </c>
      <c r="X164" s="20" t="s">
        <v>628</v>
      </c>
      <c r="Y164" s="20">
        <v>10</v>
      </c>
      <c r="Z164" s="20">
        <v>8</v>
      </c>
      <c r="AA164" s="20" t="s">
        <v>592</v>
      </c>
      <c r="AC164" s="20" t="s">
        <v>1149</v>
      </c>
      <c r="AD164" s="20" t="s">
        <v>63</v>
      </c>
      <c r="AE164" s="20" t="s">
        <v>880</v>
      </c>
      <c r="AF164" s="20" t="s">
        <v>906</v>
      </c>
      <c r="AG164" s="20" t="s">
        <v>835</v>
      </c>
      <c r="AH164" s="20">
        <v>5</v>
      </c>
      <c r="AI164" s="20">
        <v>2</v>
      </c>
      <c r="AJ164" s="20" t="s">
        <v>593</v>
      </c>
      <c r="AL164" s="20" t="s">
        <v>1149</v>
      </c>
      <c r="AM164" s="20" t="s">
        <v>1150</v>
      </c>
      <c r="AN164" s="20" t="s">
        <v>2040</v>
      </c>
      <c r="AO164" s="20" t="s">
        <v>2039</v>
      </c>
      <c r="AP164" s="20" t="s">
        <v>835</v>
      </c>
      <c r="AQ164" s="20">
        <v>5</v>
      </c>
      <c r="AR164" s="20">
        <v>9</v>
      </c>
      <c r="AS164" s="20" t="s">
        <v>592</v>
      </c>
    </row>
    <row r="165" spans="2:45" ht="15.75" customHeight="1" x14ac:dyDescent="0.2">
      <c r="B165" s="20" t="s">
        <v>646</v>
      </c>
      <c r="C165" s="20" t="s">
        <v>298</v>
      </c>
      <c r="D165" s="20" t="s">
        <v>424</v>
      </c>
      <c r="E165" s="20" t="s">
        <v>1259</v>
      </c>
      <c r="F165" s="20" t="s">
        <v>628</v>
      </c>
      <c r="G165" s="20">
        <v>10</v>
      </c>
      <c r="H165" s="20">
        <v>2</v>
      </c>
      <c r="I165" s="20" t="s">
        <v>593</v>
      </c>
      <c r="K165" s="20" t="s">
        <v>640</v>
      </c>
      <c r="L165" s="20" t="s">
        <v>756</v>
      </c>
      <c r="M165" s="20" t="s">
        <v>1592</v>
      </c>
      <c r="N165" s="20" t="s">
        <v>1593</v>
      </c>
      <c r="O165" s="20" t="s">
        <v>835</v>
      </c>
      <c r="P165" s="20">
        <v>5</v>
      </c>
      <c r="Q165" s="20">
        <v>8</v>
      </c>
      <c r="R165" s="20" t="s">
        <v>592</v>
      </c>
      <c r="T165" s="20" t="s">
        <v>1147</v>
      </c>
      <c r="U165" s="20" t="s">
        <v>29</v>
      </c>
      <c r="V165" s="20" t="s">
        <v>2465</v>
      </c>
      <c r="W165" s="20" t="s">
        <v>2167</v>
      </c>
      <c r="X165" s="20" t="s">
        <v>835</v>
      </c>
      <c r="Y165" s="20">
        <v>5</v>
      </c>
      <c r="Z165" s="20">
        <v>5</v>
      </c>
      <c r="AA165" s="20" t="s">
        <v>592</v>
      </c>
      <c r="AC165" s="20" t="s">
        <v>646</v>
      </c>
      <c r="AD165" s="20" t="s">
        <v>209</v>
      </c>
      <c r="AE165" s="20" t="s">
        <v>411</v>
      </c>
      <c r="AF165" s="20" t="s">
        <v>1536</v>
      </c>
      <c r="AG165" s="20" t="s">
        <v>628</v>
      </c>
      <c r="AH165" s="20">
        <v>10</v>
      </c>
      <c r="AI165" s="20">
        <v>3</v>
      </c>
      <c r="AJ165" s="20" t="s">
        <v>593</v>
      </c>
      <c r="AL165" s="20" t="s">
        <v>1149</v>
      </c>
      <c r="AM165" s="20" t="s">
        <v>806</v>
      </c>
      <c r="AN165" s="20" t="s">
        <v>2796</v>
      </c>
      <c r="AO165" s="20" t="s">
        <v>2948</v>
      </c>
      <c r="AP165" s="20" t="s">
        <v>628</v>
      </c>
      <c r="AQ165" s="20">
        <v>10</v>
      </c>
      <c r="AR165" s="20">
        <v>10</v>
      </c>
      <c r="AS165" s="20" t="s">
        <v>592</v>
      </c>
    </row>
    <row r="166" spans="2:45" ht="15.75" customHeight="1" x14ac:dyDescent="0.2">
      <c r="B166" s="20" t="s">
        <v>1161</v>
      </c>
      <c r="C166" s="20" t="s">
        <v>117</v>
      </c>
      <c r="D166" s="20" t="s">
        <v>456</v>
      </c>
      <c r="E166" s="20" t="s">
        <v>1260</v>
      </c>
      <c r="F166" s="20" t="s">
        <v>628</v>
      </c>
      <c r="G166" s="20">
        <v>10</v>
      </c>
      <c r="H166" s="20">
        <v>8</v>
      </c>
      <c r="I166" s="20" t="s">
        <v>592</v>
      </c>
      <c r="K166" s="20" t="s">
        <v>640</v>
      </c>
      <c r="L166" s="20" t="s">
        <v>248</v>
      </c>
      <c r="M166" s="20" t="s">
        <v>1594</v>
      </c>
      <c r="N166" s="20" t="s">
        <v>961</v>
      </c>
      <c r="O166" s="20" t="s">
        <v>835</v>
      </c>
      <c r="P166" s="20">
        <v>5</v>
      </c>
      <c r="Q166" s="20">
        <v>3</v>
      </c>
      <c r="R166" s="20" t="s">
        <v>592</v>
      </c>
      <c r="T166" s="20" t="s">
        <v>1144</v>
      </c>
      <c r="U166" s="20" t="s">
        <v>194</v>
      </c>
      <c r="V166" s="20" t="s">
        <v>438</v>
      </c>
      <c r="W166" s="20" t="s">
        <v>828</v>
      </c>
      <c r="X166" s="20" t="s">
        <v>628</v>
      </c>
      <c r="Y166" s="20">
        <v>10</v>
      </c>
      <c r="Z166" s="20">
        <v>10</v>
      </c>
      <c r="AA166" s="20" t="s">
        <v>592</v>
      </c>
      <c r="AC166" s="20" t="s">
        <v>646</v>
      </c>
      <c r="AD166" s="20" t="s">
        <v>1109</v>
      </c>
      <c r="AE166" s="20" t="s">
        <v>1736</v>
      </c>
      <c r="AF166" s="20" t="s">
        <v>2620</v>
      </c>
      <c r="AG166" s="20" t="s">
        <v>835</v>
      </c>
      <c r="AH166" s="20">
        <v>5</v>
      </c>
      <c r="AI166" s="20">
        <v>2</v>
      </c>
      <c r="AJ166" s="20" t="s">
        <v>593</v>
      </c>
      <c r="AL166" s="20" t="s">
        <v>1149</v>
      </c>
      <c r="AM166" s="20" t="s">
        <v>806</v>
      </c>
      <c r="AN166" s="20" t="s">
        <v>2797</v>
      </c>
      <c r="AO166" s="20" t="s">
        <v>2949</v>
      </c>
      <c r="AP166" s="20" t="s">
        <v>835</v>
      </c>
      <c r="AQ166" s="20">
        <v>5</v>
      </c>
      <c r="AR166" s="20">
        <v>6</v>
      </c>
      <c r="AS166" s="20" t="s">
        <v>592</v>
      </c>
    </row>
    <row r="167" spans="2:45" ht="15.75" customHeight="1" x14ac:dyDescent="0.2">
      <c r="B167" s="20" t="s">
        <v>1163</v>
      </c>
      <c r="C167" s="20" t="s">
        <v>1165</v>
      </c>
      <c r="D167" s="20" t="s">
        <v>631</v>
      </c>
      <c r="E167" s="20" t="s">
        <v>1261</v>
      </c>
      <c r="F167" s="20" t="s">
        <v>835</v>
      </c>
      <c r="G167" s="20">
        <v>5</v>
      </c>
      <c r="H167" s="20">
        <v>5</v>
      </c>
      <c r="I167" s="20" t="s">
        <v>592</v>
      </c>
      <c r="K167" s="20" t="s">
        <v>640</v>
      </c>
      <c r="L167" s="20" t="s">
        <v>248</v>
      </c>
      <c r="M167" s="20" t="s">
        <v>1595</v>
      </c>
      <c r="N167" s="20" t="s">
        <v>961</v>
      </c>
      <c r="O167" s="20" t="s">
        <v>835</v>
      </c>
      <c r="P167" s="20">
        <v>5</v>
      </c>
      <c r="Q167" s="20">
        <v>2</v>
      </c>
      <c r="R167" s="20" t="s">
        <v>592</v>
      </c>
      <c r="T167" s="20" t="s">
        <v>1154</v>
      </c>
      <c r="U167" s="20" t="s">
        <v>1152</v>
      </c>
      <c r="V167" s="20" t="s">
        <v>516</v>
      </c>
      <c r="W167" s="20" t="s">
        <v>1264</v>
      </c>
      <c r="X167" s="20" t="s">
        <v>835</v>
      </c>
      <c r="Y167" s="20">
        <v>5</v>
      </c>
      <c r="Z167" s="20">
        <v>5</v>
      </c>
      <c r="AA167" s="20" t="s">
        <v>592</v>
      </c>
      <c r="AC167" s="20" t="s">
        <v>646</v>
      </c>
      <c r="AD167" s="20" t="s">
        <v>1109</v>
      </c>
      <c r="AE167" s="20" t="s">
        <v>369</v>
      </c>
      <c r="AF167" s="20" t="s">
        <v>1417</v>
      </c>
      <c r="AG167" s="20" t="s">
        <v>835</v>
      </c>
      <c r="AH167" s="20">
        <v>5</v>
      </c>
      <c r="AI167" s="20">
        <v>6</v>
      </c>
      <c r="AJ167" s="20" t="s">
        <v>592</v>
      </c>
      <c r="AL167" s="20" t="s">
        <v>1149</v>
      </c>
      <c r="AM167" s="20" t="s">
        <v>806</v>
      </c>
      <c r="AN167" s="20" t="s">
        <v>2798</v>
      </c>
      <c r="AO167" s="20" t="s">
        <v>2950</v>
      </c>
      <c r="AP167" s="20" t="s">
        <v>835</v>
      </c>
      <c r="AQ167" s="20">
        <v>5</v>
      </c>
      <c r="AR167" s="20">
        <v>5</v>
      </c>
      <c r="AS167" s="20" t="s">
        <v>592</v>
      </c>
    </row>
    <row r="168" spans="2:45" ht="15.75" customHeight="1" x14ac:dyDescent="0.2">
      <c r="B168" s="20" t="s">
        <v>1163</v>
      </c>
      <c r="C168" s="20" t="s">
        <v>1165</v>
      </c>
      <c r="D168" s="20" t="s">
        <v>504</v>
      </c>
      <c r="E168" s="20" t="s">
        <v>1262</v>
      </c>
      <c r="F168" s="20" t="s">
        <v>835</v>
      </c>
      <c r="G168" s="20">
        <v>5</v>
      </c>
      <c r="H168" s="20">
        <v>6</v>
      </c>
      <c r="I168" s="20" t="s">
        <v>592</v>
      </c>
      <c r="K168" s="20" t="s">
        <v>1141</v>
      </c>
      <c r="L168" s="20" t="s">
        <v>787</v>
      </c>
      <c r="M168" s="20" t="s">
        <v>1596</v>
      </c>
      <c r="N168" s="20" t="s">
        <v>1597</v>
      </c>
      <c r="O168" s="20" t="s">
        <v>835</v>
      </c>
      <c r="P168" s="20">
        <v>5</v>
      </c>
      <c r="Q168" s="20">
        <v>5</v>
      </c>
      <c r="R168" s="20" t="s">
        <v>592</v>
      </c>
      <c r="T168" s="20" t="s">
        <v>1154</v>
      </c>
      <c r="U168" s="20" t="s">
        <v>307</v>
      </c>
      <c r="V168" s="20" t="s">
        <v>567</v>
      </c>
      <c r="W168" s="20" t="s">
        <v>2168</v>
      </c>
      <c r="X168" s="20" t="s">
        <v>835</v>
      </c>
      <c r="Y168" s="20">
        <v>5</v>
      </c>
      <c r="Z168" s="20">
        <v>3</v>
      </c>
      <c r="AA168" s="20" t="s">
        <v>593</v>
      </c>
      <c r="AC168" s="20" t="s">
        <v>646</v>
      </c>
      <c r="AD168" s="20" t="s">
        <v>334</v>
      </c>
      <c r="AE168" s="20" t="s">
        <v>581</v>
      </c>
      <c r="AF168" s="20" t="s">
        <v>1807</v>
      </c>
      <c r="AG168" s="20" t="s">
        <v>835</v>
      </c>
      <c r="AH168" s="20">
        <v>5</v>
      </c>
      <c r="AI168" s="20">
        <v>6</v>
      </c>
      <c r="AJ168" s="20" t="s">
        <v>592</v>
      </c>
      <c r="AL168" s="20" t="s">
        <v>1149</v>
      </c>
      <c r="AM168" s="20" t="s">
        <v>806</v>
      </c>
      <c r="AN168" s="20" t="s">
        <v>468</v>
      </c>
      <c r="AO168" s="20" t="s">
        <v>2052</v>
      </c>
      <c r="AP168" s="20" t="s">
        <v>628</v>
      </c>
      <c r="AQ168" s="20">
        <v>10</v>
      </c>
      <c r="AR168" s="20">
        <v>10</v>
      </c>
      <c r="AS168" s="20" t="s">
        <v>592</v>
      </c>
    </row>
    <row r="169" spans="2:45" ht="15.75" customHeight="1" x14ac:dyDescent="0.2">
      <c r="B169" s="20" t="s">
        <v>646</v>
      </c>
      <c r="C169" s="20" t="s">
        <v>303</v>
      </c>
      <c r="D169" s="20" t="s">
        <v>426</v>
      </c>
      <c r="E169" s="20" t="s">
        <v>718</v>
      </c>
      <c r="F169" s="20" t="s">
        <v>835</v>
      </c>
      <c r="G169" s="20">
        <v>5</v>
      </c>
      <c r="H169" s="20">
        <v>5</v>
      </c>
      <c r="I169" s="20" t="s">
        <v>592</v>
      </c>
      <c r="K169" s="20" t="s">
        <v>646</v>
      </c>
      <c r="L169" s="20" t="s">
        <v>334</v>
      </c>
      <c r="M169" s="20" t="s">
        <v>1598</v>
      </c>
      <c r="N169" s="20" t="s">
        <v>522</v>
      </c>
      <c r="O169" s="20" t="s">
        <v>835</v>
      </c>
      <c r="P169" s="20">
        <v>5</v>
      </c>
      <c r="Q169" s="20">
        <v>5</v>
      </c>
      <c r="R169" s="20" t="s">
        <v>592</v>
      </c>
      <c r="T169" s="20" t="s">
        <v>1163</v>
      </c>
      <c r="U169" s="20" t="s">
        <v>207</v>
      </c>
      <c r="V169" s="20" t="s">
        <v>1612</v>
      </c>
      <c r="W169" s="20" t="s">
        <v>2169</v>
      </c>
      <c r="X169" s="20" t="s">
        <v>835</v>
      </c>
      <c r="Y169" s="20">
        <v>5</v>
      </c>
      <c r="Z169" s="20">
        <v>7</v>
      </c>
      <c r="AA169" s="20" t="s">
        <v>592</v>
      </c>
      <c r="AC169" s="20" t="s">
        <v>646</v>
      </c>
      <c r="AD169" s="20" t="s">
        <v>334</v>
      </c>
      <c r="AE169" s="20" t="s">
        <v>1772</v>
      </c>
      <c r="AF169" s="20" t="s">
        <v>1771</v>
      </c>
      <c r="AG169" s="20" t="s">
        <v>835</v>
      </c>
      <c r="AH169" s="20">
        <v>5</v>
      </c>
      <c r="AI169" s="20">
        <v>5</v>
      </c>
      <c r="AJ169" s="20" t="s">
        <v>592</v>
      </c>
      <c r="AL169" s="20" t="s">
        <v>1149</v>
      </c>
      <c r="AM169" s="20" t="s">
        <v>806</v>
      </c>
      <c r="AN169" s="20" t="s">
        <v>2484</v>
      </c>
      <c r="AO169" s="20" t="s">
        <v>2414</v>
      </c>
      <c r="AP169" s="20" t="s">
        <v>628</v>
      </c>
      <c r="AQ169" s="20">
        <v>10</v>
      </c>
      <c r="AR169" s="20">
        <v>8</v>
      </c>
      <c r="AS169" s="20" t="s">
        <v>592</v>
      </c>
    </row>
    <row r="170" spans="2:45" ht="15.75" customHeight="1" x14ac:dyDescent="0.2">
      <c r="B170" s="20" t="s">
        <v>1143</v>
      </c>
      <c r="C170" s="20" t="s">
        <v>61</v>
      </c>
      <c r="D170" s="20" t="s">
        <v>525</v>
      </c>
      <c r="E170" s="20" t="s">
        <v>587</v>
      </c>
      <c r="F170" s="20" t="s">
        <v>628</v>
      </c>
      <c r="G170" s="20">
        <v>10</v>
      </c>
      <c r="H170" s="20">
        <v>8</v>
      </c>
      <c r="I170" s="20" t="s">
        <v>592</v>
      </c>
      <c r="K170" s="20" t="s">
        <v>1154</v>
      </c>
      <c r="L170" s="20" t="s">
        <v>307</v>
      </c>
      <c r="M170" s="20" t="s">
        <v>723</v>
      </c>
      <c r="N170" s="20" t="s">
        <v>514</v>
      </c>
      <c r="O170" s="20" t="s">
        <v>835</v>
      </c>
      <c r="P170" s="20">
        <v>5</v>
      </c>
      <c r="Q170" s="20">
        <v>2</v>
      </c>
      <c r="R170" s="20" t="s">
        <v>593</v>
      </c>
      <c r="T170" s="20" t="s">
        <v>1163</v>
      </c>
      <c r="U170" s="20" t="s">
        <v>207</v>
      </c>
      <c r="V170" s="20" t="s">
        <v>1612</v>
      </c>
      <c r="W170" s="20" t="s">
        <v>2170</v>
      </c>
      <c r="X170" s="20" t="s">
        <v>835</v>
      </c>
      <c r="Y170" s="20">
        <v>5</v>
      </c>
      <c r="Z170" s="20">
        <v>2</v>
      </c>
      <c r="AA170" s="20" t="s">
        <v>592</v>
      </c>
      <c r="AC170" s="20" t="s">
        <v>1149</v>
      </c>
      <c r="AD170" s="20" t="s">
        <v>1150</v>
      </c>
      <c r="AE170" s="20" t="s">
        <v>893</v>
      </c>
      <c r="AF170" s="20" t="s">
        <v>1389</v>
      </c>
      <c r="AG170" s="20" t="s">
        <v>628</v>
      </c>
      <c r="AH170" s="20">
        <v>10</v>
      </c>
      <c r="AI170" s="20">
        <v>8</v>
      </c>
      <c r="AJ170" s="20" t="s">
        <v>592</v>
      </c>
      <c r="AL170" s="20" t="s">
        <v>1149</v>
      </c>
      <c r="AM170" s="20" t="s">
        <v>301</v>
      </c>
      <c r="AN170" s="20" t="s">
        <v>501</v>
      </c>
      <c r="AO170" s="20" t="s">
        <v>2027</v>
      </c>
      <c r="AP170" s="20" t="s">
        <v>628</v>
      </c>
      <c r="AQ170" s="20">
        <v>10</v>
      </c>
      <c r="AR170" s="20">
        <v>10</v>
      </c>
      <c r="AS170" s="20" t="s">
        <v>592</v>
      </c>
    </row>
    <row r="171" spans="2:45" ht="15.75" customHeight="1" x14ac:dyDescent="0.2">
      <c r="B171" s="20" t="s">
        <v>1143</v>
      </c>
      <c r="C171" s="20" t="s">
        <v>61</v>
      </c>
      <c r="D171" s="20" t="s">
        <v>525</v>
      </c>
      <c r="E171" s="20" t="s">
        <v>1063</v>
      </c>
      <c r="F171" s="20" t="s">
        <v>628</v>
      </c>
      <c r="G171" s="20">
        <v>10</v>
      </c>
      <c r="H171" s="20">
        <v>1</v>
      </c>
      <c r="I171" s="20" t="s">
        <v>592</v>
      </c>
      <c r="K171" s="20" t="s">
        <v>1163</v>
      </c>
      <c r="L171" s="20" t="s">
        <v>221</v>
      </c>
      <c r="M171" s="20" t="s">
        <v>1599</v>
      </c>
      <c r="N171" s="20" t="s">
        <v>556</v>
      </c>
      <c r="O171" s="20" t="s">
        <v>835</v>
      </c>
      <c r="P171" s="20">
        <v>5</v>
      </c>
      <c r="Q171" s="20">
        <v>11</v>
      </c>
      <c r="R171" s="20" t="s">
        <v>592</v>
      </c>
      <c r="T171" s="20" t="s">
        <v>1155</v>
      </c>
      <c r="U171" s="20" t="s">
        <v>1156</v>
      </c>
      <c r="V171" s="20" t="s">
        <v>1733</v>
      </c>
      <c r="W171" s="20" t="s">
        <v>1732</v>
      </c>
      <c r="X171" s="20" t="s">
        <v>835</v>
      </c>
      <c r="Y171" s="20">
        <v>5</v>
      </c>
      <c r="Z171" s="20">
        <v>5</v>
      </c>
      <c r="AA171" s="20" t="s">
        <v>592</v>
      </c>
      <c r="AC171" s="20" t="s">
        <v>1149</v>
      </c>
      <c r="AD171" s="20" t="s">
        <v>301</v>
      </c>
      <c r="AE171" s="20" t="s">
        <v>1461</v>
      </c>
      <c r="AF171" s="20" t="s">
        <v>1460</v>
      </c>
      <c r="AG171" s="20" t="s">
        <v>628</v>
      </c>
      <c r="AH171" s="20">
        <v>10</v>
      </c>
      <c r="AI171" s="20">
        <v>8</v>
      </c>
      <c r="AJ171" s="20" t="s">
        <v>592</v>
      </c>
      <c r="AL171" s="20" t="s">
        <v>1149</v>
      </c>
      <c r="AM171" s="20" t="s">
        <v>301</v>
      </c>
      <c r="AN171" s="20" t="s">
        <v>2477</v>
      </c>
      <c r="AO171" s="20" t="s">
        <v>2957</v>
      </c>
      <c r="AP171" s="20" t="s">
        <v>628</v>
      </c>
      <c r="AQ171" s="20">
        <v>10</v>
      </c>
      <c r="AR171" s="20">
        <v>8</v>
      </c>
      <c r="AS171" s="20" t="s">
        <v>592</v>
      </c>
    </row>
    <row r="172" spans="2:45" ht="15.75" customHeight="1" x14ac:dyDescent="0.2">
      <c r="B172" s="20" t="s">
        <v>1158</v>
      </c>
      <c r="C172" s="20" t="s">
        <v>1040</v>
      </c>
      <c r="D172" s="20" t="s">
        <v>633</v>
      </c>
      <c r="E172" s="20" t="s">
        <v>1263</v>
      </c>
      <c r="F172" s="20" t="s">
        <v>835</v>
      </c>
      <c r="G172" s="20">
        <v>5</v>
      </c>
      <c r="H172" s="20">
        <v>5</v>
      </c>
      <c r="I172" s="20" t="s">
        <v>592</v>
      </c>
      <c r="K172" s="20" t="s">
        <v>1163</v>
      </c>
      <c r="L172" s="20" t="s">
        <v>57</v>
      </c>
      <c r="M172" s="20" t="s">
        <v>1600</v>
      </c>
      <c r="N172" s="20" t="s">
        <v>505</v>
      </c>
      <c r="O172" s="20" t="s">
        <v>835</v>
      </c>
      <c r="P172" s="20">
        <v>5</v>
      </c>
      <c r="Q172" s="20">
        <v>1</v>
      </c>
      <c r="R172" s="20" t="s">
        <v>593</v>
      </c>
      <c r="T172" s="20" t="s">
        <v>646</v>
      </c>
      <c r="U172" s="20" t="s">
        <v>303</v>
      </c>
      <c r="V172" s="20" t="s">
        <v>427</v>
      </c>
      <c r="W172" s="20" t="s">
        <v>2171</v>
      </c>
      <c r="X172" s="20" t="s">
        <v>835</v>
      </c>
      <c r="Y172" s="20">
        <v>5</v>
      </c>
      <c r="Z172" s="20">
        <v>5</v>
      </c>
      <c r="AA172" s="20" t="s">
        <v>592</v>
      </c>
      <c r="AC172" s="20" t="s">
        <v>1154</v>
      </c>
      <c r="AD172" s="20" t="s">
        <v>335</v>
      </c>
      <c r="AE172" s="20" t="s">
        <v>566</v>
      </c>
      <c r="AF172" s="20" t="s">
        <v>985</v>
      </c>
      <c r="AG172" s="20" t="s">
        <v>628</v>
      </c>
      <c r="AH172" s="20">
        <v>10</v>
      </c>
      <c r="AI172" s="20">
        <v>8</v>
      </c>
      <c r="AJ172" s="20" t="s">
        <v>592</v>
      </c>
      <c r="AL172" s="20" t="s">
        <v>1149</v>
      </c>
      <c r="AM172" s="20" t="s">
        <v>301</v>
      </c>
      <c r="AN172" s="20" t="s">
        <v>503</v>
      </c>
      <c r="AO172" s="20" t="s">
        <v>1301</v>
      </c>
      <c r="AP172" s="20" t="s">
        <v>628</v>
      </c>
      <c r="AQ172" s="20">
        <v>10</v>
      </c>
      <c r="AR172" s="20">
        <v>8</v>
      </c>
      <c r="AS172" s="20" t="s">
        <v>592</v>
      </c>
    </row>
    <row r="173" spans="2:45" ht="15.75" customHeight="1" x14ac:dyDescent="0.2">
      <c r="B173" s="20" t="s">
        <v>1158</v>
      </c>
      <c r="C173" s="20" t="s">
        <v>1040</v>
      </c>
      <c r="D173" s="20" t="s">
        <v>485</v>
      </c>
      <c r="E173" s="20" t="s">
        <v>1082</v>
      </c>
      <c r="F173" s="20" t="s">
        <v>835</v>
      </c>
      <c r="G173" s="20">
        <v>5</v>
      </c>
      <c r="H173" s="20">
        <v>4</v>
      </c>
      <c r="I173" s="20" t="s">
        <v>592</v>
      </c>
      <c r="K173" s="20" t="s">
        <v>1162</v>
      </c>
      <c r="L173" s="20" t="s">
        <v>352</v>
      </c>
      <c r="M173" s="20" t="s">
        <v>1601</v>
      </c>
      <c r="N173" s="20" t="s">
        <v>869</v>
      </c>
      <c r="O173" s="20" t="s">
        <v>628</v>
      </c>
      <c r="P173" s="20">
        <v>10</v>
      </c>
      <c r="Q173" s="20">
        <v>6</v>
      </c>
      <c r="R173" s="20" t="s">
        <v>592</v>
      </c>
      <c r="T173" s="20" t="s">
        <v>1162</v>
      </c>
      <c r="U173" s="20" t="s">
        <v>352</v>
      </c>
      <c r="V173" s="20" t="s">
        <v>869</v>
      </c>
      <c r="W173" s="20" t="s">
        <v>2172</v>
      </c>
      <c r="X173" s="20" t="s">
        <v>835</v>
      </c>
      <c r="Y173" s="20">
        <v>5</v>
      </c>
      <c r="Z173" s="20">
        <v>1</v>
      </c>
      <c r="AA173" s="20" t="s">
        <v>593</v>
      </c>
      <c r="AC173" s="20" t="s">
        <v>1154</v>
      </c>
      <c r="AD173" s="20" t="s">
        <v>335</v>
      </c>
      <c r="AE173" s="20" t="s">
        <v>1501</v>
      </c>
      <c r="AF173" s="20" t="s">
        <v>2621</v>
      </c>
      <c r="AG173" s="20" t="s">
        <v>628</v>
      </c>
      <c r="AH173" s="20">
        <v>10</v>
      </c>
      <c r="AI173" s="20">
        <v>1</v>
      </c>
      <c r="AJ173" s="20" t="s">
        <v>593</v>
      </c>
      <c r="AL173" s="20" t="s">
        <v>1149</v>
      </c>
      <c r="AM173" s="20" t="s">
        <v>63</v>
      </c>
      <c r="AN173" s="20" t="s">
        <v>472</v>
      </c>
      <c r="AO173" s="20" t="s">
        <v>742</v>
      </c>
      <c r="AP173" s="20" t="s">
        <v>628</v>
      </c>
      <c r="AQ173" s="20">
        <v>10</v>
      </c>
      <c r="AR173" s="20">
        <v>39</v>
      </c>
      <c r="AS173" s="20" t="s">
        <v>592</v>
      </c>
    </row>
    <row r="174" spans="2:45" ht="15.75" customHeight="1" x14ac:dyDescent="0.2">
      <c r="B174" s="20" t="s">
        <v>1158</v>
      </c>
      <c r="C174" s="20" t="s">
        <v>1040</v>
      </c>
      <c r="D174" s="20" t="s">
        <v>485</v>
      </c>
      <c r="E174" s="20" t="s">
        <v>1083</v>
      </c>
      <c r="F174" s="20" t="s">
        <v>835</v>
      </c>
      <c r="G174" s="20">
        <v>5</v>
      </c>
      <c r="H174" s="20">
        <v>1</v>
      </c>
      <c r="I174" s="20" t="s">
        <v>592</v>
      </c>
      <c r="K174" s="20" t="s">
        <v>1162</v>
      </c>
      <c r="L174" s="20" t="s">
        <v>352</v>
      </c>
      <c r="M174" s="20" t="s">
        <v>1602</v>
      </c>
      <c r="N174" s="20" t="s">
        <v>869</v>
      </c>
      <c r="O174" s="20" t="s">
        <v>628</v>
      </c>
      <c r="P174" s="20">
        <v>10</v>
      </c>
      <c r="Q174" s="20">
        <v>2</v>
      </c>
      <c r="R174" s="20" t="s">
        <v>592</v>
      </c>
      <c r="T174" s="20" t="s">
        <v>1162</v>
      </c>
      <c r="U174" s="20" t="s">
        <v>230</v>
      </c>
      <c r="V174" s="20" t="s">
        <v>418</v>
      </c>
      <c r="W174" s="20" t="s">
        <v>2173</v>
      </c>
      <c r="X174" s="20" t="s">
        <v>835</v>
      </c>
      <c r="Y174" s="20">
        <v>5</v>
      </c>
      <c r="Z174" s="20">
        <v>1</v>
      </c>
      <c r="AA174" s="20" t="s">
        <v>593</v>
      </c>
      <c r="AC174" s="20" t="s">
        <v>1154</v>
      </c>
      <c r="AD174" s="20" t="s">
        <v>217</v>
      </c>
      <c r="AE174" s="20" t="s">
        <v>1622</v>
      </c>
      <c r="AF174" s="20" t="s">
        <v>2265</v>
      </c>
      <c r="AG174" s="20" t="s">
        <v>628</v>
      </c>
      <c r="AH174" s="20">
        <v>10</v>
      </c>
      <c r="AI174" s="20">
        <v>3</v>
      </c>
      <c r="AJ174" s="20" t="s">
        <v>593</v>
      </c>
      <c r="AL174" s="20" t="s">
        <v>1149</v>
      </c>
      <c r="AM174" s="20" t="s">
        <v>63</v>
      </c>
      <c r="AN174" s="20" t="s">
        <v>880</v>
      </c>
      <c r="AO174" s="20" t="s">
        <v>906</v>
      </c>
      <c r="AP174" s="20" t="s">
        <v>628</v>
      </c>
      <c r="AQ174" s="20">
        <v>10</v>
      </c>
      <c r="AR174" s="20">
        <v>10</v>
      </c>
      <c r="AS174" s="20" t="s">
        <v>592</v>
      </c>
    </row>
    <row r="175" spans="2:45" ht="15.75" customHeight="1" x14ac:dyDescent="0.2">
      <c r="B175" s="20" t="s">
        <v>1158</v>
      </c>
      <c r="C175" s="20" t="s">
        <v>726</v>
      </c>
      <c r="D175" s="20" t="s">
        <v>679</v>
      </c>
      <c r="E175" s="20" t="s">
        <v>965</v>
      </c>
      <c r="F175" s="20" t="s">
        <v>835</v>
      </c>
      <c r="G175" s="20">
        <v>5</v>
      </c>
      <c r="H175" s="20">
        <v>1</v>
      </c>
      <c r="I175" s="20" t="s">
        <v>593</v>
      </c>
      <c r="K175" s="20" t="s">
        <v>1144</v>
      </c>
      <c r="L175" s="20" t="s">
        <v>804</v>
      </c>
      <c r="M175" s="20" t="s">
        <v>1603</v>
      </c>
      <c r="N175" s="20" t="s">
        <v>1604</v>
      </c>
      <c r="O175" s="20" t="s">
        <v>628</v>
      </c>
      <c r="P175" s="20">
        <v>10</v>
      </c>
      <c r="Q175" s="20">
        <v>6</v>
      </c>
      <c r="R175" s="20" t="s">
        <v>592</v>
      </c>
      <c r="T175" s="20" t="s">
        <v>646</v>
      </c>
      <c r="U175" s="20" t="s">
        <v>209</v>
      </c>
      <c r="V175" s="20" t="s">
        <v>1714</v>
      </c>
      <c r="W175" s="20" t="s">
        <v>1713</v>
      </c>
      <c r="X175" s="20" t="s">
        <v>835</v>
      </c>
      <c r="Y175" s="20">
        <v>5</v>
      </c>
      <c r="Z175" s="20">
        <v>5</v>
      </c>
      <c r="AA175" s="20" t="s">
        <v>592</v>
      </c>
      <c r="AC175" s="20" t="s">
        <v>1154</v>
      </c>
      <c r="AD175" s="20" t="s">
        <v>217</v>
      </c>
      <c r="AE175" s="20" t="s">
        <v>577</v>
      </c>
      <c r="AF175" s="20" t="s">
        <v>1869</v>
      </c>
      <c r="AG175" s="20" t="s">
        <v>835</v>
      </c>
      <c r="AH175" s="20">
        <v>5</v>
      </c>
      <c r="AI175" s="20">
        <v>4</v>
      </c>
      <c r="AJ175" s="20" t="s">
        <v>593</v>
      </c>
      <c r="AL175" s="20" t="s">
        <v>1149</v>
      </c>
      <c r="AM175" s="20" t="s">
        <v>63</v>
      </c>
      <c r="AN175" s="20" t="s">
        <v>477</v>
      </c>
      <c r="AO175" s="20" t="s">
        <v>2285</v>
      </c>
      <c r="AP175" s="20" t="s">
        <v>628</v>
      </c>
      <c r="AQ175" s="20">
        <v>10</v>
      </c>
      <c r="AR175" s="20">
        <v>3</v>
      </c>
      <c r="AS175" s="20" t="s">
        <v>593</v>
      </c>
    </row>
    <row r="176" spans="2:45" ht="15.75" customHeight="1" x14ac:dyDescent="0.2">
      <c r="B176" s="20" t="s">
        <v>1158</v>
      </c>
      <c r="C176" s="20" t="s">
        <v>726</v>
      </c>
      <c r="D176" s="20" t="s">
        <v>412</v>
      </c>
      <c r="E176" s="20" t="s">
        <v>1095</v>
      </c>
      <c r="F176" s="20" t="s">
        <v>835</v>
      </c>
      <c r="G176" s="20">
        <v>5</v>
      </c>
      <c r="H176" s="20">
        <v>1</v>
      </c>
      <c r="I176" s="20" t="s">
        <v>592</v>
      </c>
      <c r="K176" s="20" t="s">
        <v>1144</v>
      </c>
      <c r="L176" s="20" t="s">
        <v>804</v>
      </c>
      <c r="M176" s="20" t="s">
        <v>1605</v>
      </c>
      <c r="N176" s="20" t="s">
        <v>1604</v>
      </c>
      <c r="O176" s="20" t="s">
        <v>628</v>
      </c>
      <c r="P176" s="20">
        <v>10</v>
      </c>
      <c r="Q176" s="20">
        <v>2</v>
      </c>
      <c r="R176" s="20" t="s">
        <v>592</v>
      </c>
      <c r="T176" s="20" t="s">
        <v>1147</v>
      </c>
      <c r="U176" s="20" t="s">
        <v>70</v>
      </c>
      <c r="V176" s="20" t="s">
        <v>731</v>
      </c>
      <c r="W176" s="20" t="s">
        <v>2174</v>
      </c>
      <c r="X176" s="20" t="s">
        <v>628</v>
      </c>
      <c r="Y176" s="20">
        <v>10</v>
      </c>
      <c r="Z176" s="20">
        <v>1</v>
      </c>
      <c r="AA176" s="20" t="s">
        <v>593</v>
      </c>
      <c r="AC176" s="20" t="s">
        <v>1154</v>
      </c>
      <c r="AD176" s="20" t="s">
        <v>217</v>
      </c>
      <c r="AE176" s="20" t="s">
        <v>576</v>
      </c>
      <c r="AF176" s="20" t="s">
        <v>2622</v>
      </c>
      <c r="AG176" s="20" t="s">
        <v>628</v>
      </c>
      <c r="AH176" s="20">
        <v>10</v>
      </c>
      <c r="AI176" s="20">
        <v>1</v>
      </c>
      <c r="AJ176" s="20" t="s">
        <v>593</v>
      </c>
      <c r="AL176" s="20" t="s">
        <v>1149</v>
      </c>
      <c r="AM176" s="20" t="s">
        <v>63</v>
      </c>
      <c r="AN176" s="20" t="s">
        <v>1711</v>
      </c>
      <c r="AO176" s="20" t="s">
        <v>2050</v>
      </c>
      <c r="AP176" s="20" t="s">
        <v>628</v>
      </c>
      <c r="AQ176" s="20">
        <v>10</v>
      </c>
      <c r="AR176" s="20">
        <v>4</v>
      </c>
      <c r="AS176" s="20" t="s">
        <v>593</v>
      </c>
    </row>
    <row r="177" spans="2:45" ht="15.75" customHeight="1" x14ac:dyDescent="0.2">
      <c r="B177" s="20" t="s">
        <v>1158</v>
      </c>
      <c r="C177" s="20" t="s">
        <v>726</v>
      </c>
      <c r="D177" s="20" t="s">
        <v>412</v>
      </c>
      <c r="E177" s="20" t="s">
        <v>1096</v>
      </c>
      <c r="F177" s="20" t="s">
        <v>835</v>
      </c>
      <c r="G177" s="20">
        <v>5</v>
      </c>
      <c r="H177" s="20">
        <v>5</v>
      </c>
      <c r="I177" s="20" t="s">
        <v>592</v>
      </c>
      <c r="K177" s="20" t="s">
        <v>1158</v>
      </c>
      <c r="L177" s="20" t="s">
        <v>1073</v>
      </c>
      <c r="M177" s="20" t="s">
        <v>1606</v>
      </c>
      <c r="N177" s="20" t="s">
        <v>1607</v>
      </c>
      <c r="O177" s="20" t="s">
        <v>835</v>
      </c>
      <c r="P177" s="20">
        <v>5</v>
      </c>
      <c r="Q177" s="20">
        <v>1</v>
      </c>
      <c r="R177" s="20" t="s">
        <v>593</v>
      </c>
      <c r="T177" s="20" t="s">
        <v>1141</v>
      </c>
      <c r="U177" s="20" t="s">
        <v>218</v>
      </c>
      <c r="V177" s="20" t="s">
        <v>492</v>
      </c>
      <c r="W177" s="20" t="s">
        <v>2175</v>
      </c>
      <c r="X177" s="20" t="s">
        <v>835</v>
      </c>
      <c r="Y177" s="20">
        <v>5</v>
      </c>
      <c r="Z177" s="20">
        <v>1</v>
      </c>
      <c r="AA177" s="20" t="s">
        <v>593</v>
      </c>
      <c r="AC177" s="20" t="s">
        <v>1154</v>
      </c>
      <c r="AD177" s="20" t="s">
        <v>217</v>
      </c>
      <c r="AE177" s="20" t="s">
        <v>578</v>
      </c>
      <c r="AF177" s="20" t="s">
        <v>907</v>
      </c>
      <c r="AG177" s="20" t="s">
        <v>835</v>
      </c>
      <c r="AH177" s="20">
        <v>5</v>
      </c>
      <c r="AI177" s="20">
        <v>3</v>
      </c>
      <c r="AJ177" s="20" t="s">
        <v>593</v>
      </c>
      <c r="AL177" s="20" t="s">
        <v>1149</v>
      </c>
      <c r="AM177" s="20" t="s">
        <v>806</v>
      </c>
      <c r="AN177" s="20" t="s">
        <v>1652</v>
      </c>
      <c r="AO177" s="20" t="s">
        <v>1651</v>
      </c>
      <c r="AP177" s="20" t="s">
        <v>835</v>
      </c>
      <c r="AQ177" s="20">
        <v>5</v>
      </c>
      <c r="AR177" s="20">
        <v>6</v>
      </c>
      <c r="AS177" s="20" t="s">
        <v>592</v>
      </c>
    </row>
    <row r="178" spans="2:45" ht="15.75" customHeight="1" x14ac:dyDescent="0.2">
      <c r="B178" s="20" t="s">
        <v>1162</v>
      </c>
      <c r="C178" s="20" t="s">
        <v>240</v>
      </c>
      <c r="D178" s="20" t="s">
        <v>364</v>
      </c>
      <c r="E178" s="20" t="s">
        <v>626</v>
      </c>
      <c r="F178" s="20" t="s">
        <v>835</v>
      </c>
      <c r="G178" s="20">
        <v>5</v>
      </c>
      <c r="H178" s="20">
        <v>5</v>
      </c>
      <c r="I178" s="20" t="s">
        <v>592</v>
      </c>
      <c r="K178" s="20" t="s">
        <v>1163</v>
      </c>
      <c r="L178" s="20" t="s">
        <v>837</v>
      </c>
      <c r="M178" s="20" t="s">
        <v>1608</v>
      </c>
      <c r="N178" s="20" t="s">
        <v>554</v>
      </c>
      <c r="O178" s="20" t="s">
        <v>835</v>
      </c>
      <c r="P178" s="20">
        <v>5</v>
      </c>
      <c r="Q178" s="20">
        <v>1</v>
      </c>
      <c r="R178" s="20" t="s">
        <v>593</v>
      </c>
      <c r="T178" s="20" t="s">
        <v>1143</v>
      </c>
      <c r="U178" s="20" t="s">
        <v>61</v>
      </c>
      <c r="V178" s="20" t="s">
        <v>525</v>
      </c>
      <c r="W178" s="20" t="s">
        <v>1576</v>
      </c>
      <c r="X178" s="20" t="s">
        <v>835</v>
      </c>
      <c r="Y178" s="20">
        <v>5</v>
      </c>
      <c r="Z178" s="20">
        <v>6</v>
      </c>
      <c r="AA178" s="20" t="s">
        <v>592</v>
      </c>
      <c r="AC178" s="20" t="s">
        <v>2099</v>
      </c>
      <c r="AD178" s="20" t="s">
        <v>350</v>
      </c>
      <c r="AE178" s="20" t="s">
        <v>2528</v>
      </c>
      <c r="AF178" s="20" t="s">
        <v>2623</v>
      </c>
      <c r="AG178" s="20" t="s">
        <v>835</v>
      </c>
      <c r="AH178" s="20">
        <v>5</v>
      </c>
      <c r="AI178" s="20">
        <v>20</v>
      </c>
      <c r="AJ178" s="20" t="s">
        <v>592</v>
      </c>
      <c r="AL178" s="20" t="s">
        <v>1149</v>
      </c>
      <c r="AM178" s="20" t="s">
        <v>806</v>
      </c>
      <c r="AN178" s="20" t="s">
        <v>467</v>
      </c>
      <c r="AO178" s="20" t="s">
        <v>976</v>
      </c>
      <c r="AP178" s="20" t="s">
        <v>835</v>
      </c>
      <c r="AQ178" s="20">
        <v>5</v>
      </c>
      <c r="AR178" s="20">
        <v>5</v>
      </c>
      <c r="AS178" s="20" t="s">
        <v>592</v>
      </c>
    </row>
    <row r="179" spans="2:45" ht="15.75" customHeight="1" x14ac:dyDescent="0.2">
      <c r="B179" s="20" t="s">
        <v>1154</v>
      </c>
      <c r="C179" s="20" t="s">
        <v>307</v>
      </c>
      <c r="D179" s="20" t="s">
        <v>515</v>
      </c>
      <c r="E179" s="20" t="s">
        <v>1004</v>
      </c>
      <c r="F179" s="20" t="s">
        <v>835</v>
      </c>
      <c r="G179" s="20">
        <v>5</v>
      </c>
      <c r="H179" s="20">
        <v>1</v>
      </c>
      <c r="I179" s="20" t="s">
        <v>593</v>
      </c>
      <c r="K179" s="20" t="s">
        <v>1158</v>
      </c>
      <c r="L179" s="20" t="s">
        <v>1073</v>
      </c>
      <c r="M179" s="20" t="s">
        <v>1609</v>
      </c>
      <c r="N179" s="20" t="s">
        <v>1610</v>
      </c>
      <c r="O179" s="20" t="s">
        <v>835</v>
      </c>
      <c r="P179" s="20">
        <v>5</v>
      </c>
      <c r="Q179" s="20">
        <v>1</v>
      </c>
      <c r="R179" s="20" t="s">
        <v>593</v>
      </c>
      <c r="T179" s="20" t="s">
        <v>1143</v>
      </c>
      <c r="U179" s="20" t="s">
        <v>61</v>
      </c>
      <c r="V179" s="20" t="s">
        <v>525</v>
      </c>
      <c r="W179" s="20" t="s">
        <v>2176</v>
      </c>
      <c r="X179" s="20" t="s">
        <v>835</v>
      </c>
      <c r="Y179" s="20">
        <v>5</v>
      </c>
      <c r="Z179" s="20">
        <v>1</v>
      </c>
      <c r="AA179" s="20" t="s">
        <v>592</v>
      </c>
      <c r="AC179" s="20" t="s">
        <v>646</v>
      </c>
      <c r="AD179" s="20" t="s">
        <v>303</v>
      </c>
      <c r="AE179" s="20" t="s">
        <v>427</v>
      </c>
      <c r="AF179" s="20" t="s">
        <v>2624</v>
      </c>
      <c r="AG179" s="20" t="s">
        <v>628</v>
      </c>
      <c r="AH179" s="20">
        <v>10</v>
      </c>
      <c r="AI179" s="20">
        <v>9</v>
      </c>
      <c r="AJ179" s="20" t="s">
        <v>592</v>
      </c>
      <c r="AL179" s="20" t="s">
        <v>1149</v>
      </c>
      <c r="AM179" s="20" t="s">
        <v>806</v>
      </c>
      <c r="AN179" s="20" t="s">
        <v>1690</v>
      </c>
      <c r="AO179" s="20" t="s">
        <v>1689</v>
      </c>
      <c r="AP179" s="20" t="s">
        <v>835</v>
      </c>
      <c r="AQ179" s="20">
        <v>5</v>
      </c>
      <c r="AR179" s="20">
        <v>5</v>
      </c>
      <c r="AS179" s="20" t="s">
        <v>592</v>
      </c>
    </row>
    <row r="180" spans="2:45" ht="15.75" customHeight="1" x14ac:dyDescent="0.2">
      <c r="B180" s="20" t="s">
        <v>1154</v>
      </c>
      <c r="C180" s="20" t="s">
        <v>307</v>
      </c>
      <c r="D180" s="20" t="s">
        <v>565</v>
      </c>
      <c r="E180" s="20" t="s">
        <v>763</v>
      </c>
      <c r="F180" s="20" t="s">
        <v>628</v>
      </c>
      <c r="G180" s="20">
        <v>10</v>
      </c>
      <c r="H180" s="20">
        <v>8</v>
      </c>
      <c r="I180" s="20" t="s">
        <v>592</v>
      </c>
      <c r="K180" s="20" t="s">
        <v>1163</v>
      </c>
      <c r="L180" s="20" t="s">
        <v>207</v>
      </c>
      <c r="M180" s="20" t="s">
        <v>1611</v>
      </c>
      <c r="N180" s="20" t="s">
        <v>1612</v>
      </c>
      <c r="O180" s="20" t="s">
        <v>835</v>
      </c>
      <c r="P180" s="20">
        <v>5</v>
      </c>
      <c r="Q180" s="20">
        <v>4</v>
      </c>
      <c r="R180" s="20" t="s">
        <v>592</v>
      </c>
      <c r="T180" s="20" t="s">
        <v>1141</v>
      </c>
      <c r="U180" s="20" t="s">
        <v>780</v>
      </c>
      <c r="V180" s="20" t="s">
        <v>1457</v>
      </c>
      <c r="W180" s="20" t="s">
        <v>2177</v>
      </c>
      <c r="X180" s="20" t="s">
        <v>835</v>
      </c>
      <c r="Y180" s="20">
        <v>5</v>
      </c>
      <c r="Z180" s="20">
        <v>5</v>
      </c>
      <c r="AA180" s="20" t="s">
        <v>592</v>
      </c>
      <c r="AC180" s="20" t="s">
        <v>1154</v>
      </c>
      <c r="AD180" s="20" t="s">
        <v>307</v>
      </c>
      <c r="AE180" s="20" t="s">
        <v>514</v>
      </c>
      <c r="AF180" s="20" t="s">
        <v>2281</v>
      </c>
      <c r="AG180" s="20" t="s">
        <v>835</v>
      </c>
      <c r="AH180" s="20">
        <v>5</v>
      </c>
      <c r="AI180" s="20">
        <v>3</v>
      </c>
      <c r="AJ180" s="20" t="s">
        <v>593</v>
      </c>
      <c r="AL180" s="20" t="s">
        <v>1149</v>
      </c>
      <c r="AM180" s="20" t="s">
        <v>301</v>
      </c>
      <c r="AN180" s="20" t="s">
        <v>1633</v>
      </c>
      <c r="AO180" s="20" t="s">
        <v>1632</v>
      </c>
      <c r="AP180" s="20" t="s">
        <v>835</v>
      </c>
      <c r="AQ180" s="20">
        <v>5</v>
      </c>
      <c r="AR180" s="20">
        <v>7</v>
      </c>
      <c r="AS180" s="20" t="s">
        <v>592</v>
      </c>
    </row>
    <row r="181" spans="2:45" ht="15.75" customHeight="1" x14ac:dyDescent="0.2">
      <c r="B181" s="20" t="s">
        <v>1154</v>
      </c>
      <c r="C181" s="20" t="s">
        <v>1152</v>
      </c>
      <c r="D181" s="20" t="s">
        <v>516</v>
      </c>
      <c r="E181" s="20" t="s">
        <v>1264</v>
      </c>
      <c r="F181" s="20" t="s">
        <v>628</v>
      </c>
      <c r="G181" s="20">
        <v>10</v>
      </c>
      <c r="H181" s="20">
        <v>9</v>
      </c>
      <c r="I181" s="20" t="s">
        <v>592</v>
      </c>
      <c r="K181" s="20" t="s">
        <v>1163</v>
      </c>
      <c r="L181" s="20" t="s">
        <v>207</v>
      </c>
      <c r="M181" s="20" t="s">
        <v>1613</v>
      </c>
      <c r="N181" s="20" t="s">
        <v>1612</v>
      </c>
      <c r="O181" s="20" t="s">
        <v>835</v>
      </c>
      <c r="P181" s="20">
        <v>5</v>
      </c>
      <c r="Q181" s="20">
        <v>1</v>
      </c>
      <c r="R181" s="20" t="s">
        <v>592</v>
      </c>
      <c r="T181" s="20" t="s">
        <v>1144</v>
      </c>
      <c r="U181" s="20" t="s">
        <v>249</v>
      </c>
      <c r="V181" s="20" t="s">
        <v>622</v>
      </c>
      <c r="W181" s="20" t="s">
        <v>1003</v>
      </c>
      <c r="X181" s="20" t="s">
        <v>835</v>
      </c>
      <c r="Y181" s="20">
        <v>5</v>
      </c>
      <c r="Z181" s="20">
        <v>6</v>
      </c>
      <c r="AA181" s="20" t="s">
        <v>592</v>
      </c>
      <c r="AC181" s="20" t="s">
        <v>1154</v>
      </c>
      <c r="AD181" s="20" t="s">
        <v>307</v>
      </c>
      <c r="AE181" s="20" t="s">
        <v>549</v>
      </c>
      <c r="AF181" s="20" t="s">
        <v>1335</v>
      </c>
      <c r="AG181" s="20" t="s">
        <v>835</v>
      </c>
      <c r="AH181" s="20">
        <v>5</v>
      </c>
      <c r="AI181" s="20">
        <v>5</v>
      </c>
      <c r="AJ181" s="20" t="s">
        <v>592</v>
      </c>
      <c r="AL181" s="20" t="s">
        <v>1149</v>
      </c>
      <c r="AM181" s="20" t="s">
        <v>301</v>
      </c>
      <c r="AN181" s="20" t="s">
        <v>2032</v>
      </c>
      <c r="AO181" s="20" t="s">
        <v>2687</v>
      </c>
      <c r="AP181" s="20" t="s">
        <v>835</v>
      </c>
      <c r="AQ181" s="20">
        <v>5</v>
      </c>
      <c r="AR181" s="20">
        <v>6</v>
      </c>
      <c r="AS181" s="20" t="s">
        <v>592</v>
      </c>
    </row>
    <row r="182" spans="2:45" ht="15.75" customHeight="1" x14ac:dyDescent="0.2">
      <c r="B182" s="20" t="s">
        <v>1154</v>
      </c>
      <c r="C182" s="20" t="s">
        <v>307</v>
      </c>
      <c r="D182" s="20" t="s">
        <v>513</v>
      </c>
      <c r="E182" s="20" t="s">
        <v>1265</v>
      </c>
      <c r="F182" s="20" t="s">
        <v>628</v>
      </c>
      <c r="G182" s="20">
        <v>10</v>
      </c>
      <c r="H182" s="20">
        <v>2</v>
      </c>
      <c r="I182" s="20" t="s">
        <v>593</v>
      </c>
      <c r="K182" s="20" t="s">
        <v>1163</v>
      </c>
      <c r="L182" s="20" t="s">
        <v>207</v>
      </c>
      <c r="M182" s="20" t="s">
        <v>1614</v>
      </c>
      <c r="N182" s="20" t="s">
        <v>1615</v>
      </c>
      <c r="O182" s="20" t="s">
        <v>835</v>
      </c>
      <c r="P182" s="20">
        <v>5</v>
      </c>
      <c r="Q182" s="20">
        <v>2</v>
      </c>
      <c r="R182" s="20" t="s">
        <v>593</v>
      </c>
      <c r="T182" s="20" t="s">
        <v>646</v>
      </c>
      <c r="U182" s="20" t="s">
        <v>1109</v>
      </c>
      <c r="V182" s="20" t="s">
        <v>369</v>
      </c>
      <c r="W182" s="20" t="s">
        <v>1966</v>
      </c>
      <c r="X182" s="20" t="s">
        <v>628</v>
      </c>
      <c r="Y182" s="20">
        <v>10</v>
      </c>
      <c r="Z182" s="20">
        <v>8</v>
      </c>
      <c r="AA182" s="20" t="s">
        <v>592</v>
      </c>
      <c r="AC182" s="20" t="s">
        <v>1154</v>
      </c>
      <c r="AD182" s="20" t="s">
        <v>307</v>
      </c>
      <c r="AE182" s="20" t="s">
        <v>2489</v>
      </c>
      <c r="AF182" s="20" t="s">
        <v>2291</v>
      </c>
      <c r="AG182" s="20" t="s">
        <v>628</v>
      </c>
      <c r="AH182" s="20">
        <v>10</v>
      </c>
      <c r="AI182" s="20">
        <v>4</v>
      </c>
      <c r="AJ182" s="20" t="s">
        <v>593</v>
      </c>
      <c r="AL182" s="20" t="s">
        <v>1149</v>
      </c>
      <c r="AM182" s="20" t="s">
        <v>301</v>
      </c>
      <c r="AN182" s="20" t="s">
        <v>1464</v>
      </c>
      <c r="AO182" s="20" t="s">
        <v>2688</v>
      </c>
      <c r="AP182" s="20" t="s">
        <v>835</v>
      </c>
      <c r="AQ182" s="20">
        <v>5</v>
      </c>
      <c r="AR182" s="20">
        <v>6</v>
      </c>
      <c r="AS182" s="20" t="s">
        <v>592</v>
      </c>
    </row>
    <row r="183" spans="2:45" ht="15.75" customHeight="1" x14ac:dyDescent="0.2">
      <c r="B183" s="20" t="s">
        <v>1154</v>
      </c>
      <c r="C183" s="20" t="s">
        <v>1152</v>
      </c>
      <c r="D183" s="20" t="s">
        <v>516</v>
      </c>
      <c r="E183" s="20" t="s">
        <v>1266</v>
      </c>
      <c r="F183" s="20" t="s">
        <v>628</v>
      </c>
      <c r="G183" s="20">
        <v>10</v>
      </c>
      <c r="H183" s="20">
        <v>1</v>
      </c>
      <c r="I183" s="20" t="s">
        <v>592</v>
      </c>
      <c r="K183" s="20" t="s">
        <v>1147</v>
      </c>
      <c r="L183" s="20" t="s">
        <v>699</v>
      </c>
      <c r="M183" s="20" t="s">
        <v>785</v>
      </c>
      <c r="N183" s="20" t="s">
        <v>712</v>
      </c>
      <c r="O183" s="20" t="s">
        <v>835</v>
      </c>
      <c r="P183" s="20">
        <v>5</v>
      </c>
      <c r="Q183" s="20">
        <v>11</v>
      </c>
      <c r="R183" s="20" t="s">
        <v>592</v>
      </c>
      <c r="T183" s="20" t="s">
        <v>646</v>
      </c>
      <c r="U183" s="20" t="s">
        <v>246</v>
      </c>
      <c r="V183" s="20" t="s">
        <v>368</v>
      </c>
      <c r="W183" s="20" t="s">
        <v>2178</v>
      </c>
      <c r="X183" s="20" t="s">
        <v>835</v>
      </c>
      <c r="Y183" s="20">
        <v>5</v>
      </c>
      <c r="Z183" s="20">
        <v>5</v>
      </c>
      <c r="AA183" s="20" t="s">
        <v>592</v>
      </c>
      <c r="AC183" s="20" t="s">
        <v>1154</v>
      </c>
      <c r="AD183" s="20" t="s">
        <v>307</v>
      </c>
      <c r="AE183" s="20" t="s">
        <v>567</v>
      </c>
      <c r="AF183" s="20" t="s">
        <v>865</v>
      </c>
      <c r="AG183" s="20" t="s">
        <v>628</v>
      </c>
      <c r="AH183" s="20">
        <v>10</v>
      </c>
      <c r="AI183" s="20">
        <v>3</v>
      </c>
      <c r="AJ183" s="20" t="s">
        <v>593</v>
      </c>
      <c r="AL183" s="20" t="s">
        <v>1149</v>
      </c>
      <c r="AM183" s="20" t="s">
        <v>301</v>
      </c>
      <c r="AN183" s="20" t="s">
        <v>2479</v>
      </c>
      <c r="AO183" s="20" t="s">
        <v>2235</v>
      </c>
      <c r="AP183" s="20" t="s">
        <v>835</v>
      </c>
      <c r="AQ183" s="20">
        <v>5</v>
      </c>
      <c r="AR183" s="20">
        <v>5</v>
      </c>
      <c r="AS183" s="20" t="s">
        <v>592</v>
      </c>
    </row>
    <row r="184" spans="2:45" ht="15.75" customHeight="1" x14ac:dyDescent="0.2">
      <c r="B184" s="20" t="s">
        <v>1154</v>
      </c>
      <c r="C184" s="20" t="s">
        <v>1152</v>
      </c>
      <c r="D184" s="20" t="s">
        <v>520</v>
      </c>
      <c r="E184" s="20" t="s">
        <v>1267</v>
      </c>
      <c r="F184" s="20" t="s">
        <v>628</v>
      </c>
      <c r="G184" s="20">
        <v>10</v>
      </c>
      <c r="H184" s="20">
        <v>2</v>
      </c>
      <c r="I184" s="20" t="s">
        <v>593</v>
      </c>
      <c r="K184" s="20" t="s">
        <v>1169</v>
      </c>
      <c r="L184" s="20" t="s">
        <v>671</v>
      </c>
      <c r="M184" s="20" t="s">
        <v>908</v>
      </c>
      <c r="N184" s="20" t="s">
        <v>470</v>
      </c>
      <c r="O184" s="20" t="s">
        <v>628</v>
      </c>
      <c r="P184" s="20">
        <v>10</v>
      </c>
      <c r="Q184" s="20">
        <v>6</v>
      </c>
      <c r="R184" s="20" t="s">
        <v>592</v>
      </c>
      <c r="T184" s="20" t="s">
        <v>646</v>
      </c>
      <c r="U184" s="20" t="s">
        <v>334</v>
      </c>
      <c r="V184" s="20" t="s">
        <v>522</v>
      </c>
      <c r="W184" s="20" t="s">
        <v>1598</v>
      </c>
      <c r="X184" s="20" t="s">
        <v>835</v>
      </c>
      <c r="Y184" s="20">
        <v>5</v>
      </c>
      <c r="Z184" s="20">
        <v>5</v>
      </c>
      <c r="AA184" s="20" t="s">
        <v>592</v>
      </c>
      <c r="AC184" s="20" t="s">
        <v>1154</v>
      </c>
      <c r="AD184" s="20" t="s">
        <v>307</v>
      </c>
      <c r="AE184" s="20" t="s">
        <v>567</v>
      </c>
      <c r="AF184" s="20" t="s">
        <v>2625</v>
      </c>
      <c r="AG184" s="20" t="s">
        <v>628</v>
      </c>
      <c r="AH184" s="20">
        <v>10</v>
      </c>
      <c r="AI184" s="20">
        <v>1</v>
      </c>
      <c r="AJ184" s="20" t="s">
        <v>593</v>
      </c>
      <c r="AL184" s="20" t="s">
        <v>1149</v>
      </c>
      <c r="AM184" s="20" t="s">
        <v>63</v>
      </c>
      <c r="AN184" s="20" t="s">
        <v>1655</v>
      </c>
      <c r="AO184" s="20" t="s">
        <v>2053</v>
      </c>
      <c r="AP184" s="20" t="s">
        <v>835</v>
      </c>
      <c r="AQ184" s="20">
        <v>5</v>
      </c>
      <c r="AR184" s="20">
        <v>2</v>
      </c>
      <c r="AS184" s="20" t="s">
        <v>593</v>
      </c>
    </row>
    <row r="185" spans="2:45" ht="15.75" customHeight="1" x14ac:dyDescent="0.2">
      <c r="B185" s="20" t="s">
        <v>1154</v>
      </c>
      <c r="C185" s="20" t="s">
        <v>335</v>
      </c>
      <c r="D185" s="20" t="s">
        <v>566</v>
      </c>
      <c r="E185" s="20" t="s">
        <v>985</v>
      </c>
      <c r="F185" s="20" t="s">
        <v>628</v>
      </c>
      <c r="G185" s="20">
        <v>10</v>
      </c>
      <c r="H185" s="20">
        <v>4</v>
      </c>
      <c r="I185" s="20" t="s">
        <v>593</v>
      </c>
      <c r="K185" s="20" t="s">
        <v>1169</v>
      </c>
      <c r="L185" s="20" t="s">
        <v>671</v>
      </c>
      <c r="M185" s="20" t="s">
        <v>1616</v>
      </c>
      <c r="N185" s="20" t="s">
        <v>470</v>
      </c>
      <c r="O185" s="20" t="s">
        <v>628</v>
      </c>
      <c r="P185" s="20">
        <v>10</v>
      </c>
      <c r="Q185" s="20">
        <v>2</v>
      </c>
      <c r="R185" s="20" t="s">
        <v>592</v>
      </c>
      <c r="T185" s="20" t="s">
        <v>646</v>
      </c>
      <c r="U185" s="20" t="s">
        <v>334</v>
      </c>
      <c r="V185" s="20" t="s">
        <v>508</v>
      </c>
      <c r="W185" s="20" t="s">
        <v>2179</v>
      </c>
      <c r="X185" s="20" t="s">
        <v>835</v>
      </c>
      <c r="Y185" s="20">
        <v>5</v>
      </c>
      <c r="Z185" s="20">
        <v>4</v>
      </c>
      <c r="AA185" s="20" t="s">
        <v>592</v>
      </c>
      <c r="AC185" s="20" t="s">
        <v>1154</v>
      </c>
      <c r="AD185" s="20" t="s">
        <v>307</v>
      </c>
      <c r="AE185" s="20" t="s">
        <v>2540</v>
      </c>
      <c r="AF185" s="20" t="s">
        <v>2626</v>
      </c>
      <c r="AG185" s="20" t="s">
        <v>835</v>
      </c>
      <c r="AH185" s="20">
        <v>5</v>
      </c>
      <c r="AI185" s="20">
        <v>2</v>
      </c>
      <c r="AJ185" s="20" t="s">
        <v>593</v>
      </c>
      <c r="AL185" s="20" t="s">
        <v>1149</v>
      </c>
      <c r="AM185" s="20" t="s">
        <v>63</v>
      </c>
      <c r="AN185" s="20" t="s">
        <v>473</v>
      </c>
      <c r="AO185" s="20" t="s">
        <v>2958</v>
      </c>
      <c r="AP185" s="20" t="s">
        <v>628</v>
      </c>
      <c r="AQ185" s="20">
        <v>10</v>
      </c>
      <c r="AR185" s="20">
        <v>11</v>
      </c>
      <c r="AS185" s="20" t="s">
        <v>592</v>
      </c>
    </row>
    <row r="186" spans="2:45" ht="15.75" customHeight="1" x14ac:dyDescent="0.2">
      <c r="B186" s="20" t="s">
        <v>1154</v>
      </c>
      <c r="C186" s="20" t="s">
        <v>335</v>
      </c>
      <c r="D186" s="20" t="s">
        <v>550</v>
      </c>
      <c r="E186" s="20" t="s">
        <v>720</v>
      </c>
      <c r="F186" s="20" t="s">
        <v>628</v>
      </c>
      <c r="G186" s="20">
        <v>10</v>
      </c>
      <c r="H186" s="20">
        <v>6</v>
      </c>
      <c r="I186" s="20" t="s">
        <v>592</v>
      </c>
      <c r="K186" s="20" t="s">
        <v>1141</v>
      </c>
      <c r="L186" s="20" t="s">
        <v>224</v>
      </c>
      <c r="M186" s="20" t="s">
        <v>1617</v>
      </c>
      <c r="N186" s="20" t="s">
        <v>386</v>
      </c>
      <c r="O186" s="20" t="s">
        <v>628</v>
      </c>
      <c r="P186" s="20">
        <v>10</v>
      </c>
      <c r="Q186" s="20">
        <v>12</v>
      </c>
      <c r="R186" s="20" t="s">
        <v>592</v>
      </c>
      <c r="T186" s="20" t="s">
        <v>646</v>
      </c>
      <c r="U186" s="20" t="s">
        <v>25</v>
      </c>
      <c r="V186" s="20" t="s">
        <v>372</v>
      </c>
      <c r="W186" s="20" t="s">
        <v>1305</v>
      </c>
      <c r="X186" s="20" t="s">
        <v>835</v>
      </c>
      <c r="Y186" s="20">
        <v>5</v>
      </c>
      <c r="Z186" s="20">
        <v>4</v>
      </c>
      <c r="AA186" s="20" t="s">
        <v>593</v>
      </c>
      <c r="AC186" s="20" t="s">
        <v>1154</v>
      </c>
      <c r="AD186" s="20" t="s">
        <v>307</v>
      </c>
      <c r="AE186" s="20" t="s">
        <v>513</v>
      </c>
      <c r="AF186" s="20" t="s">
        <v>1265</v>
      </c>
      <c r="AG186" s="20" t="s">
        <v>835</v>
      </c>
      <c r="AH186" s="20">
        <v>5</v>
      </c>
      <c r="AI186" s="20">
        <v>2</v>
      </c>
      <c r="AJ186" s="20" t="s">
        <v>593</v>
      </c>
      <c r="AL186" s="20" t="s">
        <v>1149</v>
      </c>
      <c r="AM186" s="20" t="s">
        <v>1150</v>
      </c>
      <c r="AN186" s="20" t="s">
        <v>478</v>
      </c>
      <c r="AO186" s="20" t="s">
        <v>1402</v>
      </c>
      <c r="AP186" s="20" t="s">
        <v>835</v>
      </c>
      <c r="AQ186" s="20">
        <v>5</v>
      </c>
      <c r="AR186" s="20">
        <v>8</v>
      </c>
      <c r="AS186" s="20" t="s">
        <v>592</v>
      </c>
    </row>
    <row r="187" spans="2:45" ht="15.75" customHeight="1" x14ac:dyDescent="0.2">
      <c r="B187" s="20" t="s">
        <v>1154</v>
      </c>
      <c r="C187" s="20" t="s">
        <v>335</v>
      </c>
      <c r="D187" s="20" t="s">
        <v>550</v>
      </c>
      <c r="E187" s="20" t="s">
        <v>1086</v>
      </c>
      <c r="F187" s="20" t="s">
        <v>628</v>
      </c>
      <c r="G187" s="20">
        <v>10</v>
      </c>
      <c r="H187" s="20">
        <v>2</v>
      </c>
      <c r="I187" s="20" t="s">
        <v>592</v>
      </c>
      <c r="K187" s="20" t="s">
        <v>1141</v>
      </c>
      <c r="L187" s="20" t="s">
        <v>224</v>
      </c>
      <c r="M187" s="20" t="s">
        <v>1618</v>
      </c>
      <c r="N187" s="20" t="s">
        <v>386</v>
      </c>
      <c r="O187" s="20" t="s">
        <v>628</v>
      </c>
      <c r="P187" s="20">
        <v>10</v>
      </c>
      <c r="Q187" s="20">
        <v>1</v>
      </c>
      <c r="R187" s="20" t="s">
        <v>592</v>
      </c>
      <c r="T187" s="20" t="s">
        <v>646</v>
      </c>
      <c r="U187" s="20" t="s">
        <v>334</v>
      </c>
      <c r="V187" s="20" t="s">
        <v>508</v>
      </c>
      <c r="W187" s="20" t="s">
        <v>2180</v>
      </c>
      <c r="X187" s="20" t="s">
        <v>835</v>
      </c>
      <c r="Y187" s="20">
        <v>5</v>
      </c>
      <c r="Z187" s="20">
        <v>1</v>
      </c>
      <c r="AA187" s="20" t="s">
        <v>592</v>
      </c>
      <c r="AC187" s="20" t="s">
        <v>646</v>
      </c>
      <c r="AD187" s="20" t="s">
        <v>298</v>
      </c>
      <c r="AE187" s="20" t="s">
        <v>1810</v>
      </c>
      <c r="AF187" s="20" t="s">
        <v>2627</v>
      </c>
      <c r="AG187" s="20" t="s">
        <v>628</v>
      </c>
      <c r="AH187" s="20">
        <v>10</v>
      </c>
      <c r="AI187" s="20">
        <v>2</v>
      </c>
      <c r="AJ187" s="20" t="s">
        <v>593</v>
      </c>
      <c r="AL187" s="20" t="s">
        <v>1149</v>
      </c>
      <c r="AM187" s="20" t="s">
        <v>1150</v>
      </c>
      <c r="AN187" s="20" t="s">
        <v>2792</v>
      </c>
      <c r="AO187" s="20" t="s">
        <v>2959</v>
      </c>
      <c r="AP187" s="20" t="s">
        <v>628</v>
      </c>
      <c r="AQ187" s="20">
        <v>10</v>
      </c>
      <c r="AR187" s="20">
        <v>10</v>
      </c>
      <c r="AS187" s="20" t="s">
        <v>592</v>
      </c>
    </row>
    <row r="188" spans="2:45" ht="15.75" customHeight="1" x14ac:dyDescent="0.2">
      <c r="B188" s="20" t="s">
        <v>1154</v>
      </c>
      <c r="C188" s="20" t="s">
        <v>335</v>
      </c>
      <c r="D188" s="20" t="s">
        <v>475</v>
      </c>
      <c r="E188" s="20" t="s">
        <v>749</v>
      </c>
      <c r="F188" s="20" t="s">
        <v>628</v>
      </c>
      <c r="G188" s="20">
        <v>10</v>
      </c>
      <c r="H188" s="20">
        <v>1</v>
      </c>
      <c r="I188" s="20" t="s">
        <v>593</v>
      </c>
      <c r="K188" s="20" t="s">
        <v>1147</v>
      </c>
      <c r="L188" s="20" t="s">
        <v>222</v>
      </c>
      <c r="M188" s="20" t="s">
        <v>1619</v>
      </c>
      <c r="N188" s="20" t="s">
        <v>1620</v>
      </c>
      <c r="O188" s="20" t="s">
        <v>628</v>
      </c>
      <c r="P188" s="20">
        <v>10</v>
      </c>
      <c r="Q188" s="20">
        <v>1</v>
      </c>
      <c r="R188" s="20" t="s">
        <v>593</v>
      </c>
      <c r="T188" s="20" t="s">
        <v>646</v>
      </c>
      <c r="U188" s="20" t="s">
        <v>25</v>
      </c>
      <c r="V188" s="20" t="s">
        <v>1968</v>
      </c>
      <c r="W188" s="20" t="s">
        <v>1967</v>
      </c>
      <c r="X188" s="20" t="s">
        <v>835</v>
      </c>
      <c r="Y188" s="20">
        <v>5</v>
      </c>
      <c r="Z188" s="20">
        <v>1</v>
      </c>
      <c r="AA188" s="20" t="s">
        <v>593</v>
      </c>
      <c r="AC188" s="20" t="s">
        <v>1149</v>
      </c>
      <c r="AD188" s="20" t="s">
        <v>806</v>
      </c>
      <c r="AE188" s="20" t="s">
        <v>467</v>
      </c>
      <c r="AF188" s="20" t="s">
        <v>976</v>
      </c>
      <c r="AG188" s="20" t="s">
        <v>835</v>
      </c>
      <c r="AH188" s="20">
        <v>5</v>
      </c>
      <c r="AI188" s="20">
        <v>5</v>
      </c>
      <c r="AJ188" s="20" t="s">
        <v>592</v>
      </c>
      <c r="AL188" s="20" t="s">
        <v>1147</v>
      </c>
      <c r="AM188" s="20" t="s">
        <v>222</v>
      </c>
      <c r="AN188" s="20" t="s">
        <v>1957</v>
      </c>
      <c r="AO188" s="20" t="s">
        <v>2960</v>
      </c>
      <c r="AP188" s="20" t="s">
        <v>835</v>
      </c>
      <c r="AQ188" s="20">
        <v>5</v>
      </c>
      <c r="AR188" s="20">
        <v>5</v>
      </c>
      <c r="AS188" s="20" t="s">
        <v>592</v>
      </c>
    </row>
    <row r="189" spans="2:45" ht="15.75" customHeight="1" x14ac:dyDescent="0.2">
      <c r="B189" s="20" t="s">
        <v>1154</v>
      </c>
      <c r="C189" s="20" t="s">
        <v>335</v>
      </c>
      <c r="D189" s="20" t="s">
        <v>475</v>
      </c>
      <c r="E189" s="20" t="s">
        <v>586</v>
      </c>
      <c r="F189" s="20" t="s">
        <v>628</v>
      </c>
      <c r="G189" s="20">
        <v>10</v>
      </c>
      <c r="H189" s="20">
        <v>4</v>
      </c>
      <c r="I189" s="20" t="s">
        <v>593</v>
      </c>
      <c r="K189" s="20" t="s">
        <v>1154</v>
      </c>
      <c r="L189" s="20" t="s">
        <v>217</v>
      </c>
      <c r="M189" s="20" t="s">
        <v>1621</v>
      </c>
      <c r="N189" s="20" t="s">
        <v>1622</v>
      </c>
      <c r="O189" s="20" t="s">
        <v>835</v>
      </c>
      <c r="P189" s="20">
        <v>5</v>
      </c>
      <c r="Q189" s="20">
        <v>1</v>
      </c>
      <c r="R189" s="20" t="s">
        <v>592</v>
      </c>
      <c r="T189" s="20" t="s">
        <v>646</v>
      </c>
      <c r="U189" s="20" t="s">
        <v>298</v>
      </c>
      <c r="V189" s="20" t="s">
        <v>370</v>
      </c>
      <c r="W189" s="20" t="s">
        <v>2068</v>
      </c>
      <c r="X189" s="20" t="s">
        <v>835</v>
      </c>
      <c r="Y189" s="20">
        <v>5</v>
      </c>
      <c r="Z189" s="20">
        <v>4</v>
      </c>
      <c r="AA189" s="20" t="s">
        <v>593</v>
      </c>
      <c r="AC189" s="20" t="s">
        <v>1169</v>
      </c>
      <c r="AD189" s="20" t="s">
        <v>216</v>
      </c>
      <c r="AE189" s="20" t="s">
        <v>680</v>
      </c>
      <c r="AF189" s="20" t="s">
        <v>738</v>
      </c>
      <c r="AG189" s="20" t="s">
        <v>628</v>
      </c>
      <c r="AH189" s="20">
        <v>10</v>
      </c>
      <c r="AI189" s="20">
        <v>14</v>
      </c>
      <c r="AJ189" s="20" t="s">
        <v>592</v>
      </c>
      <c r="AL189" s="20" t="s">
        <v>1147</v>
      </c>
      <c r="AM189" s="20" t="s">
        <v>222</v>
      </c>
      <c r="AN189" s="20" t="s">
        <v>2801</v>
      </c>
      <c r="AO189" s="20" t="s">
        <v>2961</v>
      </c>
      <c r="AP189" s="20" t="s">
        <v>628</v>
      </c>
      <c r="AQ189" s="20">
        <v>10</v>
      </c>
      <c r="AR189" s="20">
        <v>8</v>
      </c>
      <c r="AS189" s="20" t="s">
        <v>592</v>
      </c>
    </row>
    <row r="190" spans="2:45" ht="15.75" customHeight="1" x14ac:dyDescent="0.2">
      <c r="B190" s="20" t="s">
        <v>1154</v>
      </c>
      <c r="C190" s="20" t="s">
        <v>335</v>
      </c>
      <c r="D190" s="20" t="s">
        <v>575</v>
      </c>
      <c r="E190" s="20" t="s">
        <v>1029</v>
      </c>
      <c r="F190" s="20" t="s">
        <v>628</v>
      </c>
      <c r="G190" s="20">
        <v>10</v>
      </c>
      <c r="H190" s="20">
        <v>4</v>
      </c>
      <c r="I190" s="20" t="s">
        <v>593</v>
      </c>
      <c r="K190" s="20" t="s">
        <v>1154</v>
      </c>
      <c r="L190" s="20" t="s">
        <v>307</v>
      </c>
      <c r="M190" s="20" t="s">
        <v>1623</v>
      </c>
      <c r="N190" s="20" t="s">
        <v>1624</v>
      </c>
      <c r="O190" s="20" t="s">
        <v>835</v>
      </c>
      <c r="P190" s="20">
        <v>5</v>
      </c>
      <c r="Q190" s="20">
        <v>1</v>
      </c>
      <c r="R190" s="20" t="s">
        <v>593</v>
      </c>
      <c r="T190" s="20" t="s">
        <v>640</v>
      </c>
      <c r="U190" s="20" t="s">
        <v>31</v>
      </c>
      <c r="V190" s="20" t="s">
        <v>810</v>
      </c>
      <c r="W190" s="20" t="s">
        <v>862</v>
      </c>
      <c r="X190" s="20" t="s">
        <v>835</v>
      </c>
      <c r="Y190" s="20">
        <v>5</v>
      </c>
      <c r="Z190" s="20">
        <v>5</v>
      </c>
      <c r="AA190" s="20" t="s">
        <v>592</v>
      </c>
      <c r="AC190" s="20" t="s">
        <v>1169</v>
      </c>
      <c r="AD190" s="20" t="s">
        <v>216</v>
      </c>
      <c r="AE190" s="20" t="s">
        <v>680</v>
      </c>
      <c r="AF190" s="20" t="s">
        <v>2628</v>
      </c>
      <c r="AG190" s="20" t="s">
        <v>628</v>
      </c>
      <c r="AH190" s="20">
        <v>10</v>
      </c>
      <c r="AI190" s="20">
        <v>1</v>
      </c>
      <c r="AJ190" s="20" t="s">
        <v>592</v>
      </c>
      <c r="AL190" s="20" t="s">
        <v>1147</v>
      </c>
      <c r="AM190" s="20" t="s">
        <v>222</v>
      </c>
      <c r="AN190" s="20" t="s">
        <v>552</v>
      </c>
      <c r="AO190" s="20" t="s">
        <v>2071</v>
      </c>
      <c r="AP190" s="20" t="s">
        <v>628</v>
      </c>
      <c r="AQ190" s="20">
        <v>10</v>
      </c>
      <c r="AR190" s="20">
        <v>9</v>
      </c>
      <c r="AS190" s="20" t="s">
        <v>592</v>
      </c>
    </row>
    <row r="191" spans="2:45" ht="15.75" customHeight="1" x14ac:dyDescent="0.2">
      <c r="B191" s="20" t="s">
        <v>1154</v>
      </c>
      <c r="C191" s="20" t="s">
        <v>217</v>
      </c>
      <c r="D191" s="20" t="s">
        <v>578</v>
      </c>
      <c r="E191" s="20" t="s">
        <v>907</v>
      </c>
      <c r="F191" s="20" t="s">
        <v>628</v>
      </c>
      <c r="G191" s="20">
        <v>10</v>
      </c>
      <c r="H191" s="20">
        <v>5</v>
      </c>
      <c r="I191" s="20" t="s">
        <v>593</v>
      </c>
      <c r="K191" s="20" t="s">
        <v>1154</v>
      </c>
      <c r="L191" s="20" t="s">
        <v>217</v>
      </c>
      <c r="M191" s="20" t="s">
        <v>1625</v>
      </c>
      <c r="N191" s="20" t="s">
        <v>1622</v>
      </c>
      <c r="O191" s="20" t="s">
        <v>835</v>
      </c>
      <c r="P191" s="20">
        <v>5</v>
      </c>
      <c r="Q191" s="20">
        <v>4</v>
      </c>
      <c r="R191" s="20" t="s">
        <v>592</v>
      </c>
      <c r="T191" s="20" t="s">
        <v>646</v>
      </c>
      <c r="U191" s="20" t="s">
        <v>298</v>
      </c>
      <c r="V191" s="20" t="s">
        <v>424</v>
      </c>
      <c r="W191" s="20" t="s">
        <v>2181</v>
      </c>
      <c r="X191" s="20" t="s">
        <v>835</v>
      </c>
      <c r="Y191" s="20">
        <v>5</v>
      </c>
      <c r="Z191" s="20">
        <v>1</v>
      </c>
      <c r="AA191" s="20" t="s">
        <v>593</v>
      </c>
      <c r="AC191" s="20" t="s">
        <v>646</v>
      </c>
      <c r="AD191" s="20" t="s">
        <v>298</v>
      </c>
      <c r="AE191" s="20" t="s">
        <v>374</v>
      </c>
      <c r="AF191" s="20" t="s">
        <v>2629</v>
      </c>
      <c r="AG191" s="20" t="s">
        <v>628</v>
      </c>
      <c r="AH191" s="20">
        <v>10</v>
      </c>
      <c r="AI191" s="20">
        <v>1</v>
      </c>
      <c r="AJ191" s="20" t="s">
        <v>593</v>
      </c>
      <c r="AL191" s="20" t="s">
        <v>1147</v>
      </c>
      <c r="AM191" s="20" t="s">
        <v>222</v>
      </c>
      <c r="AN191" s="20" t="s">
        <v>553</v>
      </c>
      <c r="AO191" s="20" t="s">
        <v>2310</v>
      </c>
      <c r="AP191" s="20" t="s">
        <v>628</v>
      </c>
      <c r="AQ191" s="20">
        <v>10</v>
      </c>
      <c r="AR191" s="20">
        <v>12</v>
      </c>
      <c r="AS191" s="20" t="s">
        <v>592</v>
      </c>
    </row>
    <row r="192" spans="2:45" ht="15.75" customHeight="1" x14ac:dyDescent="0.2">
      <c r="B192" s="20" t="s">
        <v>1154</v>
      </c>
      <c r="C192" s="20" t="s">
        <v>217</v>
      </c>
      <c r="D192" s="20" t="s">
        <v>578</v>
      </c>
      <c r="E192" s="20" t="s">
        <v>1268</v>
      </c>
      <c r="F192" s="20" t="s">
        <v>628</v>
      </c>
      <c r="G192" s="20">
        <v>10</v>
      </c>
      <c r="H192" s="20">
        <v>1</v>
      </c>
      <c r="I192" s="20" t="s">
        <v>593</v>
      </c>
      <c r="K192" s="20" t="s">
        <v>1162</v>
      </c>
      <c r="L192" s="20" t="s">
        <v>352</v>
      </c>
      <c r="M192" s="20" t="s">
        <v>1626</v>
      </c>
      <c r="N192" s="20" t="s">
        <v>894</v>
      </c>
      <c r="O192" s="20" t="s">
        <v>628</v>
      </c>
      <c r="P192" s="20">
        <v>10</v>
      </c>
      <c r="Q192" s="20">
        <v>1</v>
      </c>
      <c r="R192" s="20" t="s">
        <v>593</v>
      </c>
      <c r="T192" s="20" t="s">
        <v>640</v>
      </c>
      <c r="U192" s="20" t="s">
        <v>191</v>
      </c>
      <c r="V192" s="20" t="s">
        <v>378</v>
      </c>
      <c r="W192" s="20" t="s">
        <v>1843</v>
      </c>
      <c r="X192" s="20" t="s">
        <v>835</v>
      </c>
      <c r="Y192" s="20">
        <v>5</v>
      </c>
      <c r="Z192" s="20">
        <v>6</v>
      </c>
      <c r="AA192" s="20" t="s">
        <v>592</v>
      </c>
      <c r="AC192" s="20" t="s">
        <v>1155</v>
      </c>
      <c r="AD192" s="20" t="s">
        <v>657</v>
      </c>
      <c r="AE192" s="20" t="s">
        <v>484</v>
      </c>
      <c r="AF192" s="20" t="s">
        <v>852</v>
      </c>
      <c r="AG192" s="20" t="s">
        <v>628</v>
      </c>
      <c r="AH192" s="20">
        <v>10</v>
      </c>
      <c r="AI192" s="20">
        <v>7</v>
      </c>
      <c r="AJ192" s="20" t="s">
        <v>592</v>
      </c>
      <c r="AL192" s="20" t="s">
        <v>1147</v>
      </c>
      <c r="AM192" s="20" t="s">
        <v>222</v>
      </c>
      <c r="AN192" s="20" t="s">
        <v>2474</v>
      </c>
      <c r="AO192" s="20" t="s">
        <v>2962</v>
      </c>
      <c r="AP192" s="20" t="s">
        <v>628</v>
      </c>
      <c r="AQ192" s="20">
        <v>10</v>
      </c>
      <c r="AR192" s="20">
        <v>9</v>
      </c>
      <c r="AS192" s="20" t="s">
        <v>592</v>
      </c>
    </row>
    <row r="193" spans="2:45" ht="15.75" customHeight="1" x14ac:dyDescent="0.2">
      <c r="B193" s="20" t="s">
        <v>1149</v>
      </c>
      <c r="C193" s="20" t="s">
        <v>806</v>
      </c>
      <c r="D193" s="20" t="s">
        <v>468</v>
      </c>
      <c r="E193" s="20" t="s">
        <v>1269</v>
      </c>
      <c r="F193" s="20" t="s">
        <v>628</v>
      </c>
      <c r="G193" s="20">
        <v>10</v>
      </c>
      <c r="H193" s="20">
        <v>8</v>
      </c>
      <c r="I193" s="20" t="s">
        <v>592</v>
      </c>
      <c r="K193" s="20" t="s">
        <v>1147</v>
      </c>
      <c r="L193" s="20" t="s">
        <v>225</v>
      </c>
      <c r="M193" s="20" t="s">
        <v>1253</v>
      </c>
      <c r="N193" s="20" t="s">
        <v>383</v>
      </c>
      <c r="O193" s="20" t="s">
        <v>628</v>
      </c>
      <c r="P193" s="20">
        <v>10</v>
      </c>
      <c r="Q193" s="20">
        <v>8</v>
      </c>
      <c r="R193" s="20" t="s">
        <v>592</v>
      </c>
      <c r="T193" s="20" t="s">
        <v>640</v>
      </c>
      <c r="U193" s="20" t="s">
        <v>248</v>
      </c>
      <c r="V193" s="20" t="s">
        <v>582</v>
      </c>
      <c r="W193" s="20" t="s">
        <v>891</v>
      </c>
      <c r="X193" s="20" t="s">
        <v>835</v>
      </c>
      <c r="Y193" s="20">
        <v>5</v>
      </c>
      <c r="Z193" s="20">
        <v>1</v>
      </c>
      <c r="AA193" s="20" t="s">
        <v>593</v>
      </c>
      <c r="AC193" s="20" t="s">
        <v>1155</v>
      </c>
      <c r="AD193" s="20" t="s">
        <v>657</v>
      </c>
      <c r="AE193" s="20" t="s">
        <v>484</v>
      </c>
      <c r="AF193" s="20" t="s">
        <v>2630</v>
      </c>
      <c r="AG193" s="20" t="s">
        <v>628</v>
      </c>
      <c r="AH193" s="20">
        <v>10</v>
      </c>
      <c r="AI193" s="20">
        <v>1</v>
      </c>
      <c r="AJ193" s="20" t="s">
        <v>592</v>
      </c>
      <c r="AL193" s="20" t="s">
        <v>1147</v>
      </c>
      <c r="AM193" s="20" t="s">
        <v>222</v>
      </c>
      <c r="AN193" s="20" t="s">
        <v>1620</v>
      </c>
      <c r="AO193" s="20" t="s">
        <v>1619</v>
      </c>
      <c r="AP193" s="20" t="s">
        <v>628</v>
      </c>
      <c r="AQ193" s="20">
        <v>10</v>
      </c>
      <c r="AR193" s="20">
        <v>42</v>
      </c>
      <c r="AS193" s="20" t="s">
        <v>592</v>
      </c>
    </row>
    <row r="194" spans="2:45" ht="15.75" customHeight="1" x14ac:dyDescent="0.2">
      <c r="B194" s="20" t="s">
        <v>1149</v>
      </c>
      <c r="C194" s="20" t="s">
        <v>1150</v>
      </c>
      <c r="D194" s="20" t="s">
        <v>476</v>
      </c>
      <c r="E194" s="20" t="s">
        <v>1270</v>
      </c>
      <c r="F194" s="20" t="s">
        <v>628</v>
      </c>
      <c r="G194" s="20">
        <v>10</v>
      </c>
      <c r="H194" s="20">
        <v>8</v>
      </c>
      <c r="I194" s="20" t="s">
        <v>592</v>
      </c>
      <c r="K194" s="20" t="s">
        <v>640</v>
      </c>
      <c r="L194" s="20" t="s">
        <v>191</v>
      </c>
      <c r="M194" s="20" t="s">
        <v>1627</v>
      </c>
      <c r="N194" s="20" t="s">
        <v>1628</v>
      </c>
      <c r="O194" s="20" t="s">
        <v>835</v>
      </c>
      <c r="P194" s="20">
        <v>5</v>
      </c>
      <c r="Q194" s="20">
        <v>4</v>
      </c>
      <c r="R194" s="20" t="s">
        <v>592</v>
      </c>
      <c r="T194" s="20" t="s">
        <v>640</v>
      </c>
      <c r="U194" s="20" t="s">
        <v>248</v>
      </c>
      <c r="V194" s="20" t="s">
        <v>844</v>
      </c>
      <c r="W194" s="20" t="s">
        <v>2182</v>
      </c>
      <c r="X194" s="20" t="s">
        <v>628</v>
      </c>
      <c r="Y194" s="20">
        <v>10</v>
      </c>
      <c r="Z194" s="20">
        <v>8</v>
      </c>
      <c r="AA194" s="20" t="s">
        <v>592</v>
      </c>
      <c r="AC194" s="20" t="s">
        <v>1154</v>
      </c>
      <c r="AD194" s="20" t="s">
        <v>1152</v>
      </c>
      <c r="AE194" s="20" t="s">
        <v>624</v>
      </c>
      <c r="AF194" s="20" t="s">
        <v>1290</v>
      </c>
      <c r="AG194" s="20" t="s">
        <v>628</v>
      </c>
      <c r="AH194" s="20">
        <v>10</v>
      </c>
      <c r="AI194" s="20">
        <v>5</v>
      </c>
      <c r="AJ194" s="20" t="s">
        <v>593</v>
      </c>
      <c r="AL194" s="20" t="s">
        <v>1147</v>
      </c>
      <c r="AM194" s="20" t="s">
        <v>222</v>
      </c>
      <c r="AN194" s="20" t="s">
        <v>1959</v>
      </c>
      <c r="AO194" s="20" t="s">
        <v>2346</v>
      </c>
      <c r="AP194" s="20" t="s">
        <v>628</v>
      </c>
      <c r="AQ194" s="20">
        <v>10</v>
      </c>
      <c r="AR194" s="20">
        <v>11</v>
      </c>
      <c r="AS194" s="20" t="s">
        <v>592</v>
      </c>
    </row>
    <row r="195" spans="2:45" ht="15.75" customHeight="1" x14ac:dyDescent="0.2">
      <c r="B195" s="20" t="s">
        <v>1149</v>
      </c>
      <c r="C195" s="20" t="s">
        <v>1150</v>
      </c>
      <c r="D195" s="20" t="s">
        <v>893</v>
      </c>
      <c r="E195" s="20" t="s">
        <v>1271</v>
      </c>
      <c r="F195" s="20" t="s">
        <v>628</v>
      </c>
      <c r="G195" s="20">
        <v>10</v>
      </c>
      <c r="H195" s="20">
        <v>3</v>
      </c>
      <c r="I195" s="20" t="s">
        <v>593</v>
      </c>
      <c r="K195" s="20" t="s">
        <v>640</v>
      </c>
      <c r="L195" s="20" t="s">
        <v>191</v>
      </c>
      <c r="M195" s="20" t="s">
        <v>1629</v>
      </c>
      <c r="N195" s="20" t="s">
        <v>1628</v>
      </c>
      <c r="O195" s="20" t="s">
        <v>835</v>
      </c>
      <c r="P195" s="20">
        <v>5</v>
      </c>
      <c r="Q195" s="20">
        <v>1</v>
      </c>
      <c r="R195" s="20" t="s">
        <v>592</v>
      </c>
      <c r="T195" s="20" t="s">
        <v>646</v>
      </c>
      <c r="U195" s="20" t="s">
        <v>285</v>
      </c>
      <c r="V195" s="20" t="s">
        <v>1480</v>
      </c>
      <c r="W195" s="20" t="s">
        <v>1479</v>
      </c>
      <c r="X195" s="20" t="s">
        <v>628</v>
      </c>
      <c r="Y195" s="20">
        <v>10</v>
      </c>
      <c r="Z195" s="20">
        <v>3</v>
      </c>
      <c r="AA195" s="20" t="s">
        <v>593</v>
      </c>
      <c r="AC195" s="20" t="s">
        <v>1162</v>
      </c>
      <c r="AD195" s="20" t="s">
        <v>352</v>
      </c>
      <c r="AE195" s="20" t="s">
        <v>2467</v>
      </c>
      <c r="AF195" s="20" t="s">
        <v>2631</v>
      </c>
      <c r="AG195" s="20" t="s">
        <v>835</v>
      </c>
      <c r="AH195" s="20">
        <v>5</v>
      </c>
      <c r="AI195" s="20">
        <v>6</v>
      </c>
      <c r="AJ195" s="20" t="s">
        <v>592</v>
      </c>
      <c r="AL195" s="20" t="s">
        <v>1147</v>
      </c>
      <c r="AM195" s="20" t="s">
        <v>222</v>
      </c>
      <c r="AN195" s="20" t="s">
        <v>2802</v>
      </c>
      <c r="AO195" s="20" t="s">
        <v>2963</v>
      </c>
      <c r="AP195" s="20" t="s">
        <v>628</v>
      </c>
      <c r="AQ195" s="20">
        <v>10</v>
      </c>
      <c r="AR195" s="20">
        <v>8</v>
      </c>
      <c r="AS195" s="20" t="s">
        <v>592</v>
      </c>
    </row>
    <row r="196" spans="2:45" ht="15.75" customHeight="1" x14ac:dyDescent="0.2">
      <c r="B196" s="20" t="s">
        <v>1149</v>
      </c>
      <c r="C196" s="20" t="s">
        <v>63</v>
      </c>
      <c r="D196" s="20" t="s">
        <v>477</v>
      </c>
      <c r="E196" s="20" t="s">
        <v>684</v>
      </c>
      <c r="F196" s="20" t="s">
        <v>628</v>
      </c>
      <c r="G196" s="20">
        <v>10</v>
      </c>
      <c r="H196" s="20">
        <v>14</v>
      </c>
      <c r="I196" s="20" t="s">
        <v>592</v>
      </c>
      <c r="K196" s="20" t="s">
        <v>1155</v>
      </c>
      <c r="L196" s="20" t="s">
        <v>657</v>
      </c>
      <c r="M196" s="20" t="s">
        <v>1630</v>
      </c>
      <c r="N196" s="20" t="s">
        <v>483</v>
      </c>
      <c r="O196" s="20" t="s">
        <v>628</v>
      </c>
      <c r="P196" s="20">
        <v>10</v>
      </c>
      <c r="Q196" s="20">
        <v>8</v>
      </c>
      <c r="R196" s="20" t="s">
        <v>592</v>
      </c>
      <c r="T196" s="20" t="s">
        <v>646</v>
      </c>
      <c r="U196" s="20" t="s">
        <v>303</v>
      </c>
      <c r="V196" s="20" t="s">
        <v>1904</v>
      </c>
      <c r="W196" s="20" t="s">
        <v>2183</v>
      </c>
      <c r="X196" s="20" t="s">
        <v>835</v>
      </c>
      <c r="Y196" s="20">
        <v>5</v>
      </c>
      <c r="Z196" s="20">
        <v>9</v>
      </c>
      <c r="AA196" s="20" t="s">
        <v>592</v>
      </c>
      <c r="AC196" s="20" t="s">
        <v>1143</v>
      </c>
      <c r="AD196" s="20" t="s">
        <v>706</v>
      </c>
      <c r="AE196" s="20" t="s">
        <v>404</v>
      </c>
      <c r="AF196" s="20" t="s">
        <v>1257</v>
      </c>
      <c r="AG196" s="20" t="s">
        <v>835</v>
      </c>
      <c r="AH196" s="20">
        <v>5</v>
      </c>
      <c r="AI196" s="20">
        <v>5</v>
      </c>
      <c r="AJ196" s="20" t="s">
        <v>592</v>
      </c>
      <c r="AL196" s="20" t="s">
        <v>1147</v>
      </c>
      <c r="AM196" s="20" t="s">
        <v>222</v>
      </c>
      <c r="AN196" s="20" t="s">
        <v>1859</v>
      </c>
      <c r="AO196" s="20" t="s">
        <v>2122</v>
      </c>
      <c r="AP196" s="20" t="s">
        <v>628</v>
      </c>
      <c r="AQ196" s="20">
        <v>10</v>
      </c>
      <c r="AR196" s="20">
        <v>12</v>
      </c>
      <c r="AS196" s="20" t="s">
        <v>592</v>
      </c>
    </row>
    <row r="197" spans="2:45" ht="15.75" customHeight="1" x14ac:dyDescent="0.2">
      <c r="B197" s="20" t="s">
        <v>1149</v>
      </c>
      <c r="C197" s="20" t="s">
        <v>63</v>
      </c>
      <c r="D197" s="20" t="s">
        <v>473</v>
      </c>
      <c r="E197" s="20" t="s">
        <v>1000</v>
      </c>
      <c r="F197" s="20" t="s">
        <v>628</v>
      </c>
      <c r="G197" s="20">
        <v>10</v>
      </c>
      <c r="H197" s="20">
        <v>5</v>
      </c>
      <c r="I197" s="20" t="s">
        <v>593</v>
      </c>
      <c r="K197" s="20" t="s">
        <v>1161</v>
      </c>
      <c r="L197" s="20" t="s">
        <v>304</v>
      </c>
      <c r="M197" s="20" t="s">
        <v>1631</v>
      </c>
      <c r="N197" s="20" t="s">
        <v>857</v>
      </c>
      <c r="O197" s="20" t="s">
        <v>628</v>
      </c>
      <c r="P197" s="20">
        <v>10</v>
      </c>
      <c r="Q197" s="20">
        <v>8</v>
      </c>
      <c r="R197" s="20" t="s">
        <v>592</v>
      </c>
      <c r="T197" s="20" t="s">
        <v>646</v>
      </c>
      <c r="U197" s="20" t="s">
        <v>334</v>
      </c>
      <c r="V197" s="20" t="s">
        <v>1806</v>
      </c>
      <c r="W197" s="20" t="s">
        <v>2184</v>
      </c>
      <c r="X197" s="20" t="s">
        <v>835</v>
      </c>
      <c r="Y197" s="20">
        <v>5</v>
      </c>
      <c r="Z197" s="20">
        <v>5</v>
      </c>
      <c r="AA197" s="20" t="s">
        <v>592</v>
      </c>
      <c r="AC197" s="20" t="s">
        <v>1141</v>
      </c>
      <c r="AD197" s="20" t="s">
        <v>224</v>
      </c>
      <c r="AE197" s="20" t="s">
        <v>1669</v>
      </c>
      <c r="AF197" s="20" t="s">
        <v>2632</v>
      </c>
      <c r="AG197" s="20" t="s">
        <v>628</v>
      </c>
      <c r="AH197" s="20">
        <v>10</v>
      </c>
      <c r="AI197" s="20">
        <v>9</v>
      </c>
      <c r="AJ197" s="20" t="s">
        <v>592</v>
      </c>
      <c r="AL197" s="20" t="s">
        <v>1147</v>
      </c>
      <c r="AM197" s="20" t="s">
        <v>222</v>
      </c>
      <c r="AN197" s="20" t="s">
        <v>1996</v>
      </c>
      <c r="AO197" s="20" t="s">
        <v>2964</v>
      </c>
      <c r="AP197" s="20" t="s">
        <v>628</v>
      </c>
      <c r="AQ197" s="20">
        <v>10</v>
      </c>
      <c r="AR197" s="20">
        <v>14</v>
      </c>
      <c r="AS197" s="20" t="s">
        <v>592</v>
      </c>
    </row>
    <row r="198" spans="2:45" ht="15.75" customHeight="1" x14ac:dyDescent="0.2">
      <c r="B198" s="20" t="s">
        <v>1149</v>
      </c>
      <c r="C198" s="20" t="s">
        <v>63</v>
      </c>
      <c r="D198" s="20" t="s">
        <v>880</v>
      </c>
      <c r="E198" s="20" t="s">
        <v>906</v>
      </c>
      <c r="F198" s="20" t="s">
        <v>628</v>
      </c>
      <c r="G198" s="20">
        <v>10</v>
      </c>
      <c r="H198" s="20">
        <v>10</v>
      </c>
      <c r="I198" s="20" t="s">
        <v>592</v>
      </c>
      <c r="K198" s="20" t="s">
        <v>1149</v>
      </c>
      <c r="L198" s="20" t="s">
        <v>301</v>
      </c>
      <c r="M198" s="20" t="s">
        <v>1632</v>
      </c>
      <c r="N198" s="20" t="s">
        <v>1633</v>
      </c>
      <c r="O198" s="20" t="s">
        <v>835</v>
      </c>
      <c r="P198" s="20">
        <v>5</v>
      </c>
      <c r="Q198" s="20">
        <v>8</v>
      </c>
      <c r="R198" s="20" t="s">
        <v>592</v>
      </c>
      <c r="T198" s="20" t="s">
        <v>646</v>
      </c>
      <c r="U198" s="20" t="s">
        <v>303</v>
      </c>
      <c r="V198" s="20" t="s">
        <v>428</v>
      </c>
      <c r="W198" s="20" t="s">
        <v>1905</v>
      </c>
      <c r="X198" s="20" t="s">
        <v>835</v>
      </c>
      <c r="Y198" s="20">
        <v>5</v>
      </c>
      <c r="Z198" s="20">
        <v>5</v>
      </c>
      <c r="AA198" s="20" t="s">
        <v>592</v>
      </c>
      <c r="AC198" s="20" t="s">
        <v>1147</v>
      </c>
      <c r="AD198" s="20" t="s">
        <v>29</v>
      </c>
      <c r="AE198" s="20" t="s">
        <v>1794</v>
      </c>
      <c r="AF198" s="20" t="s">
        <v>1793</v>
      </c>
      <c r="AG198" s="20" t="s">
        <v>628</v>
      </c>
      <c r="AH198" s="20">
        <v>10</v>
      </c>
      <c r="AI198" s="20">
        <v>8</v>
      </c>
      <c r="AJ198" s="20" t="s">
        <v>592</v>
      </c>
      <c r="AL198" s="20" t="s">
        <v>1147</v>
      </c>
      <c r="AM198" s="20" t="s">
        <v>222</v>
      </c>
      <c r="AN198" s="20" t="s">
        <v>2803</v>
      </c>
      <c r="AO198" s="20" t="s">
        <v>2965</v>
      </c>
      <c r="AP198" s="20" t="s">
        <v>628</v>
      </c>
      <c r="AQ198" s="20">
        <v>10</v>
      </c>
      <c r="AR198" s="20">
        <v>3</v>
      </c>
      <c r="AS198" s="20" t="s">
        <v>593</v>
      </c>
    </row>
    <row r="199" spans="2:45" ht="15.75" customHeight="1" x14ac:dyDescent="0.2">
      <c r="B199" s="20" t="s">
        <v>1149</v>
      </c>
      <c r="C199" s="20" t="s">
        <v>63</v>
      </c>
      <c r="D199" s="20" t="s">
        <v>880</v>
      </c>
      <c r="E199" s="20" t="s">
        <v>1066</v>
      </c>
      <c r="F199" s="20" t="s">
        <v>628</v>
      </c>
      <c r="G199" s="20">
        <v>10</v>
      </c>
      <c r="H199" s="20">
        <v>2</v>
      </c>
      <c r="I199" s="20" t="s">
        <v>592</v>
      </c>
      <c r="K199" s="20" t="s">
        <v>1161</v>
      </c>
      <c r="L199" s="20" t="s">
        <v>765</v>
      </c>
      <c r="M199" s="20" t="s">
        <v>911</v>
      </c>
      <c r="N199" s="20" t="s">
        <v>537</v>
      </c>
      <c r="O199" s="20" t="s">
        <v>628</v>
      </c>
      <c r="P199" s="20">
        <v>10</v>
      </c>
      <c r="Q199" s="20">
        <v>7</v>
      </c>
      <c r="R199" s="20" t="s">
        <v>592</v>
      </c>
      <c r="T199" s="20" t="s">
        <v>646</v>
      </c>
      <c r="U199" s="20" t="s">
        <v>285</v>
      </c>
      <c r="V199" s="20" t="s">
        <v>462</v>
      </c>
      <c r="W199" s="20" t="s">
        <v>822</v>
      </c>
      <c r="X199" s="20" t="s">
        <v>628</v>
      </c>
      <c r="Y199" s="20">
        <v>10</v>
      </c>
      <c r="Z199" s="20">
        <v>6</v>
      </c>
      <c r="AA199" s="20" t="s">
        <v>593</v>
      </c>
      <c r="AC199" s="20" t="s">
        <v>1141</v>
      </c>
      <c r="AD199" s="20" t="s">
        <v>780</v>
      </c>
      <c r="AE199" s="20" t="s">
        <v>2535</v>
      </c>
      <c r="AF199" s="20" t="s">
        <v>2587</v>
      </c>
      <c r="AG199" s="20" t="s">
        <v>628</v>
      </c>
      <c r="AH199" s="20">
        <v>10</v>
      </c>
      <c r="AI199" s="20">
        <v>9</v>
      </c>
      <c r="AJ199" s="20" t="s">
        <v>592</v>
      </c>
      <c r="AL199" s="20" t="s">
        <v>1147</v>
      </c>
      <c r="AM199" s="20" t="s">
        <v>29</v>
      </c>
      <c r="AN199" s="20" t="s">
        <v>1974</v>
      </c>
      <c r="AO199" s="20" t="s">
        <v>1973</v>
      </c>
      <c r="AP199" s="20" t="s">
        <v>628</v>
      </c>
      <c r="AQ199" s="20">
        <v>10</v>
      </c>
      <c r="AR199" s="20">
        <v>32</v>
      </c>
      <c r="AS199" s="20" t="s">
        <v>592</v>
      </c>
    </row>
    <row r="200" spans="2:45" ht="15.75" customHeight="1" x14ac:dyDescent="0.2">
      <c r="B200" s="20" t="s">
        <v>1155</v>
      </c>
      <c r="C200" s="20" t="s">
        <v>657</v>
      </c>
      <c r="D200" s="20" t="s">
        <v>480</v>
      </c>
      <c r="E200" s="20" t="s">
        <v>889</v>
      </c>
      <c r="F200" s="20" t="s">
        <v>628</v>
      </c>
      <c r="G200" s="20">
        <v>10</v>
      </c>
      <c r="H200" s="20">
        <v>9</v>
      </c>
      <c r="I200" s="20" t="s">
        <v>592</v>
      </c>
      <c r="K200" s="20" t="s">
        <v>1161</v>
      </c>
      <c r="L200" s="20" t="s">
        <v>765</v>
      </c>
      <c r="M200" s="20" t="s">
        <v>1358</v>
      </c>
      <c r="N200" s="20" t="s">
        <v>537</v>
      </c>
      <c r="O200" s="20" t="s">
        <v>628</v>
      </c>
      <c r="P200" s="20">
        <v>10</v>
      </c>
      <c r="Q200" s="20">
        <v>1</v>
      </c>
      <c r="R200" s="20" t="s">
        <v>592</v>
      </c>
      <c r="T200" s="20" t="s">
        <v>1143</v>
      </c>
      <c r="U200" s="20" t="s">
        <v>706</v>
      </c>
      <c r="V200" s="20" t="s">
        <v>2076</v>
      </c>
      <c r="W200" s="20" t="s">
        <v>2075</v>
      </c>
      <c r="X200" s="20" t="s">
        <v>835</v>
      </c>
      <c r="Y200" s="20">
        <v>5</v>
      </c>
      <c r="Z200" s="20">
        <v>1</v>
      </c>
      <c r="AA200" s="20" t="s">
        <v>593</v>
      </c>
      <c r="AC200" s="20" t="s">
        <v>2099</v>
      </c>
      <c r="AD200" s="20" t="s">
        <v>2112</v>
      </c>
      <c r="AE200" s="20" t="s">
        <v>2527</v>
      </c>
      <c r="AF200" s="20" t="s">
        <v>2307</v>
      </c>
      <c r="AG200" s="20" t="s">
        <v>835</v>
      </c>
      <c r="AH200" s="20">
        <v>5</v>
      </c>
      <c r="AI200" s="20">
        <v>5</v>
      </c>
      <c r="AJ200" s="20" t="s">
        <v>592</v>
      </c>
      <c r="AL200" s="20" t="s">
        <v>1147</v>
      </c>
      <c r="AM200" s="20" t="s">
        <v>29</v>
      </c>
      <c r="AN200" s="20" t="s">
        <v>2464</v>
      </c>
      <c r="AO200" s="20" t="s">
        <v>2164</v>
      </c>
      <c r="AP200" s="20" t="s">
        <v>628</v>
      </c>
      <c r="AQ200" s="20">
        <v>10</v>
      </c>
      <c r="AR200" s="20">
        <v>9</v>
      </c>
      <c r="AS200" s="20" t="s">
        <v>592</v>
      </c>
    </row>
    <row r="201" spans="2:45" ht="15.75" customHeight="1" x14ac:dyDescent="0.2">
      <c r="B201" s="20" t="s">
        <v>1155</v>
      </c>
      <c r="C201" s="20" t="s">
        <v>657</v>
      </c>
      <c r="D201" s="20" t="s">
        <v>480</v>
      </c>
      <c r="E201" s="20" t="s">
        <v>1087</v>
      </c>
      <c r="F201" s="20" t="s">
        <v>628</v>
      </c>
      <c r="G201" s="20">
        <v>10</v>
      </c>
      <c r="H201" s="20">
        <v>1</v>
      </c>
      <c r="I201" s="20" t="s">
        <v>592</v>
      </c>
      <c r="K201" s="20" t="s">
        <v>1147</v>
      </c>
      <c r="L201" s="20" t="s">
        <v>70</v>
      </c>
      <c r="M201" s="20" t="s">
        <v>1634</v>
      </c>
      <c r="N201" s="20" t="s">
        <v>1635</v>
      </c>
      <c r="O201" s="20" t="s">
        <v>628</v>
      </c>
      <c r="P201" s="20">
        <v>10</v>
      </c>
      <c r="Q201" s="20">
        <v>8</v>
      </c>
      <c r="R201" s="20" t="s">
        <v>592</v>
      </c>
      <c r="T201" s="20" t="s">
        <v>1143</v>
      </c>
      <c r="U201" s="20" t="s">
        <v>706</v>
      </c>
      <c r="V201" s="20" t="s">
        <v>403</v>
      </c>
      <c r="W201" s="20" t="s">
        <v>899</v>
      </c>
      <c r="X201" s="20" t="s">
        <v>835</v>
      </c>
      <c r="Y201" s="20">
        <v>5</v>
      </c>
      <c r="Z201" s="20">
        <v>5</v>
      </c>
      <c r="AA201" s="20" t="s">
        <v>592</v>
      </c>
      <c r="AC201" s="20" t="s">
        <v>1154</v>
      </c>
      <c r="AD201" s="20" t="s">
        <v>1152</v>
      </c>
      <c r="AE201" s="20" t="s">
        <v>1864</v>
      </c>
      <c r="AF201" s="20" t="s">
        <v>2633</v>
      </c>
      <c r="AG201" s="20" t="s">
        <v>628</v>
      </c>
      <c r="AH201" s="20">
        <v>10</v>
      </c>
      <c r="AI201" s="20">
        <v>2</v>
      </c>
      <c r="AJ201" s="20" t="s">
        <v>593</v>
      </c>
      <c r="AL201" s="20" t="s">
        <v>1147</v>
      </c>
      <c r="AM201" s="20" t="s">
        <v>29</v>
      </c>
      <c r="AN201" s="20" t="s">
        <v>1794</v>
      </c>
      <c r="AO201" s="20" t="s">
        <v>2966</v>
      </c>
      <c r="AP201" s="20" t="s">
        <v>628</v>
      </c>
      <c r="AQ201" s="20">
        <v>10</v>
      </c>
      <c r="AR201" s="20">
        <v>3</v>
      </c>
      <c r="AS201" s="20" t="s">
        <v>593</v>
      </c>
    </row>
    <row r="202" spans="2:45" ht="15.75" customHeight="1" x14ac:dyDescent="0.2">
      <c r="B202" s="20" t="s">
        <v>1158</v>
      </c>
      <c r="C202" s="20" t="s">
        <v>291</v>
      </c>
      <c r="D202" s="20" t="s">
        <v>495</v>
      </c>
      <c r="E202" s="20" t="s">
        <v>1272</v>
      </c>
      <c r="F202" s="20" t="s">
        <v>835</v>
      </c>
      <c r="G202" s="20">
        <v>5</v>
      </c>
      <c r="H202" s="20">
        <v>1</v>
      </c>
      <c r="I202" s="20" t="s">
        <v>593</v>
      </c>
      <c r="K202" s="20" t="s">
        <v>1147</v>
      </c>
      <c r="L202" s="20" t="s">
        <v>70</v>
      </c>
      <c r="M202" s="20" t="s">
        <v>1636</v>
      </c>
      <c r="N202" s="20" t="s">
        <v>1635</v>
      </c>
      <c r="O202" s="20" t="s">
        <v>628</v>
      </c>
      <c r="P202" s="20">
        <v>10</v>
      </c>
      <c r="Q202" s="20">
        <v>1</v>
      </c>
      <c r="R202" s="20" t="s">
        <v>592</v>
      </c>
      <c r="T202" s="20" t="s">
        <v>1143</v>
      </c>
      <c r="U202" s="20" t="s">
        <v>689</v>
      </c>
      <c r="V202" s="20" t="s">
        <v>1589</v>
      </c>
      <c r="W202" s="20" t="s">
        <v>2185</v>
      </c>
      <c r="X202" s="20" t="s">
        <v>835</v>
      </c>
      <c r="Y202" s="20">
        <v>5</v>
      </c>
      <c r="Z202" s="20">
        <v>1</v>
      </c>
      <c r="AA202" s="20" t="s">
        <v>593</v>
      </c>
      <c r="AC202" s="20" t="s">
        <v>646</v>
      </c>
      <c r="AD202" s="20" t="s">
        <v>246</v>
      </c>
      <c r="AE202" s="20" t="s">
        <v>368</v>
      </c>
      <c r="AF202" s="20" t="s">
        <v>995</v>
      </c>
      <c r="AG202" s="20" t="s">
        <v>835</v>
      </c>
      <c r="AH202" s="20">
        <v>5</v>
      </c>
      <c r="AI202" s="20">
        <v>5</v>
      </c>
      <c r="AJ202" s="20" t="s">
        <v>592</v>
      </c>
      <c r="AL202" s="20" t="s">
        <v>1147</v>
      </c>
      <c r="AM202" s="20" t="s">
        <v>29</v>
      </c>
      <c r="AN202" s="20" t="s">
        <v>420</v>
      </c>
      <c r="AO202" s="20" t="s">
        <v>820</v>
      </c>
      <c r="AP202" s="20" t="s">
        <v>628</v>
      </c>
      <c r="AQ202" s="20">
        <v>10</v>
      </c>
      <c r="AR202" s="20">
        <v>8</v>
      </c>
      <c r="AS202" s="20" t="s">
        <v>592</v>
      </c>
    </row>
    <row r="203" spans="2:45" ht="15.75" customHeight="1" x14ac:dyDescent="0.2">
      <c r="B203" s="20" t="s">
        <v>1158</v>
      </c>
      <c r="C203" s="20" t="s">
        <v>925</v>
      </c>
      <c r="D203" s="20" t="s">
        <v>896</v>
      </c>
      <c r="E203" s="20" t="s">
        <v>913</v>
      </c>
      <c r="F203" s="20" t="s">
        <v>835</v>
      </c>
      <c r="G203" s="20">
        <v>5</v>
      </c>
      <c r="H203" s="20">
        <v>5</v>
      </c>
      <c r="I203" s="20" t="s">
        <v>592</v>
      </c>
      <c r="K203" s="20" t="s">
        <v>1163</v>
      </c>
      <c r="L203" s="20" t="s">
        <v>1165</v>
      </c>
      <c r="M203" s="20" t="s">
        <v>1261</v>
      </c>
      <c r="N203" s="20" t="s">
        <v>631</v>
      </c>
      <c r="O203" s="20" t="s">
        <v>835</v>
      </c>
      <c r="P203" s="20">
        <v>5</v>
      </c>
      <c r="Q203" s="20">
        <v>2</v>
      </c>
      <c r="R203" s="20" t="s">
        <v>593</v>
      </c>
      <c r="T203" s="20" t="s">
        <v>1163</v>
      </c>
      <c r="U203" s="20" t="s">
        <v>221</v>
      </c>
      <c r="V203" s="20" t="s">
        <v>1572</v>
      </c>
      <c r="W203" s="20" t="s">
        <v>1571</v>
      </c>
      <c r="X203" s="20" t="s">
        <v>628</v>
      </c>
      <c r="Y203" s="20">
        <v>10</v>
      </c>
      <c r="Z203" s="20">
        <v>1</v>
      </c>
      <c r="AA203" s="20" t="s">
        <v>593</v>
      </c>
      <c r="AC203" s="20" t="s">
        <v>646</v>
      </c>
      <c r="AD203" s="20" t="s">
        <v>285</v>
      </c>
      <c r="AE203" s="20" t="s">
        <v>877</v>
      </c>
      <c r="AF203" s="20" t="s">
        <v>2634</v>
      </c>
      <c r="AG203" s="20" t="s">
        <v>835</v>
      </c>
      <c r="AH203" s="20">
        <v>5</v>
      </c>
      <c r="AI203" s="20">
        <v>1</v>
      </c>
      <c r="AJ203" s="20" t="s">
        <v>593</v>
      </c>
      <c r="AL203" s="20" t="s">
        <v>1147</v>
      </c>
      <c r="AM203" s="20" t="s">
        <v>29</v>
      </c>
      <c r="AN203" s="20" t="s">
        <v>1792</v>
      </c>
      <c r="AO203" s="20" t="s">
        <v>1791</v>
      </c>
      <c r="AP203" s="20" t="s">
        <v>628</v>
      </c>
      <c r="AQ203" s="20">
        <v>10</v>
      </c>
      <c r="AR203" s="20">
        <v>8</v>
      </c>
      <c r="AS203" s="20" t="s">
        <v>592</v>
      </c>
    </row>
    <row r="204" spans="2:45" ht="15.75" customHeight="1" x14ac:dyDescent="0.2">
      <c r="B204" s="20" t="s">
        <v>1158</v>
      </c>
      <c r="C204" s="20" t="s">
        <v>291</v>
      </c>
      <c r="D204" s="20" t="s">
        <v>744</v>
      </c>
      <c r="E204" s="20" t="s">
        <v>1273</v>
      </c>
      <c r="F204" s="20" t="s">
        <v>835</v>
      </c>
      <c r="G204" s="20">
        <v>5</v>
      </c>
      <c r="H204" s="20">
        <v>5</v>
      </c>
      <c r="I204" s="20" t="s">
        <v>592</v>
      </c>
      <c r="K204" s="20" t="s">
        <v>1144</v>
      </c>
      <c r="L204" s="20" t="s">
        <v>707</v>
      </c>
      <c r="M204" s="20" t="s">
        <v>1027</v>
      </c>
      <c r="N204" s="20" t="s">
        <v>846</v>
      </c>
      <c r="O204" s="20" t="s">
        <v>835</v>
      </c>
      <c r="P204" s="20">
        <v>5</v>
      </c>
      <c r="Q204" s="20">
        <v>5</v>
      </c>
      <c r="R204" s="20" t="s">
        <v>592</v>
      </c>
      <c r="T204" s="20" t="s">
        <v>640</v>
      </c>
      <c r="U204" s="20" t="s">
        <v>31</v>
      </c>
      <c r="V204" s="20" t="s">
        <v>571</v>
      </c>
      <c r="W204" s="20" t="s">
        <v>845</v>
      </c>
      <c r="X204" s="20" t="s">
        <v>835</v>
      </c>
      <c r="Y204" s="20">
        <v>5</v>
      </c>
      <c r="Z204" s="20">
        <v>6</v>
      </c>
      <c r="AA204" s="20" t="s">
        <v>592</v>
      </c>
      <c r="AC204" s="20" t="s">
        <v>1144</v>
      </c>
      <c r="AD204" s="20" t="s">
        <v>249</v>
      </c>
      <c r="AE204" s="20" t="s">
        <v>436</v>
      </c>
      <c r="AF204" s="20" t="s">
        <v>1002</v>
      </c>
      <c r="AG204" s="20" t="s">
        <v>835</v>
      </c>
      <c r="AH204" s="20">
        <v>5</v>
      </c>
      <c r="AI204" s="20">
        <v>5</v>
      </c>
      <c r="AJ204" s="20" t="s">
        <v>592</v>
      </c>
      <c r="AL204" s="20" t="s">
        <v>1147</v>
      </c>
      <c r="AM204" s="20" t="s">
        <v>29</v>
      </c>
      <c r="AN204" s="20" t="s">
        <v>2557</v>
      </c>
      <c r="AO204" s="20" t="s">
        <v>2967</v>
      </c>
      <c r="AP204" s="20" t="s">
        <v>628</v>
      </c>
      <c r="AQ204" s="20">
        <v>10</v>
      </c>
      <c r="AR204" s="20">
        <v>14</v>
      </c>
      <c r="AS204" s="20" t="s">
        <v>592</v>
      </c>
    </row>
    <row r="205" spans="2:45" ht="15.75" customHeight="1" x14ac:dyDescent="0.2">
      <c r="B205" s="20" t="s">
        <v>1158</v>
      </c>
      <c r="C205" s="20" t="s">
        <v>925</v>
      </c>
      <c r="D205" s="20" t="s">
        <v>532</v>
      </c>
      <c r="E205" s="20" t="s">
        <v>1128</v>
      </c>
      <c r="F205" s="20" t="s">
        <v>835</v>
      </c>
      <c r="G205" s="20">
        <v>5</v>
      </c>
      <c r="H205" s="20">
        <v>6</v>
      </c>
      <c r="I205" s="20" t="s">
        <v>592</v>
      </c>
      <c r="K205" s="20" t="s">
        <v>1155</v>
      </c>
      <c r="L205" s="20" t="s">
        <v>657</v>
      </c>
      <c r="M205" s="20" t="s">
        <v>878</v>
      </c>
      <c r="N205" s="20" t="s">
        <v>481</v>
      </c>
      <c r="O205" s="20" t="s">
        <v>835</v>
      </c>
      <c r="P205" s="20">
        <v>5</v>
      </c>
      <c r="Q205" s="20">
        <v>3</v>
      </c>
      <c r="R205" s="20" t="s">
        <v>593</v>
      </c>
      <c r="T205" s="20" t="s">
        <v>640</v>
      </c>
      <c r="U205" s="20" t="s">
        <v>705</v>
      </c>
      <c r="V205" s="20" t="s">
        <v>1475</v>
      </c>
      <c r="W205" s="20" t="s">
        <v>1474</v>
      </c>
      <c r="X205" s="20" t="s">
        <v>835</v>
      </c>
      <c r="Y205" s="20">
        <v>5</v>
      </c>
      <c r="Z205" s="20">
        <v>1</v>
      </c>
      <c r="AA205" s="20" t="s">
        <v>593</v>
      </c>
      <c r="AC205" s="20" t="s">
        <v>1163</v>
      </c>
      <c r="AD205" s="20" t="s">
        <v>299</v>
      </c>
      <c r="AE205" s="20" t="s">
        <v>362</v>
      </c>
      <c r="AF205" s="20" t="s">
        <v>2266</v>
      </c>
      <c r="AG205" s="20" t="s">
        <v>628</v>
      </c>
      <c r="AH205" s="20">
        <v>10</v>
      </c>
      <c r="AI205" s="20">
        <v>4</v>
      </c>
      <c r="AJ205" s="20" t="s">
        <v>593</v>
      </c>
      <c r="AL205" s="20" t="s">
        <v>1147</v>
      </c>
      <c r="AM205" s="20" t="s">
        <v>29</v>
      </c>
      <c r="AN205" s="20" t="s">
        <v>1548</v>
      </c>
      <c r="AO205" s="20" t="s">
        <v>1547</v>
      </c>
      <c r="AP205" s="20" t="s">
        <v>628</v>
      </c>
      <c r="AQ205" s="20">
        <v>10</v>
      </c>
      <c r="AR205" s="20">
        <v>11</v>
      </c>
      <c r="AS205" s="20" t="s">
        <v>592</v>
      </c>
    </row>
    <row r="206" spans="2:45" ht="15.75" customHeight="1" x14ac:dyDescent="0.2">
      <c r="B206" s="20" t="s">
        <v>1158</v>
      </c>
      <c r="C206" s="20" t="s">
        <v>925</v>
      </c>
      <c r="D206" s="20" t="s">
        <v>534</v>
      </c>
      <c r="E206" s="20" t="s">
        <v>914</v>
      </c>
      <c r="F206" s="20" t="s">
        <v>835</v>
      </c>
      <c r="G206" s="20">
        <v>5</v>
      </c>
      <c r="H206" s="20">
        <v>5</v>
      </c>
      <c r="I206" s="20" t="s">
        <v>592</v>
      </c>
      <c r="K206" s="20" t="s">
        <v>1162</v>
      </c>
      <c r="L206" s="20" t="s">
        <v>240</v>
      </c>
      <c r="M206" s="20" t="s">
        <v>1637</v>
      </c>
      <c r="N206" s="20" t="s">
        <v>1638</v>
      </c>
      <c r="O206" s="20" t="s">
        <v>628</v>
      </c>
      <c r="P206" s="20">
        <v>10</v>
      </c>
      <c r="Q206" s="20">
        <v>7</v>
      </c>
      <c r="R206" s="20" t="s">
        <v>592</v>
      </c>
      <c r="T206" s="20" t="s">
        <v>640</v>
      </c>
      <c r="U206" s="20" t="s">
        <v>705</v>
      </c>
      <c r="V206" s="20" t="s">
        <v>1551</v>
      </c>
      <c r="W206" s="20" t="s">
        <v>1550</v>
      </c>
      <c r="X206" s="20" t="s">
        <v>835</v>
      </c>
      <c r="Y206" s="20">
        <v>5</v>
      </c>
      <c r="Z206" s="20">
        <v>5</v>
      </c>
      <c r="AA206" s="20" t="s">
        <v>592</v>
      </c>
      <c r="AC206" s="20" t="s">
        <v>1144</v>
      </c>
      <c r="AD206" s="20" t="s">
        <v>804</v>
      </c>
      <c r="AE206" s="20" t="s">
        <v>958</v>
      </c>
      <c r="AF206" s="20" t="s">
        <v>2635</v>
      </c>
      <c r="AG206" s="20" t="s">
        <v>835</v>
      </c>
      <c r="AH206" s="20">
        <v>5</v>
      </c>
      <c r="AI206" s="20">
        <v>6</v>
      </c>
      <c r="AJ206" s="20" t="s">
        <v>592</v>
      </c>
      <c r="AL206" s="20" t="s">
        <v>1147</v>
      </c>
      <c r="AM206" s="20" t="s">
        <v>29</v>
      </c>
      <c r="AN206" s="20" t="s">
        <v>419</v>
      </c>
      <c r="AO206" s="20" t="s">
        <v>2968</v>
      </c>
      <c r="AP206" s="20" t="s">
        <v>628</v>
      </c>
      <c r="AQ206" s="20">
        <v>10</v>
      </c>
      <c r="AR206" s="20">
        <v>17</v>
      </c>
      <c r="AS206" s="20" t="s">
        <v>592</v>
      </c>
    </row>
    <row r="207" spans="2:45" ht="15.75" customHeight="1" x14ac:dyDescent="0.2">
      <c r="B207" s="20" t="s">
        <v>1158</v>
      </c>
      <c r="C207" s="20" t="s">
        <v>925</v>
      </c>
      <c r="D207" s="20" t="s">
        <v>533</v>
      </c>
      <c r="E207" s="20" t="s">
        <v>779</v>
      </c>
      <c r="F207" s="20" t="s">
        <v>835</v>
      </c>
      <c r="G207" s="20">
        <v>5</v>
      </c>
      <c r="H207" s="20">
        <v>6</v>
      </c>
      <c r="I207" s="20" t="s">
        <v>592</v>
      </c>
      <c r="K207" s="20" t="s">
        <v>1162</v>
      </c>
      <c r="L207" s="20" t="s">
        <v>240</v>
      </c>
      <c r="M207" s="20" t="s">
        <v>1639</v>
      </c>
      <c r="N207" s="20" t="s">
        <v>1638</v>
      </c>
      <c r="O207" s="20" t="s">
        <v>628</v>
      </c>
      <c r="P207" s="20">
        <v>10</v>
      </c>
      <c r="Q207" s="20">
        <v>1</v>
      </c>
      <c r="R207" s="20" t="s">
        <v>592</v>
      </c>
      <c r="T207" s="20" t="s">
        <v>1143</v>
      </c>
      <c r="U207" s="20" t="s">
        <v>689</v>
      </c>
      <c r="V207" s="20" t="s">
        <v>1660</v>
      </c>
      <c r="W207" s="20" t="s">
        <v>1659</v>
      </c>
      <c r="X207" s="20" t="s">
        <v>835</v>
      </c>
      <c r="Y207" s="20">
        <v>5</v>
      </c>
      <c r="Z207" s="20">
        <v>2</v>
      </c>
      <c r="AA207" s="20" t="s">
        <v>593</v>
      </c>
      <c r="AC207" s="20" t="s">
        <v>646</v>
      </c>
      <c r="AD207" s="20" t="s">
        <v>1109</v>
      </c>
      <c r="AE207" s="20" t="s">
        <v>375</v>
      </c>
      <c r="AF207" s="20" t="s">
        <v>1808</v>
      </c>
      <c r="AG207" s="20" t="s">
        <v>628</v>
      </c>
      <c r="AH207" s="20">
        <v>10</v>
      </c>
      <c r="AI207" s="20">
        <v>1</v>
      </c>
      <c r="AJ207" s="20" t="s">
        <v>593</v>
      </c>
      <c r="AL207" s="20" t="s">
        <v>1147</v>
      </c>
      <c r="AM207" s="20" t="s">
        <v>29</v>
      </c>
      <c r="AN207" s="20" t="s">
        <v>419</v>
      </c>
      <c r="AO207" s="20" t="s">
        <v>2358</v>
      </c>
      <c r="AP207" s="20" t="s">
        <v>628</v>
      </c>
      <c r="AQ207" s="20">
        <v>10</v>
      </c>
      <c r="AR207" s="20">
        <v>9</v>
      </c>
      <c r="AS207" s="20" t="s">
        <v>592</v>
      </c>
    </row>
    <row r="208" spans="2:45" ht="15.75" customHeight="1" x14ac:dyDescent="0.2">
      <c r="B208" s="20" t="s">
        <v>1144</v>
      </c>
      <c r="C208" s="20" t="s">
        <v>313</v>
      </c>
      <c r="D208" s="20" t="s">
        <v>529</v>
      </c>
      <c r="E208" s="20" t="s">
        <v>1034</v>
      </c>
      <c r="F208" s="20" t="s">
        <v>835</v>
      </c>
      <c r="G208" s="20">
        <v>5</v>
      </c>
      <c r="H208" s="20">
        <v>6</v>
      </c>
      <c r="I208" s="20" t="s">
        <v>592</v>
      </c>
      <c r="K208" s="20" t="s">
        <v>640</v>
      </c>
      <c r="L208" s="20" t="s">
        <v>705</v>
      </c>
      <c r="M208" s="20" t="s">
        <v>1640</v>
      </c>
      <c r="N208" s="20" t="s">
        <v>1641</v>
      </c>
      <c r="O208" s="20" t="s">
        <v>835</v>
      </c>
      <c r="P208" s="20">
        <v>5</v>
      </c>
      <c r="Q208" s="20">
        <v>10</v>
      </c>
      <c r="R208" s="20" t="s">
        <v>592</v>
      </c>
      <c r="T208" s="20" t="s">
        <v>1144</v>
      </c>
      <c r="U208" s="20" t="s">
        <v>313</v>
      </c>
      <c r="V208" s="20" t="s">
        <v>1814</v>
      </c>
      <c r="W208" s="20" t="s">
        <v>2186</v>
      </c>
      <c r="X208" s="20" t="s">
        <v>835</v>
      </c>
      <c r="Y208" s="20">
        <v>5</v>
      </c>
      <c r="Z208" s="20">
        <v>6</v>
      </c>
      <c r="AA208" s="20" t="s">
        <v>592</v>
      </c>
      <c r="AC208" s="20" t="s">
        <v>646</v>
      </c>
      <c r="AD208" s="20" t="s">
        <v>285</v>
      </c>
      <c r="AE208" s="20" t="s">
        <v>425</v>
      </c>
      <c r="AF208" s="20" t="s">
        <v>2636</v>
      </c>
      <c r="AG208" s="20" t="s">
        <v>835</v>
      </c>
      <c r="AH208" s="20">
        <v>5</v>
      </c>
      <c r="AI208" s="20">
        <v>1</v>
      </c>
      <c r="AJ208" s="20" t="s">
        <v>593</v>
      </c>
      <c r="AL208" s="20" t="s">
        <v>1147</v>
      </c>
      <c r="AM208" s="20" t="s">
        <v>29</v>
      </c>
      <c r="AN208" s="20" t="s">
        <v>2465</v>
      </c>
      <c r="AO208" s="20" t="s">
        <v>2969</v>
      </c>
      <c r="AP208" s="20" t="s">
        <v>628</v>
      </c>
      <c r="AQ208" s="20">
        <v>10</v>
      </c>
      <c r="AR208" s="20">
        <v>1</v>
      </c>
      <c r="AS208" s="20" t="s">
        <v>593</v>
      </c>
    </row>
    <row r="209" spans="2:45" ht="15.75" customHeight="1" x14ac:dyDescent="0.2">
      <c r="B209" s="20" t="s">
        <v>1144</v>
      </c>
      <c r="C209" s="20" t="s">
        <v>249</v>
      </c>
      <c r="D209" s="20" t="s">
        <v>437</v>
      </c>
      <c r="E209" s="20" t="s">
        <v>1274</v>
      </c>
      <c r="F209" s="20" t="s">
        <v>628</v>
      </c>
      <c r="G209" s="20">
        <v>10</v>
      </c>
      <c r="H209" s="20">
        <v>4</v>
      </c>
      <c r="I209" s="20" t="s">
        <v>592</v>
      </c>
      <c r="K209" s="20" t="s">
        <v>1141</v>
      </c>
      <c r="L209" s="20" t="s">
        <v>787</v>
      </c>
      <c r="M209" s="20" t="s">
        <v>1642</v>
      </c>
      <c r="N209" s="20" t="s">
        <v>1643</v>
      </c>
      <c r="O209" s="20" t="s">
        <v>835</v>
      </c>
      <c r="P209" s="20">
        <v>5</v>
      </c>
      <c r="Q209" s="20">
        <v>1</v>
      </c>
      <c r="R209" s="20" t="s">
        <v>593</v>
      </c>
      <c r="T209" s="20" t="s">
        <v>1162</v>
      </c>
      <c r="U209" s="20" t="s">
        <v>240</v>
      </c>
      <c r="V209" s="20" t="s">
        <v>364</v>
      </c>
      <c r="W209" s="20" t="s">
        <v>626</v>
      </c>
      <c r="X209" s="20" t="s">
        <v>835</v>
      </c>
      <c r="Y209" s="20">
        <v>5</v>
      </c>
      <c r="Z209" s="20">
        <v>5</v>
      </c>
      <c r="AA209" s="20" t="s">
        <v>592</v>
      </c>
      <c r="AC209" s="20" t="s">
        <v>1163</v>
      </c>
      <c r="AD209" s="20" t="s">
        <v>2091</v>
      </c>
      <c r="AE209" s="20" t="s">
        <v>760</v>
      </c>
      <c r="AF209" s="20" t="s">
        <v>2637</v>
      </c>
      <c r="AG209" s="20" t="s">
        <v>628</v>
      </c>
      <c r="AH209" s="20">
        <v>10</v>
      </c>
      <c r="AI209" s="20">
        <v>1</v>
      </c>
      <c r="AJ209" s="20" t="s">
        <v>593</v>
      </c>
      <c r="AL209" s="20" t="s">
        <v>1147</v>
      </c>
      <c r="AM209" s="20" t="s">
        <v>29</v>
      </c>
      <c r="AN209" s="20" t="s">
        <v>2465</v>
      </c>
      <c r="AO209" s="20" t="s">
        <v>2167</v>
      </c>
      <c r="AP209" s="20" t="s">
        <v>628</v>
      </c>
      <c r="AQ209" s="20">
        <v>10</v>
      </c>
      <c r="AR209" s="20">
        <v>1</v>
      </c>
      <c r="AS209" s="20" t="s">
        <v>593</v>
      </c>
    </row>
    <row r="210" spans="2:45" ht="15.75" customHeight="1" x14ac:dyDescent="0.2">
      <c r="B210" s="20" t="s">
        <v>1144</v>
      </c>
      <c r="C210" s="20" t="s">
        <v>249</v>
      </c>
      <c r="D210" s="20" t="s">
        <v>437</v>
      </c>
      <c r="E210" s="20" t="s">
        <v>1275</v>
      </c>
      <c r="F210" s="20" t="s">
        <v>628</v>
      </c>
      <c r="G210" s="20">
        <v>10</v>
      </c>
      <c r="H210" s="20">
        <v>4</v>
      </c>
      <c r="I210" s="20" t="s">
        <v>592</v>
      </c>
      <c r="K210" s="20" t="s">
        <v>1163</v>
      </c>
      <c r="L210" s="20" t="s">
        <v>221</v>
      </c>
      <c r="M210" s="20" t="s">
        <v>1644</v>
      </c>
      <c r="N210" s="20" t="s">
        <v>1645</v>
      </c>
      <c r="O210" s="20" t="s">
        <v>835</v>
      </c>
      <c r="P210" s="20">
        <v>5</v>
      </c>
      <c r="Q210" s="20">
        <v>5</v>
      </c>
      <c r="R210" s="20" t="s">
        <v>592</v>
      </c>
      <c r="T210" s="20" t="s">
        <v>646</v>
      </c>
      <c r="U210" s="20" t="s">
        <v>209</v>
      </c>
      <c r="V210" s="20" t="s">
        <v>411</v>
      </c>
      <c r="W210" s="20" t="s">
        <v>1536</v>
      </c>
      <c r="X210" s="20" t="s">
        <v>835</v>
      </c>
      <c r="Y210" s="20">
        <v>5</v>
      </c>
      <c r="Z210" s="20">
        <v>7</v>
      </c>
      <c r="AA210" s="20" t="s">
        <v>592</v>
      </c>
      <c r="AC210" s="20" t="s">
        <v>1161</v>
      </c>
      <c r="AD210" s="20" t="s">
        <v>41</v>
      </c>
      <c r="AE210" s="20" t="s">
        <v>2541</v>
      </c>
      <c r="AF210" s="20" t="s">
        <v>2638</v>
      </c>
      <c r="AG210" s="20" t="s">
        <v>835</v>
      </c>
      <c r="AH210" s="20">
        <v>5</v>
      </c>
      <c r="AI210" s="20">
        <v>5</v>
      </c>
      <c r="AJ210" s="20" t="s">
        <v>592</v>
      </c>
      <c r="AL210" s="20" t="s">
        <v>1147</v>
      </c>
      <c r="AM210" s="20" t="s">
        <v>699</v>
      </c>
      <c r="AN210" s="20" t="s">
        <v>448</v>
      </c>
      <c r="AO210" s="20" t="s">
        <v>1294</v>
      </c>
      <c r="AP210" s="20" t="s">
        <v>628</v>
      </c>
      <c r="AQ210" s="20">
        <v>10</v>
      </c>
      <c r="AR210" s="20">
        <v>29</v>
      </c>
      <c r="AS210" s="20" t="s">
        <v>592</v>
      </c>
    </row>
    <row r="211" spans="2:45" ht="15.75" customHeight="1" x14ac:dyDescent="0.2">
      <c r="B211" s="20" t="s">
        <v>640</v>
      </c>
      <c r="C211" s="20" t="s">
        <v>248</v>
      </c>
      <c r="D211" s="20" t="s">
        <v>635</v>
      </c>
      <c r="E211" s="20" t="s">
        <v>1006</v>
      </c>
      <c r="F211" s="20" t="s">
        <v>835</v>
      </c>
      <c r="G211" s="20">
        <v>5</v>
      </c>
      <c r="H211" s="20">
        <v>5</v>
      </c>
      <c r="I211" s="20" t="s">
        <v>592</v>
      </c>
      <c r="K211" s="20" t="s">
        <v>1161</v>
      </c>
      <c r="L211" s="20" t="s">
        <v>659</v>
      </c>
      <c r="M211" s="20" t="s">
        <v>1646</v>
      </c>
      <c r="N211" s="20" t="s">
        <v>391</v>
      </c>
      <c r="O211" s="20" t="s">
        <v>628</v>
      </c>
      <c r="P211" s="20">
        <v>10</v>
      </c>
      <c r="Q211" s="20">
        <v>2</v>
      </c>
      <c r="R211" s="20" t="s">
        <v>593</v>
      </c>
      <c r="T211" s="20" t="s">
        <v>1144</v>
      </c>
      <c r="U211" s="20" t="s">
        <v>23</v>
      </c>
      <c r="V211" s="20" t="s">
        <v>543</v>
      </c>
      <c r="W211" s="20" t="s">
        <v>1369</v>
      </c>
      <c r="X211" s="20" t="s">
        <v>835</v>
      </c>
      <c r="Y211" s="20">
        <v>5</v>
      </c>
      <c r="Z211" s="20">
        <v>5</v>
      </c>
      <c r="AA211" s="20" t="s">
        <v>592</v>
      </c>
      <c r="AC211" s="20" t="s">
        <v>1161</v>
      </c>
      <c r="AD211" s="20" t="s">
        <v>41</v>
      </c>
      <c r="AE211" s="20" t="s">
        <v>535</v>
      </c>
      <c r="AF211" s="20" t="s">
        <v>1094</v>
      </c>
      <c r="AG211" s="20" t="s">
        <v>628</v>
      </c>
      <c r="AH211" s="20">
        <v>10</v>
      </c>
      <c r="AI211" s="20">
        <v>9</v>
      </c>
      <c r="AJ211" s="20" t="s">
        <v>592</v>
      </c>
      <c r="AL211" s="20" t="s">
        <v>1147</v>
      </c>
      <c r="AM211" s="20" t="s">
        <v>699</v>
      </c>
      <c r="AN211" s="20" t="s">
        <v>613</v>
      </c>
      <c r="AO211" s="20" t="s">
        <v>1789</v>
      </c>
      <c r="AP211" s="20" t="s">
        <v>628</v>
      </c>
      <c r="AQ211" s="20">
        <v>10</v>
      </c>
      <c r="AR211" s="20">
        <v>16</v>
      </c>
      <c r="AS211" s="20" t="s">
        <v>592</v>
      </c>
    </row>
    <row r="212" spans="2:45" ht="15.75" customHeight="1" x14ac:dyDescent="0.2">
      <c r="B212" s="20" t="s">
        <v>640</v>
      </c>
      <c r="C212" s="20" t="s">
        <v>248</v>
      </c>
      <c r="D212" s="20" t="s">
        <v>635</v>
      </c>
      <c r="E212" s="20" t="s">
        <v>1069</v>
      </c>
      <c r="F212" s="20" t="s">
        <v>835</v>
      </c>
      <c r="G212" s="20">
        <v>5</v>
      </c>
      <c r="H212" s="20">
        <v>1</v>
      </c>
      <c r="I212" s="20" t="s">
        <v>592</v>
      </c>
      <c r="K212" s="20" t="s">
        <v>1141</v>
      </c>
      <c r="L212" s="20" t="s">
        <v>780</v>
      </c>
      <c r="M212" s="20" t="s">
        <v>1647</v>
      </c>
      <c r="N212" s="20" t="s">
        <v>1648</v>
      </c>
      <c r="O212" s="20" t="s">
        <v>835</v>
      </c>
      <c r="P212" s="20">
        <v>5</v>
      </c>
      <c r="Q212" s="20">
        <v>4</v>
      </c>
      <c r="R212" s="20" t="s">
        <v>593</v>
      </c>
      <c r="T212" s="20" t="s">
        <v>640</v>
      </c>
      <c r="U212" s="20" t="s">
        <v>191</v>
      </c>
      <c r="V212" s="20" t="s">
        <v>1842</v>
      </c>
      <c r="W212" s="20" t="s">
        <v>2020</v>
      </c>
      <c r="X212" s="20" t="s">
        <v>835</v>
      </c>
      <c r="Y212" s="20">
        <v>5</v>
      </c>
      <c r="Z212" s="20">
        <v>4</v>
      </c>
      <c r="AA212" s="20" t="s">
        <v>592</v>
      </c>
      <c r="AC212" s="20" t="s">
        <v>1161</v>
      </c>
      <c r="AD212" s="20" t="s">
        <v>765</v>
      </c>
      <c r="AE212" s="20" t="s">
        <v>1782</v>
      </c>
      <c r="AF212" s="20" t="s">
        <v>2440</v>
      </c>
      <c r="AG212" s="20" t="s">
        <v>628</v>
      </c>
      <c r="AH212" s="20">
        <v>10</v>
      </c>
      <c r="AI212" s="20">
        <v>13</v>
      </c>
      <c r="AJ212" s="20" t="s">
        <v>592</v>
      </c>
      <c r="AL212" s="20" t="s">
        <v>1147</v>
      </c>
      <c r="AM212" s="20" t="s">
        <v>699</v>
      </c>
      <c r="AN212" s="20" t="s">
        <v>1788</v>
      </c>
      <c r="AO212" s="20" t="s">
        <v>1787</v>
      </c>
      <c r="AP212" s="20" t="s">
        <v>628</v>
      </c>
      <c r="AQ212" s="20">
        <v>10</v>
      </c>
      <c r="AR212" s="20">
        <v>12</v>
      </c>
      <c r="AS212" s="20" t="s">
        <v>592</v>
      </c>
    </row>
    <row r="213" spans="2:45" ht="15.75" customHeight="1" x14ac:dyDescent="0.2">
      <c r="B213" s="20" t="s">
        <v>1155</v>
      </c>
      <c r="C213" s="20" t="s">
        <v>1156</v>
      </c>
      <c r="D213" s="20" t="s">
        <v>615</v>
      </c>
      <c r="E213" s="20" t="s">
        <v>1276</v>
      </c>
      <c r="F213" s="20" t="s">
        <v>628</v>
      </c>
      <c r="G213" s="20">
        <v>10</v>
      </c>
      <c r="H213" s="20">
        <v>9</v>
      </c>
      <c r="I213" s="20" t="s">
        <v>592</v>
      </c>
      <c r="K213" s="20" t="s">
        <v>1158</v>
      </c>
      <c r="L213" s="20" t="s">
        <v>726</v>
      </c>
      <c r="M213" s="20" t="s">
        <v>1649</v>
      </c>
      <c r="N213" s="20" t="s">
        <v>1650</v>
      </c>
      <c r="O213" s="20" t="s">
        <v>835</v>
      </c>
      <c r="P213" s="20">
        <v>5</v>
      </c>
      <c r="Q213" s="20">
        <v>5</v>
      </c>
      <c r="R213" s="20" t="s">
        <v>592</v>
      </c>
      <c r="T213" s="20" t="s">
        <v>640</v>
      </c>
      <c r="U213" s="20" t="s">
        <v>191</v>
      </c>
      <c r="V213" s="20" t="s">
        <v>1842</v>
      </c>
      <c r="W213" s="20" t="s">
        <v>2187</v>
      </c>
      <c r="X213" s="20" t="s">
        <v>835</v>
      </c>
      <c r="Y213" s="20">
        <v>5</v>
      </c>
      <c r="Z213" s="20">
        <v>1</v>
      </c>
      <c r="AA213" s="20" t="s">
        <v>592</v>
      </c>
      <c r="AC213" s="20" t="s">
        <v>1161</v>
      </c>
      <c r="AD213" s="20" t="s">
        <v>765</v>
      </c>
      <c r="AE213" s="20" t="s">
        <v>466</v>
      </c>
      <c r="AF213" s="20" t="s">
        <v>2210</v>
      </c>
      <c r="AG213" s="20" t="s">
        <v>628</v>
      </c>
      <c r="AH213" s="20">
        <v>10</v>
      </c>
      <c r="AI213" s="20">
        <v>1</v>
      </c>
      <c r="AJ213" s="20" t="s">
        <v>593</v>
      </c>
      <c r="AL213" s="20" t="s">
        <v>1147</v>
      </c>
      <c r="AM213" s="20" t="s">
        <v>699</v>
      </c>
      <c r="AN213" s="20" t="s">
        <v>712</v>
      </c>
      <c r="AO213" s="20" t="s">
        <v>785</v>
      </c>
      <c r="AP213" s="20" t="s">
        <v>628</v>
      </c>
      <c r="AQ213" s="20">
        <v>10</v>
      </c>
      <c r="AR213" s="20">
        <v>22</v>
      </c>
      <c r="AS213" s="20" t="s">
        <v>592</v>
      </c>
    </row>
    <row r="214" spans="2:45" ht="15.75" customHeight="1" x14ac:dyDescent="0.2">
      <c r="B214" s="20" t="s">
        <v>1155</v>
      </c>
      <c r="C214" s="20" t="s">
        <v>1156</v>
      </c>
      <c r="D214" s="20" t="s">
        <v>519</v>
      </c>
      <c r="E214" s="20" t="s">
        <v>1277</v>
      </c>
      <c r="F214" s="20" t="s">
        <v>628</v>
      </c>
      <c r="G214" s="20">
        <v>10</v>
      </c>
      <c r="H214" s="20">
        <v>8</v>
      </c>
      <c r="I214" s="20" t="s">
        <v>592</v>
      </c>
      <c r="K214" s="20" t="s">
        <v>1154</v>
      </c>
      <c r="L214" s="20" t="s">
        <v>335</v>
      </c>
      <c r="M214" s="20" t="s">
        <v>1029</v>
      </c>
      <c r="N214" s="20" t="s">
        <v>575</v>
      </c>
      <c r="O214" s="20" t="s">
        <v>628</v>
      </c>
      <c r="P214" s="20">
        <v>10</v>
      </c>
      <c r="Q214" s="20">
        <v>1</v>
      </c>
      <c r="R214" s="20" t="s">
        <v>593</v>
      </c>
      <c r="T214" s="20" t="s">
        <v>646</v>
      </c>
      <c r="U214" s="20" t="s">
        <v>246</v>
      </c>
      <c r="V214" s="20" t="s">
        <v>1880</v>
      </c>
      <c r="W214" s="20" t="s">
        <v>1879</v>
      </c>
      <c r="X214" s="20" t="s">
        <v>835</v>
      </c>
      <c r="Y214" s="20">
        <v>5</v>
      </c>
      <c r="Z214" s="20">
        <v>1</v>
      </c>
      <c r="AA214" s="20" t="s">
        <v>593</v>
      </c>
      <c r="AC214" s="20" t="s">
        <v>1161</v>
      </c>
      <c r="AD214" s="20" t="s">
        <v>765</v>
      </c>
      <c r="AE214" s="20" t="s">
        <v>858</v>
      </c>
      <c r="AF214" s="20" t="s">
        <v>2639</v>
      </c>
      <c r="AG214" s="20" t="s">
        <v>628</v>
      </c>
      <c r="AH214" s="20">
        <v>10</v>
      </c>
      <c r="AI214" s="20">
        <v>8</v>
      </c>
      <c r="AJ214" s="20" t="s">
        <v>592</v>
      </c>
      <c r="AL214" s="20" t="s">
        <v>1147</v>
      </c>
      <c r="AM214" s="20" t="s">
        <v>699</v>
      </c>
      <c r="AN214" s="20" t="s">
        <v>489</v>
      </c>
      <c r="AO214" s="20" t="s">
        <v>1282</v>
      </c>
      <c r="AP214" s="20" t="s">
        <v>628</v>
      </c>
      <c r="AQ214" s="20">
        <v>10</v>
      </c>
      <c r="AR214" s="20">
        <v>18</v>
      </c>
      <c r="AS214" s="20" t="s">
        <v>592</v>
      </c>
    </row>
    <row r="215" spans="2:45" ht="15.75" customHeight="1" x14ac:dyDescent="0.2">
      <c r="B215" s="20" t="s">
        <v>1158</v>
      </c>
      <c r="C215" s="20" t="s">
        <v>1073</v>
      </c>
      <c r="D215" s="20" t="s">
        <v>867</v>
      </c>
      <c r="E215" s="20" t="s">
        <v>1278</v>
      </c>
      <c r="F215" s="20" t="s">
        <v>835</v>
      </c>
      <c r="G215" s="20">
        <v>5</v>
      </c>
      <c r="H215" s="20">
        <v>5</v>
      </c>
      <c r="I215" s="20" t="s">
        <v>592</v>
      </c>
      <c r="K215" s="20" t="s">
        <v>1149</v>
      </c>
      <c r="L215" s="20" t="s">
        <v>806</v>
      </c>
      <c r="M215" s="20" t="s">
        <v>1651</v>
      </c>
      <c r="N215" s="20" t="s">
        <v>1652</v>
      </c>
      <c r="O215" s="20" t="s">
        <v>835</v>
      </c>
      <c r="P215" s="20">
        <v>5</v>
      </c>
      <c r="Q215" s="20">
        <v>5</v>
      </c>
      <c r="R215" s="20" t="s">
        <v>592</v>
      </c>
      <c r="T215" s="20" t="s">
        <v>640</v>
      </c>
      <c r="U215" s="20" t="s">
        <v>191</v>
      </c>
      <c r="V215" s="20" t="s">
        <v>568</v>
      </c>
      <c r="W215" s="20" t="s">
        <v>815</v>
      </c>
      <c r="X215" s="20" t="s">
        <v>835</v>
      </c>
      <c r="Y215" s="20">
        <v>5</v>
      </c>
      <c r="Z215" s="20">
        <v>5</v>
      </c>
      <c r="AA215" s="20" t="s">
        <v>592</v>
      </c>
      <c r="AC215" s="20" t="s">
        <v>1161</v>
      </c>
      <c r="AD215" s="20" t="s">
        <v>1432</v>
      </c>
      <c r="AE215" s="20" t="s">
        <v>511</v>
      </c>
      <c r="AF215" s="20" t="s">
        <v>1692</v>
      </c>
      <c r="AG215" s="20" t="s">
        <v>628</v>
      </c>
      <c r="AH215" s="20">
        <v>10</v>
      </c>
      <c r="AI215" s="20">
        <v>2</v>
      </c>
      <c r="AJ215" s="20" t="s">
        <v>593</v>
      </c>
      <c r="AL215" s="20" t="s">
        <v>1147</v>
      </c>
      <c r="AM215" s="20" t="s">
        <v>699</v>
      </c>
      <c r="AN215" s="20" t="s">
        <v>812</v>
      </c>
      <c r="AO215" s="20" t="s">
        <v>1234</v>
      </c>
      <c r="AP215" s="20" t="s">
        <v>628</v>
      </c>
      <c r="AQ215" s="20">
        <v>10</v>
      </c>
      <c r="AR215" s="20">
        <v>2</v>
      </c>
      <c r="AS215" s="20" t="s">
        <v>593</v>
      </c>
    </row>
    <row r="216" spans="2:45" ht="15.75" customHeight="1" x14ac:dyDescent="0.2">
      <c r="B216" s="20" t="s">
        <v>1144</v>
      </c>
      <c r="C216" s="20" t="s">
        <v>249</v>
      </c>
      <c r="D216" s="20" t="s">
        <v>622</v>
      </c>
      <c r="E216" s="20" t="s">
        <v>1003</v>
      </c>
      <c r="F216" s="20" t="s">
        <v>835</v>
      </c>
      <c r="G216" s="20">
        <v>5</v>
      </c>
      <c r="H216" s="20">
        <v>5</v>
      </c>
      <c r="I216" s="20" t="s">
        <v>592</v>
      </c>
      <c r="K216" s="20" t="s">
        <v>1163</v>
      </c>
      <c r="L216" s="20" t="s">
        <v>1165</v>
      </c>
      <c r="M216" s="20" t="s">
        <v>1393</v>
      </c>
      <c r="N216" s="20" t="s">
        <v>504</v>
      </c>
      <c r="O216" s="20" t="s">
        <v>835</v>
      </c>
      <c r="P216" s="20">
        <v>5</v>
      </c>
      <c r="Q216" s="20">
        <v>5</v>
      </c>
      <c r="R216" s="20" t="s">
        <v>592</v>
      </c>
      <c r="T216" s="20" t="s">
        <v>1162</v>
      </c>
      <c r="U216" s="20" t="s">
        <v>230</v>
      </c>
      <c r="V216" s="20" t="s">
        <v>366</v>
      </c>
      <c r="W216" s="20" t="s">
        <v>1239</v>
      </c>
      <c r="X216" s="20" t="s">
        <v>835</v>
      </c>
      <c r="Y216" s="20">
        <v>5</v>
      </c>
      <c r="Z216" s="20">
        <v>1</v>
      </c>
      <c r="AA216" s="20" t="s">
        <v>593</v>
      </c>
      <c r="AC216" s="20" t="s">
        <v>1161</v>
      </c>
      <c r="AD216" s="20" t="s">
        <v>1432</v>
      </c>
      <c r="AE216" s="20" t="s">
        <v>2012</v>
      </c>
      <c r="AF216" s="20" t="s">
        <v>2226</v>
      </c>
      <c r="AG216" s="20" t="s">
        <v>835</v>
      </c>
      <c r="AH216" s="20">
        <v>5</v>
      </c>
      <c r="AI216" s="20">
        <v>2</v>
      </c>
      <c r="AJ216" s="20" t="s">
        <v>593</v>
      </c>
      <c r="AL216" s="20" t="s">
        <v>1147</v>
      </c>
      <c r="AM216" s="20" t="s">
        <v>699</v>
      </c>
      <c r="AN216" s="20" t="s">
        <v>2501</v>
      </c>
      <c r="AO216" s="20" t="s">
        <v>2360</v>
      </c>
      <c r="AP216" s="20" t="s">
        <v>628</v>
      </c>
      <c r="AQ216" s="20">
        <v>10</v>
      </c>
      <c r="AR216" s="20">
        <v>8</v>
      </c>
      <c r="AS216" s="20" t="s">
        <v>592</v>
      </c>
    </row>
    <row r="217" spans="2:45" ht="15.75" customHeight="1" x14ac:dyDescent="0.2">
      <c r="B217" s="20" t="s">
        <v>640</v>
      </c>
      <c r="C217" s="20" t="s">
        <v>756</v>
      </c>
      <c r="D217" s="20" t="s">
        <v>431</v>
      </c>
      <c r="E217" s="20" t="s">
        <v>987</v>
      </c>
      <c r="F217" s="20" t="s">
        <v>835</v>
      </c>
      <c r="G217" s="20">
        <v>5</v>
      </c>
      <c r="H217" s="20">
        <v>2</v>
      </c>
      <c r="I217" s="20" t="s">
        <v>593</v>
      </c>
      <c r="K217" s="20" t="s">
        <v>1158</v>
      </c>
      <c r="L217" s="20" t="s">
        <v>925</v>
      </c>
      <c r="M217" s="20" t="s">
        <v>914</v>
      </c>
      <c r="N217" s="20" t="s">
        <v>534</v>
      </c>
      <c r="O217" s="20" t="s">
        <v>835</v>
      </c>
      <c r="P217" s="20">
        <v>5</v>
      </c>
      <c r="Q217" s="20">
        <v>5</v>
      </c>
      <c r="R217" s="20" t="s">
        <v>592</v>
      </c>
      <c r="T217" s="20" t="s">
        <v>640</v>
      </c>
      <c r="U217" s="20" t="s">
        <v>31</v>
      </c>
      <c r="V217" s="20" t="s">
        <v>396</v>
      </c>
      <c r="W217" s="20" t="s">
        <v>2188</v>
      </c>
      <c r="X217" s="20" t="s">
        <v>835</v>
      </c>
      <c r="Y217" s="20">
        <v>5</v>
      </c>
      <c r="Z217" s="20">
        <v>5</v>
      </c>
      <c r="AA217" s="20" t="s">
        <v>592</v>
      </c>
      <c r="AC217" s="20" t="s">
        <v>1161</v>
      </c>
      <c r="AD217" s="20" t="s">
        <v>1432</v>
      </c>
      <c r="AE217" s="20" t="s">
        <v>510</v>
      </c>
      <c r="AF217" s="20" t="s">
        <v>2212</v>
      </c>
      <c r="AG217" s="20" t="s">
        <v>835</v>
      </c>
      <c r="AH217" s="20">
        <v>5</v>
      </c>
      <c r="AI217" s="20">
        <v>5</v>
      </c>
      <c r="AJ217" s="20" t="s">
        <v>592</v>
      </c>
      <c r="AL217" s="20" t="s">
        <v>1147</v>
      </c>
      <c r="AM217" s="20" t="s">
        <v>20</v>
      </c>
      <c r="AN217" s="20" t="s">
        <v>449</v>
      </c>
      <c r="AO217" s="20" t="s">
        <v>1951</v>
      </c>
      <c r="AP217" s="20" t="s">
        <v>628</v>
      </c>
      <c r="AQ217" s="20">
        <v>10</v>
      </c>
      <c r="AR217" s="20">
        <v>13</v>
      </c>
      <c r="AS217" s="20" t="s">
        <v>592</v>
      </c>
    </row>
    <row r="218" spans="2:45" ht="15.75" customHeight="1" x14ac:dyDescent="0.2">
      <c r="B218" s="20" t="s">
        <v>1163</v>
      </c>
      <c r="C218" s="20" t="s">
        <v>57</v>
      </c>
      <c r="D218" s="20" t="s">
        <v>768</v>
      </c>
      <c r="E218" s="20" t="s">
        <v>1279</v>
      </c>
      <c r="F218" s="20" t="s">
        <v>628</v>
      </c>
      <c r="G218" s="20">
        <v>10</v>
      </c>
      <c r="H218" s="20">
        <v>1</v>
      </c>
      <c r="I218" s="20" t="s">
        <v>593</v>
      </c>
      <c r="K218" s="20" t="s">
        <v>1147</v>
      </c>
      <c r="L218" s="20" t="s">
        <v>222</v>
      </c>
      <c r="M218" s="20" t="s">
        <v>1653</v>
      </c>
      <c r="N218" s="20" t="s">
        <v>553</v>
      </c>
      <c r="O218" s="20" t="s">
        <v>835</v>
      </c>
      <c r="P218" s="20">
        <v>5</v>
      </c>
      <c r="Q218" s="20">
        <v>5</v>
      </c>
      <c r="R218" s="20" t="s">
        <v>592</v>
      </c>
      <c r="T218" s="20" t="s">
        <v>1143</v>
      </c>
      <c r="U218" s="20" t="s">
        <v>61</v>
      </c>
      <c r="V218" s="20" t="s">
        <v>2466</v>
      </c>
      <c r="W218" s="20" t="s">
        <v>2189</v>
      </c>
      <c r="X218" s="20" t="s">
        <v>835</v>
      </c>
      <c r="Y218" s="20">
        <v>5</v>
      </c>
      <c r="Z218" s="20">
        <v>6</v>
      </c>
      <c r="AA218" s="20" t="s">
        <v>592</v>
      </c>
      <c r="AC218" s="20" t="s">
        <v>1161</v>
      </c>
      <c r="AD218" s="20" t="s">
        <v>117</v>
      </c>
      <c r="AE218" s="20" t="s">
        <v>455</v>
      </c>
      <c r="AF218" s="20" t="s">
        <v>2376</v>
      </c>
      <c r="AG218" s="20" t="s">
        <v>628</v>
      </c>
      <c r="AH218" s="20">
        <v>10</v>
      </c>
      <c r="AI218" s="20">
        <v>11</v>
      </c>
      <c r="AJ218" s="20" t="s">
        <v>592</v>
      </c>
      <c r="AL218" s="20" t="s">
        <v>1147</v>
      </c>
      <c r="AM218" s="20" t="s">
        <v>20</v>
      </c>
      <c r="AN218" s="20" t="s">
        <v>451</v>
      </c>
      <c r="AO218" s="20" t="s">
        <v>585</v>
      </c>
      <c r="AP218" s="20" t="s">
        <v>628</v>
      </c>
      <c r="AQ218" s="20">
        <v>10</v>
      </c>
      <c r="AR218" s="20">
        <v>9</v>
      </c>
      <c r="AS218" s="20" t="s">
        <v>592</v>
      </c>
    </row>
    <row r="219" spans="2:45" ht="15.75" customHeight="1" x14ac:dyDescent="0.2">
      <c r="B219" s="20" t="s">
        <v>1144</v>
      </c>
      <c r="C219" s="20" t="s">
        <v>707</v>
      </c>
      <c r="D219" s="20" t="s">
        <v>846</v>
      </c>
      <c r="E219" s="20" t="s">
        <v>1027</v>
      </c>
      <c r="F219" s="20" t="s">
        <v>835</v>
      </c>
      <c r="G219" s="20">
        <v>5</v>
      </c>
      <c r="H219" s="20">
        <v>4</v>
      </c>
      <c r="I219" s="20" t="s">
        <v>592</v>
      </c>
      <c r="K219" s="20" t="s">
        <v>1149</v>
      </c>
      <c r="L219" s="20" t="s">
        <v>63</v>
      </c>
      <c r="M219" s="20" t="s">
        <v>1654</v>
      </c>
      <c r="N219" s="20" t="s">
        <v>1655</v>
      </c>
      <c r="O219" s="20" t="s">
        <v>835</v>
      </c>
      <c r="P219" s="20">
        <v>5</v>
      </c>
      <c r="Q219" s="20">
        <v>5</v>
      </c>
      <c r="R219" s="20" t="s">
        <v>592</v>
      </c>
      <c r="T219" s="20" t="s">
        <v>1162</v>
      </c>
      <c r="U219" s="20" t="s">
        <v>352</v>
      </c>
      <c r="V219" s="20" t="s">
        <v>2467</v>
      </c>
      <c r="W219" s="20" t="s">
        <v>2190</v>
      </c>
      <c r="X219" s="20" t="s">
        <v>628</v>
      </c>
      <c r="Y219" s="20">
        <v>10</v>
      </c>
      <c r="Z219" s="20">
        <v>6</v>
      </c>
      <c r="AA219" s="20" t="s">
        <v>593</v>
      </c>
      <c r="AC219" s="20" t="s">
        <v>1169</v>
      </c>
      <c r="AD219" s="20" t="s">
        <v>19</v>
      </c>
      <c r="AE219" s="20" t="s">
        <v>499</v>
      </c>
      <c r="AF219" s="20" t="s">
        <v>826</v>
      </c>
      <c r="AG219" s="20" t="s">
        <v>628</v>
      </c>
      <c r="AH219" s="20">
        <v>10</v>
      </c>
      <c r="AI219" s="20">
        <v>11</v>
      </c>
      <c r="AJ219" s="20" t="s">
        <v>592</v>
      </c>
      <c r="AL219" s="20" t="s">
        <v>1147</v>
      </c>
      <c r="AM219" s="20" t="s">
        <v>20</v>
      </c>
      <c r="AN219" s="20" t="s">
        <v>446</v>
      </c>
      <c r="AO219" s="20" t="s">
        <v>2970</v>
      </c>
      <c r="AP219" s="20" t="s">
        <v>628</v>
      </c>
      <c r="AQ219" s="20">
        <v>10</v>
      </c>
      <c r="AR219" s="20">
        <v>16</v>
      </c>
      <c r="AS219" s="20" t="s">
        <v>592</v>
      </c>
    </row>
    <row r="220" spans="2:45" ht="15.75" customHeight="1" x14ac:dyDescent="0.2">
      <c r="B220" s="20" t="s">
        <v>1144</v>
      </c>
      <c r="C220" s="20" t="s">
        <v>707</v>
      </c>
      <c r="D220" s="20" t="s">
        <v>846</v>
      </c>
      <c r="E220" s="20" t="s">
        <v>1057</v>
      </c>
      <c r="F220" s="20" t="s">
        <v>835</v>
      </c>
      <c r="G220" s="20">
        <v>5</v>
      </c>
      <c r="H220" s="20">
        <v>1</v>
      </c>
      <c r="I220" s="20" t="s">
        <v>592</v>
      </c>
      <c r="K220" s="20" t="s">
        <v>646</v>
      </c>
      <c r="L220" s="20" t="s">
        <v>209</v>
      </c>
      <c r="M220" s="20" t="s">
        <v>900</v>
      </c>
      <c r="N220" s="20" t="s">
        <v>886</v>
      </c>
      <c r="O220" s="20" t="s">
        <v>835</v>
      </c>
      <c r="P220" s="20">
        <v>5</v>
      </c>
      <c r="Q220" s="20">
        <v>5</v>
      </c>
      <c r="R220" s="20" t="s">
        <v>592</v>
      </c>
      <c r="T220" s="20" t="s">
        <v>1158</v>
      </c>
      <c r="U220" s="20" t="s">
        <v>925</v>
      </c>
      <c r="V220" s="20" t="s">
        <v>2468</v>
      </c>
      <c r="W220" s="20" t="s">
        <v>2191</v>
      </c>
      <c r="X220" s="20" t="s">
        <v>835</v>
      </c>
      <c r="Y220" s="20">
        <v>5</v>
      </c>
      <c r="Z220" s="20">
        <v>6</v>
      </c>
      <c r="AA220" s="20" t="s">
        <v>592</v>
      </c>
      <c r="AC220" s="20" t="s">
        <v>1161</v>
      </c>
      <c r="AD220" s="20" t="s">
        <v>659</v>
      </c>
      <c r="AE220" s="20" t="s">
        <v>391</v>
      </c>
      <c r="AF220" s="20" t="s">
        <v>2640</v>
      </c>
      <c r="AG220" s="20" t="s">
        <v>628</v>
      </c>
      <c r="AH220" s="20">
        <v>10</v>
      </c>
      <c r="AI220" s="20">
        <v>10</v>
      </c>
      <c r="AJ220" s="20" t="s">
        <v>592</v>
      </c>
      <c r="AL220" s="20" t="s">
        <v>1147</v>
      </c>
      <c r="AM220" s="20" t="s">
        <v>20</v>
      </c>
      <c r="AN220" s="20" t="s">
        <v>1829</v>
      </c>
      <c r="AO220" s="20" t="s">
        <v>2760</v>
      </c>
      <c r="AP220" s="20" t="s">
        <v>628</v>
      </c>
      <c r="AQ220" s="20">
        <v>10</v>
      </c>
      <c r="AR220" s="20">
        <v>13</v>
      </c>
      <c r="AS220" s="20" t="s">
        <v>592</v>
      </c>
    </row>
    <row r="221" spans="2:45" ht="15.75" customHeight="1" x14ac:dyDescent="0.2">
      <c r="B221" s="20" t="s">
        <v>1144</v>
      </c>
      <c r="C221" s="20" t="s">
        <v>804</v>
      </c>
      <c r="D221" s="20" t="s">
        <v>559</v>
      </c>
      <c r="E221" s="20" t="s">
        <v>989</v>
      </c>
      <c r="F221" s="20" t="s">
        <v>628</v>
      </c>
      <c r="G221" s="20">
        <v>10</v>
      </c>
      <c r="H221" s="20">
        <v>9</v>
      </c>
      <c r="I221" s="20" t="s">
        <v>592</v>
      </c>
      <c r="K221" s="20" t="s">
        <v>646</v>
      </c>
      <c r="L221" s="20" t="s">
        <v>209</v>
      </c>
      <c r="M221" s="20" t="s">
        <v>901</v>
      </c>
      <c r="N221" s="20" t="s">
        <v>886</v>
      </c>
      <c r="O221" s="20" t="s">
        <v>835</v>
      </c>
      <c r="P221" s="20">
        <v>5</v>
      </c>
      <c r="Q221" s="20">
        <v>1</v>
      </c>
      <c r="R221" s="20" t="s">
        <v>592</v>
      </c>
      <c r="T221" s="20" t="s">
        <v>1149</v>
      </c>
      <c r="U221" s="20" t="s">
        <v>301</v>
      </c>
      <c r="V221" s="20" t="s">
        <v>503</v>
      </c>
      <c r="W221" s="20" t="s">
        <v>2028</v>
      </c>
      <c r="X221" s="20" t="s">
        <v>628</v>
      </c>
      <c r="Y221" s="20">
        <v>10</v>
      </c>
      <c r="Z221" s="20">
        <v>3</v>
      </c>
      <c r="AA221" s="20" t="s">
        <v>593</v>
      </c>
      <c r="AC221" s="20" t="s">
        <v>1161</v>
      </c>
      <c r="AD221" s="20" t="s">
        <v>659</v>
      </c>
      <c r="AE221" s="20" t="s">
        <v>601</v>
      </c>
      <c r="AF221" s="20" t="s">
        <v>2641</v>
      </c>
      <c r="AG221" s="20" t="s">
        <v>835</v>
      </c>
      <c r="AH221" s="20">
        <v>5</v>
      </c>
      <c r="AI221" s="20">
        <v>1</v>
      </c>
      <c r="AJ221" s="20" t="s">
        <v>593</v>
      </c>
      <c r="AL221" s="20" t="s">
        <v>1147</v>
      </c>
      <c r="AM221" s="20" t="s">
        <v>20</v>
      </c>
      <c r="AN221" s="20" t="s">
        <v>1522</v>
      </c>
      <c r="AO221" s="20" t="s">
        <v>1521</v>
      </c>
      <c r="AP221" s="20" t="s">
        <v>628</v>
      </c>
      <c r="AQ221" s="20">
        <v>10</v>
      </c>
      <c r="AR221" s="20">
        <v>12</v>
      </c>
      <c r="AS221" s="20" t="s">
        <v>592</v>
      </c>
    </row>
    <row r="222" spans="2:45" ht="15.75" customHeight="1" x14ac:dyDescent="0.2">
      <c r="B222" s="20" t="s">
        <v>1144</v>
      </c>
      <c r="C222" s="20" t="s">
        <v>804</v>
      </c>
      <c r="D222" s="20" t="s">
        <v>559</v>
      </c>
      <c r="E222" s="20" t="s">
        <v>990</v>
      </c>
      <c r="F222" s="20" t="s">
        <v>628</v>
      </c>
      <c r="G222" s="20">
        <v>10</v>
      </c>
      <c r="H222" s="20">
        <v>1</v>
      </c>
      <c r="I222" s="20" t="s">
        <v>592</v>
      </c>
      <c r="K222" s="20" t="s">
        <v>1144</v>
      </c>
      <c r="L222" s="20" t="s">
        <v>23</v>
      </c>
      <c r="M222" s="20" t="s">
        <v>1656</v>
      </c>
      <c r="N222" s="20" t="s">
        <v>1657</v>
      </c>
      <c r="O222" s="20" t="s">
        <v>835</v>
      </c>
      <c r="P222" s="20">
        <v>5</v>
      </c>
      <c r="Q222" s="20">
        <v>5</v>
      </c>
      <c r="R222" s="20" t="s">
        <v>592</v>
      </c>
      <c r="T222" s="20" t="s">
        <v>1149</v>
      </c>
      <c r="U222" s="20" t="s">
        <v>1150</v>
      </c>
      <c r="V222" s="20" t="s">
        <v>893</v>
      </c>
      <c r="W222" s="20" t="s">
        <v>1389</v>
      </c>
      <c r="X222" s="20" t="s">
        <v>835</v>
      </c>
      <c r="Y222" s="20">
        <v>5</v>
      </c>
      <c r="Z222" s="20">
        <v>1</v>
      </c>
      <c r="AA222" s="20" t="s">
        <v>593</v>
      </c>
      <c r="AC222" s="20" t="s">
        <v>1161</v>
      </c>
      <c r="AD222" s="20" t="s">
        <v>659</v>
      </c>
      <c r="AE222" s="20" t="s">
        <v>2542</v>
      </c>
      <c r="AF222" s="20" t="s">
        <v>2642</v>
      </c>
      <c r="AG222" s="20" t="s">
        <v>835</v>
      </c>
      <c r="AH222" s="20">
        <v>5</v>
      </c>
      <c r="AI222" s="20">
        <v>1</v>
      </c>
      <c r="AJ222" s="20" t="s">
        <v>593</v>
      </c>
      <c r="AL222" s="20" t="s">
        <v>1147</v>
      </c>
      <c r="AM222" s="20" t="s">
        <v>70</v>
      </c>
      <c r="AN222" s="20" t="s">
        <v>1049</v>
      </c>
      <c r="AO222" s="20" t="s">
        <v>1350</v>
      </c>
      <c r="AP222" s="20" t="s">
        <v>628</v>
      </c>
      <c r="AQ222" s="20">
        <v>10</v>
      </c>
      <c r="AR222" s="20">
        <v>15</v>
      </c>
      <c r="AS222" s="20" t="s">
        <v>592</v>
      </c>
    </row>
    <row r="223" spans="2:45" ht="15.75" customHeight="1" x14ac:dyDescent="0.2">
      <c r="B223" s="20" t="s">
        <v>1163</v>
      </c>
      <c r="C223" s="20" t="s">
        <v>837</v>
      </c>
      <c r="D223" s="20" t="s">
        <v>554</v>
      </c>
      <c r="E223" s="20" t="s">
        <v>1280</v>
      </c>
      <c r="F223" s="20" t="s">
        <v>835</v>
      </c>
      <c r="G223" s="20">
        <v>5</v>
      </c>
      <c r="H223" s="20">
        <v>1</v>
      </c>
      <c r="I223" s="20" t="s">
        <v>593</v>
      </c>
      <c r="K223" s="20" t="s">
        <v>1147</v>
      </c>
      <c r="L223" s="20" t="s">
        <v>699</v>
      </c>
      <c r="M223" s="20" t="s">
        <v>1294</v>
      </c>
      <c r="N223" s="20" t="s">
        <v>448</v>
      </c>
      <c r="O223" s="20" t="s">
        <v>628</v>
      </c>
      <c r="P223" s="20">
        <v>10</v>
      </c>
      <c r="Q223" s="20">
        <v>9</v>
      </c>
      <c r="R223" s="20" t="s">
        <v>592</v>
      </c>
      <c r="T223" s="20" t="s">
        <v>640</v>
      </c>
      <c r="U223" s="20" t="s">
        <v>248</v>
      </c>
      <c r="V223" s="20" t="s">
        <v>2060</v>
      </c>
      <c r="W223" s="20" t="s">
        <v>2059</v>
      </c>
      <c r="X223" s="20" t="s">
        <v>835</v>
      </c>
      <c r="Y223" s="20">
        <v>5</v>
      </c>
      <c r="Z223" s="20">
        <v>5</v>
      </c>
      <c r="AA223" s="20" t="s">
        <v>592</v>
      </c>
      <c r="AC223" s="20" t="s">
        <v>1162</v>
      </c>
      <c r="AD223" s="20" t="s">
        <v>240</v>
      </c>
      <c r="AE223" s="20" t="s">
        <v>1638</v>
      </c>
      <c r="AF223" s="20" t="s">
        <v>1637</v>
      </c>
      <c r="AG223" s="20" t="s">
        <v>835</v>
      </c>
      <c r="AH223" s="20">
        <v>5</v>
      </c>
      <c r="AI223" s="20">
        <v>5</v>
      </c>
      <c r="AJ223" s="20" t="s">
        <v>592</v>
      </c>
      <c r="AL223" s="20" t="s">
        <v>1147</v>
      </c>
      <c r="AM223" s="20" t="s">
        <v>70</v>
      </c>
      <c r="AN223" s="20" t="s">
        <v>731</v>
      </c>
      <c r="AO223" s="20" t="s">
        <v>2174</v>
      </c>
      <c r="AP223" s="20" t="s">
        <v>628</v>
      </c>
      <c r="AQ223" s="20">
        <v>10</v>
      </c>
      <c r="AR223" s="20">
        <v>5</v>
      </c>
      <c r="AS223" s="20" t="s">
        <v>593</v>
      </c>
    </row>
    <row r="224" spans="2:45" ht="15.75" customHeight="1" x14ac:dyDescent="0.2">
      <c r="B224" s="20" t="s">
        <v>1163</v>
      </c>
      <c r="C224" s="20" t="s">
        <v>57</v>
      </c>
      <c r="D224" s="20" t="s">
        <v>506</v>
      </c>
      <c r="E224" s="20" t="s">
        <v>1281</v>
      </c>
      <c r="F224" s="20" t="s">
        <v>628</v>
      </c>
      <c r="G224" s="20">
        <v>10</v>
      </c>
      <c r="H224" s="20">
        <v>3</v>
      </c>
      <c r="I224" s="20" t="s">
        <v>593</v>
      </c>
      <c r="K224" s="20" t="s">
        <v>1147</v>
      </c>
      <c r="L224" s="20" t="s">
        <v>699</v>
      </c>
      <c r="M224" s="20" t="s">
        <v>1658</v>
      </c>
      <c r="N224" s="20" t="s">
        <v>448</v>
      </c>
      <c r="O224" s="20" t="s">
        <v>628</v>
      </c>
      <c r="P224" s="20">
        <v>10</v>
      </c>
      <c r="Q224" s="20">
        <v>1</v>
      </c>
      <c r="R224" s="20" t="s">
        <v>592</v>
      </c>
      <c r="T224" s="20" t="s">
        <v>1161</v>
      </c>
      <c r="U224" s="20" t="s">
        <v>41</v>
      </c>
      <c r="V224" s="20" t="s">
        <v>538</v>
      </c>
      <c r="W224" s="20" t="s">
        <v>2192</v>
      </c>
      <c r="X224" s="20" t="s">
        <v>835</v>
      </c>
      <c r="Y224" s="20">
        <v>5</v>
      </c>
      <c r="Z224" s="20">
        <v>5</v>
      </c>
      <c r="AA224" s="20" t="s">
        <v>592</v>
      </c>
      <c r="AC224" s="20" t="s">
        <v>1163</v>
      </c>
      <c r="AD224" s="20" t="s">
        <v>221</v>
      </c>
      <c r="AE224" s="20" t="s">
        <v>556</v>
      </c>
      <c r="AF224" s="20" t="s">
        <v>1943</v>
      </c>
      <c r="AG224" s="20" t="s">
        <v>628</v>
      </c>
      <c r="AH224" s="20">
        <v>10</v>
      </c>
      <c r="AI224" s="20">
        <v>8</v>
      </c>
      <c r="AJ224" s="20" t="s">
        <v>592</v>
      </c>
      <c r="AL224" s="20" t="s">
        <v>1147</v>
      </c>
      <c r="AM224" s="20" t="s">
        <v>70</v>
      </c>
      <c r="AN224" s="20" t="s">
        <v>1635</v>
      </c>
      <c r="AO224" s="20" t="s">
        <v>1634</v>
      </c>
      <c r="AP224" s="20" t="s">
        <v>628</v>
      </c>
      <c r="AQ224" s="20">
        <v>10</v>
      </c>
      <c r="AR224" s="20">
        <v>13</v>
      </c>
      <c r="AS224" s="20" t="s">
        <v>592</v>
      </c>
    </row>
    <row r="225" spans="2:45" ht="15.75" customHeight="1" x14ac:dyDescent="0.2">
      <c r="B225" s="20" t="s">
        <v>1147</v>
      </c>
      <c r="C225" s="20" t="s">
        <v>699</v>
      </c>
      <c r="D225" s="20" t="s">
        <v>489</v>
      </c>
      <c r="E225" s="20" t="s">
        <v>1282</v>
      </c>
      <c r="F225" s="20" t="s">
        <v>628</v>
      </c>
      <c r="G225" s="20">
        <v>10</v>
      </c>
      <c r="H225" s="20">
        <v>29</v>
      </c>
      <c r="I225" s="20" t="s">
        <v>592</v>
      </c>
      <c r="K225" s="20" t="s">
        <v>1143</v>
      </c>
      <c r="L225" s="20" t="s">
        <v>689</v>
      </c>
      <c r="M225" s="20" t="s">
        <v>1659</v>
      </c>
      <c r="N225" s="20" t="s">
        <v>1660</v>
      </c>
      <c r="O225" s="20" t="s">
        <v>835</v>
      </c>
      <c r="P225" s="20">
        <v>5</v>
      </c>
      <c r="Q225" s="20">
        <v>6</v>
      </c>
      <c r="R225" s="20" t="s">
        <v>592</v>
      </c>
      <c r="T225" s="20" t="s">
        <v>1161</v>
      </c>
      <c r="U225" s="20" t="s">
        <v>41</v>
      </c>
      <c r="V225" s="20" t="s">
        <v>540</v>
      </c>
      <c r="W225" s="20" t="s">
        <v>859</v>
      </c>
      <c r="X225" s="20" t="s">
        <v>835</v>
      </c>
      <c r="Y225" s="20">
        <v>5</v>
      </c>
      <c r="Z225" s="20">
        <v>5</v>
      </c>
      <c r="AA225" s="20" t="s">
        <v>592</v>
      </c>
      <c r="AC225" s="20" t="s">
        <v>1163</v>
      </c>
      <c r="AD225" s="20" t="s">
        <v>221</v>
      </c>
      <c r="AE225" s="20" t="s">
        <v>1572</v>
      </c>
      <c r="AF225" s="20" t="s">
        <v>1571</v>
      </c>
      <c r="AG225" s="20" t="s">
        <v>835</v>
      </c>
      <c r="AH225" s="20">
        <v>5</v>
      </c>
      <c r="AI225" s="20">
        <v>3</v>
      </c>
      <c r="AJ225" s="20" t="s">
        <v>593</v>
      </c>
      <c r="AL225" s="20" t="s">
        <v>1147</v>
      </c>
      <c r="AM225" s="20" t="s">
        <v>70</v>
      </c>
      <c r="AN225" s="20" t="s">
        <v>1473</v>
      </c>
      <c r="AO225" s="20" t="s">
        <v>2606</v>
      </c>
      <c r="AP225" s="20" t="s">
        <v>628</v>
      </c>
      <c r="AQ225" s="20">
        <v>10</v>
      </c>
      <c r="AR225" s="20">
        <v>22</v>
      </c>
      <c r="AS225" s="20" t="s">
        <v>592</v>
      </c>
    </row>
    <row r="226" spans="2:45" ht="15.75" customHeight="1" x14ac:dyDescent="0.2">
      <c r="B226" s="20" t="s">
        <v>1163</v>
      </c>
      <c r="C226" s="20" t="s">
        <v>57</v>
      </c>
      <c r="D226" s="20" t="s">
        <v>359</v>
      </c>
      <c r="E226" s="20" t="s">
        <v>1113</v>
      </c>
      <c r="F226" s="20" t="s">
        <v>628</v>
      </c>
      <c r="G226" s="20">
        <v>10</v>
      </c>
      <c r="H226" s="20">
        <v>2</v>
      </c>
      <c r="I226" s="20" t="s">
        <v>593</v>
      </c>
      <c r="K226" s="20" t="s">
        <v>1143</v>
      </c>
      <c r="L226" s="20" t="s">
        <v>689</v>
      </c>
      <c r="M226" s="20" t="s">
        <v>1661</v>
      </c>
      <c r="N226" s="20" t="s">
        <v>402</v>
      </c>
      <c r="O226" s="20" t="s">
        <v>628</v>
      </c>
      <c r="P226" s="20">
        <v>10</v>
      </c>
      <c r="Q226" s="20">
        <v>7</v>
      </c>
      <c r="R226" s="20" t="s">
        <v>592</v>
      </c>
      <c r="T226" s="20" t="s">
        <v>1161</v>
      </c>
      <c r="U226" s="20" t="s">
        <v>41</v>
      </c>
      <c r="V226" s="20" t="s">
        <v>1930</v>
      </c>
      <c r="W226" s="20" t="s">
        <v>2041</v>
      </c>
      <c r="X226" s="20" t="s">
        <v>835</v>
      </c>
      <c r="Y226" s="20">
        <v>5</v>
      </c>
      <c r="Z226" s="20">
        <v>2</v>
      </c>
      <c r="AA226" s="20" t="s">
        <v>593</v>
      </c>
      <c r="AC226" s="20" t="s">
        <v>1155</v>
      </c>
      <c r="AD226" s="20" t="s">
        <v>657</v>
      </c>
      <c r="AE226" s="20" t="s">
        <v>2483</v>
      </c>
      <c r="AF226" s="20" t="s">
        <v>2263</v>
      </c>
      <c r="AG226" s="20" t="s">
        <v>628</v>
      </c>
      <c r="AH226" s="20">
        <v>10</v>
      </c>
      <c r="AI226" s="20">
        <v>8</v>
      </c>
      <c r="AJ226" s="20" t="s">
        <v>592</v>
      </c>
      <c r="AL226" s="20" t="s">
        <v>1147</v>
      </c>
      <c r="AM226" s="20" t="s">
        <v>70</v>
      </c>
      <c r="AN226" s="20" t="s">
        <v>632</v>
      </c>
      <c r="AO226" s="20" t="s">
        <v>1221</v>
      </c>
      <c r="AP226" s="20" t="s">
        <v>628</v>
      </c>
      <c r="AQ226" s="20">
        <v>10</v>
      </c>
      <c r="AR226" s="20">
        <v>20</v>
      </c>
      <c r="AS226" s="20" t="s">
        <v>592</v>
      </c>
    </row>
    <row r="227" spans="2:45" ht="15.75" customHeight="1" x14ac:dyDescent="0.2">
      <c r="B227" s="20" t="s">
        <v>1169</v>
      </c>
      <c r="C227" s="20" t="s">
        <v>333</v>
      </c>
      <c r="D227" s="20" t="s">
        <v>453</v>
      </c>
      <c r="E227" s="20" t="s">
        <v>1283</v>
      </c>
      <c r="F227" s="20" t="s">
        <v>628</v>
      </c>
      <c r="G227" s="20">
        <v>10</v>
      </c>
      <c r="H227" s="20">
        <v>10</v>
      </c>
      <c r="I227" s="20" t="s">
        <v>592</v>
      </c>
      <c r="K227" s="20" t="s">
        <v>1143</v>
      </c>
      <c r="L227" s="20" t="s">
        <v>689</v>
      </c>
      <c r="M227" s="20" t="s">
        <v>733</v>
      </c>
      <c r="N227" s="20" t="s">
        <v>402</v>
      </c>
      <c r="O227" s="20" t="s">
        <v>628</v>
      </c>
      <c r="P227" s="20">
        <v>10</v>
      </c>
      <c r="Q227" s="20">
        <v>8</v>
      </c>
      <c r="R227" s="20" t="s">
        <v>592</v>
      </c>
      <c r="T227" s="20" t="s">
        <v>1149</v>
      </c>
      <c r="U227" s="20" t="s">
        <v>1150</v>
      </c>
      <c r="V227" s="20" t="s">
        <v>2040</v>
      </c>
      <c r="W227" s="20" t="s">
        <v>2039</v>
      </c>
      <c r="X227" s="20" t="s">
        <v>835</v>
      </c>
      <c r="Y227" s="20">
        <v>5</v>
      </c>
      <c r="Z227" s="20">
        <v>1</v>
      </c>
      <c r="AA227" s="20" t="s">
        <v>593</v>
      </c>
      <c r="AC227" s="20" t="s">
        <v>1155</v>
      </c>
      <c r="AD227" s="20" t="s">
        <v>657</v>
      </c>
      <c r="AE227" s="20" t="s">
        <v>482</v>
      </c>
      <c r="AF227" s="20" t="s">
        <v>1743</v>
      </c>
      <c r="AG227" s="20" t="s">
        <v>835</v>
      </c>
      <c r="AH227" s="20">
        <v>5</v>
      </c>
      <c r="AI227" s="20">
        <v>2</v>
      </c>
      <c r="AJ227" s="20" t="s">
        <v>593</v>
      </c>
      <c r="AL227" s="20" t="s">
        <v>1147</v>
      </c>
      <c r="AM227" s="20" t="s">
        <v>70</v>
      </c>
      <c r="AN227" s="20" t="s">
        <v>632</v>
      </c>
      <c r="AO227" s="20" t="s">
        <v>2589</v>
      </c>
      <c r="AP227" s="20" t="s">
        <v>628</v>
      </c>
      <c r="AQ227" s="20">
        <v>10</v>
      </c>
      <c r="AR227" s="20">
        <v>17</v>
      </c>
      <c r="AS227" s="20" t="s">
        <v>592</v>
      </c>
    </row>
    <row r="228" spans="2:45" ht="15.75" customHeight="1" x14ac:dyDescent="0.2">
      <c r="B228" s="20" t="s">
        <v>1147</v>
      </c>
      <c r="C228" s="20" t="s">
        <v>244</v>
      </c>
      <c r="D228" s="20" t="s">
        <v>609</v>
      </c>
      <c r="E228" s="20" t="s">
        <v>1284</v>
      </c>
      <c r="F228" s="20" t="s">
        <v>628</v>
      </c>
      <c r="G228" s="20">
        <v>10</v>
      </c>
      <c r="H228" s="20">
        <v>6</v>
      </c>
      <c r="I228" s="20" t="s">
        <v>592</v>
      </c>
      <c r="K228" s="20" t="s">
        <v>1144</v>
      </c>
      <c r="L228" s="20" t="s">
        <v>194</v>
      </c>
      <c r="M228" s="20" t="s">
        <v>1662</v>
      </c>
      <c r="N228" s="20" t="s">
        <v>442</v>
      </c>
      <c r="O228" s="20" t="s">
        <v>628</v>
      </c>
      <c r="P228" s="20">
        <v>10</v>
      </c>
      <c r="Q228" s="20">
        <v>8</v>
      </c>
      <c r="R228" s="20" t="s">
        <v>592</v>
      </c>
      <c r="T228" s="20" t="s">
        <v>2099</v>
      </c>
      <c r="U228" s="20" t="s">
        <v>2106</v>
      </c>
      <c r="V228" s="20" t="s">
        <v>2452</v>
      </c>
      <c r="W228" s="20" t="s">
        <v>2193</v>
      </c>
      <c r="X228" s="20" t="s">
        <v>835</v>
      </c>
      <c r="Y228" s="20">
        <v>5</v>
      </c>
      <c r="Z228" s="20">
        <v>5</v>
      </c>
      <c r="AA228" s="20" t="s">
        <v>592</v>
      </c>
      <c r="AC228" s="20" t="s">
        <v>1144</v>
      </c>
      <c r="AD228" s="20" t="s">
        <v>194</v>
      </c>
      <c r="AE228" s="20" t="s">
        <v>1817</v>
      </c>
      <c r="AF228" s="20" t="s">
        <v>2369</v>
      </c>
      <c r="AG228" s="20" t="s">
        <v>835</v>
      </c>
      <c r="AH228" s="20">
        <v>5</v>
      </c>
      <c r="AI228" s="20">
        <v>5</v>
      </c>
      <c r="AJ228" s="20" t="s">
        <v>592</v>
      </c>
      <c r="AL228" s="20" t="s">
        <v>1147</v>
      </c>
      <c r="AM228" s="20" t="s">
        <v>70</v>
      </c>
      <c r="AN228" s="20" t="s">
        <v>632</v>
      </c>
      <c r="AO228" s="20" t="s">
        <v>2971</v>
      </c>
      <c r="AP228" s="20" t="s">
        <v>628</v>
      </c>
      <c r="AQ228" s="20">
        <v>10</v>
      </c>
      <c r="AR228" s="20">
        <v>25</v>
      </c>
      <c r="AS228" s="20" t="s">
        <v>592</v>
      </c>
    </row>
    <row r="229" spans="2:45" ht="15.75" customHeight="1" x14ac:dyDescent="0.2">
      <c r="B229" s="20" t="s">
        <v>1147</v>
      </c>
      <c r="C229" s="20" t="s">
        <v>244</v>
      </c>
      <c r="D229" s="20" t="s">
        <v>609</v>
      </c>
      <c r="E229" s="20" t="s">
        <v>1285</v>
      </c>
      <c r="F229" s="20" t="s">
        <v>628</v>
      </c>
      <c r="G229" s="20">
        <v>10</v>
      </c>
      <c r="H229" s="20">
        <v>3</v>
      </c>
      <c r="I229" s="20" t="s">
        <v>592</v>
      </c>
      <c r="K229" s="20" t="s">
        <v>1144</v>
      </c>
      <c r="L229" s="20" t="s">
        <v>194</v>
      </c>
      <c r="M229" s="20" t="s">
        <v>1663</v>
      </c>
      <c r="N229" s="20" t="s">
        <v>868</v>
      </c>
      <c r="O229" s="20" t="s">
        <v>835</v>
      </c>
      <c r="P229" s="20">
        <v>5</v>
      </c>
      <c r="Q229" s="20">
        <v>5</v>
      </c>
      <c r="R229" s="20" t="s">
        <v>592</v>
      </c>
      <c r="T229" s="20" t="s">
        <v>1141</v>
      </c>
      <c r="U229" s="20" t="s">
        <v>787</v>
      </c>
      <c r="V229" s="20" t="s">
        <v>384</v>
      </c>
      <c r="W229" s="20" t="s">
        <v>2194</v>
      </c>
      <c r="X229" s="20" t="s">
        <v>628</v>
      </c>
      <c r="Y229" s="20">
        <v>10</v>
      </c>
      <c r="Z229" s="20">
        <v>8</v>
      </c>
      <c r="AA229" s="20" t="s">
        <v>592</v>
      </c>
      <c r="AC229" s="20" t="s">
        <v>1147</v>
      </c>
      <c r="AD229" s="20" t="s">
        <v>20</v>
      </c>
      <c r="AE229" s="20" t="s">
        <v>1522</v>
      </c>
      <c r="AF229" s="20" t="s">
        <v>2643</v>
      </c>
      <c r="AG229" s="20" t="s">
        <v>628</v>
      </c>
      <c r="AH229" s="20">
        <v>10</v>
      </c>
      <c r="AI229" s="20">
        <v>10</v>
      </c>
      <c r="AJ229" s="20" t="s">
        <v>592</v>
      </c>
      <c r="AL229" s="20" t="s">
        <v>1147</v>
      </c>
      <c r="AM229" s="20" t="s">
        <v>20</v>
      </c>
      <c r="AN229" s="20" t="s">
        <v>2553</v>
      </c>
      <c r="AO229" s="20" t="s">
        <v>2972</v>
      </c>
      <c r="AP229" s="20" t="s">
        <v>628</v>
      </c>
      <c r="AQ229" s="20">
        <v>10</v>
      </c>
      <c r="AR229" s="20">
        <v>10</v>
      </c>
      <c r="AS229" s="20" t="s">
        <v>592</v>
      </c>
    </row>
    <row r="230" spans="2:45" ht="15.75" customHeight="1" x14ac:dyDescent="0.2">
      <c r="B230" s="20" t="s">
        <v>1161</v>
      </c>
      <c r="C230" s="20" t="s">
        <v>765</v>
      </c>
      <c r="D230" s="20" t="s">
        <v>858</v>
      </c>
      <c r="E230" s="20" t="s">
        <v>1135</v>
      </c>
      <c r="F230" s="20" t="s">
        <v>628</v>
      </c>
      <c r="G230" s="20">
        <v>10</v>
      </c>
      <c r="H230" s="20">
        <v>3</v>
      </c>
      <c r="I230" s="20" t="s">
        <v>593</v>
      </c>
      <c r="K230" s="20" t="s">
        <v>1143</v>
      </c>
      <c r="L230" s="20" t="s">
        <v>706</v>
      </c>
      <c r="M230" s="20" t="s">
        <v>1664</v>
      </c>
      <c r="N230" s="20" t="s">
        <v>403</v>
      </c>
      <c r="O230" s="20" t="s">
        <v>835</v>
      </c>
      <c r="P230" s="20">
        <v>5</v>
      </c>
      <c r="Q230" s="20">
        <v>1</v>
      </c>
      <c r="R230" s="20" t="s">
        <v>593</v>
      </c>
      <c r="T230" s="20" t="s">
        <v>1163</v>
      </c>
      <c r="U230" s="20" t="s">
        <v>57</v>
      </c>
      <c r="V230" s="20" t="s">
        <v>361</v>
      </c>
      <c r="W230" s="20" t="s">
        <v>1497</v>
      </c>
      <c r="X230" s="20" t="s">
        <v>835</v>
      </c>
      <c r="Y230" s="20">
        <v>5</v>
      </c>
      <c r="Z230" s="20">
        <v>1</v>
      </c>
      <c r="AA230" s="20" t="s">
        <v>593</v>
      </c>
      <c r="AC230" s="20" t="s">
        <v>1144</v>
      </c>
      <c r="AD230" s="20" t="s">
        <v>194</v>
      </c>
      <c r="AE230" s="20" t="s">
        <v>437</v>
      </c>
      <c r="AF230" s="20" t="s">
        <v>2403</v>
      </c>
      <c r="AG230" s="20" t="s">
        <v>628</v>
      </c>
      <c r="AH230" s="20">
        <v>10</v>
      </c>
      <c r="AI230" s="20">
        <v>10</v>
      </c>
      <c r="AJ230" s="20" t="s">
        <v>592</v>
      </c>
      <c r="AL230" s="20" t="s">
        <v>1147</v>
      </c>
      <c r="AM230" s="20" t="s">
        <v>20</v>
      </c>
      <c r="AN230" s="20" t="s">
        <v>450</v>
      </c>
      <c r="AO230" s="20" t="s">
        <v>2135</v>
      </c>
      <c r="AP230" s="20" t="s">
        <v>628</v>
      </c>
      <c r="AQ230" s="20">
        <v>10</v>
      </c>
      <c r="AR230" s="20">
        <v>8</v>
      </c>
      <c r="AS230" s="20" t="s">
        <v>592</v>
      </c>
    </row>
    <row r="231" spans="2:45" ht="15.75" customHeight="1" x14ac:dyDescent="0.2">
      <c r="B231" s="20" t="s">
        <v>1161</v>
      </c>
      <c r="C231" s="20" t="s">
        <v>765</v>
      </c>
      <c r="D231" s="20" t="s">
        <v>858</v>
      </c>
      <c r="E231" s="20" t="s">
        <v>1136</v>
      </c>
      <c r="F231" s="20" t="s">
        <v>628</v>
      </c>
      <c r="G231" s="20">
        <v>10</v>
      </c>
      <c r="H231" s="20">
        <v>1</v>
      </c>
      <c r="I231" s="20" t="s">
        <v>593</v>
      </c>
      <c r="K231" s="20" t="s">
        <v>1141</v>
      </c>
      <c r="L231" s="20" t="s">
        <v>224</v>
      </c>
      <c r="M231" s="20" t="s">
        <v>1665</v>
      </c>
      <c r="N231" s="20" t="s">
        <v>1666</v>
      </c>
      <c r="O231" s="20" t="s">
        <v>835</v>
      </c>
      <c r="P231" s="20">
        <v>5</v>
      </c>
      <c r="Q231" s="20">
        <v>10</v>
      </c>
      <c r="R231" s="20" t="s">
        <v>592</v>
      </c>
      <c r="T231" s="20" t="s">
        <v>1163</v>
      </c>
      <c r="U231" s="20" t="s">
        <v>57</v>
      </c>
      <c r="V231" s="20" t="s">
        <v>506</v>
      </c>
      <c r="W231" s="20" t="s">
        <v>1493</v>
      </c>
      <c r="X231" s="20" t="s">
        <v>835</v>
      </c>
      <c r="Y231" s="20">
        <v>5</v>
      </c>
      <c r="Z231" s="20">
        <v>1</v>
      </c>
      <c r="AA231" s="20" t="s">
        <v>593</v>
      </c>
      <c r="AC231" s="20" t="s">
        <v>1144</v>
      </c>
      <c r="AD231" s="20" t="s">
        <v>194</v>
      </c>
      <c r="AE231" s="20" t="s">
        <v>437</v>
      </c>
      <c r="AF231" s="20" t="s">
        <v>2644</v>
      </c>
      <c r="AG231" s="20" t="s">
        <v>628</v>
      </c>
      <c r="AH231" s="20">
        <v>10</v>
      </c>
      <c r="AI231" s="20">
        <v>1</v>
      </c>
      <c r="AJ231" s="20" t="s">
        <v>592</v>
      </c>
      <c r="AL231" s="20" t="s">
        <v>1147</v>
      </c>
      <c r="AM231" s="20" t="s">
        <v>20</v>
      </c>
      <c r="AN231" s="20" t="s">
        <v>452</v>
      </c>
      <c r="AO231" s="20" t="s">
        <v>2973</v>
      </c>
      <c r="AP231" s="20" t="s">
        <v>628</v>
      </c>
      <c r="AQ231" s="20">
        <v>10</v>
      </c>
      <c r="AR231" s="20">
        <v>3</v>
      </c>
      <c r="AS231" s="20" t="s">
        <v>593</v>
      </c>
    </row>
    <row r="232" spans="2:45" ht="15.75" customHeight="1" x14ac:dyDescent="0.2">
      <c r="B232" s="20" t="s">
        <v>1147</v>
      </c>
      <c r="C232" s="20" t="s">
        <v>222</v>
      </c>
      <c r="D232" s="20" t="s">
        <v>552</v>
      </c>
      <c r="E232" s="20" t="s">
        <v>1035</v>
      </c>
      <c r="F232" s="20" t="s">
        <v>628</v>
      </c>
      <c r="G232" s="20">
        <v>10</v>
      </c>
      <c r="H232" s="20">
        <v>8</v>
      </c>
      <c r="I232" s="20" t="s">
        <v>592</v>
      </c>
      <c r="K232" s="20" t="s">
        <v>1143</v>
      </c>
      <c r="L232" s="20" t="s">
        <v>61</v>
      </c>
      <c r="M232" s="20" t="s">
        <v>819</v>
      </c>
      <c r="N232" s="20" t="s">
        <v>616</v>
      </c>
      <c r="O232" s="20" t="s">
        <v>628</v>
      </c>
      <c r="P232" s="20">
        <v>10</v>
      </c>
      <c r="Q232" s="20">
        <v>10</v>
      </c>
      <c r="R232" s="20" t="s">
        <v>592</v>
      </c>
      <c r="T232" s="20" t="s">
        <v>1158</v>
      </c>
      <c r="U232" s="20" t="s">
        <v>726</v>
      </c>
      <c r="V232" s="20" t="s">
        <v>1694</v>
      </c>
      <c r="W232" s="20" t="s">
        <v>1693</v>
      </c>
      <c r="X232" s="20" t="s">
        <v>835</v>
      </c>
      <c r="Y232" s="20">
        <v>5</v>
      </c>
      <c r="Z232" s="20">
        <v>6</v>
      </c>
      <c r="AA232" s="20" t="s">
        <v>592</v>
      </c>
      <c r="AC232" s="20" t="s">
        <v>1162</v>
      </c>
      <c r="AD232" s="20" t="s">
        <v>230</v>
      </c>
      <c r="AE232" s="20" t="s">
        <v>610</v>
      </c>
      <c r="AF232" s="20" t="s">
        <v>2294</v>
      </c>
      <c r="AG232" s="20" t="s">
        <v>628</v>
      </c>
      <c r="AH232" s="20">
        <v>10</v>
      </c>
      <c r="AI232" s="20">
        <v>5</v>
      </c>
      <c r="AJ232" s="20" t="s">
        <v>593</v>
      </c>
      <c r="AL232" s="20" t="s">
        <v>1147</v>
      </c>
      <c r="AM232" s="20" t="s">
        <v>20</v>
      </c>
      <c r="AN232" s="20" t="s">
        <v>871</v>
      </c>
      <c r="AO232" s="20" t="s">
        <v>872</v>
      </c>
      <c r="AP232" s="20" t="s">
        <v>628</v>
      </c>
      <c r="AQ232" s="20">
        <v>10</v>
      </c>
      <c r="AR232" s="20">
        <v>9</v>
      </c>
      <c r="AS232" s="20" t="s">
        <v>592</v>
      </c>
    </row>
    <row r="233" spans="2:45" ht="15.75" customHeight="1" x14ac:dyDescent="0.2">
      <c r="B233" s="20" t="s">
        <v>640</v>
      </c>
      <c r="C233" s="20" t="s">
        <v>756</v>
      </c>
      <c r="D233" s="20" t="s">
        <v>430</v>
      </c>
      <c r="E233" s="20" t="s">
        <v>1059</v>
      </c>
      <c r="F233" s="20" t="s">
        <v>835</v>
      </c>
      <c r="G233" s="20">
        <v>5</v>
      </c>
      <c r="H233" s="20">
        <v>1</v>
      </c>
      <c r="I233" s="20" t="s">
        <v>593</v>
      </c>
      <c r="K233" s="20" t="s">
        <v>1144</v>
      </c>
      <c r="L233" s="20" t="s">
        <v>1145</v>
      </c>
      <c r="M233" s="20" t="s">
        <v>1667</v>
      </c>
      <c r="N233" s="20" t="s">
        <v>853</v>
      </c>
      <c r="O233" s="20" t="s">
        <v>628</v>
      </c>
      <c r="P233" s="20">
        <v>10</v>
      </c>
      <c r="Q233" s="20">
        <v>8</v>
      </c>
      <c r="R233" s="20" t="s">
        <v>592</v>
      </c>
      <c r="T233" s="20" t="s">
        <v>1161</v>
      </c>
      <c r="U233" s="20" t="s">
        <v>41</v>
      </c>
      <c r="V233" s="20" t="s">
        <v>539</v>
      </c>
      <c r="W233" s="20" t="s">
        <v>2195</v>
      </c>
      <c r="X233" s="20" t="s">
        <v>835</v>
      </c>
      <c r="Y233" s="20">
        <v>5</v>
      </c>
      <c r="Z233" s="20">
        <v>5</v>
      </c>
      <c r="AA233" s="20" t="s">
        <v>592</v>
      </c>
      <c r="AC233" s="20" t="s">
        <v>1161</v>
      </c>
      <c r="AD233" s="20" t="s">
        <v>1432</v>
      </c>
      <c r="AE233" s="20" t="s">
        <v>2471</v>
      </c>
      <c r="AF233" s="20" t="s">
        <v>2582</v>
      </c>
      <c r="AG233" s="20" t="s">
        <v>835</v>
      </c>
      <c r="AH233" s="20">
        <v>5</v>
      </c>
      <c r="AI233" s="20">
        <v>6</v>
      </c>
      <c r="AJ233" s="20" t="s">
        <v>592</v>
      </c>
      <c r="AL233" s="20" t="s">
        <v>1147</v>
      </c>
      <c r="AM233" s="20" t="s">
        <v>699</v>
      </c>
      <c r="AN233" s="20" t="s">
        <v>1987</v>
      </c>
      <c r="AO233" s="20" t="s">
        <v>1986</v>
      </c>
      <c r="AP233" s="20" t="s">
        <v>628</v>
      </c>
      <c r="AQ233" s="20">
        <v>10</v>
      </c>
      <c r="AR233" s="20">
        <v>6</v>
      </c>
      <c r="AS233" s="20" t="s">
        <v>593</v>
      </c>
    </row>
    <row r="234" spans="2:45" ht="15.75" customHeight="1" x14ac:dyDescent="0.2">
      <c r="B234" s="20" t="s">
        <v>640</v>
      </c>
      <c r="C234" s="20" t="s">
        <v>756</v>
      </c>
      <c r="D234" s="20" t="s">
        <v>430</v>
      </c>
      <c r="E234" s="20" t="s">
        <v>1286</v>
      </c>
      <c r="F234" s="20" t="s">
        <v>835</v>
      </c>
      <c r="G234" s="20">
        <v>5</v>
      </c>
      <c r="H234" s="20">
        <v>1</v>
      </c>
      <c r="I234" s="20" t="s">
        <v>593</v>
      </c>
      <c r="K234" s="20" t="s">
        <v>1141</v>
      </c>
      <c r="L234" s="20" t="s">
        <v>224</v>
      </c>
      <c r="M234" s="20" t="s">
        <v>1668</v>
      </c>
      <c r="N234" s="20" t="s">
        <v>1669</v>
      </c>
      <c r="O234" s="20" t="s">
        <v>628</v>
      </c>
      <c r="P234" s="20">
        <v>10</v>
      </c>
      <c r="Q234" s="20">
        <v>8</v>
      </c>
      <c r="R234" s="20" t="s">
        <v>592</v>
      </c>
      <c r="T234" s="20" t="s">
        <v>1161</v>
      </c>
      <c r="U234" s="20" t="s">
        <v>41</v>
      </c>
      <c r="V234" s="20" t="s">
        <v>539</v>
      </c>
      <c r="W234" s="20" t="s">
        <v>2196</v>
      </c>
      <c r="X234" s="20" t="s">
        <v>835</v>
      </c>
      <c r="Y234" s="20">
        <v>5</v>
      </c>
      <c r="Z234" s="20">
        <v>1</v>
      </c>
      <c r="AA234" s="20" t="s">
        <v>592</v>
      </c>
      <c r="AC234" s="20" t="s">
        <v>1161</v>
      </c>
      <c r="AD234" s="20" t="s">
        <v>1432</v>
      </c>
      <c r="AE234" s="20" t="s">
        <v>464</v>
      </c>
      <c r="AF234" s="20" t="s">
        <v>2330</v>
      </c>
      <c r="AG234" s="20" t="s">
        <v>628</v>
      </c>
      <c r="AH234" s="20">
        <v>10</v>
      </c>
      <c r="AI234" s="20">
        <v>14</v>
      </c>
      <c r="AJ234" s="20" t="s">
        <v>592</v>
      </c>
      <c r="AL234" s="20" t="s">
        <v>1147</v>
      </c>
      <c r="AM234" s="20" t="s">
        <v>20</v>
      </c>
      <c r="AN234" s="20" t="s">
        <v>2804</v>
      </c>
      <c r="AO234" s="20" t="s">
        <v>2974</v>
      </c>
      <c r="AP234" s="20" t="s">
        <v>628</v>
      </c>
      <c r="AQ234" s="20">
        <v>10</v>
      </c>
      <c r="AR234" s="20">
        <v>10</v>
      </c>
      <c r="AS234" s="20" t="s">
        <v>592</v>
      </c>
    </row>
    <row r="235" spans="2:45" ht="15.75" customHeight="1" x14ac:dyDescent="0.2">
      <c r="B235" s="20" t="s">
        <v>1141</v>
      </c>
      <c r="C235" s="20" t="s">
        <v>780</v>
      </c>
      <c r="D235" s="20" t="s">
        <v>398</v>
      </c>
      <c r="E235" s="20" t="s">
        <v>1287</v>
      </c>
      <c r="F235" s="20" t="s">
        <v>628</v>
      </c>
      <c r="G235" s="20">
        <v>10</v>
      </c>
      <c r="H235" s="20">
        <v>8</v>
      </c>
      <c r="I235" s="20" t="s">
        <v>592</v>
      </c>
      <c r="K235" s="20" t="s">
        <v>1163</v>
      </c>
      <c r="L235" s="20" t="s">
        <v>299</v>
      </c>
      <c r="M235" s="20" t="s">
        <v>1670</v>
      </c>
      <c r="N235" s="20" t="s">
        <v>1671</v>
      </c>
      <c r="O235" s="20" t="s">
        <v>628</v>
      </c>
      <c r="P235" s="20">
        <v>10</v>
      </c>
      <c r="Q235" s="20">
        <v>8</v>
      </c>
      <c r="R235" s="20" t="s">
        <v>592</v>
      </c>
      <c r="T235" s="20" t="s">
        <v>1169</v>
      </c>
      <c r="U235" s="20" t="s">
        <v>701</v>
      </c>
      <c r="V235" s="20" t="s">
        <v>681</v>
      </c>
      <c r="W235" s="20" t="s">
        <v>967</v>
      </c>
      <c r="X235" s="20" t="s">
        <v>835</v>
      </c>
      <c r="Y235" s="20">
        <v>5</v>
      </c>
      <c r="Z235" s="20">
        <v>1</v>
      </c>
      <c r="AA235" s="20" t="s">
        <v>593</v>
      </c>
      <c r="AC235" s="20" t="s">
        <v>1155</v>
      </c>
      <c r="AD235" s="20" t="s">
        <v>1156</v>
      </c>
      <c r="AE235" s="20" t="s">
        <v>518</v>
      </c>
      <c r="AF235" s="20" t="s">
        <v>1323</v>
      </c>
      <c r="AG235" s="20" t="s">
        <v>835</v>
      </c>
      <c r="AH235" s="20">
        <v>5</v>
      </c>
      <c r="AI235" s="20">
        <v>2</v>
      </c>
      <c r="AJ235" s="20" t="s">
        <v>593</v>
      </c>
      <c r="AL235" s="20" t="s">
        <v>1147</v>
      </c>
      <c r="AM235" s="20" t="s">
        <v>20</v>
      </c>
      <c r="AN235" s="20" t="s">
        <v>2805</v>
      </c>
      <c r="AO235" s="20" t="s">
        <v>2975</v>
      </c>
      <c r="AP235" s="20" t="s">
        <v>835</v>
      </c>
      <c r="AQ235" s="20">
        <v>5</v>
      </c>
      <c r="AR235" s="20">
        <v>2</v>
      </c>
      <c r="AS235" s="20" t="s">
        <v>593</v>
      </c>
    </row>
    <row r="236" spans="2:45" ht="15.75" customHeight="1" x14ac:dyDescent="0.2">
      <c r="B236" s="20" t="s">
        <v>1141</v>
      </c>
      <c r="C236" s="20" t="s">
        <v>780</v>
      </c>
      <c r="D236" s="20" t="s">
        <v>398</v>
      </c>
      <c r="E236" s="20" t="s">
        <v>1288</v>
      </c>
      <c r="F236" s="20" t="s">
        <v>628</v>
      </c>
      <c r="G236" s="20">
        <v>10</v>
      </c>
      <c r="H236" s="20">
        <v>1</v>
      </c>
      <c r="I236" s="20" t="s">
        <v>592</v>
      </c>
      <c r="K236" s="20" t="s">
        <v>1163</v>
      </c>
      <c r="L236" s="20" t="s">
        <v>299</v>
      </c>
      <c r="M236" s="20" t="s">
        <v>1672</v>
      </c>
      <c r="N236" s="20" t="s">
        <v>1671</v>
      </c>
      <c r="O236" s="20" t="s">
        <v>628</v>
      </c>
      <c r="P236" s="20">
        <v>10</v>
      </c>
      <c r="Q236" s="20">
        <v>1</v>
      </c>
      <c r="R236" s="20" t="s">
        <v>592</v>
      </c>
      <c r="T236" s="20" t="s">
        <v>1158</v>
      </c>
      <c r="U236" s="20" t="s">
        <v>72</v>
      </c>
      <c r="V236" s="20" t="s">
        <v>1728</v>
      </c>
      <c r="W236" s="20" t="s">
        <v>2197</v>
      </c>
      <c r="X236" s="20" t="s">
        <v>835</v>
      </c>
      <c r="Y236" s="20">
        <v>5</v>
      </c>
      <c r="Z236" s="20">
        <v>5</v>
      </c>
      <c r="AA236" s="20" t="s">
        <v>592</v>
      </c>
      <c r="AC236" s="20" t="s">
        <v>1155</v>
      </c>
      <c r="AD236" s="20" t="s">
        <v>1156</v>
      </c>
      <c r="AE236" s="20" t="s">
        <v>2475</v>
      </c>
      <c r="AF236" s="20" t="s">
        <v>2225</v>
      </c>
      <c r="AG236" s="20" t="s">
        <v>628</v>
      </c>
      <c r="AH236" s="20">
        <v>10</v>
      </c>
      <c r="AI236" s="20">
        <v>11</v>
      </c>
      <c r="AJ236" s="20" t="s">
        <v>592</v>
      </c>
      <c r="AL236" s="20" t="s">
        <v>1147</v>
      </c>
      <c r="AM236" s="20" t="s">
        <v>244</v>
      </c>
      <c r="AN236" s="20" t="s">
        <v>1682</v>
      </c>
      <c r="AO236" s="20" t="s">
        <v>2976</v>
      </c>
      <c r="AP236" s="20" t="s">
        <v>628</v>
      </c>
      <c r="AQ236" s="20">
        <v>10</v>
      </c>
      <c r="AR236" s="20">
        <v>11</v>
      </c>
      <c r="AS236" s="20" t="s">
        <v>592</v>
      </c>
    </row>
    <row r="237" spans="2:45" ht="15.75" customHeight="1" x14ac:dyDescent="0.2">
      <c r="B237" s="20" t="s">
        <v>1162</v>
      </c>
      <c r="C237" s="20" t="s">
        <v>230</v>
      </c>
      <c r="D237" s="20" t="s">
        <v>610</v>
      </c>
      <c r="E237" s="20" t="s">
        <v>1289</v>
      </c>
      <c r="F237" s="20" t="s">
        <v>835</v>
      </c>
      <c r="G237" s="20">
        <v>5</v>
      </c>
      <c r="H237" s="20">
        <v>2</v>
      </c>
      <c r="I237" s="20" t="s">
        <v>593</v>
      </c>
      <c r="K237" s="20" t="s">
        <v>1162</v>
      </c>
      <c r="L237" s="20" t="s">
        <v>230</v>
      </c>
      <c r="M237" s="20" t="s">
        <v>1673</v>
      </c>
      <c r="N237" s="20" t="s">
        <v>413</v>
      </c>
      <c r="O237" s="20" t="s">
        <v>628</v>
      </c>
      <c r="P237" s="20">
        <v>10</v>
      </c>
      <c r="Q237" s="20">
        <v>2</v>
      </c>
      <c r="R237" s="20" t="s">
        <v>593</v>
      </c>
      <c r="T237" s="20" t="s">
        <v>1158</v>
      </c>
      <c r="U237" s="20" t="s">
        <v>291</v>
      </c>
      <c r="V237" s="20" t="s">
        <v>2469</v>
      </c>
      <c r="W237" s="20" t="s">
        <v>2198</v>
      </c>
      <c r="X237" s="20" t="s">
        <v>835</v>
      </c>
      <c r="Y237" s="20">
        <v>5</v>
      </c>
      <c r="Z237" s="20">
        <v>2</v>
      </c>
      <c r="AA237" s="20" t="s">
        <v>593</v>
      </c>
      <c r="AC237" s="20" t="s">
        <v>1163</v>
      </c>
      <c r="AD237" s="20" t="s">
        <v>57</v>
      </c>
      <c r="AE237" s="20" t="s">
        <v>359</v>
      </c>
      <c r="AF237" s="20" t="s">
        <v>1981</v>
      </c>
      <c r="AG237" s="20" t="s">
        <v>628</v>
      </c>
      <c r="AH237" s="20">
        <v>10</v>
      </c>
      <c r="AI237" s="20">
        <v>4</v>
      </c>
      <c r="AJ237" s="20" t="s">
        <v>593</v>
      </c>
      <c r="AL237" s="20" t="s">
        <v>1147</v>
      </c>
      <c r="AM237" s="20" t="s">
        <v>244</v>
      </c>
      <c r="AN237" s="20" t="s">
        <v>1948</v>
      </c>
      <c r="AO237" s="20" t="s">
        <v>2977</v>
      </c>
      <c r="AP237" s="20" t="s">
        <v>628</v>
      </c>
      <c r="AQ237" s="20">
        <v>10</v>
      </c>
      <c r="AR237" s="20">
        <v>10</v>
      </c>
      <c r="AS237" s="20" t="s">
        <v>592</v>
      </c>
    </row>
    <row r="238" spans="2:45" ht="15.75" customHeight="1" x14ac:dyDescent="0.2">
      <c r="B238" s="20" t="s">
        <v>1154</v>
      </c>
      <c r="C238" s="20" t="s">
        <v>1152</v>
      </c>
      <c r="D238" s="20" t="s">
        <v>624</v>
      </c>
      <c r="E238" s="20" t="s">
        <v>1290</v>
      </c>
      <c r="F238" s="20" t="s">
        <v>628</v>
      </c>
      <c r="G238" s="20">
        <v>10</v>
      </c>
      <c r="H238" s="20">
        <v>6</v>
      </c>
      <c r="I238" s="20" t="s">
        <v>592</v>
      </c>
      <c r="K238" s="20" t="s">
        <v>1158</v>
      </c>
      <c r="L238" s="20" t="s">
        <v>925</v>
      </c>
      <c r="M238" s="20" t="s">
        <v>779</v>
      </c>
      <c r="N238" s="20" t="s">
        <v>533</v>
      </c>
      <c r="O238" s="20" t="s">
        <v>835</v>
      </c>
      <c r="P238" s="20">
        <v>5</v>
      </c>
      <c r="Q238" s="20">
        <v>5</v>
      </c>
      <c r="R238" s="20" t="s">
        <v>592</v>
      </c>
      <c r="T238" s="20" t="s">
        <v>1147</v>
      </c>
      <c r="U238" s="20" t="s">
        <v>29</v>
      </c>
      <c r="V238" s="20" t="s">
        <v>419</v>
      </c>
      <c r="W238" s="20" t="s">
        <v>2199</v>
      </c>
      <c r="X238" s="20" t="s">
        <v>835</v>
      </c>
      <c r="Y238" s="20">
        <v>5</v>
      </c>
      <c r="Z238" s="20">
        <v>7</v>
      </c>
      <c r="AA238" s="20" t="s">
        <v>592</v>
      </c>
      <c r="AC238" s="20" t="s">
        <v>1163</v>
      </c>
      <c r="AD238" s="20" t="s">
        <v>57</v>
      </c>
      <c r="AE238" s="20" t="s">
        <v>506</v>
      </c>
      <c r="AF238" s="20" t="s">
        <v>1493</v>
      </c>
      <c r="AG238" s="20" t="s">
        <v>628</v>
      </c>
      <c r="AH238" s="20">
        <v>10</v>
      </c>
      <c r="AI238" s="20">
        <v>2</v>
      </c>
      <c r="AJ238" s="20" t="s">
        <v>593</v>
      </c>
      <c r="AL238" s="20" t="s">
        <v>1147</v>
      </c>
      <c r="AM238" s="20" t="s">
        <v>244</v>
      </c>
      <c r="AN238" s="20" t="s">
        <v>421</v>
      </c>
      <c r="AO238" s="20" t="s">
        <v>777</v>
      </c>
      <c r="AP238" s="20" t="s">
        <v>628</v>
      </c>
      <c r="AQ238" s="20">
        <v>10</v>
      </c>
      <c r="AR238" s="20">
        <v>19</v>
      </c>
      <c r="AS238" s="20" t="s">
        <v>592</v>
      </c>
    </row>
    <row r="239" spans="2:45" ht="15.75" customHeight="1" x14ac:dyDescent="0.2">
      <c r="B239" s="20" t="s">
        <v>1154</v>
      </c>
      <c r="C239" s="20" t="s">
        <v>1152</v>
      </c>
      <c r="D239" s="20" t="s">
        <v>624</v>
      </c>
      <c r="E239" s="20" t="s">
        <v>1291</v>
      </c>
      <c r="F239" s="20" t="s">
        <v>628</v>
      </c>
      <c r="G239" s="20">
        <v>10</v>
      </c>
      <c r="H239" s="20">
        <v>2</v>
      </c>
      <c r="I239" s="20" t="s">
        <v>592</v>
      </c>
      <c r="K239" s="20" t="s">
        <v>1155</v>
      </c>
      <c r="L239" s="20" t="s">
        <v>657</v>
      </c>
      <c r="M239" s="20" t="s">
        <v>905</v>
      </c>
      <c r="N239" s="20" t="s">
        <v>682</v>
      </c>
      <c r="O239" s="20" t="s">
        <v>835</v>
      </c>
      <c r="P239" s="20">
        <v>5</v>
      </c>
      <c r="Q239" s="20">
        <v>1</v>
      </c>
      <c r="R239" s="20" t="s">
        <v>593</v>
      </c>
      <c r="T239" s="20" t="s">
        <v>1147</v>
      </c>
      <c r="U239" s="20" t="s">
        <v>29</v>
      </c>
      <c r="V239" s="20" t="s">
        <v>1974</v>
      </c>
      <c r="W239" s="20" t="s">
        <v>1973</v>
      </c>
      <c r="X239" s="20" t="s">
        <v>835</v>
      </c>
      <c r="Y239" s="20">
        <v>5</v>
      </c>
      <c r="Z239" s="20">
        <v>1</v>
      </c>
      <c r="AA239" s="20" t="s">
        <v>593</v>
      </c>
      <c r="AC239" s="20" t="s">
        <v>1163</v>
      </c>
      <c r="AD239" s="20" t="s">
        <v>57</v>
      </c>
      <c r="AE239" s="20" t="s">
        <v>505</v>
      </c>
      <c r="AF239" s="20" t="s">
        <v>1600</v>
      </c>
      <c r="AG239" s="20" t="s">
        <v>628</v>
      </c>
      <c r="AH239" s="20">
        <v>10</v>
      </c>
      <c r="AI239" s="20">
        <v>1</v>
      </c>
      <c r="AJ239" s="20" t="s">
        <v>593</v>
      </c>
      <c r="AL239" s="20" t="s">
        <v>1147</v>
      </c>
      <c r="AM239" s="20" t="s">
        <v>244</v>
      </c>
      <c r="AN239" s="20" t="s">
        <v>1950</v>
      </c>
      <c r="AO239" s="20" t="s">
        <v>2978</v>
      </c>
      <c r="AP239" s="20" t="s">
        <v>628</v>
      </c>
      <c r="AQ239" s="20">
        <v>10</v>
      </c>
      <c r="AR239" s="20">
        <v>9</v>
      </c>
      <c r="AS239" s="20" t="s">
        <v>592</v>
      </c>
    </row>
    <row r="240" spans="2:45" ht="15.75" customHeight="1" x14ac:dyDescent="0.2">
      <c r="B240" s="20" t="s">
        <v>1147</v>
      </c>
      <c r="C240" s="20" t="s">
        <v>20</v>
      </c>
      <c r="D240" s="20" t="s">
        <v>452</v>
      </c>
      <c r="E240" s="20" t="s">
        <v>1292</v>
      </c>
      <c r="F240" s="20" t="s">
        <v>628</v>
      </c>
      <c r="G240" s="20">
        <v>10</v>
      </c>
      <c r="H240" s="20">
        <v>3</v>
      </c>
      <c r="I240" s="20" t="s">
        <v>592</v>
      </c>
      <c r="K240" s="20" t="s">
        <v>1161</v>
      </c>
      <c r="L240" s="20" t="s">
        <v>659</v>
      </c>
      <c r="M240" s="20" t="s">
        <v>1674</v>
      </c>
      <c r="N240" s="20" t="s">
        <v>390</v>
      </c>
      <c r="O240" s="20" t="s">
        <v>628</v>
      </c>
      <c r="P240" s="20">
        <v>10</v>
      </c>
      <c r="Q240" s="20">
        <v>8</v>
      </c>
      <c r="R240" s="20" t="s">
        <v>592</v>
      </c>
      <c r="T240" s="20" t="s">
        <v>1161</v>
      </c>
      <c r="U240" s="20" t="s">
        <v>117</v>
      </c>
      <c r="V240" s="20" t="s">
        <v>1907</v>
      </c>
      <c r="W240" s="20" t="s">
        <v>2200</v>
      </c>
      <c r="X240" s="20" t="s">
        <v>628</v>
      </c>
      <c r="Y240" s="20">
        <v>10</v>
      </c>
      <c r="Z240" s="20">
        <v>8</v>
      </c>
      <c r="AA240" s="20" t="s">
        <v>592</v>
      </c>
      <c r="AC240" s="20" t="s">
        <v>1163</v>
      </c>
      <c r="AD240" s="20" t="s">
        <v>57</v>
      </c>
      <c r="AE240" s="20" t="s">
        <v>361</v>
      </c>
      <c r="AF240" s="20" t="s">
        <v>1309</v>
      </c>
      <c r="AG240" s="20" t="s">
        <v>628</v>
      </c>
      <c r="AH240" s="20">
        <v>10</v>
      </c>
      <c r="AI240" s="20">
        <v>6</v>
      </c>
      <c r="AJ240" s="20" t="s">
        <v>593</v>
      </c>
      <c r="AL240" s="20" t="s">
        <v>1147</v>
      </c>
      <c r="AM240" s="20" t="s">
        <v>244</v>
      </c>
      <c r="AN240" s="20" t="s">
        <v>609</v>
      </c>
      <c r="AO240" s="20" t="s">
        <v>1284</v>
      </c>
      <c r="AP240" s="20" t="s">
        <v>628</v>
      </c>
      <c r="AQ240" s="20">
        <v>10</v>
      </c>
      <c r="AR240" s="20">
        <v>9</v>
      </c>
      <c r="AS240" s="20" t="s">
        <v>592</v>
      </c>
    </row>
    <row r="241" spans="2:45" ht="15.75" customHeight="1" x14ac:dyDescent="0.2">
      <c r="B241" s="20" t="s">
        <v>1147</v>
      </c>
      <c r="C241" s="20" t="s">
        <v>20</v>
      </c>
      <c r="D241" s="20" t="s">
        <v>452</v>
      </c>
      <c r="E241" s="20" t="s">
        <v>1293</v>
      </c>
      <c r="F241" s="20" t="s">
        <v>628</v>
      </c>
      <c r="G241" s="20">
        <v>10</v>
      </c>
      <c r="H241" s="20">
        <v>7</v>
      </c>
      <c r="I241" s="20" t="s">
        <v>592</v>
      </c>
      <c r="K241" s="20" t="s">
        <v>1162</v>
      </c>
      <c r="L241" s="20" t="s">
        <v>352</v>
      </c>
      <c r="M241" s="20" t="s">
        <v>1468</v>
      </c>
      <c r="N241" s="20" t="s">
        <v>1469</v>
      </c>
      <c r="O241" s="20" t="s">
        <v>835</v>
      </c>
      <c r="P241" s="20">
        <v>5</v>
      </c>
      <c r="Q241" s="20">
        <v>4</v>
      </c>
      <c r="R241" s="20" t="s">
        <v>592</v>
      </c>
      <c r="T241" s="20" t="s">
        <v>1161</v>
      </c>
      <c r="U241" s="20" t="s">
        <v>117</v>
      </c>
      <c r="V241" s="20" t="s">
        <v>541</v>
      </c>
      <c r="W241" s="20" t="s">
        <v>2201</v>
      </c>
      <c r="X241" s="20" t="s">
        <v>628</v>
      </c>
      <c r="Y241" s="20">
        <v>10</v>
      </c>
      <c r="Z241" s="20">
        <v>1</v>
      </c>
      <c r="AA241" s="20" t="s">
        <v>593</v>
      </c>
      <c r="AC241" s="20" t="s">
        <v>1163</v>
      </c>
      <c r="AD241" s="20" t="s">
        <v>57</v>
      </c>
      <c r="AE241" s="20" t="s">
        <v>811</v>
      </c>
      <c r="AF241" s="20" t="s">
        <v>1326</v>
      </c>
      <c r="AG241" s="20" t="s">
        <v>628</v>
      </c>
      <c r="AH241" s="20">
        <v>10</v>
      </c>
      <c r="AI241" s="20">
        <v>1</v>
      </c>
      <c r="AJ241" s="20" t="s">
        <v>593</v>
      </c>
      <c r="AL241" s="20" t="s">
        <v>1147</v>
      </c>
      <c r="AM241" s="20" t="s">
        <v>244</v>
      </c>
      <c r="AN241" s="20" t="s">
        <v>488</v>
      </c>
      <c r="AO241" s="20" t="s">
        <v>1342</v>
      </c>
      <c r="AP241" s="20" t="s">
        <v>628</v>
      </c>
      <c r="AQ241" s="20">
        <v>10</v>
      </c>
      <c r="AR241" s="20">
        <v>13</v>
      </c>
      <c r="AS241" s="20" t="s">
        <v>592</v>
      </c>
    </row>
    <row r="242" spans="2:45" ht="15.75" customHeight="1" x14ac:dyDescent="0.2">
      <c r="B242" s="20" t="s">
        <v>1147</v>
      </c>
      <c r="C242" s="20" t="s">
        <v>699</v>
      </c>
      <c r="D242" s="20" t="s">
        <v>448</v>
      </c>
      <c r="E242" s="20" t="s">
        <v>1294</v>
      </c>
      <c r="F242" s="20" t="s">
        <v>628</v>
      </c>
      <c r="G242" s="20">
        <v>10</v>
      </c>
      <c r="H242" s="20">
        <v>10</v>
      </c>
      <c r="I242" s="20" t="s">
        <v>592</v>
      </c>
      <c r="K242" s="20" t="s">
        <v>1162</v>
      </c>
      <c r="L242" s="20" t="s">
        <v>352</v>
      </c>
      <c r="M242" s="20" t="s">
        <v>1675</v>
      </c>
      <c r="N242" s="20" t="s">
        <v>1469</v>
      </c>
      <c r="O242" s="20" t="s">
        <v>835</v>
      </c>
      <c r="P242" s="20">
        <v>5</v>
      </c>
      <c r="Q242" s="20">
        <v>1</v>
      </c>
      <c r="R242" s="20" t="s">
        <v>592</v>
      </c>
      <c r="T242" s="20" t="s">
        <v>1163</v>
      </c>
      <c r="U242" s="20" t="s">
        <v>207</v>
      </c>
      <c r="V242" s="20" t="s">
        <v>1566</v>
      </c>
      <c r="W242" s="20" t="s">
        <v>2202</v>
      </c>
      <c r="X242" s="20" t="s">
        <v>835</v>
      </c>
      <c r="Y242" s="20">
        <v>5</v>
      </c>
      <c r="Z242" s="20">
        <v>2</v>
      </c>
      <c r="AA242" s="20" t="s">
        <v>592</v>
      </c>
      <c r="AC242" s="20" t="s">
        <v>1163</v>
      </c>
      <c r="AD242" s="20" t="s">
        <v>57</v>
      </c>
      <c r="AE242" s="20" t="s">
        <v>2082</v>
      </c>
      <c r="AF242" s="20" t="s">
        <v>2081</v>
      </c>
      <c r="AG242" s="20" t="s">
        <v>628</v>
      </c>
      <c r="AH242" s="20">
        <v>10</v>
      </c>
      <c r="AI242" s="20">
        <v>1</v>
      </c>
      <c r="AJ242" s="20" t="s">
        <v>593</v>
      </c>
      <c r="AL242" s="20" t="s">
        <v>1147</v>
      </c>
      <c r="AM242" s="20" t="s">
        <v>244</v>
      </c>
      <c r="AN242" s="20" t="s">
        <v>2546</v>
      </c>
      <c r="AO242" s="20" t="s">
        <v>2657</v>
      </c>
      <c r="AP242" s="20" t="s">
        <v>628</v>
      </c>
      <c r="AQ242" s="20">
        <v>10</v>
      </c>
      <c r="AR242" s="20">
        <v>8</v>
      </c>
      <c r="AS242" s="20" t="s">
        <v>592</v>
      </c>
    </row>
    <row r="243" spans="2:45" ht="15.75" customHeight="1" x14ac:dyDescent="0.2">
      <c r="B243" s="20" t="s">
        <v>1162</v>
      </c>
      <c r="C243" s="20" t="s">
        <v>352</v>
      </c>
      <c r="D243" s="20" t="s">
        <v>445</v>
      </c>
      <c r="E243" s="20" t="s">
        <v>980</v>
      </c>
      <c r="F243" s="20" t="s">
        <v>628</v>
      </c>
      <c r="G243" s="20">
        <v>10</v>
      </c>
      <c r="H243" s="20">
        <v>6</v>
      </c>
      <c r="I243" s="20" t="s">
        <v>592</v>
      </c>
      <c r="K243" s="20" t="s">
        <v>1141</v>
      </c>
      <c r="L243" s="20" t="s">
        <v>218</v>
      </c>
      <c r="M243" s="20" t="s">
        <v>1676</v>
      </c>
      <c r="N243" s="20" t="s">
        <v>492</v>
      </c>
      <c r="O243" s="20" t="s">
        <v>835</v>
      </c>
      <c r="P243" s="20">
        <v>5</v>
      </c>
      <c r="Q243" s="20">
        <v>5</v>
      </c>
      <c r="R243" s="20" t="s">
        <v>592</v>
      </c>
      <c r="T243" s="20" t="s">
        <v>1163</v>
      </c>
      <c r="U243" s="20" t="s">
        <v>207</v>
      </c>
      <c r="V243" s="20" t="s">
        <v>1566</v>
      </c>
      <c r="W243" s="20" t="s">
        <v>2203</v>
      </c>
      <c r="X243" s="20" t="s">
        <v>835</v>
      </c>
      <c r="Y243" s="20">
        <v>5</v>
      </c>
      <c r="Z243" s="20">
        <v>3</v>
      </c>
      <c r="AA243" s="20" t="s">
        <v>592</v>
      </c>
      <c r="AC243" s="20" t="s">
        <v>1158</v>
      </c>
      <c r="AD243" s="20" t="s">
        <v>291</v>
      </c>
      <c r="AE243" s="20" t="s">
        <v>2506</v>
      </c>
      <c r="AF243" s="20" t="s">
        <v>2394</v>
      </c>
      <c r="AG243" s="20" t="s">
        <v>835</v>
      </c>
      <c r="AH243" s="20">
        <v>5</v>
      </c>
      <c r="AI243" s="20">
        <v>8</v>
      </c>
      <c r="AJ243" s="20" t="s">
        <v>592</v>
      </c>
      <c r="AL243" s="20" t="s">
        <v>1147</v>
      </c>
      <c r="AM243" s="20" t="s">
        <v>244</v>
      </c>
      <c r="AN243" s="20" t="s">
        <v>1441</v>
      </c>
      <c r="AO243" s="20" t="s">
        <v>1440</v>
      </c>
      <c r="AP243" s="20" t="s">
        <v>628</v>
      </c>
      <c r="AQ243" s="20">
        <v>10</v>
      </c>
      <c r="AR243" s="20">
        <v>12</v>
      </c>
      <c r="AS243" s="20" t="s">
        <v>592</v>
      </c>
    </row>
    <row r="244" spans="2:45" ht="15.75" customHeight="1" x14ac:dyDescent="0.2">
      <c r="B244" s="20" t="s">
        <v>1162</v>
      </c>
      <c r="C244" s="20" t="s">
        <v>352</v>
      </c>
      <c r="D244" s="20" t="s">
        <v>445</v>
      </c>
      <c r="E244" s="20" t="s">
        <v>1295</v>
      </c>
      <c r="F244" s="20" t="s">
        <v>628</v>
      </c>
      <c r="G244" s="20">
        <v>10</v>
      </c>
      <c r="H244" s="20">
        <v>2</v>
      </c>
      <c r="I244" s="20" t="s">
        <v>592</v>
      </c>
      <c r="K244" s="20" t="s">
        <v>1141</v>
      </c>
      <c r="L244" s="20" t="s">
        <v>218</v>
      </c>
      <c r="M244" s="20" t="s">
        <v>1677</v>
      </c>
      <c r="N244" s="20" t="s">
        <v>494</v>
      </c>
      <c r="O244" s="20" t="s">
        <v>835</v>
      </c>
      <c r="P244" s="20">
        <v>5</v>
      </c>
      <c r="Q244" s="20">
        <v>4</v>
      </c>
      <c r="R244" s="20" t="s">
        <v>592</v>
      </c>
      <c r="T244" s="20" t="s">
        <v>1161</v>
      </c>
      <c r="U244" s="20" t="s">
        <v>765</v>
      </c>
      <c r="V244" s="20" t="s">
        <v>1750</v>
      </c>
      <c r="W244" s="20" t="s">
        <v>2204</v>
      </c>
      <c r="X244" s="20" t="s">
        <v>835</v>
      </c>
      <c r="Y244" s="20">
        <v>5</v>
      </c>
      <c r="Z244" s="20">
        <v>1</v>
      </c>
      <c r="AA244" s="20" t="s">
        <v>593</v>
      </c>
      <c r="AC244" s="20" t="s">
        <v>1158</v>
      </c>
      <c r="AD244" s="20" t="s">
        <v>925</v>
      </c>
      <c r="AE244" s="20" t="s">
        <v>532</v>
      </c>
      <c r="AF244" s="20" t="s">
        <v>1729</v>
      </c>
      <c r="AG244" s="20" t="s">
        <v>835</v>
      </c>
      <c r="AH244" s="20">
        <v>5</v>
      </c>
      <c r="AI244" s="20">
        <v>1</v>
      </c>
      <c r="AJ244" s="20" t="s">
        <v>593</v>
      </c>
      <c r="AL244" s="20" t="s">
        <v>1147</v>
      </c>
      <c r="AM244" s="20" t="s">
        <v>244</v>
      </c>
      <c r="AN244" s="20" t="s">
        <v>2806</v>
      </c>
      <c r="AO244" s="20" t="s">
        <v>2979</v>
      </c>
      <c r="AP244" s="20" t="s">
        <v>628</v>
      </c>
      <c r="AQ244" s="20">
        <v>10</v>
      </c>
      <c r="AR244" s="20">
        <v>8</v>
      </c>
      <c r="AS244" s="20" t="s">
        <v>592</v>
      </c>
    </row>
    <row r="245" spans="2:45" ht="15.75" customHeight="1" x14ac:dyDescent="0.2">
      <c r="B245" s="20" t="s">
        <v>1141</v>
      </c>
      <c r="C245" s="20" t="s">
        <v>224</v>
      </c>
      <c r="D245" s="20" t="s">
        <v>386</v>
      </c>
      <c r="E245" s="20" t="s">
        <v>1296</v>
      </c>
      <c r="F245" s="20" t="s">
        <v>835</v>
      </c>
      <c r="G245" s="20">
        <v>5</v>
      </c>
      <c r="H245" s="20">
        <v>5</v>
      </c>
      <c r="I245" s="20" t="s">
        <v>592</v>
      </c>
      <c r="K245" s="20" t="s">
        <v>1141</v>
      </c>
      <c r="L245" s="20" t="s">
        <v>218</v>
      </c>
      <c r="M245" s="20" t="s">
        <v>1678</v>
      </c>
      <c r="N245" s="20" t="s">
        <v>494</v>
      </c>
      <c r="O245" s="20" t="s">
        <v>835</v>
      </c>
      <c r="P245" s="20">
        <v>5</v>
      </c>
      <c r="Q245" s="20">
        <v>1</v>
      </c>
      <c r="R245" s="20" t="s">
        <v>592</v>
      </c>
      <c r="T245" s="20" t="s">
        <v>1161</v>
      </c>
      <c r="U245" s="20" t="s">
        <v>765</v>
      </c>
      <c r="V245" s="20" t="s">
        <v>2470</v>
      </c>
      <c r="W245" s="20" t="s">
        <v>2205</v>
      </c>
      <c r="X245" s="20" t="s">
        <v>835</v>
      </c>
      <c r="Y245" s="20">
        <v>5</v>
      </c>
      <c r="Z245" s="20">
        <v>5</v>
      </c>
      <c r="AA245" s="20" t="s">
        <v>592</v>
      </c>
      <c r="AC245" s="20" t="s">
        <v>1144</v>
      </c>
      <c r="AD245" s="20" t="s">
        <v>1107</v>
      </c>
      <c r="AE245" s="20" t="s">
        <v>1909</v>
      </c>
      <c r="AF245" s="20" t="s">
        <v>2232</v>
      </c>
      <c r="AG245" s="20" t="s">
        <v>628</v>
      </c>
      <c r="AH245" s="20">
        <v>10</v>
      </c>
      <c r="AI245" s="20">
        <v>4</v>
      </c>
      <c r="AJ245" s="20" t="s">
        <v>593</v>
      </c>
      <c r="AL245" s="20" t="s">
        <v>1147</v>
      </c>
      <c r="AM245" s="20" t="s">
        <v>244</v>
      </c>
      <c r="AN245" s="20" t="s">
        <v>2807</v>
      </c>
      <c r="AO245" s="20" t="s">
        <v>2980</v>
      </c>
      <c r="AP245" s="20" t="s">
        <v>628</v>
      </c>
      <c r="AQ245" s="20">
        <v>10</v>
      </c>
      <c r="AR245" s="20">
        <v>10</v>
      </c>
      <c r="AS245" s="20" t="s">
        <v>592</v>
      </c>
    </row>
    <row r="246" spans="2:45" ht="15.75" customHeight="1" x14ac:dyDescent="0.2">
      <c r="B246" s="20" t="s">
        <v>646</v>
      </c>
      <c r="C246" s="20" t="s">
        <v>285</v>
      </c>
      <c r="D246" s="20" t="s">
        <v>459</v>
      </c>
      <c r="E246" s="20" t="s">
        <v>1114</v>
      </c>
      <c r="F246" s="20" t="s">
        <v>628</v>
      </c>
      <c r="G246" s="20">
        <v>10</v>
      </c>
      <c r="H246" s="20">
        <v>8</v>
      </c>
      <c r="I246" s="20" t="s">
        <v>592</v>
      </c>
      <c r="K246" s="20" t="s">
        <v>1144</v>
      </c>
      <c r="L246" s="20" t="s">
        <v>249</v>
      </c>
      <c r="M246" s="20" t="s">
        <v>1679</v>
      </c>
      <c r="N246" s="20" t="s">
        <v>440</v>
      </c>
      <c r="O246" s="20" t="s">
        <v>835</v>
      </c>
      <c r="P246" s="20">
        <v>5</v>
      </c>
      <c r="Q246" s="20">
        <v>7</v>
      </c>
      <c r="R246" s="20" t="s">
        <v>592</v>
      </c>
      <c r="T246" s="20" t="s">
        <v>1144</v>
      </c>
      <c r="U246" s="20" t="s">
        <v>249</v>
      </c>
      <c r="V246" s="20" t="s">
        <v>560</v>
      </c>
      <c r="W246" s="20" t="s">
        <v>831</v>
      </c>
      <c r="X246" s="20" t="s">
        <v>835</v>
      </c>
      <c r="Y246" s="20">
        <v>5</v>
      </c>
      <c r="Z246" s="20">
        <v>5</v>
      </c>
      <c r="AA246" s="20" t="s">
        <v>592</v>
      </c>
      <c r="AC246" s="20" t="s">
        <v>1147</v>
      </c>
      <c r="AD246" s="20" t="s">
        <v>29</v>
      </c>
      <c r="AE246" s="20" t="s">
        <v>1792</v>
      </c>
      <c r="AF246" s="20" t="s">
        <v>1791</v>
      </c>
      <c r="AG246" s="20" t="s">
        <v>628</v>
      </c>
      <c r="AH246" s="20">
        <v>10</v>
      </c>
      <c r="AI246" s="20">
        <v>8</v>
      </c>
      <c r="AJ246" s="20" t="s">
        <v>592</v>
      </c>
      <c r="AL246" s="20" t="s">
        <v>1147</v>
      </c>
      <c r="AM246" s="20" t="s">
        <v>222</v>
      </c>
      <c r="AN246" s="20" t="s">
        <v>2808</v>
      </c>
      <c r="AO246" s="20" t="s">
        <v>2981</v>
      </c>
      <c r="AP246" s="20" t="s">
        <v>628</v>
      </c>
      <c r="AQ246" s="20">
        <v>10</v>
      </c>
      <c r="AR246" s="20">
        <v>8</v>
      </c>
      <c r="AS246" s="20" t="s">
        <v>592</v>
      </c>
    </row>
    <row r="247" spans="2:45" ht="15.75" customHeight="1" x14ac:dyDescent="0.2">
      <c r="B247" s="20" t="s">
        <v>646</v>
      </c>
      <c r="C247" s="20" t="s">
        <v>285</v>
      </c>
      <c r="D247" s="20" t="s">
        <v>459</v>
      </c>
      <c r="E247" s="20" t="s">
        <v>1297</v>
      </c>
      <c r="F247" s="20" t="s">
        <v>628</v>
      </c>
      <c r="G247" s="20">
        <v>10</v>
      </c>
      <c r="H247" s="20">
        <v>1</v>
      </c>
      <c r="I247" s="20" t="s">
        <v>592</v>
      </c>
      <c r="K247" s="20" t="s">
        <v>1144</v>
      </c>
      <c r="L247" s="20" t="s">
        <v>249</v>
      </c>
      <c r="M247" s="20" t="s">
        <v>1680</v>
      </c>
      <c r="N247" s="20" t="s">
        <v>440</v>
      </c>
      <c r="O247" s="20" t="s">
        <v>835</v>
      </c>
      <c r="P247" s="20">
        <v>5</v>
      </c>
      <c r="Q247" s="20">
        <v>1</v>
      </c>
      <c r="R247" s="20" t="s">
        <v>592</v>
      </c>
      <c r="T247" s="20" t="s">
        <v>1161</v>
      </c>
      <c r="U247" s="20" t="s">
        <v>1432</v>
      </c>
      <c r="V247" s="20" t="s">
        <v>2471</v>
      </c>
      <c r="W247" s="20" t="s">
        <v>2206</v>
      </c>
      <c r="X247" s="20" t="s">
        <v>835</v>
      </c>
      <c r="Y247" s="20">
        <v>5</v>
      </c>
      <c r="Z247" s="20">
        <v>5</v>
      </c>
      <c r="AA247" s="20" t="s">
        <v>592</v>
      </c>
      <c r="AC247" s="20" t="s">
        <v>1147</v>
      </c>
      <c r="AD247" s="20" t="s">
        <v>29</v>
      </c>
      <c r="AE247" s="20" t="s">
        <v>422</v>
      </c>
      <c r="AF247" s="20" t="s">
        <v>770</v>
      </c>
      <c r="AG247" s="20" t="s">
        <v>628</v>
      </c>
      <c r="AH247" s="20">
        <v>10</v>
      </c>
      <c r="AI247" s="20">
        <v>8</v>
      </c>
      <c r="AJ247" s="20" t="s">
        <v>592</v>
      </c>
      <c r="AL247" s="20" t="s">
        <v>1147</v>
      </c>
      <c r="AM247" s="20" t="s">
        <v>29</v>
      </c>
      <c r="AN247" s="20" t="s">
        <v>419</v>
      </c>
      <c r="AO247" s="20" t="s">
        <v>2982</v>
      </c>
      <c r="AP247" s="20" t="s">
        <v>628</v>
      </c>
      <c r="AQ247" s="20">
        <v>10</v>
      </c>
      <c r="AR247" s="20">
        <v>9</v>
      </c>
      <c r="AS247" s="20" t="s">
        <v>592</v>
      </c>
    </row>
    <row r="248" spans="2:45" ht="15.75" customHeight="1" x14ac:dyDescent="0.2">
      <c r="B248" s="20" t="s">
        <v>640</v>
      </c>
      <c r="C248" s="20" t="s">
        <v>248</v>
      </c>
      <c r="D248" s="20" t="s">
        <v>884</v>
      </c>
      <c r="E248" s="20" t="s">
        <v>1072</v>
      </c>
      <c r="F248" s="20" t="s">
        <v>835</v>
      </c>
      <c r="G248" s="20">
        <v>5</v>
      </c>
      <c r="H248" s="20">
        <v>1</v>
      </c>
      <c r="I248" s="20" t="s">
        <v>592</v>
      </c>
      <c r="K248" s="20" t="s">
        <v>1147</v>
      </c>
      <c r="L248" s="20" t="s">
        <v>29</v>
      </c>
      <c r="M248" s="20" t="s">
        <v>770</v>
      </c>
      <c r="N248" s="20" t="s">
        <v>422</v>
      </c>
      <c r="O248" s="20" t="s">
        <v>835</v>
      </c>
      <c r="P248" s="20">
        <v>5</v>
      </c>
      <c r="Q248" s="20">
        <v>5</v>
      </c>
      <c r="R248" s="20" t="s">
        <v>592</v>
      </c>
      <c r="T248" s="20" t="s">
        <v>1144</v>
      </c>
      <c r="U248" s="20" t="s">
        <v>23</v>
      </c>
      <c r="V248" s="20" t="s">
        <v>545</v>
      </c>
      <c r="W248" s="20" t="s">
        <v>1120</v>
      </c>
      <c r="X248" s="20" t="s">
        <v>628</v>
      </c>
      <c r="Y248" s="20">
        <v>10</v>
      </c>
      <c r="Z248" s="20">
        <v>8</v>
      </c>
      <c r="AA248" s="20" t="s">
        <v>592</v>
      </c>
      <c r="AC248" s="20" t="s">
        <v>1147</v>
      </c>
      <c r="AD248" s="20" t="s">
        <v>29</v>
      </c>
      <c r="AE248" s="20" t="s">
        <v>420</v>
      </c>
      <c r="AF248" s="20" t="s">
        <v>820</v>
      </c>
      <c r="AG248" s="20" t="s">
        <v>628</v>
      </c>
      <c r="AH248" s="20">
        <v>10</v>
      </c>
      <c r="AI248" s="20">
        <v>3</v>
      </c>
      <c r="AJ248" s="20" t="s">
        <v>593</v>
      </c>
      <c r="AL248" s="20" t="s">
        <v>1147</v>
      </c>
      <c r="AM248" s="20" t="s">
        <v>29</v>
      </c>
      <c r="AN248" s="20" t="s">
        <v>422</v>
      </c>
      <c r="AO248" s="20" t="s">
        <v>770</v>
      </c>
      <c r="AP248" s="20" t="s">
        <v>628</v>
      </c>
      <c r="AQ248" s="20">
        <v>10</v>
      </c>
      <c r="AR248" s="20">
        <v>12</v>
      </c>
      <c r="AS248" s="20" t="s">
        <v>592</v>
      </c>
    </row>
    <row r="249" spans="2:45" ht="15.75" customHeight="1" x14ac:dyDescent="0.2">
      <c r="B249" s="20" t="s">
        <v>640</v>
      </c>
      <c r="C249" s="20" t="s">
        <v>248</v>
      </c>
      <c r="D249" s="20" t="s">
        <v>884</v>
      </c>
      <c r="E249" s="20" t="s">
        <v>885</v>
      </c>
      <c r="F249" s="20" t="s">
        <v>835</v>
      </c>
      <c r="G249" s="20">
        <v>5</v>
      </c>
      <c r="H249" s="20">
        <v>4</v>
      </c>
      <c r="I249" s="20" t="s">
        <v>592</v>
      </c>
      <c r="K249" s="20" t="s">
        <v>1147</v>
      </c>
      <c r="L249" s="20" t="s">
        <v>29</v>
      </c>
      <c r="M249" s="20" t="s">
        <v>973</v>
      </c>
      <c r="N249" s="20" t="s">
        <v>422</v>
      </c>
      <c r="O249" s="20" t="s">
        <v>835</v>
      </c>
      <c r="P249" s="20">
        <v>5</v>
      </c>
      <c r="Q249" s="20">
        <v>1</v>
      </c>
      <c r="R249" s="20" t="s">
        <v>592</v>
      </c>
      <c r="T249" s="20" t="s">
        <v>1162</v>
      </c>
      <c r="U249" s="20" t="s">
        <v>240</v>
      </c>
      <c r="V249" s="20" t="s">
        <v>2472</v>
      </c>
      <c r="W249" s="20" t="s">
        <v>2207</v>
      </c>
      <c r="X249" s="20" t="s">
        <v>628</v>
      </c>
      <c r="Y249" s="20">
        <v>10</v>
      </c>
      <c r="Z249" s="20">
        <v>1</v>
      </c>
      <c r="AA249" s="20" t="s">
        <v>593</v>
      </c>
      <c r="AC249" s="20" t="s">
        <v>1154</v>
      </c>
      <c r="AD249" s="20" t="s">
        <v>335</v>
      </c>
      <c r="AE249" s="20" t="s">
        <v>475</v>
      </c>
      <c r="AF249" s="20" t="s">
        <v>1454</v>
      </c>
      <c r="AG249" s="20" t="s">
        <v>628</v>
      </c>
      <c r="AH249" s="20">
        <v>10</v>
      </c>
      <c r="AI249" s="20">
        <v>1</v>
      </c>
      <c r="AJ249" s="20" t="s">
        <v>593</v>
      </c>
      <c r="AL249" s="20" t="s">
        <v>1147</v>
      </c>
      <c r="AM249" s="20" t="s">
        <v>225</v>
      </c>
      <c r="AN249" s="20" t="s">
        <v>382</v>
      </c>
      <c r="AO249" s="20" t="s">
        <v>1532</v>
      </c>
      <c r="AP249" s="20" t="s">
        <v>628</v>
      </c>
      <c r="AQ249" s="20">
        <v>10</v>
      </c>
      <c r="AR249" s="20">
        <v>94</v>
      </c>
      <c r="AS249" s="20" t="s">
        <v>592</v>
      </c>
    </row>
    <row r="250" spans="2:45" ht="15.75" customHeight="1" x14ac:dyDescent="0.2">
      <c r="B250" s="20" t="s">
        <v>1144</v>
      </c>
      <c r="C250" s="20" t="s">
        <v>23</v>
      </c>
      <c r="D250" s="20" t="s">
        <v>545</v>
      </c>
      <c r="E250" s="20" t="s">
        <v>1120</v>
      </c>
      <c r="F250" s="20" t="s">
        <v>628</v>
      </c>
      <c r="G250" s="20">
        <v>10</v>
      </c>
      <c r="H250" s="20">
        <v>24</v>
      </c>
      <c r="I250" s="20" t="s">
        <v>592</v>
      </c>
      <c r="K250" s="20" t="s">
        <v>1147</v>
      </c>
      <c r="L250" s="20" t="s">
        <v>244</v>
      </c>
      <c r="M250" s="20" t="s">
        <v>1681</v>
      </c>
      <c r="N250" s="20" t="s">
        <v>1682</v>
      </c>
      <c r="O250" s="20" t="s">
        <v>628</v>
      </c>
      <c r="P250" s="20">
        <v>10</v>
      </c>
      <c r="Q250" s="20">
        <v>7</v>
      </c>
      <c r="R250" s="20" t="s">
        <v>592</v>
      </c>
      <c r="T250" s="20" t="s">
        <v>1162</v>
      </c>
      <c r="U250" s="20" t="s">
        <v>240</v>
      </c>
      <c r="V250" s="20" t="s">
        <v>365</v>
      </c>
      <c r="W250" s="20" t="s">
        <v>2208</v>
      </c>
      <c r="X250" s="20" t="s">
        <v>628</v>
      </c>
      <c r="Y250" s="20">
        <v>10</v>
      </c>
      <c r="Z250" s="20">
        <v>8</v>
      </c>
      <c r="AA250" s="20" t="s">
        <v>592</v>
      </c>
      <c r="AC250" s="20" t="s">
        <v>1149</v>
      </c>
      <c r="AD250" s="20" t="s">
        <v>63</v>
      </c>
      <c r="AE250" s="20" t="s">
        <v>1655</v>
      </c>
      <c r="AF250" s="20" t="s">
        <v>2053</v>
      </c>
      <c r="AG250" s="20" t="s">
        <v>628</v>
      </c>
      <c r="AH250" s="20">
        <v>10</v>
      </c>
      <c r="AI250" s="20">
        <v>3</v>
      </c>
      <c r="AJ250" s="20" t="s">
        <v>593</v>
      </c>
      <c r="AL250" s="20" t="s">
        <v>1147</v>
      </c>
      <c r="AM250" s="20" t="s">
        <v>225</v>
      </c>
      <c r="AN250" s="20" t="s">
        <v>383</v>
      </c>
      <c r="AO250" s="20" t="s">
        <v>2983</v>
      </c>
      <c r="AP250" s="20" t="s">
        <v>628</v>
      </c>
      <c r="AQ250" s="20">
        <v>10</v>
      </c>
      <c r="AR250" s="20">
        <v>59</v>
      </c>
      <c r="AS250" s="20" t="s">
        <v>592</v>
      </c>
    </row>
    <row r="251" spans="2:45" ht="15.75" customHeight="1" x14ac:dyDescent="0.2">
      <c r="B251" s="20" t="s">
        <v>1144</v>
      </c>
      <c r="C251" s="20" t="s">
        <v>23</v>
      </c>
      <c r="D251" s="20" t="s">
        <v>545</v>
      </c>
      <c r="E251" s="20" t="s">
        <v>1121</v>
      </c>
      <c r="F251" s="20" t="s">
        <v>628</v>
      </c>
      <c r="G251" s="20">
        <v>10</v>
      </c>
      <c r="H251" s="20">
        <v>1</v>
      </c>
      <c r="I251" s="20" t="s">
        <v>592</v>
      </c>
      <c r="K251" s="20" t="s">
        <v>1147</v>
      </c>
      <c r="L251" s="20" t="s">
        <v>244</v>
      </c>
      <c r="M251" s="20" t="s">
        <v>1683</v>
      </c>
      <c r="N251" s="20" t="s">
        <v>1682</v>
      </c>
      <c r="O251" s="20" t="s">
        <v>628</v>
      </c>
      <c r="P251" s="20">
        <v>10</v>
      </c>
      <c r="Q251" s="20">
        <v>1</v>
      </c>
      <c r="R251" s="20" t="s">
        <v>592</v>
      </c>
      <c r="T251" s="20" t="s">
        <v>1161</v>
      </c>
      <c r="U251" s="20" t="s">
        <v>765</v>
      </c>
      <c r="V251" s="20" t="s">
        <v>466</v>
      </c>
      <c r="W251" s="20" t="s">
        <v>2209</v>
      </c>
      <c r="X251" s="20" t="s">
        <v>628</v>
      </c>
      <c r="Y251" s="20">
        <v>10</v>
      </c>
      <c r="Z251" s="20">
        <v>3</v>
      </c>
      <c r="AA251" s="20" t="s">
        <v>592</v>
      </c>
      <c r="AC251" s="20" t="s">
        <v>640</v>
      </c>
      <c r="AD251" s="20" t="s">
        <v>31</v>
      </c>
      <c r="AE251" s="20" t="s">
        <v>1758</v>
      </c>
      <c r="AF251" s="20" t="s">
        <v>1757</v>
      </c>
      <c r="AG251" s="20" t="s">
        <v>628</v>
      </c>
      <c r="AH251" s="20">
        <v>10</v>
      </c>
      <c r="AI251" s="20">
        <v>1</v>
      </c>
      <c r="AJ251" s="20" t="s">
        <v>593</v>
      </c>
      <c r="AL251" s="20" t="s">
        <v>1147</v>
      </c>
      <c r="AM251" s="20" t="s">
        <v>225</v>
      </c>
      <c r="AN251" s="20" t="s">
        <v>383</v>
      </c>
      <c r="AO251" s="20" t="s">
        <v>2984</v>
      </c>
      <c r="AP251" s="20" t="s">
        <v>628</v>
      </c>
      <c r="AQ251" s="20">
        <v>10</v>
      </c>
      <c r="AR251" s="20">
        <v>6</v>
      </c>
      <c r="AS251" s="20" t="s">
        <v>592</v>
      </c>
    </row>
    <row r="252" spans="2:45" ht="15.75" customHeight="1" x14ac:dyDescent="0.2">
      <c r="B252" s="20" t="s">
        <v>1141</v>
      </c>
      <c r="C252" s="20" t="s">
        <v>787</v>
      </c>
      <c r="D252" s="20" t="s">
        <v>397</v>
      </c>
      <c r="E252" s="20" t="s">
        <v>1298</v>
      </c>
      <c r="F252" s="20" t="s">
        <v>628</v>
      </c>
      <c r="G252" s="20">
        <v>10</v>
      </c>
      <c r="H252" s="20">
        <v>6</v>
      </c>
      <c r="I252" s="20" t="s">
        <v>592</v>
      </c>
      <c r="K252" s="20" t="s">
        <v>1147</v>
      </c>
      <c r="L252" s="20" t="s">
        <v>29</v>
      </c>
      <c r="M252" s="20" t="s">
        <v>820</v>
      </c>
      <c r="N252" s="20" t="s">
        <v>420</v>
      </c>
      <c r="O252" s="20" t="s">
        <v>628</v>
      </c>
      <c r="P252" s="20">
        <v>10</v>
      </c>
      <c r="Q252" s="20">
        <v>9</v>
      </c>
      <c r="R252" s="20" t="s">
        <v>592</v>
      </c>
      <c r="T252" s="20" t="s">
        <v>1161</v>
      </c>
      <c r="U252" s="20" t="s">
        <v>765</v>
      </c>
      <c r="V252" s="20" t="s">
        <v>466</v>
      </c>
      <c r="W252" s="20" t="s">
        <v>2210</v>
      </c>
      <c r="X252" s="20" t="s">
        <v>628</v>
      </c>
      <c r="Y252" s="20">
        <v>10</v>
      </c>
      <c r="Z252" s="20">
        <v>5</v>
      </c>
      <c r="AA252" s="20" t="s">
        <v>592</v>
      </c>
      <c r="AC252" s="20" t="s">
        <v>1141</v>
      </c>
      <c r="AD252" s="20" t="s">
        <v>218</v>
      </c>
      <c r="AE252" s="20" t="s">
        <v>494</v>
      </c>
      <c r="AF252" s="20" t="s">
        <v>2425</v>
      </c>
      <c r="AG252" s="20" t="s">
        <v>628</v>
      </c>
      <c r="AH252" s="20">
        <v>10</v>
      </c>
      <c r="AI252" s="20">
        <v>8</v>
      </c>
      <c r="AJ252" s="20" t="s">
        <v>592</v>
      </c>
      <c r="AL252" s="20" t="s">
        <v>1147</v>
      </c>
      <c r="AM252" s="20" t="s">
        <v>225</v>
      </c>
      <c r="AN252" s="20" t="s">
        <v>2809</v>
      </c>
      <c r="AO252" s="20" t="s">
        <v>2985</v>
      </c>
      <c r="AP252" s="20" t="s">
        <v>628</v>
      </c>
      <c r="AQ252" s="20">
        <v>10</v>
      </c>
      <c r="AR252" s="20">
        <v>17</v>
      </c>
      <c r="AS252" s="20" t="s">
        <v>592</v>
      </c>
    </row>
    <row r="253" spans="2:45" ht="15.75" customHeight="1" x14ac:dyDescent="0.2">
      <c r="B253" s="20" t="s">
        <v>1141</v>
      </c>
      <c r="C253" s="20" t="s">
        <v>787</v>
      </c>
      <c r="D253" s="20" t="s">
        <v>397</v>
      </c>
      <c r="E253" s="20" t="s">
        <v>1299</v>
      </c>
      <c r="F253" s="20" t="s">
        <v>628</v>
      </c>
      <c r="G253" s="20">
        <v>10</v>
      </c>
      <c r="H253" s="20">
        <v>2</v>
      </c>
      <c r="I253" s="20" t="s">
        <v>592</v>
      </c>
      <c r="K253" s="20" t="s">
        <v>1147</v>
      </c>
      <c r="L253" s="20" t="s">
        <v>29</v>
      </c>
      <c r="M253" s="20" t="s">
        <v>776</v>
      </c>
      <c r="N253" s="20" t="s">
        <v>419</v>
      </c>
      <c r="O253" s="20" t="s">
        <v>628</v>
      </c>
      <c r="P253" s="20">
        <v>10</v>
      </c>
      <c r="Q253" s="20">
        <v>4</v>
      </c>
      <c r="R253" s="20" t="s">
        <v>592</v>
      </c>
      <c r="T253" s="20" t="s">
        <v>1144</v>
      </c>
      <c r="U253" s="20" t="s">
        <v>804</v>
      </c>
      <c r="V253" s="20" t="s">
        <v>1604</v>
      </c>
      <c r="W253" s="20" t="s">
        <v>1603</v>
      </c>
      <c r="X253" s="20" t="s">
        <v>835</v>
      </c>
      <c r="Y253" s="20">
        <v>5</v>
      </c>
      <c r="Z253" s="20">
        <v>5</v>
      </c>
      <c r="AA253" s="20" t="s">
        <v>592</v>
      </c>
      <c r="AC253" s="20" t="s">
        <v>1147</v>
      </c>
      <c r="AD253" s="20" t="s">
        <v>225</v>
      </c>
      <c r="AE253" s="20" t="s">
        <v>1917</v>
      </c>
      <c r="AF253" s="20" t="s">
        <v>2645</v>
      </c>
      <c r="AG253" s="20" t="s">
        <v>628</v>
      </c>
      <c r="AH253" s="20">
        <v>10</v>
      </c>
      <c r="AI253" s="20">
        <v>12</v>
      </c>
      <c r="AJ253" s="20" t="s">
        <v>592</v>
      </c>
      <c r="AL253" s="20" t="s">
        <v>1147</v>
      </c>
      <c r="AM253" s="20" t="s">
        <v>225</v>
      </c>
      <c r="AN253" s="20" t="s">
        <v>1826</v>
      </c>
      <c r="AO253" s="20" t="s">
        <v>2755</v>
      </c>
      <c r="AP253" s="20" t="s">
        <v>628</v>
      </c>
      <c r="AQ253" s="20">
        <v>10</v>
      </c>
      <c r="AR253" s="20">
        <v>8</v>
      </c>
      <c r="AS253" s="20" t="s">
        <v>592</v>
      </c>
    </row>
    <row r="254" spans="2:45" ht="15.75" customHeight="1" x14ac:dyDescent="0.2">
      <c r="B254" s="20" t="s">
        <v>1154</v>
      </c>
      <c r="C254" s="20" t="s">
        <v>217</v>
      </c>
      <c r="D254" s="20" t="s">
        <v>576</v>
      </c>
      <c r="E254" s="20" t="s">
        <v>743</v>
      </c>
      <c r="F254" s="20" t="s">
        <v>835</v>
      </c>
      <c r="G254" s="20">
        <v>5</v>
      </c>
      <c r="H254" s="20">
        <v>7</v>
      </c>
      <c r="I254" s="20" t="s">
        <v>592</v>
      </c>
      <c r="K254" s="20" t="s">
        <v>1147</v>
      </c>
      <c r="L254" s="20" t="s">
        <v>29</v>
      </c>
      <c r="M254" s="20" t="s">
        <v>1021</v>
      </c>
      <c r="N254" s="20" t="s">
        <v>419</v>
      </c>
      <c r="O254" s="20" t="s">
        <v>628</v>
      </c>
      <c r="P254" s="20">
        <v>10</v>
      </c>
      <c r="Q254" s="20">
        <v>1</v>
      </c>
      <c r="R254" s="20" t="s">
        <v>592</v>
      </c>
      <c r="T254" s="20" t="s">
        <v>1144</v>
      </c>
      <c r="U254" s="20" t="s">
        <v>23</v>
      </c>
      <c r="V254" s="20" t="s">
        <v>1657</v>
      </c>
      <c r="W254" s="20" t="s">
        <v>2211</v>
      </c>
      <c r="X254" s="20" t="s">
        <v>835</v>
      </c>
      <c r="Y254" s="20">
        <v>5</v>
      </c>
      <c r="Z254" s="20">
        <v>1</v>
      </c>
      <c r="AA254" s="20" t="s">
        <v>593</v>
      </c>
      <c r="AC254" s="20" t="s">
        <v>1147</v>
      </c>
      <c r="AD254" s="20" t="s">
        <v>222</v>
      </c>
      <c r="AE254" s="20" t="s">
        <v>1620</v>
      </c>
      <c r="AF254" s="20" t="s">
        <v>1619</v>
      </c>
      <c r="AG254" s="20" t="s">
        <v>835</v>
      </c>
      <c r="AH254" s="20">
        <v>5</v>
      </c>
      <c r="AI254" s="20">
        <v>5</v>
      </c>
      <c r="AJ254" s="20" t="s">
        <v>592</v>
      </c>
      <c r="AL254" s="20" t="s">
        <v>1147</v>
      </c>
      <c r="AM254" s="20" t="s">
        <v>225</v>
      </c>
      <c r="AN254" s="20" t="s">
        <v>1917</v>
      </c>
      <c r="AO254" s="20" t="s">
        <v>2986</v>
      </c>
      <c r="AP254" s="20" t="s">
        <v>628</v>
      </c>
      <c r="AQ254" s="20">
        <v>10</v>
      </c>
      <c r="AR254" s="20">
        <v>8</v>
      </c>
      <c r="AS254" s="20" t="s">
        <v>592</v>
      </c>
    </row>
    <row r="255" spans="2:45" ht="15.75" customHeight="1" x14ac:dyDescent="0.2">
      <c r="B255" s="20" t="s">
        <v>1154</v>
      </c>
      <c r="C255" s="20" t="s">
        <v>217</v>
      </c>
      <c r="D255" s="20" t="s">
        <v>577</v>
      </c>
      <c r="E255" s="20" t="s">
        <v>1067</v>
      </c>
      <c r="F255" s="20" t="s">
        <v>628</v>
      </c>
      <c r="G255" s="20">
        <v>10</v>
      </c>
      <c r="H255" s="20">
        <v>3</v>
      </c>
      <c r="I255" s="20" t="s">
        <v>593</v>
      </c>
      <c r="K255" s="20" t="s">
        <v>1161</v>
      </c>
      <c r="L255" s="20" t="s">
        <v>765</v>
      </c>
      <c r="M255" s="20" t="s">
        <v>1684</v>
      </c>
      <c r="N255" s="20" t="s">
        <v>463</v>
      </c>
      <c r="O255" s="20" t="s">
        <v>835</v>
      </c>
      <c r="P255" s="20">
        <v>5</v>
      </c>
      <c r="Q255" s="20">
        <v>3</v>
      </c>
      <c r="R255" s="20" t="s">
        <v>593</v>
      </c>
      <c r="T255" s="20" t="s">
        <v>1158</v>
      </c>
      <c r="U255" s="20" t="s">
        <v>925</v>
      </c>
      <c r="V255" s="20" t="s">
        <v>532</v>
      </c>
      <c r="W255" s="20" t="s">
        <v>1729</v>
      </c>
      <c r="X255" s="20" t="s">
        <v>835</v>
      </c>
      <c r="Y255" s="20">
        <v>5</v>
      </c>
      <c r="Z255" s="20">
        <v>5</v>
      </c>
      <c r="AA255" s="20" t="s">
        <v>592</v>
      </c>
      <c r="AC255" s="20" t="s">
        <v>1149</v>
      </c>
      <c r="AD255" s="20" t="s">
        <v>806</v>
      </c>
      <c r="AE255" s="20" t="s">
        <v>2484</v>
      </c>
      <c r="AF255" s="20" t="s">
        <v>2414</v>
      </c>
      <c r="AG255" s="20" t="s">
        <v>628</v>
      </c>
      <c r="AH255" s="20">
        <v>10</v>
      </c>
      <c r="AI255" s="20">
        <v>10</v>
      </c>
      <c r="AJ255" s="20" t="s">
        <v>592</v>
      </c>
      <c r="AL255" s="20" t="s">
        <v>1147</v>
      </c>
      <c r="AM255" s="20" t="s">
        <v>225</v>
      </c>
      <c r="AN255" s="20" t="s">
        <v>2476</v>
      </c>
      <c r="AO255" s="20" t="s">
        <v>2987</v>
      </c>
      <c r="AP255" s="20" t="s">
        <v>628</v>
      </c>
      <c r="AQ255" s="20">
        <v>10</v>
      </c>
      <c r="AR255" s="20">
        <v>10</v>
      </c>
      <c r="AS255" s="20" t="s">
        <v>592</v>
      </c>
    </row>
    <row r="256" spans="2:45" ht="15.75" customHeight="1" x14ac:dyDescent="0.2">
      <c r="B256" s="20" t="s">
        <v>1155</v>
      </c>
      <c r="C256" s="20" t="s">
        <v>657</v>
      </c>
      <c r="D256" s="20" t="s">
        <v>682</v>
      </c>
      <c r="E256" s="20" t="s">
        <v>905</v>
      </c>
      <c r="F256" s="20" t="s">
        <v>628</v>
      </c>
      <c r="G256" s="20">
        <v>10</v>
      </c>
      <c r="H256" s="20">
        <v>6</v>
      </c>
      <c r="I256" s="20" t="s">
        <v>592</v>
      </c>
      <c r="K256" s="20" t="s">
        <v>1161</v>
      </c>
      <c r="L256" s="20" t="s">
        <v>1432</v>
      </c>
      <c r="M256" s="20" t="s">
        <v>1685</v>
      </c>
      <c r="N256" s="20" t="s">
        <v>510</v>
      </c>
      <c r="O256" s="20" t="s">
        <v>628</v>
      </c>
      <c r="P256" s="20">
        <v>10</v>
      </c>
      <c r="Q256" s="20">
        <v>8</v>
      </c>
      <c r="R256" s="20" t="s">
        <v>592</v>
      </c>
      <c r="T256" s="20" t="s">
        <v>1161</v>
      </c>
      <c r="U256" s="20" t="s">
        <v>1432</v>
      </c>
      <c r="V256" s="20" t="s">
        <v>510</v>
      </c>
      <c r="W256" s="20" t="s">
        <v>2212</v>
      </c>
      <c r="X256" s="20" t="s">
        <v>835</v>
      </c>
      <c r="Y256" s="20">
        <v>5</v>
      </c>
      <c r="Z256" s="20">
        <v>5</v>
      </c>
      <c r="AA256" s="20" t="s">
        <v>592</v>
      </c>
      <c r="AC256" s="20" t="s">
        <v>1155</v>
      </c>
      <c r="AD256" s="20" t="s">
        <v>1156</v>
      </c>
      <c r="AE256" s="20" t="s">
        <v>2543</v>
      </c>
      <c r="AF256" s="20" t="s">
        <v>2646</v>
      </c>
      <c r="AG256" s="20" t="s">
        <v>835</v>
      </c>
      <c r="AH256" s="20">
        <v>5</v>
      </c>
      <c r="AI256" s="20">
        <v>1</v>
      </c>
      <c r="AJ256" s="20" t="s">
        <v>593</v>
      </c>
      <c r="AL256" s="20" t="s">
        <v>1147</v>
      </c>
      <c r="AM256" s="20" t="s">
        <v>225</v>
      </c>
      <c r="AN256" s="20" t="s">
        <v>381</v>
      </c>
      <c r="AO256" s="20" t="s">
        <v>774</v>
      </c>
      <c r="AP256" s="20" t="s">
        <v>628</v>
      </c>
      <c r="AQ256" s="20">
        <v>10</v>
      </c>
      <c r="AR256" s="20">
        <v>16</v>
      </c>
      <c r="AS256" s="20" t="s">
        <v>592</v>
      </c>
    </row>
    <row r="257" spans="2:45" ht="15.75" customHeight="1" x14ac:dyDescent="0.2">
      <c r="B257" s="20" t="s">
        <v>1155</v>
      </c>
      <c r="C257" s="20" t="s">
        <v>657</v>
      </c>
      <c r="D257" s="20" t="s">
        <v>682</v>
      </c>
      <c r="E257" s="20" t="s">
        <v>1300</v>
      </c>
      <c r="F257" s="20" t="s">
        <v>628</v>
      </c>
      <c r="G257" s="20">
        <v>10</v>
      </c>
      <c r="H257" s="20">
        <v>2</v>
      </c>
      <c r="I257" s="20" t="s">
        <v>592</v>
      </c>
      <c r="K257" s="20" t="s">
        <v>1163</v>
      </c>
      <c r="L257" s="20" t="s">
        <v>221</v>
      </c>
      <c r="M257" s="20" t="s">
        <v>1571</v>
      </c>
      <c r="N257" s="20" t="s">
        <v>1572</v>
      </c>
      <c r="O257" s="20" t="s">
        <v>835</v>
      </c>
      <c r="P257" s="20">
        <v>5</v>
      </c>
      <c r="Q257" s="20">
        <v>5</v>
      </c>
      <c r="R257" s="20" t="s">
        <v>592</v>
      </c>
      <c r="T257" s="20" t="s">
        <v>1144</v>
      </c>
      <c r="U257" s="20" t="s">
        <v>804</v>
      </c>
      <c r="V257" s="20" t="s">
        <v>559</v>
      </c>
      <c r="W257" s="20" t="s">
        <v>2213</v>
      </c>
      <c r="X257" s="20" t="s">
        <v>835</v>
      </c>
      <c r="Y257" s="20">
        <v>5</v>
      </c>
      <c r="Z257" s="20">
        <v>7</v>
      </c>
      <c r="AA257" s="20" t="s">
        <v>592</v>
      </c>
      <c r="AC257" s="20" t="s">
        <v>1158</v>
      </c>
      <c r="AD257" s="20" t="s">
        <v>72</v>
      </c>
      <c r="AE257" s="20" t="s">
        <v>1610</v>
      </c>
      <c r="AF257" s="20" t="s">
        <v>2647</v>
      </c>
      <c r="AG257" s="20" t="s">
        <v>835</v>
      </c>
      <c r="AH257" s="20">
        <v>5</v>
      </c>
      <c r="AI257" s="20">
        <v>9</v>
      </c>
      <c r="AJ257" s="20" t="s">
        <v>592</v>
      </c>
      <c r="AL257" s="20" t="s">
        <v>1147</v>
      </c>
      <c r="AM257" s="20" t="s">
        <v>225</v>
      </c>
      <c r="AN257" s="20" t="s">
        <v>860</v>
      </c>
      <c r="AO257" s="20" t="s">
        <v>1099</v>
      </c>
      <c r="AP257" s="20" t="s">
        <v>628</v>
      </c>
      <c r="AQ257" s="20">
        <v>10</v>
      </c>
      <c r="AR257" s="20">
        <v>10</v>
      </c>
      <c r="AS257" s="20" t="s">
        <v>592</v>
      </c>
    </row>
    <row r="258" spans="2:45" ht="15.75" customHeight="1" x14ac:dyDescent="0.2">
      <c r="B258" s="20" t="s">
        <v>1143</v>
      </c>
      <c r="C258" s="20" t="s">
        <v>689</v>
      </c>
      <c r="D258" s="20" t="s">
        <v>606</v>
      </c>
      <c r="E258" s="20" t="s">
        <v>748</v>
      </c>
      <c r="F258" s="20" t="s">
        <v>835</v>
      </c>
      <c r="G258" s="20">
        <v>5</v>
      </c>
      <c r="H258" s="20">
        <v>4</v>
      </c>
      <c r="I258" s="20" t="s">
        <v>592</v>
      </c>
      <c r="K258" s="20" t="s">
        <v>1163</v>
      </c>
      <c r="L258" s="20" t="s">
        <v>221</v>
      </c>
      <c r="M258" s="20" t="s">
        <v>1599</v>
      </c>
      <c r="N258" s="20" t="s">
        <v>556</v>
      </c>
      <c r="O258" s="20" t="s">
        <v>835</v>
      </c>
      <c r="P258" s="20">
        <v>5</v>
      </c>
      <c r="Q258" s="20">
        <v>18</v>
      </c>
      <c r="R258" s="20" t="s">
        <v>592</v>
      </c>
      <c r="T258" s="20" t="s">
        <v>1147</v>
      </c>
      <c r="U258" s="20" t="s">
        <v>70</v>
      </c>
      <c r="V258" s="20" t="s">
        <v>731</v>
      </c>
      <c r="W258" s="20" t="s">
        <v>2174</v>
      </c>
      <c r="X258" s="20" t="s">
        <v>835</v>
      </c>
      <c r="Y258" s="20">
        <v>5</v>
      </c>
      <c r="Z258" s="20">
        <v>4</v>
      </c>
      <c r="AA258" s="20" t="s">
        <v>592</v>
      </c>
      <c r="AC258" s="20" t="s">
        <v>1154</v>
      </c>
      <c r="AD258" s="20" t="s">
        <v>307</v>
      </c>
      <c r="AE258" s="20" t="s">
        <v>565</v>
      </c>
      <c r="AF258" s="20" t="s">
        <v>2133</v>
      </c>
      <c r="AG258" s="20" t="s">
        <v>628</v>
      </c>
      <c r="AH258" s="20">
        <v>10</v>
      </c>
      <c r="AI258" s="20">
        <v>4</v>
      </c>
      <c r="AJ258" s="20" t="s">
        <v>593</v>
      </c>
      <c r="AL258" s="20" t="s">
        <v>1147</v>
      </c>
      <c r="AM258" s="20" t="s">
        <v>699</v>
      </c>
      <c r="AN258" s="20" t="s">
        <v>447</v>
      </c>
      <c r="AO258" s="20" t="s">
        <v>1997</v>
      </c>
      <c r="AP258" s="20" t="s">
        <v>628</v>
      </c>
      <c r="AQ258" s="20">
        <v>10</v>
      </c>
      <c r="AR258" s="20">
        <v>13</v>
      </c>
      <c r="AS258" s="20" t="s">
        <v>592</v>
      </c>
    </row>
    <row r="259" spans="2:45" ht="15.75" customHeight="1" x14ac:dyDescent="0.2">
      <c r="B259" s="20" t="s">
        <v>1143</v>
      </c>
      <c r="C259" s="20" t="s">
        <v>689</v>
      </c>
      <c r="D259" s="20" t="s">
        <v>606</v>
      </c>
      <c r="E259" s="20" t="s">
        <v>817</v>
      </c>
      <c r="F259" s="20" t="s">
        <v>835</v>
      </c>
      <c r="G259" s="20">
        <v>5</v>
      </c>
      <c r="H259" s="20">
        <v>1</v>
      </c>
      <c r="I259" s="20" t="s">
        <v>592</v>
      </c>
      <c r="K259" s="20" t="s">
        <v>1147</v>
      </c>
      <c r="L259" s="20" t="s">
        <v>29</v>
      </c>
      <c r="M259" s="20" t="s">
        <v>1686</v>
      </c>
      <c r="N259" s="20" t="s">
        <v>419</v>
      </c>
      <c r="O259" s="20" t="s">
        <v>628</v>
      </c>
      <c r="P259" s="20">
        <v>10</v>
      </c>
      <c r="Q259" s="20">
        <v>5</v>
      </c>
      <c r="R259" s="20" t="s">
        <v>592</v>
      </c>
      <c r="T259" s="20" t="s">
        <v>1147</v>
      </c>
      <c r="U259" s="20" t="s">
        <v>70</v>
      </c>
      <c r="V259" s="20" t="s">
        <v>731</v>
      </c>
      <c r="W259" s="20" t="s">
        <v>2214</v>
      </c>
      <c r="X259" s="20" t="s">
        <v>835</v>
      </c>
      <c r="Y259" s="20">
        <v>5</v>
      </c>
      <c r="Z259" s="20">
        <v>1</v>
      </c>
      <c r="AA259" s="20" t="s">
        <v>592</v>
      </c>
      <c r="AC259" s="20" t="s">
        <v>1154</v>
      </c>
      <c r="AD259" s="20" t="s">
        <v>217</v>
      </c>
      <c r="AE259" s="20" t="s">
        <v>2544</v>
      </c>
      <c r="AF259" s="20" t="s">
        <v>2648</v>
      </c>
      <c r="AG259" s="20" t="s">
        <v>628</v>
      </c>
      <c r="AH259" s="20">
        <v>10</v>
      </c>
      <c r="AI259" s="20">
        <v>4</v>
      </c>
      <c r="AJ259" s="20" t="s">
        <v>593</v>
      </c>
      <c r="AL259" s="20" t="s">
        <v>1147</v>
      </c>
      <c r="AM259" s="20" t="s">
        <v>699</v>
      </c>
      <c r="AN259" s="20" t="s">
        <v>2810</v>
      </c>
      <c r="AO259" s="20" t="s">
        <v>2988</v>
      </c>
      <c r="AP259" s="20" t="s">
        <v>628</v>
      </c>
      <c r="AQ259" s="20">
        <v>10</v>
      </c>
      <c r="AR259" s="20">
        <v>9</v>
      </c>
      <c r="AS259" s="20" t="s">
        <v>592</v>
      </c>
    </row>
    <row r="260" spans="2:45" ht="15.75" customHeight="1" x14ac:dyDescent="0.2">
      <c r="B260" s="20" t="s">
        <v>1149</v>
      </c>
      <c r="C260" s="20" t="s">
        <v>301</v>
      </c>
      <c r="D260" s="20" t="s">
        <v>503</v>
      </c>
      <c r="E260" s="20" t="s">
        <v>1301</v>
      </c>
      <c r="F260" s="20" t="s">
        <v>628</v>
      </c>
      <c r="G260" s="20">
        <v>10</v>
      </c>
      <c r="H260" s="20">
        <v>9</v>
      </c>
      <c r="I260" s="20" t="s">
        <v>592</v>
      </c>
      <c r="K260" s="20" t="s">
        <v>1141</v>
      </c>
      <c r="L260" s="20" t="s">
        <v>218</v>
      </c>
      <c r="M260" s="20" t="s">
        <v>1687</v>
      </c>
      <c r="N260" s="20" t="s">
        <v>1688</v>
      </c>
      <c r="O260" s="20" t="s">
        <v>835</v>
      </c>
      <c r="P260" s="20">
        <v>5</v>
      </c>
      <c r="Q260" s="20">
        <v>5</v>
      </c>
      <c r="R260" s="20" t="s">
        <v>592</v>
      </c>
      <c r="T260" s="20" t="s">
        <v>1147</v>
      </c>
      <c r="U260" s="20" t="s">
        <v>20</v>
      </c>
      <c r="V260" s="20" t="s">
        <v>1522</v>
      </c>
      <c r="W260" s="20" t="s">
        <v>1521</v>
      </c>
      <c r="X260" s="20" t="s">
        <v>628</v>
      </c>
      <c r="Y260" s="20">
        <v>10</v>
      </c>
      <c r="Z260" s="20">
        <v>8</v>
      </c>
      <c r="AA260" s="20" t="s">
        <v>592</v>
      </c>
      <c r="AC260" s="20" t="s">
        <v>1154</v>
      </c>
      <c r="AD260" s="20" t="s">
        <v>307</v>
      </c>
      <c r="AE260" s="20" t="s">
        <v>1624</v>
      </c>
      <c r="AF260" s="20" t="s">
        <v>1623</v>
      </c>
      <c r="AG260" s="20" t="s">
        <v>835</v>
      </c>
      <c r="AH260" s="20">
        <v>5</v>
      </c>
      <c r="AI260" s="20">
        <v>5</v>
      </c>
      <c r="AJ260" s="20" t="s">
        <v>592</v>
      </c>
      <c r="AL260" s="20" t="s">
        <v>1147</v>
      </c>
      <c r="AM260" s="20" t="s">
        <v>29</v>
      </c>
      <c r="AN260" s="20" t="s">
        <v>2811</v>
      </c>
      <c r="AO260" s="20" t="s">
        <v>2989</v>
      </c>
      <c r="AP260" s="20" t="s">
        <v>628</v>
      </c>
      <c r="AQ260" s="20">
        <v>10</v>
      </c>
      <c r="AR260" s="20">
        <v>4</v>
      </c>
      <c r="AS260" s="20" t="s">
        <v>593</v>
      </c>
    </row>
    <row r="261" spans="2:45" ht="15.75" customHeight="1" x14ac:dyDescent="0.2">
      <c r="B261" s="20" t="s">
        <v>640</v>
      </c>
      <c r="C261" s="20" t="s">
        <v>756</v>
      </c>
      <c r="D261" s="20" t="s">
        <v>395</v>
      </c>
      <c r="E261" s="20" t="s">
        <v>1302</v>
      </c>
      <c r="F261" s="20" t="s">
        <v>835</v>
      </c>
      <c r="G261" s="20">
        <v>5</v>
      </c>
      <c r="H261" s="20">
        <v>4</v>
      </c>
      <c r="I261" s="20" t="s">
        <v>592</v>
      </c>
      <c r="K261" s="20" t="s">
        <v>646</v>
      </c>
      <c r="L261" s="20" t="s">
        <v>25</v>
      </c>
      <c r="M261" s="20" t="s">
        <v>1199</v>
      </c>
      <c r="N261" s="20" t="s">
        <v>373</v>
      </c>
      <c r="O261" s="20" t="s">
        <v>835</v>
      </c>
      <c r="P261" s="20">
        <v>5</v>
      </c>
      <c r="Q261" s="20">
        <v>11</v>
      </c>
      <c r="R261" s="20" t="s">
        <v>592</v>
      </c>
      <c r="T261" s="20" t="s">
        <v>1147</v>
      </c>
      <c r="U261" s="20" t="s">
        <v>20</v>
      </c>
      <c r="V261" s="20" t="s">
        <v>1522</v>
      </c>
      <c r="W261" s="20" t="s">
        <v>2215</v>
      </c>
      <c r="X261" s="20" t="s">
        <v>628</v>
      </c>
      <c r="Y261" s="20">
        <v>10</v>
      </c>
      <c r="Z261" s="20">
        <v>1</v>
      </c>
      <c r="AA261" s="20" t="s">
        <v>592</v>
      </c>
      <c r="AC261" s="20" t="s">
        <v>1163</v>
      </c>
      <c r="AD261" s="20" t="s">
        <v>299</v>
      </c>
      <c r="AE261" s="20" t="s">
        <v>1671</v>
      </c>
      <c r="AF261" s="20" t="s">
        <v>2352</v>
      </c>
      <c r="AG261" s="20" t="s">
        <v>628</v>
      </c>
      <c r="AH261" s="20">
        <v>10</v>
      </c>
      <c r="AI261" s="20">
        <v>1</v>
      </c>
      <c r="AJ261" s="20" t="s">
        <v>593</v>
      </c>
      <c r="AL261" s="20" t="s">
        <v>1147</v>
      </c>
      <c r="AM261" s="20" t="s">
        <v>29</v>
      </c>
      <c r="AN261" s="20" t="s">
        <v>2812</v>
      </c>
      <c r="AO261" s="20" t="s">
        <v>2990</v>
      </c>
      <c r="AP261" s="20" t="s">
        <v>628</v>
      </c>
      <c r="AQ261" s="20">
        <v>10</v>
      </c>
      <c r="AR261" s="20">
        <v>1</v>
      </c>
      <c r="AS261" s="20" t="s">
        <v>593</v>
      </c>
    </row>
    <row r="262" spans="2:45" ht="15.75" customHeight="1" x14ac:dyDescent="0.2">
      <c r="B262" s="20" t="s">
        <v>640</v>
      </c>
      <c r="C262" s="20" t="s">
        <v>756</v>
      </c>
      <c r="D262" s="20" t="s">
        <v>395</v>
      </c>
      <c r="E262" s="20" t="s">
        <v>1303</v>
      </c>
      <c r="F262" s="20" t="s">
        <v>835</v>
      </c>
      <c r="G262" s="20">
        <v>5</v>
      </c>
      <c r="H262" s="20">
        <v>1</v>
      </c>
      <c r="I262" s="20" t="s">
        <v>592</v>
      </c>
      <c r="K262" s="20" t="s">
        <v>1149</v>
      </c>
      <c r="L262" s="20" t="s">
        <v>806</v>
      </c>
      <c r="M262" s="20" t="s">
        <v>1689</v>
      </c>
      <c r="N262" s="20" t="s">
        <v>1690</v>
      </c>
      <c r="O262" s="20" t="s">
        <v>835</v>
      </c>
      <c r="P262" s="20">
        <v>5</v>
      </c>
      <c r="Q262" s="20">
        <v>1</v>
      </c>
      <c r="R262" s="20" t="s">
        <v>593</v>
      </c>
      <c r="T262" s="20" t="s">
        <v>1147</v>
      </c>
      <c r="U262" s="20" t="s">
        <v>244</v>
      </c>
      <c r="V262" s="20" t="s">
        <v>2473</v>
      </c>
      <c r="W262" s="20" t="s">
        <v>2216</v>
      </c>
      <c r="X262" s="20" t="s">
        <v>628</v>
      </c>
      <c r="Y262" s="20">
        <v>10</v>
      </c>
      <c r="Z262" s="20">
        <v>8</v>
      </c>
      <c r="AA262" s="20" t="s">
        <v>592</v>
      </c>
      <c r="AC262" s="20" t="s">
        <v>1158</v>
      </c>
      <c r="AD262" s="20" t="s">
        <v>72</v>
      </c>
      <c r="AE262" s="20" t="s">
        <v>895</v>
      </c>
      <c r="AF262" s="20" t="s">
        <v>2649</v>
      </c>
      <c r="AG262" s="20" t="s">
        <v>835</v>
      </c>
      <c r="AH262" s="20">
        <v>5</v>
      </c>
      <c r="AI262" s="20">
        <v>6</v>
      </c>
      <c r="AJ262" s="20" t="s">
        <v>592</v>
      </c>
      <c r="AL262" s="20" t="s">
        <v>1147</v>
      </c>
      <c r="AM262" s="20" t="s">
        <v>225</v>
      </c>
      <c r="AN262" s="20" t="s">
        <v>2813</v>
      </c>
      <c r="AO262" s="20" t="s">
        <v>2991</v>
      </c>
      <c r="AP262" s="20" t="s">
        <v>628</v>
      </c>
      <c r="AQ262" s="20">
        <v>10</v>
      </c>
      <c r="AR262" s="20">
        <v>8</v>
      </c>
      <c r="AS262" s="20" t="s">
        <v>592</v>
      </c>
    </row>
    <row r="263" spans="2:45" ht="15.75" customHeight="1" x14ac:dyDescent="0.2">
      <c r="B263" s="20" t="s">
        <v>1144</v>
      </c>
      <c r="C263" s="20" t="s">
        <v>313</v>
      </c>
      <c r="D263" s="20" t="s">
        <v>439</v>
      </c>
      <c r="E263" s="20" t="s">
        <v>1304</v>
      </c>
      <c r="F263" s="20" t="s">
        <v>628</v>
      </c>
      <c r="G263" s="20">
        <v>10</v>
      </c>
      <c r="H263" s="20">
        <v>5</v>
      </c>
      <c r="I263" s="20" t="s">
        <v>592</v>
      </c>
      <c r="K263" s="20" t="s">
        <v>1154</v>
      </c>
      <c r="L263" s="20" t="s">
        <v>335</v>
      </c>
      <c r="M263" s="20" t="s">
        <v>1454</v>
      </c>
      <c r="N263" s="20" t="s">
        <v>475</v>
      </c>
      <c r="O263" s="20" t="s">
        <v>628</v>
      </c>
      <c r="P263" s="20">
        <v>10</v>
      </c>
      <c r="Q263" s="20">
        <v>5</v>
      </c>
      <c r="R263" s="20" t="s">
        <v>593</v>
      </c>
      <c r="T263" s="20" t="s">
        <v>1169</v>
      </c>
      <c r="U263" s="20" t="s">
        <v>671</v>
      </c>
      <c r="V263" s="20" t="s">
        <v>471</v>
      </c>
      <c r="W263" s="20" t="s">
        <v>2217</v>
      </c>
      <c r="X263" s="20" t="s">
        <v>628</v>
      </c>
      <c r="Y263" s="20">
        <v>10</v>
      </c>
      <c r="Z263" s="20">
        <v>15</v>
      </c>
      <c r="AA263" s="20" t="s">
        <v>592</v>
      </c>
      <c r="AC263" s="20" t="s">
        <v>640</v>
      </c>
      <c r="AD263" s="20" t="s">
        <v>191</v>
      </c>
      <c r="AE263" s="20" t="s">
        <v>569</v>
      </c>
      <c r="AF263" s="20" t="s">
        <v>783</v>
      </c>
      <c r="AG263" s="20" t="s">
        <v>835</v>
      </c>
      <c r="AH263" s="20">
        <v>5</v>
      </c>
      <c r="AI263" s="20">
        <v>2</v>
      </c>
      <c r="AJ263" s="20" t="s">
        <v>593</v>
      </c>
      <c r="AL263" s="20" t="s">
        <v>1147</v>
      </c>
      <c r="AM263" s="20" t="s">
        <v>70</v>
      </c>
      <c r="AN263" s="20" t="s">
        <v>1742</v>
      </c>
      <c r="AO263" s="20" t="s">
        <v>2769</v>
      </c>
      <c r="AP263" s="20" t="s">
        <v>628</v>
      </c>
      <c r="AQ263" s="20">
        <v>10</v>
      </c>
      <c r="AR263" s="20">
        <v>15</v>
      </c>
      <c r="AS263" s="20" t="s">
        <v>592</v>
      </c>
    </row>
    <row r="264" spans="2:45" ht="15.75" customHeight="1" x14ac:dyDescent="0.2">
      <c r="B264" s="20" t="s">
        <v>646</v>
      </c>
      <c r="C264" s="20" t="s">
        <v>25</v>
      </c>
      <c r="D264" s="20" t="s">
        <v>372</v>
      </c>
      <c r="E264" s="20" t="s">
        <v>1305</v>
      </c>
      <c r="F264" s="20" t="s">
        <v>628</v>
      </c>
      <c r="G264" s="20">
        <v>10</v>
      </c>
      <c r="H264" s="20">
        <v>8</v>
      </c>
      <c r="I264" s="20" t="s">
        <v>592</v>
      </c>
      <c r="K264" s="20" t="s">
        <v>1154</v>
      </c>
      <c r="L264" s="20" t="s">
        <v>335</v>
      </c>
      <c r="M264" s="20" t="s">
        <v>1691</v>
      </c>
      <c r="N264" s="20" t="s">
        <v>475</v>
      </c>
      <c r="O264" s="20" t="s">
        <v>628</v>
      </c>
      <c r="P264" s="20">
        <v>10</v>
      </c>
      <c r="Q264" s="20">
        <v>2</v>
      </c>
      <c r="R264" s="20" t="s">
        <v>593</v>
      </c>
      <c r="T264" s="20" t="s">
        <v>1154</v>
      </c>
      <c r="U264" s="20" t="s">
        <v>335</v>
      </c>
      <c r="V264" s="20" t="s">
        <v>1501</v>
      </c>
      <c r="W264" s="20" t="s">
        <v>1500</v>
      </c>
      <c r="X264" s="20" t="s">
        <v>835</v>
      </c>
      <c r="Y264" s="20">
        <v>5</v>
      </c>
      <c r="Z264" s="20">
        <v>3</v>
      </c>
      <c r="AA264" s="20" t="s">
        <v>593</v>
      </c>
      <c r="AC264" s="20" t="s">
        <v>2099</v>
      </c>
      <c r="AD264" s="20" t="s">
        <v>2112</v>
      </c>
      <c r="AE264" s="20" t="s">
        <v>2527</v>
      </c>
      <c r="AF264" s="20" t="s">
        <v>2650</v>
      </c>
      <c r="AG264" s="20" t="s">
        <v>835</v>
      </c>
      <c r="AH264" s="20">
        <v>5</v>
      </c>
      <c r="AI264" s="20">
        <v>5</v>
      </c>
      <c r="AJ264" s="20" t="s">
        <v>592</v>
      </c>
      <c r="AL264" s="20" t="s">
        <v>1147</v>
      </c>
      <c r="AM264" s="20" t="s">
        <v>222</v>
      </c>
      <c r="AN264" s="20" t="s">
        <v>2482</v>
      </c>
      <c r="AO264" s="20" t="s">
        <v>2259</v>
      </c>
      <c r="AP264" s="20" t="s">
        <v>628</v>
      </c>
      <c r="AQ264" s="20">
        <v>10</v>
      </c>
      <c r="AR264" s="20">
        <v>8</v>
      </c>
      <c r="AS264" s="20" t="s">
        <v>592</v>
      </c>
    </row>
    <row r="265" spans="2:45" ht="15.75" customHeight="1" x14ac:dyDescent="0.2">
      <c r="B265" s="20" t="s">
        <v>1144</v>
      </c>
      <c r="C265" s="20" t="s">
        <v>313</v>
      </c>
      <c r="D265" s="20" t="s">
        <v>439</v>
      </c>
      <c r="E265" s="20" t="s">
        <v>1306</v>
      </c>
      <c r="F265" s="20" t="s">
        <v>628</v>
      </c>
      <c r="G265" s="20">
        <v>10</v>
      </c>
      <c r="H265" s="20">
        <v>3</v>
      </c>
      <c r="I265" s="20" t="s">
        <v>592</v>
      </c>
      <c r="K265" s="20" t="s">
        <v>1144</v>
      </c>
      <c r="L265" s="20" t="s">
        <v>194</v>
      </c>
      <c r="M265" s="20" t="s">
        <v>828</v>
      </c>
      <c r="N265" s="20" t="s">
        <v>438</v>
      </c>
      <c r="O265" s="20" t="s">
        <v>628</v>
      </c>
      <c r="P265" s="20">
        <v>10</v>
      </c>
      <c r="Q265" s="20">
        <v>13</v>
      </c>
      <c r="R265" s="20" t="s">
        <v>592</v>
      </c>
      <c r="T265" s="20" t="s">
        <v>2099</v>
      </c>
      <c r="U265" s="20" t="s">
        <v>2103</v>
      </c>
      <c r="V265" s="20" t="s">
        <v>2451</v>
      </c>
      <c r="W265" s="20" t="s">
        <v>2218</v>
      </c>
      <c r="X265" s="20" t="s">
        <v>835</v>
      </c>
      <c r="Y265" s="20">
        <v>5</v>
      </c>
      <c r="Z265" s="20">
        <v>8</v>
      </c>
      <c r="AA265" s="20" t="s">
        <v>592</v>
      </c>
      <c r="AC265" s="20" t="s">
        <v>2099</v>
      </c>
      <c r="AD265" s="20" t="s">
        <v>2109</v>
      </c>
      <c r="AE265" s="20" t="s">
        <v>2545</v>
      </c>
      <c r="AF265" s="20" t="s">
        <v>2433</v>
      </c>
      <c r="AG265" s="20" t="s">
        <v>835</v>
      </c>
      <c r="AH265" s="20">
        <v>5</v>
      </c>
      <c r="AI265" s="20">
        <v>6</v>
      </c>
      <c r="AJ265" s="20" t="s">
        <v>592</v>
      </c>
      <c r="AL265" s="20" t="s">
        <v>1147</v>
      </c>
      <c r="AM265" s="20" t="s">
        <v>222</v>
      </c>
      <c r="AN265" s="20" t="s">
        <v>551</v>
      </c>
      <c r="AO265" s="20" t="s">
        <v>1361</v>
      </c>
      <c r="AP265" s="20" t="s">
        <v>628</v>
      </c>
      <c r="AQ265" s="20">
        <v>10</v>
      </c>
      <c r="AR265" s="20">
        <v>2</v>
      </c>
      <c r="AS265" s="20" t="s">
        <v>593</v>
      </c>
    </row>
    <row r="266" spans="2:45" ht="15.75" customHeight="1" x14ac:dyDescent="0.2">
      <c r="B266" s="20" t="s">
        <v>1144</v>
      </c>
      <c r="C266" s="20" t="s">
        <v>707</v>
      </c>
      <c r="D266" s="20" t="s">
        <v>956</v>
      </c>
      <c r="E266" s="20" t="s">
        <v>1125</v>
      </c>
      <c r="F266" s="20" t="s">
        <v>628</v>
      </c>
      <c r="G266" s="20">
        <v>10</v>
      </c>
      <c r="H266" s="20">
        <v>8</v>
      </c>
      <c r="I266" s="20" t="s">
        <v>592</v>
      </c>
      <c r="K266" s="20" t="s">
        <v>1144</v>
      </c>
      <c r="L266" s="20" t="s">
        <v>194</v>
      </c>
      <c r="M266" s="20" t="s">
        <v>829</v>
      </c>
      <c r="N266" s="20" t="s">
        <v>438</v>
      </c>
      <c r="O266" s="20" t="s">
        <v>628</v>
      </c>
      <c r="P266" s="20">
        <v>10</v>
      </c>
      <c r="Q266" s="20">
        <v>2</v>
      </c>
      <c r="R266" s="20" t="s">
        <v>592</v>
      </c>
      <c r="T266" s="20" t="s">
        <v>2099</v>
      </c>
      <c r="U266" s="20" t="s">
        <v>2103</v>
      </c>
      <c r="V266" s="20" t="s">
        <v>2451</v>
      </c>
      <c r="W266" s="20" t="s">
        <v>2219</v>
      </c>
      <c r="X266" s="20" t="s">
        <v>835</v>
      </c>
      <c r="Y266" s="20">
        <v>5</v>
      </c>
      <c r="Z266" s="20">
        <v>1</v>
      </c>
      <c r="AA266" s="20" t="s">
        <v>592</v>
      </c>
      <c r="AC266" s="20" t="s">
        <v>1162</v>
      </c>
      <c r="AD266" s="20" t="s">
        <v>230</v>
      </c>
      <c r="AE266" s="20" t="s">
        <v>414</v>
      </c>
      <c r="AF266" s="20" t="s">
        <v>1238</v>
      </c>
      <c r="AG266" s="20" t="s">
        <v>628</v>
      </c>
      <c r="AH266" s="20">
        <v>10</v>
      </c>
      <c r="AI266" s="20">
        <v>3</v>
      </c>
      <c r="AJ266" s="20" t="s">
        <v>593</v>
      </c>
      <c r="AL266" s="20" t="s">
        <v>1147</v>
      </c>
      <c r="AM266" s="20" t="s">
        <v>29</v>
      </c>
      <c r="AN266" s="20" t="s">
        <v>422</v>
      </c>
      <c r="AO266" s="20" t="s">
        <v>2992</v>
      </c>
      <c r="AP266" s="20" t="s">
        <v>628</v>
      </c>
      <c r="AQ266" s="20">
        <v>10</v>
      </c>
      <c r="AR266" s="20">
        <v>4</v>
      </c>
      <c r="AS266" s="20" t="s">
        <v>593</v>
      </c>
    </row>
    <row r="267" spans="2:45" ht="15.75" customHeight="1" x14ac:dyDescent="0.2">
      <c r="B267" s="20" t="s">
        <v>1144</v>
      </c>
      <c r="C267" s="20" t="s">
        <v>707</v>
      </c>
      <c r="D267" s="20" t="s">
        <v>956</v>
      </c>
      <c r="E267" s="20" t="s">
        <v>1307</v>
      </c>
      <c r="F267" s="20" t="s">
        <v>628</v>
      </c>
      <c r="G267" s="20">
        <v>10</v>
      </c>
      <c r="H267" s="20">
        <v>1</v>
      </c>
      <c r="I267" s="20" t="s">
        <v>592</v>
      </c>
      <c r="K267" s="20" t="s">
        <v>646</v>
      </c>
      <c r="L267" s="20" t="s">
        <v>285</v>
      </c>
      <c r="M267" s="20" t="s">
        <v>902</v>
      </c>
      <c r="N267" s="20" t="s">
        <v>457</v>
      </c>
      <c r="O267" s="20" t="s">
        <v>835</v>
      </c>
      <c r="P267" s="20">
        <v>5</v>
      </c>
      <c r="Q267" s="20">
        <v>2</v>
      </c>
      <c r="R267" s="20" t="s">
        <v>593</v>
      </c>
      <c r="T267" s="20" t="s">
        <v>2099</v>
      </c>
      <c r="U267" s="20" t="s">
        <v>2103</v>
      </c>
      <c r="V267" s="20" t="s">
        <v>2451</v>
      </c>
      <c r="W267" s="20" t="s">
        <v>2220</v>
      </c>
      <c r="X267" s="20" t="s">
        <v>2514</v>
      </c>
      <c r="Y267" s="20">
        <v>3</v>
      </c>
      <c r="Z267" s="20">
        <v>5</v>
      </c>
      <c r="AA267" s="20" t="s">
        <v>592</v>
      </c>
      <c r="AC267" s="20" t="s">
        <v>1144</v>
      </c>
      <c r="AD267" s="20" t="s">
        <v>804</v>
      </c>
      <c r="AE267" s="20" t="s">
        <v>1604</v>
      </c>
      <c r="AF267" s="20" t="s">
        <v>1603</v>
      </c>
      <c r="AG267" s="20" t="s">
        <v>628</v>
      </c>
      <c r="AH267" s="20">
        <v>10</v>
      </c>
      <c r="AI267" s="20">
        <v>8</v>
      </c>
      <c r="AJ267" s="20" t="s">
        <v>592</v>
      </c>
      <c r="AL267" s="20" t="s">
        <v>1147</v>
      </c>
      <c r="AM267" s="20" t="s">
        <v>222</v>
      </c>
      <c r="AN267" s="20" t="s">
        <v>1957</v>
      </c>
      <c r="AO267" s="20" t="s">
        <v>2747</v>
      </c>
      <c r="AP267" s="20" t="s">
        <v>628</v>
      </c>
      <c r="AQ267" s="20">
        <v>10</v>
      </c>
      <c r="AR267" s="20">
        <v>8</v>
      </c>
      <c r="AS267" s="20" t="s">
        <v>592</v>
      </c>
    </row>
    <row r="268" spans="2:45" ht="15.75" customHeight="1" x14ac:dyDescent="0.2">
      <c r="B268" s="20" t="s">
        <v>1161</v>
      </c>
      <c r="C268" s="20" t="s">
        <v>659</v>
      </c>
      <c r="D268" s="20" t="s">
        <v>390</v>
      </c>
      <c r="E268" s="20" t="s">
        <v>784</v>
      </c>
      <c r="F268" s="20" t="s">
        <v>628</v>
      </c>
      <c r="G268" s="20">
        <v>10</v>
      </c>
      <c r="H268" s="20">
        <v>6</v>
      </c>
      <c r="I268" s="20" t="s">
        <v>592</v>
      </c>
      <c r="K268" s="20" t="s">
        <v>1161</v>
      </c>
      <c r="L268" s="20" t="s">
        <v>1432</v>
      </c>
      <c r="M268" s="20" t="s">
        <v>1692</v>
      </c>
      <c r="N268" s="20" t="s">
        <v>511</v>
      </c>
      <c r="O268" s="20" t="s">
        <v>628</v>
      </c>
      <c r="P268" s="20">
        <v>10</v>
      </c>
      <c r="Q268" s="20">
        <v>8</v>
      </c>
      <c r="R268" s="20" t="s">
        <v>592</v>
      </c>
      <c r="T268" s="20" t="s">
        <v>1141</v>
      </c>
      <c r="U268" s="20" t="s">
        <v>787</v>
      </c>
      <c r="V268" s="20" t="s">
        <v>714</v>
      </c>
      <c r="W268" s="20" t="s">
        <v>2221</v>
      </c>
      <c r="X268" s="20" t="s">
        <v>835</v>
      </c>
      <c r="Y268" s="20">
        <v>5</v>
      </c>
      <c r="Z268" s="20">
        <v>5</v>
      </c>
      <c r="AA268" s="20" t="s">
        <v>592</v>
      </c>
      <c r="AC268" s="20" t="s">
        <v>640</v>
      </c>
      <c r="AD268" s="20" t="s">
        <v>756</v>
      </c>
      <c r="AE268" s="20" t="s">
        <v>435</v>
      </c>
      <c r="AF268" s="20" t="s">
        <v>1796</v>
      </c>
      <c r="AG268" s="20" t="s">
        <v>628</v>
      </c>
      <c r="AH268" s="20">
        <v>10</v>
      </c>
      <c r="AI268" s="20">
        <v>4</v>
      </c>
      <c r="AJ268" s="20" t="s">
        <v>593</v>
      </c>
      <c r="AL268" s="20" t="s">
        <v>1147</v>
      </c>
      <c r="AM268" s="20" t="s">
        <v>70</v>
      </c>
      <c r="AN268" s="20" t="s">
        <v>1635</v>
      </c>
      <c r="AO268" s="20" t="s">
        <v>2993</v>
      </c>
      <c r="AP268" s="20" t="s">
        <v>835</v>
      </c>
      <c r="AQ268" s="20">
        <v>5</v>
      </c>
      <c r="AR268" s="20">
        <v>5</v>
      </c>
      <c r="AS268" s="20" t="s">
        <v>592</v>
      </c>
    </row>
    <row r="269" spans="2:45" ht="15.75" customHeight="1" x14ac:dyDescent="0.2">
      <c r="B269" s="20" t="s">
        <v>1161</v>
      </c>
      <c r="C269" s="20" t="s">
        <v>659</v>
      </c>
      <c r="D269" s="20" t="s">
        <v>390</v>
      </c>
      <c r="E269" s="20" t="s">
        <v>827</v>
      </c>
      <c r="F269" s="20" t="s">
        <v>628</v>
      </c>
      <c r="G269" s="20">
        <v>10</v>
      </c>
      <c r="H269" s="20">
        <v>2</v>
      </c>
      <c r="I269" s="20" t="s">
        <v>592</v>
      </c>
      <c r="K269" s="20" t="s">
        <v>1158</v>
      </c>
      <c r="L269" s="20" t="s">
        <v>726</v>
      </c>
      <c r="M269" s="20" t="s">
        <v>1693</v>
      </c>
      <c r="N269" s="20" t="s">
        <v>1694</v>
      </c>
      <c r="O269" s="20" t="s">
        <v>835</v>
      </c>
      <c r="P269" s="20">
        <v>5</v>
      </c>
      <c r="Q269" s="20">
        <v>4</v>
      </c>
      <c r="R269" s="20" t="s">
        <v>592</v>
      </c>
      <c r="T269" s="20" t="s">
        <v>2099</v>
      </c>
      <c r="U269" s="20" t="s">
        <v>350</v>
      </c>
      <c r="V269" s="20" t="s">
        <v>2456</v>
      </c>
      <c r="W269" s="20" t="s">
        <v>2222</v>
      </c>
      <c r="X269" s="20" t="s">
        <v>835</v>
      </c>
      <c r="Y269" s="20">
        <v>5</v>
      </c>
      <c r="Z269" s="20">
        <v>7</v>
      </c>
      <c r="AA269" s="20" t="s">
        <v>592</v>
      </c>
      <c r="AC269" s="20" t="s">
        <v>1144</v>
      </c>
      <c r="AD269" s="20" t="s">
        <v>23</v>
      </c>
      <c r="AE269" s="20" t="s">
        <v>544</v>
      </c>
      <c r="AF269" s="20" t="s">
        <v>589</v>
      </c>
      <c r="AG269" s="20" t="s">
        <v>628</v>
      </c>
      <c r="AH269" s="20">
        <v>10</v>
      </c>
      <c r="AI269" s="20">
        <v>11</v>
      </c>
      <c r="AJ269" s="20" t="s">
        <v>592</v>
      </c>
      <c r="AL269" s="20" t="s">
        <v>1147</v>
      </c>
      <c r="AM269" s="20" t="s">
        <v>244</v>
      </c>
      <c r="AN269" s="20" t="s">
        <v>1441</v>
      </c>
      <c r="AO269" s="20" t="s">
        <v>1440</v>
      </c>
      <c r="AP269" s="20" t="s">
        <v>628</v>
      </c>
      <c r="AQ269" s="20">
        <v>10</v>
      </c>
      <c r="AR269" s="20">
        <v>10</v>
      </c>
      <c r="AS269" s="20" t="s">
        <v>592</v>
      </c>
    </row>
    <row r="270" spans="2:45" ht="15.75" customHeight="1" x14ac:dyDescent="0.2">
      <c r="B270" s="20" t="s">
        <v>1147</v>
      </c>
      <c r="C270" s="20" t="s">
        <v>29</v>
      </c>
      <c r="D270" s="20" t="s">
        <v>419</v>
      </c>
      <c r="E270" s="20" t="s">
        <v>776</v>
      </c>
      <c r="F270" s="20" t="s">
        <v>628</v>
      </c>
      <c r="G270" s="20">
        <v>10</v>
      </c>
      <c r="H270" s="20">
        <v>6</v>
      </c>
      <c r="I270" s="20" t="s">
        <v>592</v>
      </c>
      <c r="K270" s="20" t="s">
        <v>1158</v>
      </c>
      <c r="L270" s="20" t="s">
        <v>726</v>
      </c>
      <c r="M270" s="20" t="s">
        <v>1695</v>
      </c>
      <c r="N270" s="20" t="s">
        <v>1694</v>
      </c>
      <c r="O270" s="20" t="s">
        <v>835</v>
      </c>
      <c r="P270" s="20">
        <v>5</v>
      </c>
      <c r="Q270" s="20">
        <v>1</v>
      </c>
      <c r="R270" s="20" t="s">
        <v>592</v>
      </c>
      <c r="T270" s="20" t="s">
        <v>2099</v>
      </c>
      <c r="U270" s="20" t="s">
        <v>2109</v>
      </c>
      <c r="V270" s="20" t="s">
        <v>2453</v>
      </c>
      <c r="W270" s="20" t="s">
        <v>2223</v>
      </c>
      <c r="X270" s="20" t="s">
        <v>835</v>
      </c>
      <c r="Y270" s="20">
        <v>5</v>
      </c>
      <c r="Z270" s="20">
        <v>6</v>
      </c>
      <c r="AA270" s="20" t="s">
        <v>592</v>
      </c>
      <c r="AC270" s="20" t="s">
        <v>1149</v>
      </c>
      <c r="AD270" s="20" t="s">
        <v>1150</v>
      </c>
      <c r="AE270" s="20" t="s">
        <v>479</v>
      </c>
      <c r="AF270" s="20" t="s">
        <v>2418</v>
      </c>
      <c r="AG270" s="20" t="s">
        <v>628</v>
      </c>
      <c r="AH270" s="20">
        <v>10</v>
      </c>
      <c r="AI270" s="20">
        <v>2</v>
      </c>
      <c r="AJ270" s="20" t="s">
        <v>593</v>
      </c>
      <c r="AL270" s="20" t="s">
        <v>1147</v>
      </c>
      <c r="AM270" s="20" t="s">
        <v>244</v>
      </c>
      <c r="AN270" s="20" t="s">
        <v>2473</v>
      </c>
      <c r="AO270" s="20" t="s">
        <v>2994</v>
      </c>
      <c r="AP270" s="20" t="s">
        <v>628</v>
      </c>
      <c r="AQ270" s="20">
        <v>10</v>
      </c>
      <c r="AR270" s="20">
        <v>8</v>
      </c>
      <c r="AS270" s="20" t="s">
        <v>592</v>
      </c>
    </row>
    <row r="271" spans="2:45" ht="15.75" customHeight="1" x14ac:dyDescent="0.2">
      <c r="B271" s="20" t="s">
        <v>1147</v>
      </c>
      <c r="C271" s="20" t="s">
        <v>29</v>
      </c>
      <c r="D271" s="20" t="s">
        <v>419</v>
      </c>
      <c r="E271" s="20" t="s">
        <v>1021</v>
      </c>
      <c r="F271" s="20" t="s">
        <v>628</v>
      </c>
      <c r="G271" s="20">
        <v>10</v>
      </c>
      <c r="H271" s="20">
        <v>2</v>
      </c>
      <c r="I271" s="20" t="s">
        <v>592</v>
      </c>
      <c r="K271" s="20" t="s">
        <v>640</v>
      </c>
      <c r="L271" s="20" t="s">
        <v>191</v>
      </c>
      <c r="M271" s="20" t="s">
        <v>1696</v>
      </c>
      <c r="N271" s="20" t="s">
        <v>1697</v>
      </c>
      <c r="O271" s="20" t="s">
        <v>835</v>
      </c>
      <c r="P271" s="20">
        <v>5</v>
      </c>
      <c r="Q271" s="20">
        <v>5</v>
      </c>
      <c r="R271" s="20" t="s">
        <v>592</v>
      </c>
      <c r="T271" s="20" t="s">
        <v>1144</v>
      </c>
      <c r="U271" s="20" t="s">
        <v>707</v>
      </c>
      <c r="V271" s="20" t="s">
        <v>496</v>
      </c>
      <c r="W271" s="20" t="s">
        <v>1815</v>
      </c>
      <c r="X271" s="20" t="s">
        <v>628</v>
      </c>
      <c r="Y271" s="20">
        <v>10</v>
      </c>
      <c r="Z271" s="20">
        <v>8</v>
      </c>
      <c r="AA271" s="20" t="s">
        <v>592</v>
      </c>
      <c r="AC271" s="20" t="s">
        <v>1158</v>
      </c>
      <c r="AD271" s="20" t="s">
        <v>925</v>
      </c>
      <c r="AE271" s="20" t="s">
        <v>896</v>
      </c>
      <c r="AF271" s="20" t="s">
        <v>2651</v>
      </c>
      <c r="AG271" s="20" t="s">
        <v>835</v>
      </c>
      <c r="AH271" s="20">
        <v>5</v>
      </c>
      <c r="AI271" s="20">
        <v>2</v>
      </c>
      <c r="AJ271" s="20" t="s">
        <v>593</v>
      </c>
      <c r="AL271" s="20" t="s">
        <v>1147</v>
      </c>
      <c r="AM271" s="20" t="s">
        <v>20</v>
      </c>
      <c r="AN271" s="20" t="s">
        <v>871</v>
      </c>
      <c r="AO271" s="20" t="s">
        <v>872</v>
      </c>
      <c r="AP271" s="20" t="s">
        <v>628</v>
      </c>
      <c r="AQ271" s="20">
        <v>10</v>
      </c>
      <c r="AR271" s="20">
        <v>9</v>
      </c>
      <c r="AS271" s="20" t="s">
        <v>592</v>
      </c>
    </row>
    <row r="272" spans="2:45" ht="15.75" customHeight="1" x14ac:dyDescent="0.2">
      <c r="B272" s="20" t="s">
        <v>1169</v>
      </c>
      <c r="C272" s="20" t="s">
        <v>19</v>
      </c>
      <c r="D272" s="20" t="s">
        <v>499</v>
      </c>
      <c r="E272" s="20" t="s">
        <v>826</v>
      </c>
      <c r="F272" s="20" t="s">
        <v>628</v>
      </c>
      <c r="G272" s="20">
        <v>10</v>
      </c>
      <c r="H272" s="20">
        <v>8</v>
      </c>
      <c r="I272" s="20" t="s">
        <v>592</v>
      </c>
      <c r="K272" s="20" t="s">
        <v>646</v>
      </c>
      <c r="L272" s="20" t="s">
        <v>209</v>
      </c>
      <c r="M272" s="20" t="s">
        <v>1698</v>
      </c>
      <c r="N272" s="20" t="s">
        <v>1699</v>
      </c>
      <c r="O272" s="20" t="s">
        <v>835</v>
      </c>
      <c r="P272" s="20">
        <v>5</v>
      </c>
      <c r="Q272" s="20">
        <v>5</v>
      </c>
      <c r="R272" s="20" t="s">
        <v>592</v>
      </c>
      <c r="T272" s="20" t="s">
        <v>646</v>
      </c>
      <c r="U272" s="20" t="s">
        <v>209</v>
      </c>
      <c r="V272" s="20" t="s">
        <v>886</v>
      </c>
      <c r="W272" s="20" t="s">
        <v>900</v>
      </c>
      <c r="X272" s="20" t="s">
        <v>835</v>
      </c>
      <c r="Y272" s="20">
        <v>5</v>
      </c>
      <c r="Z272" s="20">
        <v>5</v>
      </c>
      <c r="AA272" s="20" t="s">
        <v>592</v>
      </c>
      <c r="AC272" s="20" t="s">
        <v>1147</v>
      </c>
      <c r="AD272" s="20" t="s">
        <v>244</v>
      </c>
      <c r="AE272" s="20" t="s">
        <v>1948</v>
      </c>
      <c r="AF272" s="20" t="s">
        <v>2446</v>
      </c>
      <c r="AG272" s="20" t="s">
        <v>835</v>
      </c>
      <c r="AH272" s="20">
        <v>5</v>
      </c>
      <c r="AI272" s="20">
        <v>5</v>
      </c>
      <c r="AJ272" s="20" t="s">
        <v>592</v>
      </c>
      <c r="AL272" s="20" t="s">
        <v>1147</v>
      </c>
      <c r="AM272" s="20" t="s">
        <v>29</v>
      </c>
      <c r="AN272" s="20" t="s">
        <v>1974</v>
      </c>
      <c r="AO272" s="20" t="s">
        <v>1973</v>
      </c>
      <c r="AP272" s="20" t="s">
        <v>628</v>
      </c>
      <c r="AQ272" s="20">
        <v>10</v>
      </c>
      <c r="AR272" s="20">
        <v>8</v>
      </c>
      <c r="AS272" s="20" t="s">
        <v>592</v>
      </c>
    </row>
    <row r="273" spans="2:45" ht="15.75" customHeight="1" x14ac:dyDescent="0.2">
      <c r="B273" s="20" t="s">
        <v>1144</v>
      </c>
      <c r="C273" s="20" t="s">
        <v>249</v>
      </c>
      <c r="D273" s="20" t="s">
        <v>436</v>
      </c>
      <c r="E273" s="20" t="s">
        <v>1308</v>
      </c>
      <c r="F273" s="20" t="s">
        <v>835</v>
      </c>
      <c r="G273" s="20">
        <v>5</v>
      </c>
      <c r="H273" s="20">
        <v>5</v>
      </c>
      <c r="I273" s="20" t="s">
        <v>592</v>
      </c>
      <c r="K273" s="20" t="s">
        <v>646</v>
      </c>
      <c r="L273" s="20" t="s">
        <v>334</v>
      </c>
      <c r="M273" s="20" t="s">
        <v>1031</v>
      </c>
      <c r="N273" s="20" t="s">
        <v>509</v>
      </c>
      <c r="O273" s="20" t="s">
        <v>835</v>
      </c>
      <c r="P273" s="20">
        <v>5</v>
      </c>
      <c r="Q273" s="20">
        <v>5</v>
      </c>
      <c r="R273" s="20" t="s">
        <v>592</v>
      </c>
      <c r="T273" s="20" t="s">
        <v>1147</v>
      </c>
      <c r="U273" s="20" t="s">
        <v>222</v>
      </c>
      <c r="V273" s="20" t="s">
        <v>2474</v>
      </c>
      <c r="W273" s="20" t="s">
        <v>2224</v>
      </c>
      <c r="X273" s="20" t="s">
        <v>628</v>
      </c>
      <c r="Y273" s="20">
        <v>10</v>
      </c>
      <c r="Z273" s="20">
        <v>8</v>
      </c>
      <c r="AA273" s="20" t="s">
        <v>592</v>
      </c>
      <c r="AC273" s="20" t="s">
        <v>1141</v>
      </c>
      <c r="AD273" s="20" t="s">
        <v>780</v>
      </c>
      <c r="AE273" s="20" t="s">
        <v>1648</v>
      </c>
      <c r="AF273" s="20" t="s">
        <v>1647</v>
      </c>
      <c r="AG273" s="20" t="s">
        <v>628</v>
      </c>
      <c r="AH273" s="20">
        <v>10</v>
      </c>
      <c r="AI273" s="20">
        <v>2</v>
      </c>
      <c r="AJ273" s="20" t="s">
        <v>593</v>
      </c>
      <c r="AL273" s="20" t="s">
        <v>1147</v>
      </c>
      <c r="AM273" s="20" t="s">
        <v>222</v>
      </c>
      <c r="AN273" s="20" t="s">
        <v>1620</v>
      </c>
      <c r="AO273" s="20" t="s">
        <v>1619</v>
      </c>
      <c r="AP273" s="20" t="s">
        <v>628</v>
      </c>
      <c r="AQ273" s="20">
        <v>10</v>
      </c>
      <c r="AR273" s="20">
        <v>9</v>
      </c>
      <c r="AS273" s="20" t="s">
        <v>592</v>
      </c>
    </row>
    <row r="274" spans="2:45" ht="15.75" customHeight="1" x14ac:dyDescent="0.2">
      <c r="B274" s="20" t="s">
        <v>1163</v>
      </c>
      <c r="C274" s="20" t="s">
        <v>57</v>
      </c>
      <c r="D274" s="20" t="s">
        <v>361</v>
      </c>
      <c r="E274" s="20" t="s">
        <v>1309</v>
      </c>
      <c r="F274" s="20" t="s">
        <v>835</v>
      </c>
      <c r="G274" s="20">
        <v>5</v>
      </c>
      <c r="H274" s="20">
        <v>1</v>
      </c>
      <c r="I274" s="20" t="s">
        <v>593</v>
      </c>
      <c r="K274" s="20" t="s">
        <v>1143</v>
      </c>
      <c r="L274" s="20" t="s">
        <v>61</v>
      </c>
      <c r="M274" s="20" t="s">
        <v>588</v>
      </c>
      <c r="N274" s="20" t="s">
        <v>526</v>
      </c>
      <c r="O274" s="20" t="s">
        <v>835</v>
      </c>
      <c r="P274" s="20">
        <v>5</v>
      </c>
      <c r="Q274" s="20">
        <v>2</v>
      </c>
      <c r="R274" s="20" t="s">
        <v>593</v>
      </c>
      <c r="T274" s="20" t="s">
        <v>1155</v>
      </c>
      <c r="U274" s="20" t="s">
        <v>1156</v>
      </c>
      <c r="V274" s="20" t="s">
        <v>2475</v>
      </c>
      <c r="W274" s="20" t="s">
        <v>2225</v>
      </c>
      <c r="X274" s="20" t="s">
        <v>835</v>
      </c>
      <c r="Y274" s="20">
        <v>5</v>
      </c>
      <c r="Z274" s="20">
        <v>5</v>
      </c>
      <c r="AA274" s="20" t="s">
        <v>592</v>
      </c>
      <c r="AC274" s="20" t="s">
        <v>2099</v>
      </c>
      <c r="AD274" s="20" t="s">
        <v>2106</v>
      </c>
      <c r="AE274" s="20" t="s">
        <v>2531</v>
      </c>
      <c r="AF274" s="20" t="s">
        <v>2421</v>
      </c>
      <c r="AG274" s="20" t="s">
        <v>835</v>
      </c>
      <c r="AH274" s="20">
        <v>5</v>
      </c>
      <c r="AI274" s="20">
        <v>7</v>
      </c>
      <c r="AJ274" s="20" t="s">
        <v>592</v>
      </c>
      <c r="AL274" s="20" t="s">
        <v>1147</v>
      </c>
      <c r="AM274" s="20" t="s">
        <v>222</v>
      </c>
      <c r="AN274" s="20" t="s">
        <v>2474</v>
      </c>
      <c r="AO274" s="20" t="s">
        <v>2995</v>
      </c>
      <c r="AP274" s="20" t="s">
        <v>628</v>
      </c>
      <c r="AQ274" s="20">
        <v>10</v>
      </c>
      <c r="AR274" s="20">
        <v>11</v>
      </c>
      <c r="AS274" s="20" t="s">
        <v>592</v>
      </c>
    </row>
    <row r="275" spans="2:45" ht="15.75" customHeight="1" x14ac:dyDescent="0.2">
      <c r="B275" s="20" t="s">
        <v>1149</v>
      </c>
      <c r="C275" s="20" t="s">
        <v>806</v>
      </c>
      <c r="D275" s="20" t="s">
        <v>469</v>
      </c>
      <c r="E275" s="20" t="s">
        <v>977</v>
      </c>
      <c r="F275" s="20" t="s">
        <v>628</v>
      </c>
      <c r="G275" s="20">
        <v>10</v>
      </c>
      <c r="H275" s="20">
        <v>8</v>
      </c>
      <c r="I275" s="20" t="s">
        <v>592</v>
      </c>
      <c r="K275" s="20" t="s">
        <v>1143</v>
      </c>
      <c r="L275" s="20" t="s">
        <v>61</v>
      </c>
      <c r="M275" s="20" t="s">
        <v>587</v>
      </c>
      <c r="N275" s="20" t="s">
        <v>525</v>
      </c>
      <c r="O275" s="20" t="s">
        <v>835</v>
      </c>
      <c r="P275" s="20">
        <v>5</v>
      </c>
      <c r="Q275" s="20">
        <v>6</v>
      </c>
      <c r="R275" s="20" t="s">
        <v>592</v>
      </c>
      <c r="T275" s="20" t="s">
        <v>646</v>
      </c>
      <c r="U275" s="20" t="s">
        <v>209</v>
      </c>
      <c r="V275" s="20" t="s">
        <v>730</v>
      </c>
      <c r="W275" s="20" t="s">
        <v>736</v>
      </c>
      <c r="X275" s="20" t="s">
        <v>835</v>
      </c>
      <c r="Y275" s="20">
        <v>5</v>
      </c>
      <c r="Z275" s="20">
        <v>2</v>
      </c>
      <c r="AA275" s="20" t="s">
        <v>593</v>
      </c>
      <c r="AC275" s="20" t="s">
        <v>2099</v>
      </c>
      <c r="AD275" s="20" t="s">
        <v>2144</v>
      </c>
      <c r="AE275" s="20" t="s">
        <v>2526</v>
      </c>
      <c r="AF275" s="20" t="s">
        <v>2652</v>
      </c>
      <c r="AG275" s="20" t="s">
        <v>2514</v>
      </c>
      <c r="AH275" s="20">
        <v>3</v>
      </c>
      <c r="AI275" s="20">
        <v>22</v>
      </c>
      <c r="AJ275" s="20" t="s">
        <v>592</v>
      </c>
      <c r="AL275" s="20" t="s">
        <v>1147</v>
      </c>
      <c r="AM275" s="20" t="s">
        <v>222</v>
      </c>
      <c r="AN275" s="20" t="s">
        <v>551</v>
      </c>
      <c r="AO275" s="20" t="s">
        <v>1361</v>
      </c>
      <c r="AP275" s="20" t="s">
        <v>628</v>
      </c>
      <c r="AQ275" s="20">
        <v>10</v>
      </c>
      <c r="AR275" s="20">
        <v>2</v>
      </c>
      <c r="AS275" s="20" t="s">
        <v>593</v>
      </c>
    </row>
    <row r="276" spans="2:45" ht="15.75" customHeight="1" x14ac:dyDescent="0.2">
      <c r="B276" s="20" t="s">
        <v>1161</v>
      </c>
      <c r="C276" s="20" t="s">
        <v>41</v>
      </c>
      <c r="D276" s="20" t="s">
        <v>535</v>
      </c>
      <c r="E276" s="20" t="s">
        <v>1094</v>
      </c>
      <c r="F276" s="20" t="s">
        <v>628</v>
      </c>
      <c r="G276" s="20">
        <v>10</v>
      </c>
      <c r="H276" s="20">
        <v>5</v>
      </c>
      <c r="I276" s="20" t="s">
        <v>593</v>
      </c>
      <c r="K276" s="20" t="s">
        <v>1158</v>
      </c>
      <c r="L276" s="20" t="s">
        <v>1040</v>
      </c>
      <c r="M276" s="20" t="s">
        <v>1700</v>
      </c>
      <c r="N276" s="20" t="s">
        <v>1701</v>
      </c>
      <c r="O276" s="20" t="s">
        <v>835</v>
      </c>
      <c r="P276" s="20">
        <v>5</v>
      </c>
      <c r="Q276" s="20">
        <v>4</v>
      </c>
      <c r="R276" s="20" t="s">
        <v>592</v>
      </c>
      <c r="T276" s="20" t="s">
        <v>1161</v>
      </c>
      <c r="U276" s="20" t="s">
        <v>1432</v>
      </c>
      <c r="V276" s="20" t="s">
        <v>2012</v>
      </c>
      <c r="W276" s="20" t="s">
        <v>2226</v>
      </c>
      <c r="X276" s="20" t="s">
        <v>835</v>
      </c>
      <c r="Y276" s="20">
        <v>5</v>
      </c>
      <c r="Z276" s="20">
        <v>1</v>
      </c>
      <c r="AA276" s="20" t="s">
        <v>593</v>
      </c>
      <c r="AC276" s="20" t="s">
        <v>640</v>
      </c>
      <c r="AD276" s="20" t="s">
        <v>756</v>
      </c>
      <c r="AE276" s="20" t="s">
        <v>1953</v>
      </c>
      <c r="AF276" s="20" t="s">
        <v>1952</v>
      </c>
      <c r="AG276" s="20" t="s">
        <v>835</v>
      </c>
      <c r="AH276" s="20">
        <v>5</v>
      </c>
      <c r="AI276" s="20">
        <v>1</v>
      </c>
      <c r="AJ276" s="20" t="s">
        <v>593</v>
      </c>
      <c r="AL276" s="20" t="s">
        <v>1147</v>
      </c>
      <c r="AM276" s="20" t="s">
        <v>222</v>
      </c>
      <c r="AN276" s="20" t="s">
        <v>1959</v>
      </c>
      <c r="AO276" s="20" t="s">
        <v>2346</v>
      </c>
      <c r="AP276" s="20" t="s">
        <v>628</v>
      </c>
      <c r="AQ276" s="20">
        <v>10</v>
      </c>
      <c r="AR276" s="20">
        <v>8</v>
      </c>
      <c r="AS276" s="20" t="s">
        <v>592</v>
      </c>
    </row>
    <row r="277" spans="2:45" ht="15.75" customHeight="1" x14ac:dyDescent="0.2">
      <c r="B277" s="20" t="s">
        <v>1155</v>
      </c>
      <c r="C277" s="20" t="s">
        <v>286</v>
      </c>
      <c r="D277" s="20" t="s">
        <v>376</v>
      </c>
      <c r="E277" s="20" t="s">
        <v>583</v>
      </c>
      <c r="F277" s="20" t="s">
        <v>628</v>
      </c>
      <c r="G277" s="20">
        <v>10</v>
      </c>
      <c r="H277" s="20">
        <v>6</v>
      </c>
      <c r="I277" s="20" t="s">
        <v>592</v>
      </c>
      <c r="K277" s="20" t="s">
        <v>1158</v>
      </c>
      <c r="L277" s="20" t="s">
        <v>1040</v>
      </c>
      <c r="M277" s="20" t="s">
        <v>1702</v>
      </c>
      <c r="N277" s="20" t="s">
        <v>1701</v>
      </c>
      <c r="O277" s="20" t="s">
        <v>835</v>
      </c>
      <c r="P277" s="20">
        <v>5</v>
      </c>
      <c r="Q277" s="20">
        <v>1</v>
      </c>
      <c r="R277" s="20" t="s">
        <v>592</v>
      </c>
      <c r="T277" s="20" t="s">
        <v>1147</v>
      </c>
      <c r="U277" s="20" t="s">
        <v>225</v>
      </c>
      <c r="V277" s="20" t="s">
        <v>2476</v>
      </c>
      <c r="W277" s="20" t="s">
        <v>2227</v>
      </c>
      <c r="X277" s="20" t="s">
        <v>628</v>
      </c>
      <c r="Y277" s="20">
        <v>10</v>
      </c>
      <c r="Z277" s="20">
        <v>5</v>
      </c>
      <c r="AA277" s="20" t="s">
        <v>592</v>
      </c>
      <c r="AC277" s="20" t="s">
        <v>2099</v>
      </c>
      <c r="AD277" s="20" t="s">
        <v>2112</v>
      </c>
      <c r="AE277" s="20" t="s">
        <v>2527</v>
      </c>
      <c r="AF277" s="20" t="s">
        <v>2653</v>
      </c>
      <c r="AG277" s="20" t="s">
        <v>2514</v>
      </c>
      <c r="AH277" s="20">
        <v>3</v>
      </c>
      <c r="AI277" s="20">
        <v>9</v>
      </c>
      <c r="AJ277" s="20" t="s">
        <v>592</v>
      </c>
      <c r="AL277" s="20" t="s">
        <v>1147</v>
      </c>
      <c r="AM277" s="20" t="s">
        <v>222</v>
      </c>
      <c r="AN277" s="20" t="s">
        <v>2803</v>
      </c>
      <c r="AO277" s="20" t="s">
        <v>2965</v>
      </c>
      <c r="AP277" s="20" t="s">
        <v>835</v>
      </c>
      <c r="AQ277" s="20">
        <v>5</v>
      </c>
      <c r="AR277" s="20">
        <v>1</v>
      </c>
      <c r="AS277" s="20" t="s">
        <v>593</v>
      </c>
    </row>
    <row r="278" spans="2:45" ht="15.75" customHeight="1" x14ac:dyDescent="0.2">
      <c r="B278" s="20" t="s">
        <v>1155</v>
      </c>
      <c r="C278" s="20" t="s">
        <v>286</v>
      </c>
      <c r="D278" s="20" t="s">
        <v>376</v>
      </c>
      <c r="E278" s="20" t="s">
        <v>915</v>
      </c>
      <c r="F278" s="20" t="s">
        <v>628</v>
      </c>
      <c r="G278" s="20">
        <v>10</v>
      </c>
      <c r="H278" s="20">
        <v>2</v>
      </c>
      <c r="I278" s="20" t="s">
        <v>592</v>
      </c>
      <c r="K278" s="20" t="s">
        <v>640</v>
      </c>
      <c r="L278" s="20" t="s">
        <v>756</v>
      </c>
      <c r="M278" s="20" t="s">
        <v>1703</v>
      </c>
      <c r="N278" s="20" t="s">
        <v>433</v>
      </c>
      <c r="O278" s="20" t="s">
        <v>835</v>
      </c>
      <c r="P278" s="20">
        <v>5</v>
      </c>
      <c r="Q278" s="20">
        <v>10</v>
      </c>
      <c r="R278" s="20" t="s">
        <v>592</v>
      </c>
      <c r="T278" s="20" t="s">
        <v>1147</v>
      </c>
      <c r="U278" s="20" t="s">
        <v>225</v>
      </c>
      <c r="V278" s="20" t="s">
        <v>2476</v>
      </c>
      <c r="W278" s="20" t="s">
        <v>2228</v>
      </c>
      <c r="X278" s="20" t="s">
        <v>628</v>
      </c>
      <c r="Y278" s="20">
        <v>10</v>
      </c>
      <c r="Z278" s="20">
        <v>3</v>
      </c>
      <c r="AA278" s="20" t="s">
        <v>592</v>
      </c>
      <c r="AC278" s="20" t="s">
        <v>2099</v>
      </c>
      <c r="AD278" s="20" t="s">
        <v>2106</v>
      </c>
      <c r="AE278" s="20" t="s">
        <v>2531</v>
      </c>
      <c r="AF278" s="20" t="s">
        <v>2654</v>
      </c>
      <c r="AG278" s="20" t="s">
        <v>2514</v>
      </c>
      <c r="AH278" s="20">
        <v>3</v>
      </c>
      <c r="AI278" s="20">
        <v>10</v>
      </c>
      <c r="AJ278" s="20" t="s">
        <v>592</v>
      </c>
      <c r="AL278" s="20" t="s">
        <v>1147</v>
      </c>
      <c r="AM278" s="20" t="s">
        <v>699</v>
      </c>
      <c r="AN278" s="20" t="s">
        <v>448</v>
      </c>
      <c r="AO278" s="20" t="s">
        <v>1294</v>
      </c>
      <c r="AP278" s="20" t="s">
        <v>835</v>
      </c>
      <c r="AQ278" s="20">
        <v>5</v>
      </c>
      <c r="AR278" s="20">
        <v>2</v>
      </c>
      <c r="AS278" s="20" t="s">
        <v>593</v>
      </c>
    </row>
    <row r="279" spans="2:45" ht="15.75" customHeight="1" x14ac:dyDescent="0.2">
      <c r="B279" s="20" t="s">
        <v>640</v>
      </c>
      <c r="C279" s="20" t="s">
        <v>705</v>
      </c>
      <c r="D279" s="20" t="s">
        <v>808</v>
      </c>
      <c r="E279" s="20" t="s">
        <v>1310</v>
      </c>
      <c r="F279" s="20" t="s">
        <v>835</v>
      </c>
      <c r="G279" s="20">
        <v>5</v>
      </c>
      <c r="H279" s="20">
        <v>1</v>
      </c>
      <c r="I279" s="20" t="s">
        <v>593</v>
      </c>
      <c r="K279" s="20" t="s">
        <v>640</v>
      </c>
      <c r="L279" s="20" t="s">
        <v>756</v>
      </c>
      <c r="M279" s="20" t="s">
        <v>1704</v>
      </c>
      <c r="N279" s="20" t="s">
        <v>433</v>
      </c>
      <c r="O279" s="20" t="s">
        <v>835</v>
      </c>
      <c r="P279" s="20">
        <v>5</v>
      </c>
      <c r="Q279" s="20">
        <v>1</v>
      </c>
      <c r="R279" s="20" t="s">
        <v>592</v>
      </c>
      <c r="T279" s="20" t="s">
        <v>1169</v>
      </c>
      <c r="U279" s="20" t="s">
        <v>19</v>
      </c>
      <c r="V279" s="20" t="s">
        <v>1857</v>
      </c>
      <c r="W279" s="20" t="s">
        <v>1856</v>
      </c>
      <c r="X279" s="20" t="s">
        <v>628</v>
      </c>
      <c r="Y279" s="20">
        <v>10</v>
      </c>
      <c r="Z279" s="20">
        <v>8</v>
      </c>
      <c r="AA279" s="20" t="s">
        <v>592</v>
      </c>
      <c r="AC279" s="20" t="s">
        <v>1147</v>
      </c>
      <c r="AD279" s="20" t="s">
        <v>225</v>
      </c>
      <c r="AE279" s="20" t="s">
        <v>382</v>
      </c>
      <c r="AF279" s="20" t="s">
        <v>1532</v>
      </c>
      <c r="AG279" s="20" t="s">
        <v>628</v>
      </c>
      <c r="AH279" s="20">
        <v>10</v>
      </c>
      <c r="AI279" s="20">
        <v>8</v>
      </c>
      <c r="AJ279" s="20" t="s">
        <v>592</v>
      </c>
      <c r="AL279" s="20" t="s">
        <v>1147</v>
      </c>
      <c r="AM279" s="20" t="s">
        <v>699</v>
      </c>
      <c r="AN279" s="20" t="s">
        <v>489</v>
      </c>
      <c r="AO279" s="20" t="s">
        <v>1489</v>
      </c>
      <c r="AP279" s="20" t="s">
        <v>835</v>
      </c>
      <c r="AQ279" s="20">
        <v>5</v>
      </c>
      <c r="AR279" s="20">
        <v>1</v>
      </c>
      <c r="AS279" s="20" t="s">
        <v>592</v>
      </c>
    </row>
    <row r="280" spans="2:45" ht="15.75" customHeight="1" x14ac:dyDescent="0.2">
      <c r="B280" s="20" t="s">
        <v>640</v>
      </c>
      <c r="C280" s="20" t="s">
        <v>705</v>
      </c>
      <c r="D280" s="20" t="s">
        <v>379</v>
      </c>
      <c r="E280" s="20" t="s">
        <v>1222</v>
      </c>
      <c r="F280" s="20" t="s">
        <v>835</v>
      </c>
      <c r="G280" s="20">
        <v>5</v>
      </c>
      <c r="H280" s="20">
        <v>5</v>
      </c>
      <c r="I280" s="20" t="s">
        <v>592</v>
      </c>
      <c r="K280" s="20" t="s">
        <v>1162</v>
      </c>
      <c r="L280" s="20" t="s">
        <v>352</v>
      </c>
      <c r="M280" s="20" t="s">
        <v>1023</v>
      </c>
      <c r="N280" s="20" t="s">
        <v>444</v>
      </c>
      <c r="O280" s="20" t="s">
        <v>628</v>
      </c>
      <c r="P280" s="20">
        <v>10</v>
      </c>
      <c r="Q280" s="20">
        <v>6</v>
      </c>
      <c r="R280" s="20" t="s">
        <v>593</v>
      </c>
      <c r="T280" s="20" t="s">
        <v>2099</v>
      </c>
      <c r="U280" s="20" t="s">
        <v>2106</v>
      </c>
      <c r="V280" s="20" t="s">
        <v>2452</v>
      </c>
      <c r="W280" s="20" t="s">
        <v>2229</v>
      </c>
      <c r="X280" s="20" t="s">
        <v>2514</v>
      </c>
      <c r="Y280" s="20">
        <v>3</v>
      </c>
      <c r="Z280" s="20">
        <v>2</v>
      </c>
      <c r="AA280" s="20" t="s">
        <v>593</v>
      </c>
      <c r="AC280" s="20" t="s">
        <v>1155</v>
      </c>
      <c r="AD280" s="20" t="s">
        <v>1156</v>
      </c>
      <c r="AE280" s="20" t="s">
        <v>1835</v>
      </c>
      <c r="AF280" s="20" t="s">
        <v>2338</v>
      </c>
      <c r="AG280" s="20" t="s">
        <v>628</v>
      </c>
      <c r="AH280" s="20">
        <v>10</v>
      </c>
      <c r="AI280" s="20">
        <v>4</v>
      </c>
      <c r="AJ280" s="20" t="s">
        <v>593</v>
      </c>
      <c r="AL280" s="20" t="s">
        <v>1147</v>
      </c>
      <c r="AM280" s="20" t="s">
        <v>699</v>
      </c>
      <c r="AN280" s="20" t="s">
        <v>489</v>
      </c>
      <c r="AO280" s="20" t="s">
        <v>1282</v>
      </c>
      <c r="AP280" s="20" t="s">
        <v>835</v>
      </c>
      <c r="AQ280" s="20">
        <v>5</v>
      </c>
      <c r="AR280" s="20">
        <v>4</v>
      </c>
      <c r="AS280" s="20" t="s">
        <v>592</v>
      </c>
    </row>
    <row r="281" spans="2:45" ht="15.75" customHeight="1" x14ac:dyDescent="0.2">
      <c r="B281" s="20" t="s">
        <v>646</v>
      </c>
      <c r="C281" s="20" t="s">
        <v>25</v>
      </c>
      <c r="D281" s="20" t="s">
        <v>882</v>
      </c>
      <c r="E281" s="20" t="s">
        <v>883</v>
      </c>
      <c r="F281" s="20" t="s">
        <v>835</v>
      </c>
      <c r="G281" s="20">
        <v>5</v>
      </c>
      <c r="H281" s="20">
        <v>5</v>
      </c>
      <c r="I281" s="20" t="s">
        <v>592</v>
      </c>
      <c r="K281" s="20" t="s">
        <v>1141</v>
      </c>
      <c r="L281" s="20" t="s">
        <v>224</v>
      </c>
      <c r="M281" s="20" t="s">
        <v>1119</v>
      </c>
      <c r="N281" s="20" t="s">
        <v>388</v>
      </c>
      <c r="O281" s="20" t="s">
        <v>835</v>
      </c>
      <c r="P281" s="20">
        <v>5</v>
      </c>
      <c r="Q281" s="20">
        <v>5</v>
      </c>
      <c r="R281" s="20" t="s">
        <v>592</v>
      </c>
      <c r="T281" s="20" t="s">
        <v>646</v>
      </c>
      <c r="U281" s="20" t="s">
        <v>246</v>
      </c>
      <c r="V281" s="20" t="s">
        <v>1970</v>
      </c>
      <c r="W281" s="20" t="s">
        <v>2230</v>
      </c>
      <c r="X281" s="20" t="s">
        <v>835</v>
      </c>
      <c r="Y281" s="20">
        <v>5</v>
      </c>
      <c r="Z281" s="20">
        <v>6</v>
      </c>
      <c r="AA281" s="20" t="s">
        <v>592</v>
      </c>
      <c r="AC281" s="20" t="s">
        <v>1141</v>
      </c>
      <c r="AD281" s="20" t="s">
        <v>224</v>
      </c>
      <c r="AE281" s="20" t="s">
        <v>386</v>
      </c>
      <c r="AF281" s="20" t="s">
        <v>2655</v>
      </c>
      <c r="AG281" s="20" t="s">
        <v>628</v>
      </c>
      <c r="AH281" s="20">
        <v>10</v>
      </c>
      <c r="AI281" s="20">
        <v>15</v>
      </c>
      <c r="AJ281" s="20" t="s">
        <v>592</v>
      </c>
      <c r="AL281" s="20" t="s">
        <v>1147</v>
      </c>
      <c r="AM281" s="20" t="s">
        <v>222</v>
      </c>
      <c r="AN281" s="20" t="s">
        <v>2808</v>
      </c>
      <c r="AO281" s="20" t="s">
        <v>2981</v>
      </c>
      <c r="AP281" s="20" t="s">
        <v>628</v>
      </c>
      <c r="AQ281" s="20">
        <v>10</v>
      </c>
      <c r="AR281" s="20">
        <v>1</v>
      </c>
      <c r="AS281" s="20" t="s">
        <v>593</v>
      </c>
    </row>
    <row r="282" spans="2:45" ht="15.75" customHeight="1" x14ac:dyDescent="0.2">
      <c r="B282" s="20" t="s">
        <v>646</v>
      </c>
      <c r="C282" s="20" t="s">
        <v>285</v>
      </c>
      <c r="D282" s="20" t="s">
        <v>457</v>
      </c>
      <c r="E282" s="20" t="s">
        <v>982</v>
      </c>
      <c r="F282" s="20" t="s">
        <v>835</v>
      </c>
      <c r="G282" s="20">
        <v>5</v>
      </c>
      <c r="H282" s="20">
        <v>5</v>
      </c>
      <c r="I282" s="20" t="s">
        <v>592</v>
      </c>
      <c r="K282" s="20" t="s">
        <v>1154</v>
      </c>
      <c r="L282" s="20" t="s">
        <v>307</v>
      </c>
      <c r="M282" s="20" t="s">
        <v>865</v>
      </c>
      <c r="N282" s="20" t="s">
        <v>567</v>
      </c>
      <c r="O282" s="20" t="s">
        <v>835</v>
      </c>
      <c r="P282" s="20">
        <v>5</v>
      </c>
      <c r="Q282" s="20">
        <v>2</v>
      </c>
      <c r="R282" s="20" t="s">
        <v>593</v>
      </c>
      <c r="T282" s="20" t="s">
        <v>1149</v>
      </c>
      <c r="U282" s="20" t="s">
        <v>301</v>
      </c>
      <c r="V282" s="20" t="s">
        <v>2477</v>
      </c>
      <c r="W282" s="20" t="s">
        <v>2231</v>
      </c>
      <c r="X282" s="20" t="s">
        <v>835</v>
      </c>
      <c r="Y282" s="20">
        <v>5</v>
      </c>
      <c r="Z282" s="20">
        <v>5</v>
      </c>
      <c r="AA282" s="20" t="s">
        <v>592</v>
      </c>
      <c r="AC282" s="20" t="s">
        <v>1141</v>
      </c>
      <c r="AD282" s="20" t="s">
        <v>224</v>
      </c>
      <c r="AE282" s="20" t="s">
        <v>1798</v>
      </c>
      <c r="AF282" s="20" t="s">
        <v>2312</v>
      </c>
      <c r="AG282" s="20" t="s">
        <v>628</v>
      </c>
      <c r="AH282" s="20">
        <v>10</v>
      </c>
      <c r="AI282" s="20">
        <v>8</v>
      </c>
      <c r="AJ282" s="20" t="s">
        <v>592</v>
      </c>
      <c r="AL282" s="20" t="s">
        <v>1147</v>
      </c>
      <c r="AM282" s="20" t="s">
        <v>29</v>
      </c>
      <c r="AN282" s="20" t="s">
        <v>420</v>
      </c>
      <c r="AO282" s="20" t="s">
        <v>820</v>
      </c>
      <c r="AP282" s="20" t="s">
        <v>628</v>
      </c>
      <c r="AQ282" s="20">
        <v>10</v>
      </c>
      <c r="AR282" s="20">
        <v>3</v>
      </c>
      <c r="AS282" s="20" t="s">
        <v>593</v>
      </c>
    </row>
    <row r="283" spans="2:45" ht="15.75" customHeight="1" x14ac:dyDescent="0.2">
      <c r="B283" s="20" t="s">
        <v>646</v>
      </c>
      <c r="C283" s="20" t="s">
        <v>1109</v>
      </c>
      <c r="D283" s="20" t="s">
        <v>375</v>
      </c>
      <c r="E283" s="20" t="s">
        <v>1311</v>
      </c>
      <c r="F283" s="20" t="s">
        <v>835</v>
      </c>
      <c r="G283" s="20">
        <v>5</v>
      </c>
      <c r="H283" s="20">
        <v>5</v>
      </c>
      <c r="I283" s="20" t="s">
        <v>592</v>
      </c>
      <c r="K283" s="20" t="s">
        <v>1161</v>
      </c>
      <c r="L283" s="20" t="s">
        <v>41</v>
      </c>
      <c r="M283" s="20" t="s">
        <v>1705</v>
      </c>
      <c r="N283" s="20" t="s">
        <v>539</v>
      </c>
      <c r="O283" s="20" t="s">
        <v>628</v>
      </c>
      <c r="P283" s="20">
        <v>10</v>
      </c>
      <c r="Q283" s="20">
        <v>3</v>
      </c>
      <c r="R283" s="20" t="s">
        <v>593</v>
      </c>
      <c r="T283" s="20" t="s">
        <v>1149</v>
      </c>
      <c r="U283" s="20" t="s">
        <v>301</v>
      </c>
      <c r="V283" s="20" t="s">
        <v>501</v>
      </c>
      <c r="W283" s="20" t="s">
        <v>2027</v>
      </c>
      <c r="X283" s="20" t="s">
        <v>628</v>
      </c>
      <c r="Y283" s="20">
        <v>10</v>
      </c>
      <c r="Z283" s="20">
        <v>8</v>
      </c>
      <c r="AA283" s="20" t="s">
        <v>592</v>
      </c>
      <c r="AC283" s="20" t="s">
        <v>1147</v>
      </c>
      <c r="AD283" s="20" t="s">
        <v>244</v>
      </c>
      <c r="AE283" s="20" t="s">
        <v>2495</v>
      </c>
      <c r="AF283" s="20" t="s">
        <v>2311</v>
      </c>
      <c r="AG283" s="20" t="s">
        <v>835</v>
      </c>
      <c r="AH283" s="20">
        <v>5</v>
      </c>
      <c r="AI283" s="20">
        <v>1</v>
      </c>
      <c r="AJ283" s="20" t="s">
        <v>593</v>
      </c>
      <c r="AL283" s="20" t="s">
        <v>1147</v>
      </c>
      <c r="AM283" s="20" t="s">
        <v>29</v>
      </c>
      <c r="AN283" s="20" t="s">
        <v>1794</v>
      </c>
      <c r="AO283" s="20" t="s">
        <v>1793</v>
      </c>
      <c r="AP283" s="20" t="s">
        <v>628</v>
      </c>
      <c r="AQ283" s="20">
        <v>10</v>
      </c>
      <c r="AR283" s="20">
        <v>1</v>
      </c>
      <c r="AS283" s="20" t="s">
        <v>593</v>
      </c>
    </row>
    <row r="284" spans="2:45" ht="15.75" customHeight="1" x14ac:dyDescent="0.2">
      <c r="B284" s="20" t="s">
        <v>646</v>
      </c>
      <c r="C284" s="20" t="s">
        <v>334</v>
      </c>
      <c r="D284" s="20" t="s">
        <v>522</v>
      </c>
      <c r="E284" s="20" t="s">
        <v>1312</v>
      </c>
      <c r="F284" s="20" t="s">
        <v>628</v>
      </c>
      <c r="G284" s="20">
        <v>10</v>
      </c>
      <c r="H284" s="20">
        <v>8</v>
      </c>
      <c r="I284" s="20" t="s">
        <v>592</v>
      </c>
      <c r="K284" s="20" t="s">
        <v>1141</v>
      </c>
      <c r="L284" s="20" t="s">
        <v>780</v>
      </c>
      <c r="M284" s="20" t="s">
        <v>1706</v>
      </c>
      <c r="N284" s="20" t="s">
        <v>1707</v>
      </c>
      <c r="O284" s="20" t="s">
        <v>835</v>
      </c>
      <c r="P284" s="20">
        <v>5</v>
      </c>
      <c r="Q284" s="20">
        <v>1</v>
      </c>
      <c r="R284" s="20" t="s">
        <v>593</v>
      </c>
      <c r="T284" s="20" t="s">
        <v>1144</v>
      </c>
      <c r="U284" s="20" t="s">
        <v>1107</v>
      </c>
      <c r="V284" s="20" t="s">
        <v>1909</v>
      </c>
      <c r="W284" s="20" t="s">
        <v>2232</v>
      </c>
      <c r="X284" s="20" t="s">
        <v>628</v>
      </c>
      <c r="Y284" s="20">
        <v>10</v>
      </c>
      <c r="Z284" s="20">
        <v>6</v>
      </c>
      <c r="AA284" s="20" t="s">
        <v>592</v>
      </c>
      <c r="AC284" s="20" t="s">
        <v>2099</v>
      </c>
      <c r="AD284" s="20" t="s">
        <v>2117</v>
      </c>
      <c r="AE284" s="20" t="s">
        <v>2530</v>
      </c>
      <c r="AF284" s="20" t="s">
        <v>2656</v>
      </c>
      <c r="AG284" s="20" t="s">
        <v>2514</v>
      </c>
      <c r="AH284" s="20">
        <v>3</v>
      </c>
      <c r="AI284" s="20">
        <v>3</v>
      </c>
      <c r="AJ284" s="20" t="s">
        <v>592</v>
      </c>
      <c r="AL284" s="20" t="s">
        <v>1147</v>
      </c>
      <c r="AM284" s="20" t="s">
        <v>225</v>
      </c>
      <c r="AN284" s="20" t="s">
        <v>383</v>
      </c>
      <c r="AO284" s="20" t="s">
        <v>1253</v>
      </c>
      <c r="AP284" s="20" t="s">
        <v>628</v>
      </c>
      <c r="AQ284" s="20">
        <v>10</v>
      </c>
      <c r="AR284" s="20">
        <v>8</v>
      </c>
      <c r="AS284" s="20" t="s">
        <v>592</v>
      </c>
    </row>
    <row r="285" spans="2:45" ht="15.75" customHeight="1" x14ac:dyDescent="0.2">
      <c r="B285" s="20" t="s">
        <v>646</v>
      </c>
      <c r="C285" s="20" t="s">
        <v>334</v>
      </c>
      <c r="D285" s="20" t="s">
        <v>508</v>
      </c>
      <c r="E285" s="20" t="s">
        <v>1313</v>
      </c>
      <c r="F285" s="20" t="s">
        <v>835</v>
      </c>
      <c r="G285" s="20">
        <v>5</v>
      </c>
      <c r="H285" s="20">
        <v>3</v>
      </c>
      <c r="I285" s="20" t="s">
        <v>592</v>
      </c>
      <c r="K285" s="20" t="s">
        <v>646</v>
      </c>
      <c r="L285" s="20" t="s">
        <v>246</v>
      </c>
      <c r="M285" s="20" t="s">
        <v>1542</v>
      </c>
      <c r="N285" s="20" t="s">
        <v>1543</v>
      </c>
      <c r="O285" s="20" t="s">
        <v>835</v>
      </c>
      <c r="P285" s="20">
        <v>5</v>
      </c>
      <c r="Q285" s="20">
        <v>5</v>
      </c>
      <c r="R285" s="20" t="s">
        <v>592</v>
      </c>
      <c r="T285" s="20" t="s">
        <v>1144</v>
      </c>
      <c r="U285" s="20" t="s">
        <v>1107</v>
      </c>
      <c r="V285" s="20" t="s">
        <v>1909</v>
      </c>
      <c r="W285" s="20" t="s">
        <v>2233</v>
      </c>
      <c r="X285" s="20" t="s">
        <v>628</v>
      </c>
      <c r="Y285" s="20">
        <v>10</v>
      </c>
      <c r="Z285" s="20">
        <v>4</v>
      </c>
      <c r="AA285" s="20" t="s">
        <v>592</v>
      </c>
      <c r="AC285" s="20" t="s">
        <v>1147</v>
      </c>
      <c r="AD285" s="20" t="s">
        <v>244</v>
      </c>
      <c r="AE285" s="20" t="s">
        <v>2546</v>
      </c>
      <c r="AF285" s="20" t="s">
        <v>2657</v>
      </c>
      <c r="AG285" s="20" t="s">
        <v>835</v>
      </c>
      <c r="AH285" s="20">
        <v>5</v>
      </c>
      <c r="AI285" s="20">
        <v>5</v>
      </c>
      <c r="AJ285" s="20" t="s">
        <v>592</v>
      </c>
      <c r="AL285" s="20" t="s">
        <v>1147</v>
      </c>
      <c r="AM285" s="20" t="s">
        <v>225</v>
      </c>
      <c r="AN285" s="20" t="s">
        <v>1826</v>
      </c>
      <c r="AO285" s="20" t="s">
        <v>2996</v>
      </c>
      <c r="AP285" s="20" t="s">
        <v>628</v>
      </c>
      <c r="AQ285" s="20">
        <v>10</v>
      </c>
      <c r="AR285" s="20">
        <v>1</v>
      </c>
      <c r="AS285" s="20" t="s">
        <v>593</v>
      </c>
    </row>
    <row r="286" spans="2:45" ht="15.75" customHeight="1" x14ac:dyDescent="0.2">
      <c r="B286" s="20" t="s">
        <v>646</v>
      </c>
      <c r="C286" s="20" t="s">
        <v>334</v>
      </c>
      <c r="D286" s="20" t="s">
        <v>508</v>
      </c>
      <c r="E286" s="20" t="s">
        <v>1314</v>
      </c>
      <c r="F286" s="20" t="s">
        <v>835</v>
      </c>
      <c r="G286" s="20">
        <v>5</v>
      </c>
      <c r="H286" s="20">
        <v>2</v>
      </c>
      <c r="I286" s="20" t="s">
        <v>592</v>
      </c>
      <c r="K286" s="20" t="s">
        <v>646</v>
      </c>
      <c r="L286" s="20" t="s">
        <v>246</v>
      </c>
      <c r="M286" s="20" t="s">
        <v>1708</v>
      </c>
      <c r="N286" s="20" t="s">
        <v>368</v>
      </c>
      <c r="O286" s="20" t="s">
        <v>835</v>
      </c>
      <c r="P286" s="20">
        <v>5</v>
      </c>
      <c r="Q286" s="20">
        <v>5</v>
      </c>
      <c r="R286" s="20" t="s">
        <v>592</v>
      </c>
      <c r="T286" s="20" t="s">
        <v>1158</v>
      </c>
      <c r="U286" s="20" t="s">
        <v>925</v>
      </c>
      <c r="V286" s="20" t="s">
        <v>896</v>
      </c>
      <c r="W286" s="20" t="s">
        <v>913</v>
      </c>
      <c r="X286" s="20" t="s">
        <v>835</v>
      </c>
      <c r="Y286" s="20">
        <v>5</v>
      </c>
      <c r="Z286" s="20">
        <v>5</v>
      </c>
      <c r="AA286" s="20" t="s">
        <v>592</v>
      </c>
      <c r="AC286" s="20" t="s">
        <v>1158</v>
      </c>
      <c r="AD286" s="20" t="s">
        <v>726</v>
      </c>
      <c r="AE286" s="20" t="s">
        <v>412</v>
      </c>
      <c r="AF286" s="20" t="s">
        <v>2573</v>
      </c>
      <c r="AG286" s="20" t="s">
        <v>835</v>
      </c>
      <c r="AH286" s="20">
        <v>5</v>
      </c>
      <c r="AI286" s="20">
        <v>7</v>
      </c>
      <c r="AJ286" s="20" t="s">
        <v>592</v>
      </c>
      <c r="AL286" s="20" t="s">
        <v>1147</v>
      </c>
      <c r="AM286" s="20" t="s">
        <v>225</v>
      </c>
      <c r="AN286" s="20" t="s">
        <v>2476</v>
      </c>
      <c r="AO286" s="20" t="s">
        <v>2595</v>
      </c>
      <c r="AP286" s="20" t="s">
        <v>628</v>
      </c>
      <c r="AQ286" s="20">
        <v>10</v>
      </c>
      <c r="AR286" s="20">
        <v>3</v>
      </c>
      <c r="AS286" s="20" t="s">
        <v>593</v>
      </c>
    </row>
    <row r="287" spans="2:45" ht="15.75" customHeight="1" x14ac:dyDescent="0.2">
      <c r="B287" s="20" t="s">
        <v>646</v>
      </c>
      <c r="C287" s="20" t="s">
        <v>285</v>
      </c>
      <c r="D287" s="20" t="s">
        <v>462</v>
      </c>
      <c r="E287" s="20" t="s">
        <v>822</v>
      </c>
      <c r="F287" s="20" t="s">
        <v>628</v>
      </c>
      <c r="G287" s="20">
        <v>10</v>
      </c>
      <c r="H287" s="20">
        <v>3</v>
      </c>
      <c r="I287" s="20" t="s">
        <v>593</v>
      </c>
      <c r="K287" s="20" t="s">
        <v>1158</v>
      </c>
      <c r="L287" s="20" t="s">
        <v>1040</v>
      </c>
      <c r="M287" s="20" t="s">
        <v>1709</v>
      </c>
      <c r="N287" s="20" t="s">
        <v>954</v>
      </c>
      <c r="O287" s="20" t="s">
        <v>835</v>
      </c>
      <c r="P287" s="20">
        <v>5</v>
      </c>
      <c r="Q287" s="20">
        <v>1</v>
      </c>
      <c r="R287" s="20" t="s">
        <v>593</v>
      </c>
      <c r="T287" s="20" t="s">
        <v>1158</v>
      </c>
      <c r="U287" s="20" t="s">
        <v>1040</v>
      </c>
      <c r="V287" s="20" t="s">
        <v>485</v>
      </c>
      <c r="W287" s="20" t="s">
        <v>1082</v>
      </c>
      <c r="X287" s="20" t="s">
        <v>835</v>
      </c>
      <c r="Y287" s="20">
        <v>5</v>
      </c>
      <c r="Z287" s="20">
        <v>3</v>
      </c>
      <c r="AA287" s="20" t="s">
        <v>593</v>
      </c>
      <c r="AC287" s="20" t="s">
        <v>1141</v>
      </c>
      <c r="AD287" s="20" t="s">
        <v>787</v>
      </c>
      <c r="AE287" s="20" t="s">
        <v>385</v>
      </c>
      <c r="AF287" s="20" t="s">
        <v>2658</v>
      </c>
      <c r="AG287" s="20" t="s">
        <v>628</v>
      </c>
      <c r="AH287" s="20">
        <v>10</v>
      </c>
      <c r="AI287" s="20">
        <v>13</v>
      </c>
      <c r="AJ287" s="20" t="s">
        <v>592</v>
      </c>
      <c r="AL287" s="20" t="s">
        <v>1147</v>
      </c>
      <c r="AM287" s="20" t="s">
        <v>20</v>
      </c>
      <c r="AN287" s="20" t="s">
        <v>1522</v>
      </c>
      <c r="AO287" s="20" t="s">
        <v>2643</v>
      </c>
      <c r="AP287" s="20" t="s">
        <v>628</v>
      </c>
      <c r="AQ287" s="20">
        <v>10</v>
      </c>
      <c r="AR287" s="20">
        <v>8</v>
      </c>
      <c r="AS287" s="20" t="s">
        <v>592</v>
      </c>
    </row>
    <row r="288" spans="2:45" ht="15.75" customHeight="1" x14ac:dyDescent="0.2">
      <c r="B288" s="20" t="s">
        <v>646</v>
      </c>
      <c r="C288" s="20" t="s">
        <v>303</v>
      </c>
      <c r="D288" s="20" t="s">
        <v>427</v>
      </c>
      <c r="E288" s="20" t="s">
        <v>1054</v>
      </c>
      <c r="F288" s="20" t="s">
        <v>628</v>
      </c>
      <c r="G288" s="20">
        <v>10</v>
      </c>
      <c r="H288" s="20">
        <v>6</v>
      </c>
      <c r="I288" s="20" t="s">
        <v>592</v>
      </c>
      <c r="K288" s="20" t="s">
        <v>1158</v>
      </c>
      <c r="L288" s="20" t="s">
        <v>928</v>
      </c>
      <c r="M288" s="20" t="s">
        <v>1334</v>
      </c>
      <c r="N288" s="20" t="s">
        <v>607</v>
      </c>
      <c r="O288" s="20" t="s">
        <v>835</v>
      </c>
      <c r="P288" s="20">
        <v>5</v>
      </c>
      <c r="Q288" s="20">
        <v>2</v>
      </c>
      <c r="R288" s="20" t="s">
        <v>593</v>
      </c>
      <c r="T288" s="20" t="s">
        <v>1144</v>
      </c>
      <c r="U288" s="20" t="s">
        <v>1145</v>
      </c>
      <c r="V288" s="20" t="s">
        <v>2478</v>
      </c>
      <c r="W288" s="20" t="s">
        <v>2234</v>
      </c>
      <c r="X288" s="20" t="s">
        <v>628</v>
      </c>
      <c r="Y288" s="20">
        <v>10</v>
      </c>
      <c r="Z288" s="20">
        <v>8</v>
      </c>
      <c r="AA288" s="20" t="s">
        <v>592</v>
      </c>
      <c r="AC288" s="20" t="s">
        <v>1141</v>
      </c>
      <c r="AD288" s="20" t="s">
        <v>787</v>
      </c>
      <c r="AE288" s="20" t="s">
        <v>1643</v>
      </c>
      <c r="AF288" s="20" t="s">
        <v>2659</v>
      </c>
      <c r="AG288" s="20" t="s">
        <v>628</v>
      </c>
      <c r="AH288" s="20">
        <v>10</v>
      </c>
      <c r="AI288" s="20">
        <v>8</v>
      </c>
      <c r="AJ288" s="20" t="s">
        <v>592</v>
      </c>
      <c r="AL288" s="20" t="s">
        <v>1147</v>
      </c>
      <c r="AM288" s="20" t="s">
        <v>225</v>
      </c>
      <c r="AN288" s="20" t="s">
        <v>1840</v>
      </c>
      <c r="AO288" s="20" t="s">
        <v>1839</v>
      </c>
      <c r="AP288" s="20" t="s">
        <v>628</v>
      </c>
      <c r="AQ288" s="20">
        <v>10</v>
      </c>
      <c r="AR288" s="20">
        <v>9</v>
      </c>
      <c r="AS288" s="20" t="s">
        <v>592</v>
      </c>
    </row>
    <row r="289" spans="2:45" ht="15.75" customHeight="1" x14ac:dyDescent="0.2">
      <c r="B289" s="20" t="s">
        <v>646</v>
      </c>
      <c r="C289" s="20" t="s">
        <v>303</v>
      </c>
      <c r="D289" s="20" t="s">
        <v>427</v>
      </c>
      <c r="E289" s="20" t="s">
        <v>1315</v>
      </c>
      <c r="F289" s="20" t="s">
        <v>628</v>
      </c>
      <c r="G289" s="20">
        <v>10</v>
      </c>
      <c r="H289" s="20">
        <v>2</v>
      </c>
      <c r="I289" s="20" t="s">
        <v>592</v>
      </c>
      <c r="K289" s="20" t="s">
        <v>1149</v>
      </c>
      <c r="L289" s="20" t="s">
        <v>63</v>
      </c>
      <c r="M289" s="20" t="s">
        <v>1710</v>
      </c>
      <c r="N289" s="20" t="s">
        <v>1711</v>
      </c>
      <c r="O289" s="20" t="s">
        <v>835</v>
      </c>
      <c r="P289" s="20">
        <v>5</v>
      </c>
      <c r="Q289" s="20">
        <v>3</v>
      </c>
      <c r="R289" s="20" t="s">
        <v>593</v>
      </c>
      <c r="T289" s="20" t="s">
        <v>1149</v>
      </c>
      <c r="U289" s="20" t="s">
        <v>301</v>
      </c>
      <c r="V289" s="20" t="s">
        <v>2479</v>
      </c>
      <c r="W289" s="20" t="s">
        <v>2235</v>
      </c>
      <c r="X289" s="20" t="s">
        <v>835</v>
      </c>
      <c r="Y289" s="20">
        <v>5</v>
      </c>
      <c r="Z289" s="20">
        <v>5</v>
      </c>
      <c r="AA289" s="20" t="s">
        <v>592</v>
      </c>
      <c r="AC289" s="20" t="s">
        <v>1162</v>
      </c>
      <c r="AD289" s="20" t="s">
        <v>240</v>
      </c>
      <c r="AE289" s="20" t="s">
        <v>848</v>
      </c>
      <c r="AF289" s="20" t="s">
        <v>887</v>
      </c>
      <c r="AG289" s="20" t="s">
        <v>835</v>
      </c>
      <c r="AH289" s="20">
        <v>5</v>
      </c>
      <c r="AI289" s="20">
        <v>1</v>
      </c>
      <c r="AJ289" s="20" t="s">
        <v>593</v>
      </c>
      <c r="AL289" s="20" t="s">
        <v>1144</v>
      </c>
      <c r="AM289" s="20" t="s">
        <v>249</v>
      </c>
      <c r="AN289" s="20" t="s">
        <v>563</v>
      </c>
      <c r="AO289" s="20" t="s">
        <v>591</v>
      </c>
      <c r="AP289" s="20" t="s">
        <v>628</v>
      </c>
      <c r="AQ289" s="20">
        <v>10</v>
      </c>
      <c r="AR289" s="20">
        <v>14</v>
      </c>
      <c r="AS289" s="20" t="s">
        <v>592</v>
      </c>
    </row>
    <row r="290" spans="2:45" ht="15.75" customHeight="1" x14ac:dyDescent="0.2">
      <c r="B290" s="20" t="s">
        <v>1155</v>
      </c>
      <c r="C290" s="20" t="s">
        <v>657</v>
      </c>
      <c r="D290" s="20" t="s">
        <v>481</v>
      </c>
      <c r="E290" s="20" t="s">
        <v>878</v>
      </c>
      <c r="F290" s="20" t="s">
        <v>628</v>
      </c>
      <c r="G290" s="20">
        <v>10</v>
      </c>
      <c r="H290" s="20">
        <v>8</v>
      </c>
      <c r="I290" s="20" t="s">
        <v>592</v>
      </c>
      <c r="K290" s="20" t="s">
        <v>1147</v>
      </c>
      <c r="L290" s="20" t="s">
        <v>244</v>
      </c>
      <c r="M290" s="20" t="s">
        <v>1342</v>
      </c>
      <c r="N290" s="20" t="s">
        <v>488</v>
      </c>
      <c r="O290" s="20" t="s">
        <v>835</v>
      </c>
      <c r="P290" s="20">
        <v>5</v>
      </c>
      <c r="Q290" s="20">
        <v>7</v>
      </c>
      <c r="R290" s="20" t="s">
        <v>592</v>
      </c>
      <c r="T290" s="20" t="s">
        <v>1144</v>
      </c>
      <c r="U290" s="20" t="s">
        <v>249</v>
      </c>
      <c r="V290" s="20" t="s">
        <v>2480</v>
      </c>
      <c r="W290" s="20" t="s">
        <v>2236</v>
      </c>
      <c r="X290" s="20" t="s">
        <v>628</v>
      </c>
      <c r="Y290" s="20">
        <v>10</v>
      </c>
      <c r="Z290" s="20">
        <v>9</v>
      </c>
      <c r="AA290" s="20" t="s">
        <v>592</v>
      </c>
      <c r="AC290" s="20" t="s">
        <v>1144</v>
      </c>
      <c r="AD290" s="20" t="s">
        <v>313</v>
      </c>
      <c r="AE290" s="20" t="s">
        <v>619</v>
      </c>
      <c r="AF290" s="20" t="s">
        <v>739</v>
      </c>
      <c r="AG290" s="20" t="s">
        <v>628</v>
      </c>
      <c r="AH290" s="20">
        <v>10</v>
      </c>
      <c r="AI290" s="20">
        <v>12</v>
      </c>
      <c r="AJ290" s="20" t="s">
        <v>592</v>
      </c>
      <c r="AL290" s="20" t="s">
        <v>1144</v>
      </c>
      <c r="AM290" s="20" t="s">
        <v>313</v>
      </c>
      <c r="AN290" s="20" t="s">
        <v>619</v>
      </c>
      <c r="AO290" s="20" t="s">
        <v>2158</v>
      </c>
      <c r="AP290" s="20" t="s">
        <v>628</v>
      </c>
      <c r="AQ290" s="20">
        <v>10</v>
      </c>
      <c r="AR290" s="20">
        <v>12</v>
      </c>
      <c r="AS290" s="20" t="s">
        <v>592</v>
      </c>
    </row>
    <row r="291" spans="2:45" ht="15.75" customHeight="1" x14ac:dyDescent="0.2">
      <c r="B291" s="20" t="s">
        <v>1163</v>
      </c>
      <c r="C291" s="20" t="s">
        <v>207</v>
      </c>
      <c r="D291" s="20" t="s">
        <v>600</v>
      </c>
      <c r="E291" s="20" t="s">
        <v>863</v>
      </c>
      <c r="F291" s="20" t="s">
        <v>628</v>
      </c>
      <c r="G291" s="20">
        <v>10</v>
      </c>
      <c r="H291" s="20">
        <v>5</v>
      </c>
      <c r="I291" s="20" t="s">
        <v>593</v>
      </c>
      <c r="K291" s="20" t="s">
        <v>646</v>
      </c>
      <c r="L291" s="20" t="s">
        <v>209</v>
      </c>
      <c r="M291" s="20" t="s">
        <v>1712</v>
      </c>
      <c r="N291" s="20" t="s">
        <v>410</v>
      </c>
      <c r="O291" s="20" t="s">
        <v>835</v>
      </c>
      <c r="P291" s="20">
        <v>5</v>
      </c>
      <c r="Q291" s="20">
        <v>5</v>
      </c>
      <c r="R291" s="20" t="s">
        <v>592</v>
      </c>
      <c r="T291" s="20" t="s">
        <v>1144</v>
      </c>
      <c r="U291" s="20" t="s">
        <v>249</v>
      </c>
      <c r="V291" s="20" t="s">
        <v>2480</v>
      </c>
      <c r="W291" s="20" t="s">
        <v>2237</v>
      </c>
      <c r="X291" s="20" t="s">
        <v>628</v>
      </c>
      <c r="Y291" s="20">
        <v>10</v>
      </c>
      <c r="Z291" s="20">
        <v>2</v>
      </c>
      <c r="AA291" s="20" t="s">
        <v>592</v>
      </c>
      <c r="AC291" s="20" t="s">
        <v>1155</v>
      </c>
      <c r="AD291" s="20" t="s">
        <v>286</v>
      </c>
      <c r="AE291" s="20" t="s">
        <v>898</v>
      </c>
      <c r="AF291" s="20" t="s">
        <v>2660</v>
      </c>
      <c r="AG291" s="20" t="s">
        <v>628</v>
      </c>
      <c r="AH291" s="20">
        <v>10</v>
      </c>
      <c r="AI291" s="20">
        <v>11</v>
      </c>
      <c r="AJ291" s="20" t="s">
        <v>592</v>
      </c>
      <c r="AL291" s="20" t="s">
        <v>1144</v>
      </c>
      <c r="AM291" s="20" t="s">
        <v>249</v>
      </c>
      <c r="AN291" s="20" t="s">
        <v>2480</v>
      </c>
      <c r="AO291" s="20" t="s">
        <v>2758</v>
      </c>
      <c r="AP291" s="20" t="s">
        <v>628</v>
      </c>
      <c r="AQ291" s="20">
        <v>10</v>
      </c>
      <c r="AR291" s="20">
        <v>10</v>
      </c>
      <c r="AS291" s="20" t="s">
        <v>592</v>
      </c>
    </row>
    <row r="292" spans="2:45" ht="15.75" customHeight="1" x14ac:dyDescent="0.2">
      <c r="B292" s="20" t="s">
        <v>1163</v>
      </c>
      <c r="C292" s="20" t="s">
        <v>207</v>
      </c>
      <c r="D292" s="20" t="s">
        <v>600</v>
      </c>
      <c r="E292" s="20" t="s">
        <v>1019</v>
      </c>
      <c r="F292" s="20" t="s">
        <v>628</v>
      </c>
      <c r="G292" s="20">
        <v>10</v>
      </c>
      <c r="H292" s="20">
        <v>2</v>
      </c>
      <c r="I292" s="20" t="s">
        <v>593</v>
      </c>
      <c r="K292" s="20" t="s">
        <v>646</v>
      </c>
      <c r="L292" s="20" t="s">
        <v>298</v>
      </c>
      <c r="M292" s="20" t="s">
        <v>775</v>
      </c>
      <c r="N292" s="20" t="s">
        <v>370</v>
      </c>
      <c r="O292" s="20" t="s">
        <v>835</v>
      </c>
      <c r="P292" s="20">
        <v>5</v>
      </c>
      <c r="Q292" s="20">
        <v>7</v>
      </c>
      <c r="R292" s="20" t="s">
        <v>592</v>
      </c>
      <c r="T292" s="20" t="s">
        <v>1141</v>
      </c>
      <c r="U292" s="20" t="s">
        <v>224</v>
      </c>
      <c r="V292" s="20" t="s">
        <v>387</v>
      </c>
      <c r="W292" s="20" t="s">
        <v>2238</v>
      </c>
      <c r="X292" s="20" t="s">
        <v>835</v>
      </c>
      <c r="Y292" s="20">
        <v>5</v>
      </c>
      <c r="Z292" s="20">
        <v>5</v>
      </c>
      <c r="AA292" s="20" t="s">
        <v>592</v>
      </c>
      <c r="AC292" s="20" t="s">
        <v>1149</v>
      </c>
      <c r="AD292" s="20" t="s">
        <v>1150</v>
      </c>
      <c r="AE292" s="20" t="s">
        <v>476</v>
      </c>
      <c r="AF292" s="20" t="s">
        <v>2264</v>
      </c>
      <c r="AG292" s="20" t="s">
        <v>835</v>
      </c>
      <c r="AH292" s="20">
        <v>5</v>
      </c>
      <c r="AI292" s="20">
        <v>1</v>
      </c>
      <c r="AJ292" s="20" t="s">
        <v>593</v>
      </c>
      <c r="AL292" s="20" t="s">
        <v>1144</v>
      </c>
      <c r="AM292" s="20" t="s">
        <v>1145</v>
      </c>
      <c r="AN292" s="20" t="s">
        <v>853</v>
      </c>
      <c r="AO292" s="20" t="s">
        <v>1251</v>
      </c>
      <c r="AP292" s="20" t="s">
        <v>628</v>
      </c>
      <c r="AQ292" s="20">
        <v>10</v>
      </c>
      <c r="AR292" s="20">
        <v>9</v>
      </c>
      <c r="AS292" s="20" t="s">
        <v>592</v>
      </c>
    </row>
    <row r="293" spans="2:45" ht="15.75" customHeight="1" x14ac:dyDescent="0.2">
      <c r="B293" s="20" t="s">
        <v>1141</v>
      </c>
      <c r="C293" s="20" t="s">
        <v>218</v>
      </c>
      <c r="D293" s="20" t="s">
        <v>492</v>
      </c>
      <c r="E293" s="20" t="s">
        <v>1316</v>
      </c>
      <c r="F293" s="20" t="s">
        <v>628</v>
      </c>
      <c r="G293" s="20">
        <v>10</v>
      </c>
      <c r="H293" s="20">
        <v>5</v>
      </c>
      <c r="I293" s="20" t="s">
        <v>593</v>
      </c>
      <c r="K293" s="20" t="s">
        <v>646</v>
      </c>
      <c r="L293" s="20" t="s">
        <v>209</v>
      </c>
      <c r="M293" s="20" t="s">
        <v>1713</v>
      </c>
      <c r="N293" s="20" t="s">
        <v>1714</v>
      </c>
      <c r="O293" s="20" t="s">
        <v>835</v>
      </c>
      <c r="P293" s="20">
        <v>5</v>
      </c>
      <c r="Q293" s="20">
        <v>17</v>
      </c>
      <c r="R293" s="20" t="s">
        <v>592</v>
      </c>
      <c r="T293" s="20" t="s">
        <v>640</v>
      </c>
      <c r="U293" s="20" t="s">
        <v>31</v>
      </c>
      <c r="V293" s="20" t="s">
        <v>850</v>
      </c>
      <c r="W293" s="20" t="s">
        <v>1016</v>
      </c>
      <c r="X293" s="20" t="s">
        <v>835</v>
      </c>
      <c r="Y293" s="20">
        <v>5</v>
      </c>
      <c r="Z293" s="20">
        <v>5</v>
      </c>
      <c r="AA293" s="20" t="s">
        <v>592</v>
      </c>
      <c r="AC293" s="20" t="s">
        <v>646</v>
      </c>
      <c r="AD293" s="20" t="s">
        <v>334</v>
      </c>
      <c r="AE293" s="20" t="s">
        <v>1806</v>
      </c>
      <c r="AF293" s="20" t="s">
        <v>1805</v>
      </c>
      <c r="AG293" s="20" t="s">
        <v>835</v>
      </c>
      <c r="AH293" s="20">
        <v>5</v>
      </c>
      <c r="AI293" s="20">
        <v>6</v>
      </c>
      <c r="AJ293" s="20" t="s">
        <v>592</v>
      </c>
      <c r="AL293" s="20" t="s">
        <v>1144</v>
      </c>
      <c r="AM293" s="20" t="s">
        <v>1145</v>
      </c>
      <c r="AN293" s="20" t="s">
        <v>1525</v>
      </c>
      <c r="AO293" s="20" t="s">
        <v>2722</v>
      </c>
      <c r="AP293" s="20" t="s">
        <v>628</v>
      </c>
      <c r="AQ293" s="20">
        <v>10</v>
      </c>
      <c r="AR293" s="20">
        <v>8</v>
      </c>
      <c r="AS293" s="20" t="s">
        <v>592</v>
      </c>
    </row>
    <row r="294" spans="2:45" ht="15.75" customHeight="1" x14ac:dyDescent="0.2">
      <c r="B294" s="20" t="s">
        <v>1158</v>
      </c>
      <c r="C294" s="20" t="s">
        <v>72</v>
      </c>
      <c r="D294" s="20" t="s">
        <v>634</v>
      </c>
      <c r="E294" s="20" t="s">
        <v>1317</v>
      </c>
      <c r="F294" s="20" t="s">
        <v>835</v>
      </c>
      <c r="G294" s="20">
        <v>5</v>
      </c>
      <c r="H294" s="20">
        <v>2</v>
      </c>
      <c r="I294" s="20" t="s">
        <v>593</v>
      </c>
      <c r="K294" s="20" t="s">
        <v>1143</v>
      </c>
      <c r="L294" s="20" t="s">
        <v>61</v>
      </c>
      <c r="M294" s="20" t="s">
        <v>1715</v>
      </c>
      <c r="N294" s="20" t="s">
        <v>603</v>
      </c>
      <c r="O294" s="20" t="s">
        <v>835</v>
      </c>
      <c r="P294" s="20">
        <v>5</v>
      </c>
      <c r="Q294" s="20">
        <v>8</v>
      </c>
      <c r="R294" s="20" t="s">
        <v>592</v>
      </c>
      <c r="T294" s="20" t="s">
        <v>1162</v>
      </c>
      <c r="U294" s="20" t="s">
        <v>230</v>
      </c>
      <c r="V294" s="20" t="s">
        <v>1926</v>
      </c>
      <c r="W294" s="20" t="s">
        <v>2239</v>
      </c>
      <c r="X294" s="20" t="s">
        <v>835</v>
      </c>
      <c r="Y294" s="20">
        <v>5</v>
      </c>
      <c r="Z294" s="20">
        <v>1</v>
      </c>
      <c r="AA294" s="20" t="s">
        <v>593</v>
      </c>
      <c r="AC294" s="20" t="s">
        <v>1169</v>
      </c>
      <c r="AD294" s="20" t="s">
        <v>216</v>
      </c>
      <c r="AE294" s="20" t="s">
        <v>1946</v>
      </c>
      <c r="AF294" s="20" t="s">
        <v>2115</v>
      </c>
      <c r="AG294" s="20" t="s">
        <v>628</v>
      </c>
      <c r="AH294" s="20">
        <v>10</v>
      </c>
      <c r="AI294" s="20">
        <v>8</v>
      </c>
      <c r="AJ294" s="20" t="s">
        <v>592</v>
      </c>
      <c r="AL294" s="20" t="s">
        <v>1144</v>
      </c>
      <c r="AM294" s="20" t="s">
        <v>1145</v>
      </c>
      <c r="AN294" s="20" t="s">
        <v>847</v>
      </c>
      <c r="AO294" s="20" t="s">
        <v>2997</v>
      </c>
      <c r="AP294" s="20" t="s">
        <v>628</v>
      </c>
      <c r="AQ294" s="20">
        <v>10</v>
      </c>
      <c r="AR294" s="20">
        <v>10</v>
      </c>
      <c r="AS294" s="20" t="s">
        <v>592</v>
      </c>
    </row>
    <row r="295" spans="2:45" ht="15.75" customHeight="1" x14ac:dyDescent="0.2">
      <c r="B295" s="20" t="s">
        <v>1141</v>
      </c>
      <c r="C295" s="20" t="s">
        <v>218</v>
      </c>
      <c r="D295" s="20" t="s">
        <v>492</v>
      </c>
      <c r="E295" s="20" t="s">
        <v>1318</v>
      </c>
      <c r="F295" s="20" t="s">
        <v>628</v>
      </c>
      <c r="G295" s="20">
        <v>10</v>
      </c>
      <c r="H295" s="20">
        <v>1</v>
      </c>
      <c r="I295" s="20" t="s">
        <v>593</v>
      </c>
      <c r="K295" s="20" t="s">
        <v>1162</v>
      </c>
      <c r="L295" s="20" t="s">
        <v>352</v>
      </c>
      <c r="M295" s="20" t="s">
        <v>1716</v>
      </c>
      <c r="N295" s="20" t="s">
        <v>443</v>
      </c>
      <c r="O295" s="20" t="s">
        <v>628</v>
      </c>
      <c r="P295" s="20">
        <v>10</v>
      </c>
      <c r="Q295" s="20">
        <v>1</v>
      </c>
      <c r="R295" s="20" t="s">
        <v>593</v>
      </c>
      <c r="T295" s="20" t="s">
        <v>1141</v>
      </c>
      <c r="U295" s="20" t="s">
        <v>780</v>
      </c>
      <c r="V295" s="20" t="s">
        <v>1648</v>
      </c>
      <c r="W295" s="20" t="s">
        <v>2240</v>
      </c>
      <c r="X295" s="20" t="s">
        <v>835</v>
      </c>
      <c r="Y295" s="20">
        <v>5</v>
      </c>
      <c r="Z295" s="20">
        <v>5</v>
      </c>
      <c r="AA295" s="20" t="s">
        <v>592</v>
      </c>
      <c r="AC295" s="20" t="s">
        <v>2099</v>
      </c>
      <c r="AD295" s="20" t="s">
        <v>2117</v>
      </c>
      <c r="AE295" s="20" t="s">
        <v>2530</v>
      </c>
      <c r="AF295" s="20" t="s">
        <v>2661</v>
      </c>
      <c r="AG295" s="20" t="s">
        <v>835</v>
      </c>
      <c r="AH295" s="20">
        <v>5</v>
      </c>
      <c r="AI295" s="20">
        <v>5</v>
      </c>
      <c r="AJ295" s="20" t="s">
        <v>592</v>
      </c>
      <c r="AL295" s="20" t="s">
        <v>1144</v>
      </c>
      <c r="AM295" s="20" t="s">
        <v>1145</v>
      </c>
      <c r="AN295" s="20" t="s">
        <v>498</v>
      </c>
      <c r="AO295" s="20" t="s">
        <v>2998</v>
      </c>
      <c r="AP295" s="20" t="s">
        <v>628</v>
      </c>
      <c r="AQ295" s="20">
        <v>10</v>
      </c>
      <c r="AR295" s="20">
        <v>9</v>
      </c>
      <c r="AS295" s="20" t="s">
        <v>592</v>
      </c>
    </row>
    <row r="296" spans="2:45" ht="15.75" customHeight="1" x14ac:dyDescent="0.2">
      <c r="B296" s="20" t="s">
        <v>1161</v>
      </c>
      <c r="C296" s="20" t="s">
        <v>1041</v>
      </c>
      <c r="D296" s="20" t="s">
        <v>511</v>
      </c>
      <c r="E296" s="20" t="s">
        <v>1051</v>
      </c>
      <c r="F296" s="20" t="s">
        <v>628</v>
      </c>
      <c r="G296" s="20">
        <v>10</v>
      </c>
      <c r="H296" s="20">
        <v>5</v>
      </c>
      <c r="I296" s="20" t="s">
        <v>593</v>
      </c>
      <c r="K296" s="20" t="s">
        <v>1155</v>
      </c>
      <c r="L296" s="20" t="s">
        <v>286</v>
      </c>
      <c r="M296" s="20" t="s">
        <v>1717</v>
      </c>
      <c r="N296" s="20" t="s">
        <v>1512</v>
      </c>
      <c r="O296" s="20" t="s">
        <v>628</v>
      </c>
      <c r="P296" s="20">
        <v>10</v>
      </c>
      <c r="Q296" s="20">
        <v>6</v>
      </c>
      <c r="R296" s="20" t="s">
        <v>592</v>
      </c>
      <c r="T296" s="20" t="s">
        <v>1147</v>
      </c>
      <c r="U296" s="20" t="s">
        <v>70</v>
      </c>
      <c r="V296" s="20" t="s">
        <v>632</v>
      </c>
      <c r="W296" s="20" t="s">
        <v>1221</v>
      </c>
      <c r="X296" s="20" t="s">
        <v>628</v>
      </c>
      <c r="Y296" s="20">
        <v>10</v>
      </c>
      <c r="Z296" s="20">
        <v>7</v>
      </c>
      <c r="AA296" s="20" t="s">
        <v>592</v>
      </c>
      <c r="AC296" s="20" t="s">
        <v>646</v>
      </c>
      <c r="AD296" s="20" t="s">
        <v>25</v>
      </c>
      <c r="AE296" s="20" t="s">
        <v>371</v>
      </c>
      <c r="AF296" s="20" t="s">
        <v>2270</v>
      </c>
      <c r="AG296" s="20" t="s">
        <v>628</v>
      </c>
      <c r="AH296" s="20">
        <v>10</v>
      </c>
      <c r="AI296" s="20">
        <v>8</v>
      </c>
      <c r="AJ296" s="20" t="s">
        <v>592</v>
      </c>
      <c r="AL296" s="20" t="s">
        <v>1144</v>
      </c>
      <c r="AM296" s="20" t="s">
        <v>804</v>
      </c>
      <c r="AN296" s="20" t="s">
        <v>559</v>
      </c>
      <c r="AO296" s="20" t="s">
        <v>2999</v>
      </c>
      <c r="AP296" s="20" t="s">
        <v>628</v>
      </c>
      <c r="AQ296" s="20">
        <v>10</v>
      </c>
      <c r="AR296" s="20">
        <v>45</v>
      </c>
      <c r="AS296" s="20" t="s">
        <v>592</v>
      </c>
    </row>
    <row r="297" spans="2:45" ht="15.75" customHeight="1" x14ac:dyDescent="0.2">
      <c r="B297" s="20" t="s">
        <v>1144</v>
      </c>
      <c r="C297" s="20" t="s">
        <v>313</v>
      </c>
      <c r="D297" s="20" t="s">
        <v>619</v>
      </c>
      <c r="E297" s="20" t="s">
        <v>739</v>
      </c>
      <c r="F297" s="20" t="s">
        <v>835</v>
      </c>
      <c r="G297" s="20">
        <v>5</v>
      </c>
      <c r="H297" s="20">
        <v>5</v>
      </c>
      <c r="I297" s="20" t="s">
        <v>592</v>
      </c>
      <c r="K297" s="20" t="s">
        <v>1155</v>
      </c>
      <c r="L297" s="20" t="s">
        <v>286</v>
      </c>
      <c r="M297" s="20" t="s">
        <v>1718</v>
      </c>
      <c r="N297" s="20" t="s">
        <v>1512</v>
      </c>
      <c r="O297" s="20" t="s">
        <v>628</v>
      </c>
      <c r="P297" s="20">
        <v>10</v>
      </c>
      <c r="Q297" s="20">
        <v>2</v>
      </c>
      <c r="R297" s="20" t="s">
        <v>592</v>
      </c>
      <c r="T297" s="20" t="s">
        <v>1147</v>
      </c>
      <c r="U297" s="20" t="s">
        <v>70</v>
      </c>
      <c r="V297" s="20" t="s">
        <v>632</v>
      </c>
      <c r="W297" s="20" t="s">
        <v>2241</v>
      </c>
      <c r="X297" s="20" t="s">
        <v>628</v>
      </c>
      <c r="Y297" s="20">
        <v>10</v>
      </c>
      <c r="Z297" s="20">
        <v>1</v>
      </c>
      <c r="AA297" s="20" t="s">
        <v>592</v>
      </c>
      <c r="AC297" s="20" t="s">
        <v>1162</v>
      </c>
      <c r="AD297" s="20" t="s">
        <v>240</v>
      </c>
      <c r="AE297" s="20" t="s">
        <v>1786</v>
      </c>
      <c r="AF297" s="20" t="s">
        <v>1785</v>
      </c>
      <c r="AG297" s="20" t="s">
        <v>628</v>
      </c>
      <c r="AH297" s="20">
        <v>10</v>
      </c>
      <c r="AI297" s="20">
        <v>11</v>
      </c>
      <c r="AJ297" s="20" t="s">
        <v>592</v>
      </c>
      <c r="AL297" s="20" t="s">
        <v>1144</v>
      </c>
      <c r="AM297" s="20" t="s">
        <v>804</v>
      </c>
      <c r="AN297" s="20" t="s">
        <v>1604</v>
      </c>
      <c r="AO297" s="20" t="s">
        <v>1603</v>
      </c>
      <c r="AP297" s="20" t="s">
        <v>628</v>
      </c>
      <c r="AQ297" s="20">
        <v>10</v>
      </c>
      <c r="AR297" s="20">
        <v>10</v>
      </c>
      <c r="AS297" s="20" t="s">
        <v>592</v>
      </c>
    </row>
    <row r="298" spans="2:45" ht="15.75" customHeight="1" x14ac:dyDescent="0.2">
      <c r="B298" s="20" t="s">
        <v>1144</v>
      </c>
      <c r="C298" s="20" t="s">
        <v>313</v>
      </c>
      <c r="D298" s="20" t="s">
        <v>619</v>
      </c>
      <c r="E298" s="20" t="s">
        <v>740</v>
      </c>
      <c r="F298" s="20" t="s">
        <v>835</v>
      </c>
      <c r="G298" s="20">
        <v>5</v>
      </c>
      <c r="H298" s="20">
        <v>1</v>
      </c>
      <c r="I298" s="20" t="s">
        <v>592</v>
      </c>
      <c r="K298" s="20" t="s">
        <v>1154</v>
      </c>
      <c r="L298" s="20" t="s">
        <v>1152</v>
      </c>
      <c r="M298" s="20" t="s">
        <v>1398</v>
      </c>
      <c r="N298" s="20" t="s">
        <v>574</v>
      </c>
      <c r="O298" s="20" t="s">
        <v>835</v>
      </c>
      <c r="P298" s="20">
        <v>5</v>
      </c>
      <c r="Q298" s="20">
        <v>1</v>
      </c>
      <c r="R298" s="20" t="s">
        <v>593</v>
      </c>
      <c r="T298" s="20" t="s">
        <v>1155</v>
      </c>
      <c r="U298" s="20" t="s">
        <v>286</v>
      </c>
      <c r="V298" s="20" t="s">
        <v>376</v>
      </c>
      <c r="W298" s="20" t="s">
        <v>583</v>
      </c>
      <c r="X298" s="20" t="s">
        <v>628</v>
      </c>
      <c r="Y298" s="20">
        <v>10</v>
      </c>
      <c r="Z298" s="20">
        <v>3</v>
      </c>
      <c r="AA298" s="20" t="s">
        <v>593</v>
      </c>
      <c r="AC298" s="20" t="s">
        <v>1155</v>
      </c>
      <c r="AD298" s="20" t="s">
        <v>657</v>
      </c>
      <c r="AE298" s="20" t="s">
        <v>682</v>
      </c>
      <c r="AF298" s="20" t="s">
        <v>2662</v>
      </c>
      <c r="AG298" s="20" t="s">
        <v>628</v>
      </c>
      <c r="AH298" s="20">
        <v>10</v>
      </c>
      <c r="AI298" s="20">
        <v>4</v>
      </c>
      <c r="AJ298" s="20" t="s">
        <v>593</v>
      </c>
      <c r="AL298" s="20" t="s">
        <v>1144</v>
      </c>
      <c r="AM298" s="20" t="s">
        <v>804</v>
      </c>
      <c r="AN298" s="20" t="s">
        <v>2814</v>
      </c>
      <c r="AO298" s="20" t="s">
        <v>3000</v>
      </c>
      <c r="AP298" s="20" t="s">
        <v>628</v>
      </c>
      <c r="AQ298" s="20">
        <v>10</v>
      </c>
      <c r="AR298" s="20">
        <v>10</v>
      </c>
      <c r="AS298" s="20" t="s">
        <v>592</v>
      </c>
    </row>
    <row r="299" spans="2:45" ht="15.75" customHeight="1" x14ac:dyDescent="0.2">
      <c r="B299" s="20" t="s">
        <v>640</v>
      </c>
      <c r="C299" s="20" t="s">
        <v>31</v>
      </c>
      <c r="D299" s="20" t="s">
        <v>434</v>
      </c>
      <c r="E299" s="20" t="s">
        <v>1319</v>
      </c>
      <c r="F299" s="20" t="s">
        <v>835</v>
      </c>
      <c r="G299" s="20">
        <v>5</v>
      </c>
      <c r="H299" s="20">
        <v>7</v>
      </c>
      <c r="I299" s="20" t="s">
        <v>592</v>
      </c>
      <c r="K299" s="20" t="s">
        <v>1155</v>
      </c>
      <c r="L299" s="20" t="s">
        <v>1156</v>
      </c>
      <c r="M299" s="20" t="s">
        <v>1719</v>
      </c>
      <c r="N299" s="20" t="s">
        <v>518</v>
      </c>
      <c r="O299" s="20" t="s">
        <v>835</v>
      </c>
      <c r="P299" s="20">
        <v>5</v>
      </c>
      <c r="Q299" s="20">
        <v>11</v>
      </c>
      <c r="R299" s="20" t="s">
        <v>592</v>
      </c>
      <c r="T299" s="20" t="s">
        <v>1154</v>
      </c>
      <c r="U299" s="20" t="s">
        <v>217</v>
      </c>
      <c r="V299" s="20" t="s">
        <v>1557</v>
      </c>
      <c r="W299" s="20" t="s">
        <v>2242</v>
      </c>
      <c r="X299" s="20" t="s">
        <v>835</v>
      </c>
      <c r="Y299" s="20">
        <v>5</v>
      </c>
      <c r="Z299" s="20">
        <v>6</v>
      </c>
      <c r="AA299" s="20" t="s">
        <v>592</v>
      </c>
      <c r="AC299" s="20" t="s">
        <v>1141</v>
      </c>
      <c r="AD299" s="20" t="s">
        <v>218</v>
      </c>
      <c r="AE299" s="20" t="s">
        <v>493</v>
      </c>
      <c r="AF299" s="20" t="s">
        <v>1478</v>
      </c>
      <c r="AG299" s="20" t="s">
        <v>835</v>
      </c>
      <c r="AH299" s="20">
        <v>5</v>
      </c>
      <c r="AI299" s="20">
        <v>1</v>
      </c>
      <c r="AJ299" s="20" t="s">
        <v>593</v>
      </c>
      <c r="AL299" s="20" t="s">
        <v>1144</v>
      </c>
      <c r="AM299" s="20" t="s">
        <v>804</v>
      </c>
      <c r="AN299" s="20" t="s">
        <v>2815</v>
      </c>
      <c r="AO299" s="20" t="s">
        <v>3001</v>
      </c>
      <c r="AP299" s="20" t="s">
        <v>628</v>
      </c>
      <c r="AQ299" s="20">
        <v>10</v>
      </c>
      <c r="AR299" s="20">
        <v>18</v>
      </c>
      <c r="AS299" s="20" t="s">
        <v>592</v>
      </c>
    </row>
    <row r="300" spans="2:45" ht="15.75" customHeight="1" x14ac:dyDescent="0.2">
      <c r="B300" s="20" t="s">
        <v>1144</v>
      </c>
      <c r="C300" s="20" t="s">
        <v>804</v>
      </c>
      <c r="D300" s="20" t="s">
        <v>546</v>
      </c>
      <c r="E300" s="20" t="s">
        <v>830</v>
      </c>
      <c r="F300" s="20" t="s">
        <v>628</v>
      </c>
      <c r="G300" s="20">
        <v>10</v>
      </c>
      <c r="H300" s="20">
        <v>6</v>
      </c>
      <c r="I300" s="20" t="s">
        <v>592</v>
      </c>
      <c r="K300" s="20" t="s">
        <v>1155</v>
      </c>
      <c r="L300" s="20" t="s">
        <v>1156</v>
      </c>
      <c r="M300" s="20" t="s">
        <v>1720</v>
      </c>
      <c r="N300" s="20" t="s">
        <v>518</v>
      </c>
      <c r="O300" s="20" t="s">
        <v>835</v>
      </c>
      <c r="P300" s="20">
        <v>5</v>
      </c>
      <c r="Q300" s="20">
        <v>2</v>
      </c>
      <c r="R300" s="20" t="s">
        <v>592</v>
      </c>
      <c r="T300" s="20" t="s">
        <v>2099</v>
      </c>
      <c r="U300" s="20" t="s">
        <v>2117</v>
      </c>
      <c r="V300" s="20" t="s">
        <v>2455</v>
      </c>
      <c r="W300" s="20" t="s">
        <v>2243</v>
      </c>
      <c r="X300" s="20" t="s">
        <v>2514</v>
      </c>
      <c r="Y300" s="20">
        <v>3</v>
      </c>
      <c r="Z300" s="20">
        <v>3</v>
      </c>
      <c r="AA300" s="20" t="s">
        <v>592</v>
      </c>
      <c r="AC300" s="20" t="s">
        <v>1169</v>
      </c>
      <c r="AD300" s="20" t="s">
        <v>671</v>
      </c>
      <c r="AE300" s="20" t="s">
        <v>471</v>
      </c>
      <c r="AF300" s="20" t="s">
        <v>2663</v>
      </c>
      <c r="AG300" s="20" t="s">
        <v>628</v>
      </c>
      <c r="AH300" s="20">
        <v>10</v>
      </c>
      <c r="AI300" s="20">
        <v>2</v>
      </c>
      <c r="AJ300" s="20" t="s">
        <v>593</v>
      </c>
      <c r="AL300" s="20" t="s">
        <v>1144</v>
      </c>
      <c r="AM300" s="20" t="s">
        <v>1145</v>
      </c>
      <c r="AN300" s="20" t="s">
        <v>497</v>
      </c>
      <c r="AO300" s="20" t="s">
        <v>1390</v>
      </c>
      <c r="AP300" s="20" t="s">
        <v>628</v>
      </c>
      <c r="AQ300" s="20">
        <v>10</v>
      </c>
      <c r="AR300" s="20">
        <v>10</v>
      </c>
      <c r="AS300" s="20" t="s">
        <v>592</v>
      </c>
    </row>
    <row r="301" spans="2:45" ht="15.75" customHeight="1" x14ac:dyDescent="0.2">
      <c r="B301" s="20" t="s">
        <v>1144</v>
      </c>
      <c r="C301" s="20" t="s">
        <v>804</v>
      </c>
      <c r="D301" s="20" t="s">
        <v>546</v>
      </c>
      <c r="E301" s="20" t="s">
        <v>1030</v>
      </c>
      <c r="F301" s="20" t="s">
        <v>628</v>
      </c>
      <c r="G301" s="20">
        <v>10</v>
      </c>
      <c r="H301" s="20">
        <v>2</v>
      </c>
      <c r="I301" s="20" t="s">
        <v>592</v>
      </c>
      <c r="K301" s="20" t="s">
        <v>646</v>
      </c>
      <c r="L301" s="20" t="s">
        <v>209</v>
      </c>
      <c r="M301" s="20" t="s">
        <v>1514</v>
      </c>
      <c r="N301" s="20" t="s">
        <v>1515</v>
      </c>
      <c r="O301" s="20" t="s">
        <v>628</v>
      </c>
      <c r="P301" s="20">
        <v>10</v>
      </c>
      <c r="Q301" s="20">
        <v>20</v>
      </c>
      <c r="R301" s="20" t="s">
        <v>592</v>
      </c>
      <c r="T301" s="20" t="s">
        <v>646</v>
      </c>
      <c r="U301" s="20" t="s">
        <v>209</v>
      </c>
      <c r="V301" s="20" t="s">
        <v>1515</v>
      </c>
      <c r="W301" s="20" t="s">
        <v>2244</v>
      </c>
      <c r="X301" s="20" t="s">
        <v>835</v>
      </c>
      <c r="Y301" s="20">
        <v>5</v>
      </c>
      <c r="Z301" s="20">
        <v>5</v>
      </c>
      <c r="AA301" s="20" t="s">
        <v>592</v>
      </c>
      <c r="AC301" s="20" t="s">
        <v>1143</v>
      </c>
      <c r="AD301" s="20" t="s">
        <v>706</v>
      </c>
      <c r="AE301" s="20" t="s">
        <v>2509</v>
      </c>
      <c r="AF301" s="20" t="s">
        <v>2664</v>
      </c>
      <c r="AG301" s="20" t="s">
        <v>628</v>
      </c>
      <c r="AH301" s="20">
        <v>10</v>
      </c>
      <c r="AI301" s="20">
        <v>9</v>
      </c>
      <c r="AJ301" s="20" t="s">
        <v>592</v>
      </c>
      <c r="AL301" s="20" t="s">
        <v>1144</v>
      </c>
      <c r="AM301" s="20" t="s">
        <v>804</v>
      </c>
      <c r="AN301" s="20" t="s">
        <v>2816</v>
      </c>
      <c r="AO301" s="20" t="s">
        <v>3002</v>
      </c>
      <c r="AP301" s="20" t="s">
        <v>628</v>
      </c>
      <c r="AQ301" s="20">
        <v>10</v>
      </c>
      <c r="AR301" s="20">
        <v>14</v>
      </c>
      <c r="AS301" s="20" t="s">
        <v>592</v>
      </c>
    </row>
    <row r="302" spans="2:45" ht="15.75" customHeight="1" x14ac:dyDescent="0.2">
      <c r="B302" s="20" t="s">
        <v>1158</v>
      </c>
      <c r="C302" s="20" t="s">
        <v>1040</v>
      </c>
      <c r="D302" s="20" t="s">
        <v>611</v>
      </c>
      <c r="E302" s="20" t="s">
        <v>1138</v>
      </c>
      <c r="F302" s="20" t="s">
        <v>835</v>
      </c>
      <c r="G302" s="20">
        <v>5</v>
      </c>
      <c r="H302" s="20">
        <v>1</v>
      </c>
      <c r="I302" s="20" t="s">
        <v>593</v>
      </c>
      <c r="K302" s="20" t="s">
        <v>646</v>
      </c>
      <c r="L302" s="20" t="s">
        <v>298</v>
      </c>
      <c r="M302" s="20" t="s">
        <v>1721</v>
      </c>
      <c r="N302" s="20" t="s">
        <v>424</v>
      </c>
      <c r="O302" s="20" t="s">
        <v>835</v>
      </c>
      <c r="P302" s="20">
        <v>5</v>
      </c>
      <c r="Q302" s="20">
        <v>6</v>
      </c>
      <c r="R302" s="20" t="s">
        <v>592</v>
      </c>
      <c r="T302" s="20" t="s">
        <v>1147</v>
      </c>
      <c r="U302" s="20" t="s">
        <v>20</v>
      </c>
      <c r="V302" s="20" t="s">
        <v>451</v>
      </c>
      <c r="W302" s="20" t="s">
        <v>585</v>
      </c>
      <c r="X302" s="20" t="s">
        <v>628</v>
      </c>
      <c r="Y302" s="20">
        <v>10</v>
      </c>
      <c r="Z302" s="20">
        <v>9</v>
      </c>
      <c r="AA302" s="20" t="s">
        <v>592</v>
      </c>
      <c r="AC302" s="20" t="s">
        <v>1143</v>
      </c>
      <c r="AD302" s="20" t="s">
        <v>706</v>
      </c>
      <c r="AE302" s="20" t="s">
        <v>605</v>
      </c>
      <c r="AF302" s="20" t="s">
        <v>2665</v>
      </c>
      <c r="AG302" s="20" t="s">
        <v>628</v>
      </c>
      <c r="AH302" s="20">
        <v>10</v>
      </c>
      <c r="AI302" s="20">
        <v>3</v>
      </c>
      <c r="AJ302" s="20" t="s">
        <v>593</v>
      </c>
      <c r="AL302" s="20" t="s">
        <v>1144</v>
      </c>
      <c r="AM302" s="20" t="s">
        <v>804</v>
      </c>
      <c r="AN302" s="20" t="s">
        <v>958</v>
      </c>
      <c r="AO302" s="20" t="s">
        <v>3003</v>
      </c>
      <c r="AP302" s="20" t="s">
        <v>628</v>
      </c>
      <c r="AQ302" s="20">
        <v>10</v>
      </c>
      <c r="AR302" s="20">
        <v>10</v>
      </c>
      <c r="AS302" s="20" t="s">
        <v>592</v>
      </c>
    </row>
    <row r="303" spans="2:45" ht="15.75" customHeight="1" x14ac:dyDescent="0.2">
      <c r="B303" s="20" t="s">
        <v>640</v>
      </c>
      <c r="C303" s="20" t="s">
        <v>248</v>
      </c>
      <c r="D303" s="20" t="s">
        <v>582</v>
      </c>
      <c r="E303" s="20" t="s">
        <v>891</v>
      </c>
      <c r="F303" s="20" t="s">
        <v>835</v>
      </c>
      <c r="G303" s="20">
        <v>5</v>
      </c>
      <c r="H303" s="20">
        <v>5</v>
      </c>
      <c r="I303" s="20" t="s">
        <v>592</v>
      </c>
      <c r="K303" s="20" t="s">
        <v>646</v>
      </c>
      <c r="L303" s="20" t="s">
        <v>209</v>
      </c>
      <c r="M303" s="20" t="s">
        <v>970</v>
      </c>
      <c r="N303" s="20" t="s">
        <v>460</v>
      </c>
      <c r="O303" s="20" t="s">
        <v>835</v>
      </c>
      <c r="P303" s="20">
        <v>5</v>
      </c>
      <c r="Q303" s="20">
        <v>7</v>
      </c>
      <c r="R303" s="20" t="s">
        <v>592</v>
      </c>
      <c r="T303" s="20" t="s">
        <v>2099</v>
      </c>
      <c r="U303" s="20" t="s">
        <v>2112</v>
      </c>
      <c r="V303" s="20" t="s">
        <v>2454</v>
      </c>
      <c r="W303" s="20" t="s">
        <v>2245</v>
      </c>
      <c r="X303" s="20" t="s">
        <v>2514</v>
      </c>
      <c r="Y303" s="20">
        <v>3</v>
      </c>
      <c r="Z303" s="20">
        <v>3</v>
      </c>
      <c r="AA303" s="20" t="s">
        <v>592</v>
      </c>
      <c r="AC303" s="20" t="s">
        <v>1143</v>
      </c>
      <c r="AD303" s="20" t="s">
        <v>689</v>
      </c>
      <c r="AE303" s="20" t="s">
        <v>618</v>
      </c>
      <c r="AF303" s="20" t="s">
        <v>1053</v>
      </c>
      <c r="AG303" s="20" t="s">
        <v>835</v>
      </c>
      <c r="AH303" s="20">
        <v>5</v>
      </c>
      <c r="AI303" s="20">
        <v>5</v>
      </c>
      <c r="AJ303" s="20" t="s">
        <v>592</v>
      </c>
      <c r="AL303" s="20" t="s">
        <v>1144</v>
      </c>
      <c r="AM303" s="20" t="s">
        <v>804</v>
      </c>
      <c r="AN303" s="20" t="s">
        <v>2816</v>
      </c>
      <c r="AO303" s="20" t="s">
        <v>3004</v>
      </c>
      <c r="AP303" s="20" t="s">
        <v>628</v>
      </c>
      <c r="AQ303" s="20">
        <v>10</v>
      </c>
      <c r="AR303" s="20">
        <v>2</v>
      </c>
      <c r="AS303" s="20" t="s">
        <v>592</v>
      </c>
    </row>
    <row r="304" spans="2:45" ht="15.75" customHeight="1" x14ac:dyDescent="0.2">
      <c r="B304" s="20" t="s">
        <v>1163</v>
      </c>
      <c r="C304" s="20" t="s">
        <v>299</v>
      </c>
      <c r="D304" s="20" t="s">
        <v>362</v>
      </c>
      <c r="E304" s="20" t="s">
        <v>981</v>
      </c>
      <c r="F304" s="20" t="s">
        <v>628</v>
      </c>
      <c r="G304" s="20">
        <v>10</v>
      </c>
      <c r="H304" s="20">
        <v>3</v>
      </c>
      <c r="I304" s="20" t="s">
        <v>593</v>
      </c>
      <c r="K304" s="20" t="s">
        <v>1147</v>
      </c>
      <c r="L304" s="20" t="s">
        <v>244</v>
      </c>
      <c r="M304" s="20" t="s">
        <v>1284</v>
      </c>
      <c r="N304" s="20" t="s">
        <v>609</v>
      </c>
      <c r="O304" s="20" t="s">
        <v>835</v>
      </c>
      <c r="P304" s="20">
        <v>5</v>
      </c>
      <c r="Q304" s="20">
        <v>6</v>
      </c>
      <c r="R304" s="20" t="s">
        <v>592</v>
      </c>
      <c r="T304" s="20" t="s">
        <v>2099</v>
      </c>
      <c r="U304" s="20" t="s">
        <v>2112</v>
      </c>
      <c r="V304" s="20" t="s">
        <v>2454</v>
      </c>
      <c r="W304" s="20" t="s">
        <v>2246</v>
      </c>
      <c r="X304" s="20" t="s">
        <v>835</v>
      </c>
      <c r="Y304" s="20">
        <v>5</v>
      </c>
      <c r="Z304" s="20">
        <v>6</v>
      </c>
      <c r="AA304" s="20" t="s">
        <v>592</v>
      </c>
      <c r="AC304" s="20" t="s">
        <v>1158</v>
      </c>
      <c r="AD304" s="20" t="s">
        <v>72</v>
      </c>
      <c r="AE304" s="20" t="s">
        <v>620</v>
      </c>
      <c r="AF304" s="20" t="s">
        <v>2666</v>
      </c>
      <c r="AG304" s="20" t="s">
        <v>835</v>
      </c>
      <c r="AH304" s="20">
        <v>5</v>
      </c>
      <c r="AI304" s="20">
        <v>5</v>
      </c>
      <c r="AJ304" s="20" t="s">
        <v>592</v>
      </c>
      <c r="AL304" s="20" t="s">
        <v>1144</v>
      </c>
      <c r="AM304" s="20" t="s">
        <v>804</v>
      </c>
      <c r="AN304" s="20" t="s">
        <v>546</v>
      </c>
      <c r="AO304" s="20" t="s">
        <v>830</v>
      </c>
      <c r="AP304" s="20" t="s">
        <v>628</v>
      </c>
      <c r="AQ304" s="20">
        <v>10</v>
      </c>
      <c r="AR304" s="20">
        <v>18</v>
      </c>
      <c r="AS304" s="20" t="s">
        <v>592</v>
      </c>
    </row>
    <row r="305" spans="2:45" ht="15.75" customHeight="1" x14ac:dyDescent="0.2">
      <c r="B305" s="20" t="s">
        <v>1163</v>
      </c>
      <c r="C305" s="20" t="s">
        <v>299</v>
      </c>
      <c r="D305" s="20" t="s">
        <v>362</v>
      </c>
      <c r="E305" s="20" t="s">
        <v>1320</v>
      </c>
      <c r="F305" s="20" t="s">
        <v>628</v>
      </c>
      <c r="G305" s="20">
        <v>10</v>
      </c>
      <c r="H305" s="20">
        <v>1</v>
      </c>
      <c r="I305" s="20" t="s">
        <v>593</v>
      </c>
      <c r="K305" s="20" t="s">
        <v>1144</v>
      </c>
      <c r="L305" s="20" t="s">
        <v>194</v>
      </c>
      <c r="M305" s="20" t="s">
        <v>1373</v>
      </c>
      <c r="N305" s="20" t="s">
        <v>897</v>
      </c>
      <c r="O305" s="20" t="s">
        <v>628</v>
      </c>
      <c r="P305" s="20">
        <v>10</v>
      </c>
      <c r="Q305" s="20">
        <v>8</v>
      </c>
      <c r="R305" s="20" t="s">
        <v>592</v>
      </c>
      <c r="T305" s="20" t="s">
        <v>1149</v>
      </c>
      <c r="U305" s="20" t="s">
        <v>806</v>
      </c>
      <c r="V305" s="20" t="s">
        <v>502</v>
      </c>
      <c r="W305" s="20" t="s">
        <v>2247</v>
      </c>
      <c r="X305" s="20" t="s">
        <v>835</v>
      </c>
      <c r="Y305" s="20">
        <v>5</v>
      </c>
      <c r="Z305" s="20">
        <v>5</v>
      </c>
      <c r="AA305" s="20" t="s">
        <v>592</v>
      </c>
      <c r="AC305" s="20" t="s">
        <v>1143</v>
      </c>
      <c r="AD305" s="20" t="s">
        <v>61</v>
      </c>
      <c r="AE305" s="20" t="s">
        <v>2547</v>
      </c>
      <c r="AF305" s="20" t="s">
        <v>2667</v>
      </c>
      <c r="AG305" s="20" t="s">
        <v>628</v>
      </c>
      <c r="AH305" s="20">
        <v>10</v>
      </c>
      <c r="AI305" s="20">
        <v>10</v>
      </c>
      <c r="AJ305" s="20" t="s">
        <v>592</v>
      </c>
      <c r="AL305" s="20" t="s">
        <v>1144</v>
      </c>
      <c r="AM305" s="20" t="s">
        <v>804</v>
      </c>
      <c r="AN305" s="20" t="s">
        <v>958</v>
      </c>
      <c r="AO305" s="20" t="s">
        <v>3005</v>
      </c>
      <c r="AP305" s="20" t="s">
        <v>628</v>
      </c>
      <c r="AQ305" s="20">
        <v>10</v>
      </c>
      <c r="AR305" s="20">
        <v>1</v>
      </c>
      <c r="AS305" s="20" t="s">
        <v>592</v>
      </c>
    </row>
    <row r="306" spans="2:45" ht="15.75" customHeight="1" x14ac:dyDescent="0.2">
      <c r="B306" s="20" t="s">
        <v>640</v>
      </c>
      <c r="C306" s="20" t="s">
        <v>756</v>
      </c>
      <c r="D306" s="20" t="s">
        <v>435</v>
      </c>
      <c r="E306" s="20" t="s">
        <v>814</v>
      </c>
      <c r="F306" s="20" t="s">
        <v>628</v>
      </c>
      <c r="G306" s="20">
        <v>10</v>
      </c>
      <c r="H306" s="20">
        <v>6</v>
      </c>
      <c r="I306" s="20" t="s">
        <v>592</v>
      </c>
      <c r="K306" s="20" t="s">
        <v>1144</v>
      </c>
      <c r="L306" s="20" t="s">
        <v>194</v>
      </c>
      <c r="M306" s="20" t="s">
        <v>1722</v>
      </c>
      <c r="N306" s="20" t="s">
        <v>897</v>
      </c>
      <c r="O306" s="20" t="s">
        <v>628</v>
      </c>
      <c r="P306" s="20">
        <v>10</v>
      </c>
      <c r="Q306" s="20">
        <v>3</v>
      </c>
      <c r="R306" s="20" t="s">
        <v>592</v>
      </c>
      <c r="T306" s="20" t="s">
        <v>1141</v>
      </c>
      <c r="U306" s="20" t="s">
        <v>224</v>
      </c>
      <c r="V306" s="20" t="s">
        <v>2457</v>
      </c>
      <c r="W306" s="20" t="s">
        <v>2248</v>
      </c>
      <c r="X306" s="20" t="s">
        <v>835</v>
      </c>
      <c r="Y306" s="20">
        <v>5</v>
      </c>
      <c r="Z306" s="20">
        <v>7</v>
      </c>
      <c r="AA306" s="20" t="s">
        <v>592</v>
      </c>
      <c r="AC306" s="20" t="s">
        <v>1143</v>
      </c>
      <c r="AD306" s="20" t="s">
        <v>61</v>
      </c>
      <c r="AE306" s="20" t="s">
        <v>604</v>
      </c>
      <c r="AF306" s="20" t="s">
        <v>722</v>
      </c>
      <c r="AG306" s="20" t="s">
        <v>835</v>
      </c>
      <c r="AH306" s="20">
        <v>5</v>
      </c>
      <c r="AI306" s="20">
        <v>7</v>
      </c>
      <c r="AJ306" s="20" t="s">
        <v>592</v>
      </c>
      <c r="AL306" s="20" t="s">
        <v>1144</v>
      </c>
      <c r="AM306" s="20" t="s">
        <v>804</v>
      </c>
      <c r="AN306" s="20" t="s">
        <v>2817</v>
      </c>
      <c r="AO306" s="20" t="s">
        <v>3006</v>
      </c>
      <c r="AP306" s="20" t="s">
        <v>628</v>
      </c>
      <c r="AQ306" s="20">
        <v>10</v>
      </c>
      <c r="AR306" s="20">
        <v>10</v>
      </c>
      <c r="AS306" s="20" t="s">
        <v>592</v>
      </c>
    </row>
    <row r="307" spans="2:45" ht="15.75" customHeight="1" x14ac:dyDescent="0.2">
      <c r="B307" s="20" t="s">
        <v>640</v>
      </c>
      <c r="C307" s="20" t="s">
        <v>191</v>
      </c>
      <c r="D307" s="20" t="s">
        <v>378</v>
      </c>
      <c r="E307" s="20" t="s">
        <v>813</v>
      </c>
      <c r="F307" s="20" t="s">
        <v>835</v>
      </c>
      <c r="G307" s="20">
        <v>5</v>
      </c>
      <c r="H307" s="20">
        <v>5</v>
      </c>
      <c r="I307" s="20" t="s">
        <v>592</v>
      </c>
      <c r="K307" s="20" t="s">
        <v>1158</v>
      </c>
      <c r="L307" s="20" t="s">
        <v>1040</v>
      </c>
      <c r="M307" s="20" t="s">
        <v>1263</v>
      </c>
      <c r="N307" s="20" t="s">
        <v>633</v>
      </c>
      <c r="O307" s="20" t="s">
        <v>835</v>
      </c>
      <c r="P307" s="20">
        <v>5</v>
      </c>
      <c r="Q307" s="20">
        <v>1</v>
      </c>
      <c r="R307" s="20" t="s">
        <v>593</v>
      </c>
      <c r="T307" s="20" t="s">
        <v>1149</v>
      </c>
      <c r="U307" s="20" t="s">
        <v>301</v>
      </c>
      <c r="V307" s="20" t="s">
        <v>1464</v>
      </c>
      <c r="W307" s="20" t="s">
        <v>1463</v>
      </c>
      <c r="X307" s="20" t="s">
        <v>835</v>
      </c>
      <c r="Y307" s="20">
        <v>5</v>
      </c>
      <c r="Z307" s="20">
        <v>5</v>
      </c>
      <c r="AA307" s="20" t="s">
        <v>592</v>
      </c>
      <c r="AC307" s="20" t="s">
        <v>2099</v>
      </c>
      <c r="AD307" s="20" t="s">
        <v>2144</v>
      </c>
      <c r="AE307" s="20" t="s">
        <v>2526</v>
      </c>
      <c r="AF307" s="20" t="s">
        <v>2668</v>
      </c>
      <c r="AG307" s="20" t="s">
        <v>835</v>
      </c>
      <c r="AH307" s="20">
        <v>5</v>
      </c>
      <c r="AI307" s="20">
        <v>9</v>
      </c>
      <c r="AJ307" s="20" t="s">
        <v>592</v>
      </c>
      <c r="AL307" s="20" t="s">
        <v>1144</v>
      </c>
      <c r="AM307" s="20" t="s">
        <v>804</v>
      </c>
      <c r="AN307" s="20" t="s">
        <v>2818</v>
      </c>
      <c r="AO307" s="20" t="s">
        <v>3007</v>
      </c>
      <c r="AP307" s="20" t="s">
        <v>628</v>
      </c>
      <c r="AQ307" s="20">
        <v>10</v>
      </c>
      <c r="AR307" s="20">
        <v>10</v>
      </c>
      <c r="AS307" s="20" t="s">
        <v>592</v>
      </c>
    </row>
    <row r="308" spans="2:45" ht="15.75" customHeight="1" x14ac:dyDescent="0.2">
      <c r="B308" s="20" t="s">
        <v>640</v>
      </c>
      <c r="C308" s="20" t="s">
        <v>756</v>
      </c>
      <c r="D308" s="20" t="s">
        <v>435</v>
      </c>
      <c r="E308" s="20" t="s">
        <v>1078</v>
      </c>
      <c r="F308" s="20" t="s">
        <v>628</v>
      </c>
      <c r="G308" s="20">
        <v>10</v>
      </c>
      <c r="H308" s="20">
        <v>2</v>
      </c>
      <c r="I308" s="20" t="s">
        <v>592</v>
      </c>
      <c r="K308" s="20" t="s">
        <v>1158</v>
      </c>
      <c r="L308" s="20" t="s">
        <v>928</v>
      </c>
      <c r="M308" s="20" t="s">
        <v>1250</v>
      </c>
      <c r="N308" s="20" t="s">
        <v>879</v>
      </c>
      <c r="O308" s="20" t="s">
        <v>835</v>
      </c>
      <c r="P308" s="20">
        <v>5</v>
      </c>
      <c r="Q308" s="20">
        <v>4</v>
      </c>
      <c r="R308" s="20" t="s">
        <v>593</v>
      </c>
      <c r="T308" s="20" t="s">
        <v>1144</v>
      </c>
      <c r="U308" s="20" t="s">
        <v>313</v>
      </c>
      <c r="V308" s="20" t="s">
        <v>528</v>
      </c>
      <c r="W308" s="20" t="s">
        <v>998</v>
      </c>
      <c r="X308" s="20" t="s">
        <v>835</v>
      </c>
      <c r="Y308" s="20">
        <v>5</v>
      </c>
      <c r="Z308" s="20">
        <v>11</v>
      </c>
      <c r="AA308" s="20" t="s">
        <v>592</v>
      </c>
      <c r="AC308" s="20" t="s">
        <v>1154</v>
      </c>
      <c r="AD308" s="20" t="s">
        <v>217</v>
      </c>
      <c r="AE308" s="20" t="s">
        <v>1871</v>
      </c>
      <c r="AF308" s="20" t="s">
        <v>1870</v>
      </c>
      <c r="AG308" s="20" t="s">
        <v>628</v>
      </c>
      <c r="AH308" s="20">
        <v>10</v>
      </c>
      <c r="AI308" s="20">
        <v>2</v>
      </c>
      <c r="AJ308" s="20" t="s">
        <v>593</v>
      </c>
      <c r="AL308" s="20" t="s">
        <v>1144</v>
      </c>
      <c r="AM308" s="20" t="s">
        <v>1145</v>
      </c>
      <c r="AN308" s="20" t="s">
        <v>2559</v>
      </c>
      <c r="AO308" s="20" t="s">
        <v>3008</v>
      </c>
      <c r="AP308" s="20" t="s">
        <v>835</v>
      </c>
      <c r="AQ308" s="20">
        <v>5</v>
      </c>
      <c r="AR308" s="20">
        <v>5</v>
      </c>
      <c r="AS308" s="20" t="s">
        <v>592</v>
      </c>
    </row>
    <row r="309" spans="2:45" ht="15.75" customHeight="1" x14ac:dyDescent="0.2">
      <c r="B309" s="20" t="s">
        <v>1162</v>
      </c>
      <c r="C309" s="20" t="s">
        <v>352</v>
      </c>
      <c r="D309" s="20" t="s">
        <v>869</v>
      </c>
      <c r="E309" s="20" t="s">
        <v>1321</v>
      </c>
      <c r="F309" s="20" t="s">
        <v>628</v>
      </c>
      <c r="G309" s="20">
        <v>10</v>
      </c>
      <c r="H309" s="20">
        <v>8</v>
      </c>
      <c r="I309" s="20" t="s">
        <v>592</v>
      </c>
      <c r="K309" s="20" t="s">
        <v>1158</v>
      </c>
      <c r="L309" s="20" t="s">
        <v>291</v>
      </c>
      <c r="M309" s="20" t="s">
        <v>1723</v>
      </c>
      <c r="N309" s="20" t="s">
        <v>1724</v>
      </c>
      <c r="O309" s="20" t="s">
        <v>835</v>
      </c>
      <c r="P309" s="20">
        <v>5</v>
      </c>
      <c r="Q309" s="20">
        <v>3</v>
      </c>
      <c r="R309" s="20" t="s">
        <v>593</v>
      </c>
      <c r="T309" s="20" t="s">
        <v>1144</v>
      </c>
      <c r="U309" s="20" t="s">
        <v>707</v>
      </c>
      <c r="V309" s="20" t="s">
        <v>1992</v>
      </c>
      <c r="W309" s="20" t="s">
        <v>2249</v>
      </c>
      <c r="X309" s="20" t="s">
        <v>835</v>
      </c>
      <c r="Y309" s="20">
        <v>5</v>
      </c>
      <c r="Z309" s="20">
        <v>6</v>
      </c>
      <c r="AA309" s="20" t="s">
        <v>592</v>
      </c>
      <c r="AC309" s="20" t="s">
        <v>2099</v>
      </c>
      <c r="AD309" s="20" t="s">
        <v>350</v>
      </c>
      <c r="AE309" s="20" t="s">
        <v>2528</v>
      </c>
      <c r="AF309" s="20" t="s">
        <v>2669</v>
      </c>
      <c r="AG309" s="20" t="s">
        <v>2514</v>
      </c>
      <c r="AH309" s="20">
        <v>3</v>
      </c>
      <c r="AI309" s="20">
        <v>4</v>
      </c>
      <c r="AJ309" s="20" t="s">
        <v>592</v>
      </c>
      <c r="AL309" s="20" t="s">
        <v>1144</v>
      </c>
      <c r="AM309" s="20" t="s">
        <v>707</v>
      </c>
      <c r="AN309" s="20" t="s">
        <v>846</v>
      </c>
      <c r="AO309" s="20" t="s">
        <v>1027</v>
      </c>
      <c r="AP309" s="20" t="s">
        <v>628</v>
      </c>
      <c r="AQ309" s="20">
        <v>10</v>
      </c>
      <c r="AR309" s="20">
        <v>5</v>
      </c>
      <c r="AS309" s="20" t="s">
        <v>592</v>
      </c>
    </row>
    <row r="310" spans="2:45" ht="15.75" customHeight="1" x14ac:dyDescent="0.2">
      <c r="B310" s="20" t="s">
        <v>1141</v>
      </c>
      <c r="C310" s="20" t="s">
        <v>218</v>
      </c>
      <c r="D310" s="20" t="s">
        <v>493</v>
      </c>
      <c r="E310" s="20" t="s">
        <v>986</v>
      </c>
      <c r="F310" s="20" t="s">
        <v>835</v>
      </c>
      <c r="G310" s="20">
        <v>5</v>
      </c>
      <c r="H310" s="20">
        <v>1</v>
      </c>
      <c r="I310" s="20" t="s">
        <v>593</v>
      </c>
      <c r="K310" s="20" t="s">
        <v>1158</v>
      </c>
      <c r="L310" s="20" t="s">
        <v>1073</v>
      </c>
      <c r="M310" s="20" t="s">
        <v>1725</v>
      </c>
      <c r="N310" s="20" t="s">
        <v>1726</v>
      </c>
      <c r="O310" s="20" t="s">
        <v>835</v>
      </c>
      <c r="P310" s="20">
        <v>5</v>
      </c>
      <c r="Q310" s="20">
        <v>5</v>
      </c>
      <c r="R310" s="20" t="s">
        <v>592</v>
      </c>
      <c r="T310" s="20" t="s">
        <v>1147</v>
      </c>
      <c r="U310" s="20" t="s">
        <v>699</v>
      </c>
      <c r="V310" s="20" t="s">
        <v>613</v>
      </c>
      <c r="W310" s="20" t="s">
        <v>1789</v>
      </c>
      <c r="X310" s="20" t="s">
        <v>835</v>
      </c>
      <c r="Y310" s="20">
        <v>5</v>
      </c>
      <c r="Z310" s="20">
        <v>5</v>
      </c>
      <c r="AA310" s="20" t="s">
        <v>592</v>
      </c>
      <c r="AC310" s="20" t="s">
        <v>1144</v>
      </c>
      <c r="AD310" s="20" t="s">
        <v>707</v>
      </c>
      <c r="AE310" s="20" t="s">
        <v>873</v>
      </c>
      <c r="AF310" s="20" t="s">
        <v>2670</v>
      </c>
      <c r="AG310" s="20" t="s">
        <v>628</v>
      </c>
      <c r="AH310" s="20">
        <v>10</v>
      </c>
      <c r="AI310" s="20">
        <v>8</v>
      </c>
      <c r="AJ310" s="20" t="s">
        <v>592</v>
      </c>
      <c r="AL310" s="20" t="s">
        <v>1144</v>
      </c>
      <c r="AM310" s="20" t="s">
        <v>707</v>
      </c>
      <c r="AN310" s="20" t="s">
        <v>854</v>
      </c>
      <c r="AO310" s="20" t="s">
        <v>3009</v>
      </c>
      <c r="AP310" s="20" t="s">
        <v>628</v>
      </c>
      <c r="AQ310" s="20">
        <v>10</v>
      </c>
      <c r="AR310" s="20">
        <v>10</v>
      </c>
      <c r="AS310" s="20" t="s">
        <v>592</v>
      </c>
    </row>
    <row r="311" spans="2:45" ht="15.75" customHeight="1" x14ac:dyDescent="0.2">
      <c r="B311" s="20" t="s">
        <v>1169</v>
      </c>
      <c r="C311" s="20" t="s">
        <v>216</v>
      </c>
      <c r="D311" s="20" t="s">
        <v>708</v>
      </c>
      <c r="E311" s="20" t="s">
        <v>1322</v>
      </c>
      <c r="F311" s="20" t="s">
        <v>628</v>
      </c>
      <c r="G311" s="20">
        <v>10</v>
      </c>
      <c r="H311" s="20">
        <v>8</v>
      </c>
      <c r="I311" s="20" t="s">
        <v>592</v>
      </c>
      <c r="K311" s="20" t="s">
        <v>1158</v>
      </c>
      <c r="L311" s="20" t="s">
        <v>1073</v>
      </c>
      <c r="M311" s="20" t="s">
        <v>1206</v>
      </c>
      <c r="N311" s="20" t="s">
        <v>709</v>
      </c>
      <c r="O311" s="20" t="s">
        <v>835</v>
      </c>
      <c r="P311" s="20">
        <v>5</v>
      </c>
      <c r="Q311" s="20">
        <v>1</v>
      </c>
      <c r="R311" s="20" t="s">
        <v>593</v>
      </c>
      <c r="T311" s="20" t="s">
        <v>1162</v>
      </c>
      <c r="U311" s="20" t="s">
        <v>352</v>
      </c>
      <c r="V311" s="20" t="s">
        <v>2015</v>
      </c>
      <c r="W311" s="20" t="s">
        <v>2250</v>
      </c>
      <c r="X311" s="20" t="s">
        <v>835</v>
      </c>
      <c r="Y311" s="20">
        <v>5</v>
      </c>
      <c r="Z311" s="20">
        <v>5</v>
      </c>
      <c r="AA311" s="20" t="s">
        <v>592</v>
      </c>
      <c r="AC311" s="20" t="s">
        <v>646</v>
      </c>
      <c r="AD311" s="20" t="s">
        <v>298</v>
      </c>
      <c r="AE311" s="20" t="s">
        <v>424</v>
      </c>
      <c r="AF311" s="20" t="s">
        <v>2441</v>
      </c>
      <c r="AG311" s="20" t="s">
        <v>628</v>
      </c>
      <c r="AH311" s="20">
        <v>10</v>
      </c>
      <c r="AI311" s="20">
        <v>3</v>
      </c>
      <c r="AJ311" s="20" t="s">
        <v>593</v>
      </c>
      <c r="AL311" s="20" t="s">
        <v>1144</v>
      </c>
      <c r="AM311" s="20" t="s">
        <v>707</v>
      </c>
      <c r="AN311" s="20" t="s">
        <v>846</v>
      </c>
      <c r="AO311" s="20" t="s">
        <v>2149</v>
      </c>
      <c r="AP311" s="20" t="s">
        <v>628</v>
      </c>
      <c r="AQ311" s="20">
        <v>10</v>
      </c>
      <c r="AR311" s="20">
        <v>9</v>
      </c>
      <c r="AS311" s="20" t="s">
        <v>592</v>
      </c>
    </row>
    <row r="312" spans="2:45" ht="15.75" customHeight="1" x14ac:dyDescent="0.2">
      <c r="B312" s="20" t="s">
        <v>1155</v>
      </c>
      <c r="C312" s="20" t="s">
        <v>1156</v>
      </c>
      <c r="D312" s="20" t="s">
        <v>518</v>
      </c>
      <c r="E312" s="20" t="s">
        <v>1323</v>
      </c>
      <c r="F312" s="20" t="s">
        <v>628</v>
      </c>
      <c r="G312" s="20">
        <v>10</v>
      </c>
      <c r="H312" s="20">
        <v>6</v>
      </c>
      <c r="I312" s="20" t="s">
        <v>593</v>
      </c>
      <c r="K312" s="20" t="s">
        <v>1158</v>
      </c>
      <c r="L312" s="20" t="s">
        <v>1073</v>
      </c>
      <c r="M312" s="20" t="s">
        <v>1727</v>
      </c>
      <c r="N312" s="20" t="s">
        <v>1728</v>
      </c>
      <c r="O312" s="20" t="s">
        <v>835</v>
      </c>
      <c r="P312" s="20">
        <v>5</v>
      </c>
      <c r="Q312" s="20">
        <v>5</v>
      </c>
      <c r="R312" s="20" t="s">
        <v>592</v>
      </c>
      <c r="T312" s="20" t="s">
        <v>1155</v>
      </c>
      <c r="U312" s="20" t="s">
        <v>286</v>
      </c>
      <c r="V312" s="20" t="s">
        <v>1512</v>
      </c>
      <c r="W312" s="20" t="s">
        <v>1717</v>
      </c>
      <c r="X312" s="20" t="s">
        <v>835</v>
      </c>
      <c r="Y312" s="20">
        <v>5</v>
      </c>
      <c r="Z312" s="20">
        <v>7</v>
      </c>
      <c r="AA312" s="20" t="s">
        <v>592</v>
      </c>
      <c r="AC312" s="20" t="s">
        <v>1143</v>
      </c>
      <c r="AD312" s="20" t="s">
        <v>61</v>
      </c>
      <c r="AE312" s="20" t="s">
        <v>2488</v>
      </c>
      <c r="AF312" s="20" t="s">
        <v>2671</v>
      </c>
      <c r="AG312" s="20" t="s">
        <v>835</v>
      </c>
      <c r="AH312" s="20">
        <v>5</v>
      </c>
      <c r="AI312" s="20">
        <v>6</v>
      </c>
      <c r="AJ312" s="20" t="s">
        <v>592</v>
      </c>
      <c r="AL312" s="20" t="s">
        <v>1144</v>
      </c>
      <c r="AM312" s="20" t="s">
        <v>707</v>
      </c>
      <c r="AN312" s="20" t="s">
        <v>1955</v>
      </c>
      <c r="AO312" s="20" t="s">
        <v>3010</v>
      </c>
      <c r="AP312" s="20" t="s">
        <v>628</v>
      </c>
      <c r="AQ312" s="20">
        <v>10</v>
      </c>
      <c r="AR312" s="20">
        <v>12</v>
      </c>
      <c r="AS312" s="20" t="s">
        <v>592</v>
      </c>
    </row>
    <row r="313" spans="2:45" ht="15.75" customHeight="1" x14ac:dyDescent="0.2">
      <c r="B313" s="20" t="s">
        <v>1144</v>
      </c>
      <c r="C313" s="20" t="s">
        <v>23</v>
      </c>
      <c r="D313" s="20" t="s">
        <v>558</v>
      </c>
      <c r="E313" s="20" t="s">
        <v>1117</v>
      </c>
      <c r="F313" s="20" t="s">
        <v>628</v>
      </c>
      <c r="G313" s="20">
        <v>10</v>
      </c>
      <c r="H313" s="20">
        <v>8</v>
      </c>
      <c r="I313" s="20" t="s">
        <v>592</v>
      </c>
      <c r="K313" s="20" t="s">
        <v>1158</v>
      </c>
      <c r="L313" s="20" t="s">
        <v>925</v>
      </c>
      <c r="M313" s="20" t="s">
        <v>913</v>
      </c>
      <c r="N313" s="20" t="s">
        <v>896</v>
      </c>
      <c r="O313" s="20" t="s">
        <v>835</v>
      </c>
      <c r="P313" s="20">
        <v>5</v>
      </c>
      <c r="Q313" s="20">
        <v>3</v>
      </c>
      <c r="R313" s="20" t="s">
        <v>593</v>
      </c>
      <c r="T313" s="20" t="s">
        <v>1162</v>
      </c>
      <c r="U313" s="20" t="s">
        <v>230</v>
      </c>
      <c r="V313" s="20" t="s">
        <v>417</v>
      </c>
      <c r="W313" s="20" t="s">
        <v>1836</v>
      </c>
      <c r="X313" s="20" t="s">
        <v>835</v>
      </c>
      <c r="Y313" s="20">
        <v>5</v>
      </c>
      <c r="Z313" s="20">
        <v>6</v>
      </c>
      <c r="AA313" s="20" t="s">
        <v>592</v>
      </c>
      <c r="AC313" s="20" t="s">
        <v>2099</v>
      </c>
      <c r="AD313" s="20" t="s">
        <v>2109</v>
      </c>
      <c r="AE313" s="20" t="s">
        <v>2545</v>
      </c>
      <c r="AF313" s="20" t="s">
        <v>2672</v>
      </c>
      <c r="AG313" s="20" t="s">
        <v>2514</v>
      </c>
      <c r="AH313" s="20">
        <v>3</v>
      </c>
      <c r="AI313" s="20">
        <v>19</v>
      </c>
      <c r="AJ313" s="20" t="s">
        <v>592</v>
      </c>
      <c r="AL313" s="20" t="s">
        <v>1144</v>
      </c>
      <c r="AM313" s="20" t="s">
        <v>707</v>
      </c>
      <c r="AN313" s="20" t="s">
        <v>956</v>
      </c>
      <c r="AO313" s="20" t="s">
        <v>2166</v>
      </c>
      <c r="AP313" s="20" t="s">
        <v>628</v>
      </c>
      <c r="AQ313" s="20">
        <v>10</v>
      </c>
      <c r="AR313" s="20">
        <v>8</v>
      </c>
      <c r="AS313" s="20" t="s">
        <v>592</v>
      </c>
    </row>
    <row r="314" spans="2:45" ht="15.75" customHeight="1" x14ac:dyDescent="0.2">
      <c r="B314" s="20" t="s">
        <v>1155</v>
      </c>
      <c r="C314" s="20" t="s">
        <v>657</v>
      </c>
      <c r="D314" s="20" t="s">
        <v>484</v>
      </c>
      <c r="E314" s="20" t="s">
        <v>852</v>
      </c>
      <c r="F314" s="20" t="s">
        <v>835</v>
      </c>
      <c r="G314" s="20">
        <v>5</v>
      </c>
      <c r="H314" s="20">
        <v>8</v>
      </c>
      <c r="I314" s="20" t="s">
        <v>592</v>
      </c>
      <c r="K314" s="20" t="s">
        <v>1158</v>
      </c>
      <c r="L314" s="20" t="s">
        <v>925</v>
      </c>
      <c r="M314" s="20" t="s">
        <v>1729</v>
      </c>
      <c r="N314" s="20" t="s">
        <v>532</v>
      </c>
      <c r="O314" s="20" t="s">
        <v>835</v>
      </c>
      <c r="P314" s="20">
        <v>5</v>
      </c>
      <c r="Q314" s="20">
        <v>5</v>
      </c>
      <c r="R314" s="20" t="s">
        <v>592</v>
      </c>
      <c r="T314" s="20" t="s">
        <v>1147</v>
      </c>
      <c r="U314" s="20" t="s">
        <v>225</v>
      </c>
      <c r="V314" s="20" t="s">
        <v>381</v>
      </c>
      <c r="W314" s="20" t="s">
        <v>2251</v>
      </c>
      <c r="X314" s="20" t="s">
        <v>835</v>
      </c>
      <c r="Y314" s="20">
        <v>5</v>
      </c>
      <c r="Z314" s="20">
        <v>5</v>
      </c>
      <c r="AA314" s="20" t="s">
        <v>592</v>
      </c>
      <c r="AC314" s="20" t="s">
        <v>646</v>
      </c>
      <c r="AD314" s="20" t="s">
        <v>285</v>
      </c>
      <c r="AE314" s="20" t="s">
        <v>1480</v>
      </c>
      <c r="AF314" s="20" t="s">
        <v>1479</v>
      </c>
      <c r="AG314" s="20" t="s">
        <v>628</v>
      </c>
      <c r="AH314" s="20">
        <v>10</v>
      </c>
      <c r="AI314" s="20">
        <v>3</v>
      </c>
      <c r="AJ314" s="20" t="s">
        <v>593</v>
      </c>
      <c r="AL314" s="20" t="s">
        <v>1144</v>
      </c>
      <c r="AM314" s="20" t="s">
        <v>707</v>
      </c>
      <c r="AN314" s="20" t="s">
        <v>873</v>
      </c>
      <c r="AO314" s="20" t="s">
        <v>2288</v>
      </c>
      <c r="AP314" s="20" t="s">
        <v>628</v>
      </c>
      <c r="AQ314" s="20">
        <v>10</v>
      </c>
      <c r="AR314" s="20">
        <v>10</v>
      </c>
      <c r="AS314" s="20" t="s">
        <v>592</v>
      </c>
    </row>
    <row r="315" spans="2:45" ht="15.75" customHeight="1" x14ac:dyDescent="0.2">
      <c r="B315" s="20" t="s">
        <v>1169</v>
      </c>
      <c r="C315" s="20" t="s">
        <v>333</v>
      </c>
      <c r="D315" s="20" t="s">
        <v>875</v>
      </c>
      <c r="E315" s="20" t="s">
        <v>876</v>
      </c>
      <c r="F315" s="20" t="s">
        <v>628</v>
      </c>
      <c r="G315" s="20">
        <v>10</v>
      </c>
      <c r="H315" s="20">
        <v>6</v>
      </c>
      <c r="I315" s="20" t="s">
        <v>592</v>
      </c>
      <c r="K315" s="20" t="s">
        <v>1158</v>
      </c>
      <c r="L315" s="20" t="s">
        <v>726</v>
      </c>
      <c r="M315" s="20" t="s">
        <v>1491</v>
      </c>
      <c r="N315" s="20" t="s">
        <v>412</v>
      </c>
      <c r="O315" s="20" t="s">
        <v>835</v>
      </c>
      <c r="P315" s="20">
        <v>5</v>
      </c>
      <c r="Q315" s="20">
        <v>5</v>
      </c>
      <c r="R315" s="20" t="s">
        <v>592</v>
      </c>
      <c r="T315" s="20" t="s">
        <v>1141</v>
      </c>
      <c r="U315" s="20" t="s">
        <v>787</v>
      </c>
      <c r="V315" s="20" t="s">
        <v>385</v>
      </c>
      <c r="W315" s="20" t="s">
        <v>2252</v>
      </c>
      <c r="X315" s="20" t="s">
        <v>835</v>
      </c>
      <c r="Y315" s="20">
        <v>5</v>
      </c>
      <c r="Z315" s="20">
        <v>5</v>
      </c>
      <c r="AA315" s="20" t="s">
        <v>592</v>
      </c>
      <c r="AC315" s="20" t="s">
        <v>646</v>
      </c>
      <c r="AD315" s="20" t="s">
        <v>246</v>
      </c>
      <c r="AE315" s="20" t="s">
        <v>1802</v>
      </c>
      <c r="AF315" s="20" t="s">
        <v>1801</v>
      </c>
      <c r="AG315" s="20" t="s">
        <v>835</v>
      </c>
      <c r="AH315" s="20">
        <v>5</v>
      </c>
      <c r="AI315" s="20">
        <v>5</v>
      </c>
      <c r="AJ315" s="20" t="s">
        <v>592</v>
      </c>
      <c r="AL315" s="20" t="s">
        <v>1144</v>
      </c>
      <c r="AM315" s="20" t="s">
        <v>707</v>
      </c>
      <c r="AN315" s="20" t="s">
        <v>2819</v>
      </c>
      <c r="AO315" s="20" t="s">
        <v>3011</v>
      </c>
      <c r="AP315" s="20" t="s">
        <v>628</v>
      </c>
      <c r="AQ315" s="20">
        <v>10</v>
      </c>
      <c r="AR315" s="20">
        <v>9</v>
      </c>
      <c r="AS315" s="20" t="s">
        <v>592</v>
      </c>
    </row>
    <row r="316" spans="2:45" ht="15.75" customHeight="1" x14ac:dyDescent="0.2">
      <c r="B316" s="20" t="s">
        <v>1169</v>
      </c>
      <c r="C316" s="20" t="s">
        <v>333</v>
      </c>
      <c r="D316" s="20" t="s">
        <v>875</v>
      </c>
      <c r="E316" s="20" t="s">
        <v>1056</v>
      </c>
      <c r="F316" s="20" t="s">
        <v>628</v>
      </c>
      <c r="G316" s="20">
        <v>10</v>
      </c>
      <c r="H316" s="20">
        <v>2</v>
      </c>
      <c r="I316" s="20" t="s">
        <v>592</v>
      </c>
      <c r="K316" s="20" t="s">
        <v>1158</v>
      </c>
      <c r="L316" s="20" t="s">
        <v>726</v>
      </c>
      <c r="M316" s="20" t="s">
        <v>1730</v>
      </c>
      <c r="N316" s="20" t="s">
        <v>1731</v>
      </c>
      <c r="O316" s="20" t="s">
        <v>835</v>
      </c>
      <c r="P316" s="20">
        <v>5</v>
      </c>
      <c r="Q316" s="20">
        <v>1</v>
      </c>
      <c r="R316" s="20" t="s">
        <v>593</v>
      </c>
      <c r="T316" s="20" t="s">
        <v>1149</v>
      </c>
      <c r="U316" s="20" t="s">
        <v>63</v>
      </c>
      <c r="V316" s="20" t="s">
        <v>1711</v>
      </c>
      <c r="W316" s="20" t="s">
        <v>2050</v>
      </c>
      <c r="X316" s="20" t="s">
        <v>835</v>
      </c>
      <c r="Y316" s="20">
        <v>5</v>
      </c>
      <c r="Z316" s="20">
        <v>11</v>
      </c>
      <c r="AA316" s="20" t="s">
        <v>592</v>
      </c>
      <c r="AC316" s="20" t="s">
        <v>1147</v>
      </c>
      <c r="AD316" s="20" t="s">
        <v>29</v>
      </c>
      <c r="AE316" s="20" t="s">
        <v>1548</v>
      </c>
      <c r="AF316" s="20" t="s">
        <v>2673</v>
      </c>
      <c r="AG316" s="20" t="s">
        <v>628</v>
      </c>
      <c r="AH316" s="20">
        <v>10</v>
      </c>
      <c r="AI316" s="20">
        <v>2</v>
      </c>
      <c r="AJ316" s="20" t="s">
        <v>593</v>
      </c>
      <c r="AL316" s="20" t="s">
        <v>1144</v>
      </c>
      <c r="AM316" s="20" t="s">
        <v>707</v>
      </c>
      <c r="AN316" s="20" t="s">
        <v>2820</v>
      </c>
      <c r="AO316" s="20" t="s">
        <v>3012</v>
      </c>
      <c r="AP316" s="20" t="s">
        <v>628</v>
      </c>
      <c r="AQ316" s="20">
        <v>10</v>
      </c>
      <c r="AR316" s="20">
        <v>9</v>
      </c>
      <c r="AS316" s="20" t="s">
        <v>592</v>
      </c>
    </row>
    <row r="317" spans="2:45" ht="15.75" customHeight="1" x14ac:dyDescent="0.2">
      <c r="B317" s="20" t="s">
        <v>1143</v>
      </c>
      <c r="C317" s="20" t="s">
        <v>61</v>
      </c>
      <c r="D317" s="20" t="s">
        <v>617</v>
      </c>
      <c r="E317" s="20" t="s">
        <v>627</v>
      </c>
      <c r="F317" s="20" t="s">
        <v>628</v>
      </c>
      <c r="G317" s="20">
        <v>10</v>
      </c>
      <c r="H317" s="20">
        <v>8</v>
      </c>
      <c r="I317" s="20" t="s">
        <v>592</v>
      </c>
      <c r="K317" s="20" t="s">
        <v>1163</v>
      </c>
      <c r="L317" s="20" t="s">
        <v>299</v>
      </c>
      <c r="M317" s="20" t="s">
        <v>1567</v>
      </c>
      <c r="N317" s="20" t="s">
        <v>408</v>
      </c>
      <c r="O317" s="20" t="s">
        <v>628</v>
      </c>
      <c r="P317" s="20">
        <v>10</v>
      </c>
      <c r="Q317" s="20">
        <v>11</v>
      </c>
      <c r="R317" s="20" t="s">
        <v>592</v>
      </c>
      <c r="T317" s="20" t="s">
        <v>1144</v>
      </c>
      <c r="U317" s="20" t="s">
        <v>194</v>
      </c>
      <c r="V317" s="20" t="s">
        <v>487</v>
      </c>
      <c r="W317" s="20" t="s">
        <v>1214</v>
      </c>
      <c r="X317" s="20" t="s">
        <v>835</v>
      </c>
      <c r="Y317" s="20">
        <v>5</v>
      </c>
      <c r="Z317" s="20">
        <v>5</v>
      </c>
      <c r="AA317" s="20" t="s">
        <v>592</v>
      </c>
      <c r="AC317" s="20" t="s">
        <v>1155</v>
      </c>
      <c r="AD317" s="20" t="s">
        <v>657</v>
      </c>
      <c r="AE317" s="20" t="s">
        <v>1901</v>
      </c>
      <c r="AF317" s="20" t="s">
        <v>2674</v>
      </c>
      <c r="AG317" s="20" t="s">
        <v>835</v>
      </c>
      <c r="AH317" s="20">
        <v>5</v>
      </c>
      <c r="AI317" s="20">
        <v>1</v>
      </c>
      <c r="AJ317" s="20" t="s">
        <v>593</v>
      </c>
      <c r="AL317" s="20" t="s">
        <v>1144</v>
      </c>
      <c r="AM317" s="20" t="s">
        <v>707</v>
      </c>
      <c r="AN317" s="20" t="s">
        <v>2498</v>
      </c>
      <c r="AO317" s="20" t="s">
        <v>2324</v>
      </c>
      <c r="AP317" s="20" t="s">
        <v>628</v>
      </c>
      <c r="AQ317" s="20">
        <v>10</v>
      </c>
      <c r="AR317" s="20">
        <v>9</v>
      </c>
      <c r="AS317" s="20" t="s">
        <v>592</v>
      </c>
    </row>
    <row r="318" spans="2:45" ht="15.75" customHeight="1" x14ac:dyDescent="0.2">
      <c r="B318" s="20" t="s">
        <v>1143</v>
      </c>
      <c r="C318" s="20" t="s">
        <v>61</v>
      </c>
      <c r="D318" s="20" t="s">
        <v>617</v>
      </c>
      <c r="E318" s="20" t="s">
        <v>1324</v>
      </c>
      <c r="F318" s="20" t="s">
        <v>628</v>
      </c>
      <c r="G318" s="20">
        <v>10</v>
      </c>
      <c r="H318" s="20">
        <v>1</v>
      </c>
      <c r="I318" s="20" t="s">
        <v>592</v>
      </c>
      <c r="K318" s="20" t="s">
        <v>1155</v>
      </c>
      <c r="L318" s="20" t="s">
        <v>1156</v>
      </c>
      <c r="M318" s="20" t="s">
        <v>1732</v>
      </c>
      <c r="N318" s="20" t="s">
        <v>1733</v>
      </c>
      <c r="O318" s="20" t="s">
        <v>835</v>
      </c>
      <c r="P318" s="20">
        <v>5</v>
      </c>
      <c r="Q318" s="20">
        <v>6</v>
      </c>
      <c r="R318" s="20" t="s">
        <v>592</v>
      </c>
      <c r="T318" s="20" t="s">
        <v>1144</v>
      </c>
      <c r="U318" s="20" t="s">
        <v>194</v>
      </c>
      <c r="V318" s="20" t="s">
        <v>487</v>
      </c>
      <c r="W318" s="20" t="s">
        <v>1213</v>
      </c>
      <c r="X318" s="20" t="s">
        <v>835</v>
      </c>
      <c r="Y318" s="20">
        <v>5</v>
      </c>
      <c r="Z318" s="20">
        <v>1</v>
      </c>
      <c r="AA318" s="20" t="s">
        <v>592</v>
      </c>
      <c r="AC318" s="20" t="s">
        <v>1163</v>
      </c>
      <c r="AD318" s="20" t="s">
        <v>207</v>
      </c>
      <c r="AE318" s="20" t="s">
        <v>363</v>
      </c>
      <c r="AF318" s="20" t="s">
        <v>2375</v>
      </c>
      <c r="AG318" s="20" t="s">
        <v>628</v>
      </c>
      <c r="AH318" s="20">
        <v>10</v>
      </c>
      <c r="AI318" s="20">
        <v>4</v>
      </c>
      <c r="AJ318" s="20" t="s">
        <v>593</v>
      </c>
      <c r="AL318" s="20" t="s">
        <v>1144</v>
      </c>
      <c r="AM318" s="20" t="s">
        <v>707</v>
      </c>
      <c r="AN318" s="20" t="s">
        <v>1992</v>
      </c>
      <c r="AO318" s="20" t="s">
        <v>2249</v>
      </c>
      <c r="AP318" s="20" t="s">
        <v>835</v>
      </c>
      <c r="AQ318" s="20">
        <v>5</v>
      </c>
      <c r="AR318" s="20">
        <v>9</v>
      </c>
      <c r="AS318" s="20" t="s">
        <v>592</v>
      </c>
    </row>
    <row r="319" spans="2:45" ht="15.75" customHeight="1" x14ac:dyDescent="0.2">
      <c r="B319" s="20" t="s">
        <v>1144</v>
      </c>
      <c r="C319" s="20" t="s">
        <v>1145</v>
      </c>
      <c r="D319" s="20" t="s">
        <v>854</v>
      </c>
      <c r="E319" s="20" t="s">
        <v>1325</v>
      </c>
      <c r="F319" s="20" t="s">
        <v>628</v>
      </c>
      <c r="G319" s="20">
        <v>10</v>
      </c>
      <c r="H319" s="20">
        <v>10</v>
      </c>
      <c r="I319" s="20" t="s">
        <v>592</v>
      </c>
      <c r="K319" s="20" t="s">
        <v>646</v>
      </c>
      <c r="L319" s="20" t="s">
        <v>1109</v>
      </c>
      <c r="M319" s="20" t="s">
        <v>1734</v>
      </c>
      <c r="N319" s="20" t="s">
        <v>367</v>
      </c>
      <c r="O319" s="20" t="s">
        <v>835</v>
      </c>
      <c r="P319" s="20">
        <v>5</v>
      </c>
      <c r="Q319" s="20">
        <v>8</v>
      </c>
      <c r="R319" s="20" t="s">
        <v>592</v>
      </c>
      <c r="T319" s="20" t="s">
        <v>1158</v>
      </c>
      <c r="U319" s="20" t="s">
        <v>72</v>
      </c>
      <c r="V319" s="20" t="s">
        <v>620</v>
      </c>
      <c r="W319" s="20" t="s">
        <v>2253</v>
      </c>
      <c r="X319" s="20" t="s">
        <v>835</v>
      </c>
      <c r="Y319" s="20">
        <v>5</v>
      </c>
      <c r="Z319" s="20">
        <v>5</v>
      </c>
      <c r="AA319" s="20" t="s">
        <v>592</v>
      </c>
      <c r="AC319" s="20" t="s">
        <v>1163</v>
      </c>
      <c r="AD319" s="20" t="s">
        <v>837</v>
      </c>
      <c r="AE319" s="20" t="s">
        <v>407</v>
      </c>
      <c r="AF319" s="20" t="s">
        <v>1366</v>
      </c>
      <c r="AG319" s="20" t="s">
        <v>628</v>
      </c>
      <c r="AH319" s="20">
        <v>10</v>
      </c>
      <c r="AI319" s="20">
        <v>9</v>
      </c>
      <c r="AJ319" s="20" t="s">
        <v>592</v>
      </c>
      <c r="AL319" s="20" t="s">
        <v>1144</v>
      </c>
      <c r="AM319" s="20" t="s">
        <v>707</v>
      </c>
      <c r="AN319" s="20" t="s">
        <v>496</v>
      </c>
      <c r="AO319" s="20" t="s">
        <v>2439</v>
      </c>
      <c r="AP319" s="20" t="s">
        <v>628</v>
      </c>
      <c r="AQ319" s="20">
        <v>10</v>
      </c>
      <c r="AR319" s="20">
        <v>10</v>
      </c>
      <c r="AS319" s="20" t="s">
        <v>592</v>
      </c>
    </row>
    <row r="320" spans="2:45" ht="15.75" customHeight="1" x14ac:dyDescent="0.2">
      <c r="B320" s="20" t="s">
        <v>1163</v>
      </c>
      <c r="C320" s="20" t="s">
        <v>57</v>
      </c>
      <c r="D320" s="20" t="s">
        <v>811</v>
      </c>
      <c r="E320" s="20" t="s">
        <v>1326</v>
      </c>
      <c r="F320" s="20" t="s">
        <v>628</v>
      </c>
      <c r="G320" s="20">
        <v>10</v>
      </c>
      <c r="H320" s="20">
        <v>2</v>
      </c>
      <c r="I320" s="20" t="s">
        <v>593</v>
      </c>
      <c r="K320" s="20" t="s">
        <v>646</v>
      </c>
      <c r="L320" s="20" t="s">
        <v>1109</v>
      </c>
      <c r="M320" s="20" t="s">
        <v>1735</v>
      </c>
      <c r="N320" s="20" t="s">
        <v>1736</v>
      </c>
      <c r="O320" s="20" t="s">
        <v>835</v>
      </c>
      <c r="P320" s="20">
        <v>5</v>
      </c>
      <c r="Q320" s="20">
        <v>6</v>
      </c>
      <c r="R320" s="20" t="s">
        <v>592</v>
      </c>
      <c r="T320" s="20" t="s">
        <v>1155</v>
      </c>
      <c r="U320" s="20" t="s">
        <v>657</v>
      </c>
      <c r="V320" s="20" t="s">
        <v>2481</v>
      </c>
      <c r="W320" s="20" t="s">
        <v>2254</v>
      </c>
      <c r="X320" s="20" t="s">
        <v>835</v>
      </c>
      <c r="Y320" s="20">
        <v>5</v>
      </c>
      <c r="Z320" s="20">
        <v>5</v>
      </c>
      <c r="AA320" s="20" t="s">
        <v>592</v>
      </c>
      <c r="AC320" s="20" t="s">
        <v>1158</v>
      </c>
      <c r="AD320" s="20" t="s">
        <v>2524</v>
      </c>
      <c r="AE320" s="20" t="s">
        <v>709</v>
      </c>
      <c r="AF320" s="20" t="s">
        <v>2675</v>
      </c>
      <c r="AG320" s="20" t="s">
        <v>835</v>
      </c>
      <c r="AH320" s="20">
        <v>5</v>
      </c>
      <c r="AI320" s="20">
        <v>5</v>
      </c>
      <c r="AJ320" s="20" t="s">
        <v>592</v>
      </c>
      <c r="AL320" s="20" t="s">
        <v>1144</v>
      </c>
      <c r="AM320" s="20" t="s">
        <v>707</v>
      </c>
      <c r="AN320" s="20" t="s">
        <v>490</v>
      </c>
      <c r="AO320" s="20" t="s">
        <v>984</v>
      </c>
      <c r="AP320" s="20" t="s">
        <v>628</v>
      </c>
      <c r="AQ320" s="20">
        <v>10</v>
      </c>
      <c r="AR320" s="20">
        <v>8</v>
      </c>
      <c r="AS320" s="20" t="s">
        <v>592</v>
      </c>
    </row>
    <row r="321" spans="2:45" ht="15.75" customHeight="1" x14ac:dyDescent="0.2">
      <c r="B321" s="20" t="s">
        <v>1141</v>
      </c>
      <c r="C321" s="20" t="s">
        <v>780</v>
      </c>
      <c r="D321" s="20" t="s">
        <v>401</v>
      </c>
      <c r="E321" s="20" t="s">
        <v>1327</v>
      </c>
      <c r="F321" s="20" t="s">
        <v>835</v>
      </c>
      <c r="G321" s="20">
        <v>5</v>
      </c>
      <c r="H321" s="20">
        <v>5</v>
      </c>
      <c r="I321" s="20" t="s">
        <v>592</v>
      </c>
      <c r="K321" s="20" t="s">
        <v>646</v>
      </c>
      <c r="L321" s="20" t="s">
        <v>1109</v>
      </c>
      <c r="M321" s="20" t="s">
        <v>1737</v>
      </c>
      <c r="N321" s="20" t="s">
        <v>1738</v>
      </c>
      <c r="O321" s="20" t="s">
        <v>835</v>
      </c>
      <c r="P321" s="20">
        <v>5</v>
      </c>
      <c r="Q321" s="20">
        <v>1</v>
      </c>
      <c r="R321" s="20" t="s">
        <v>593</v>
      </c>
      <c r="T321" s="20" t="s">
        <v>1144</v>
      </c>
      <c r="U321" s="20" t="s">
        <v>194</v>
      </c>
      <c r="V321" s="20" t="s">
        <v>1940</v>
      </c>
      <c r="W321" s="20" t="s">
        <v>1939</v>
      </c>
      <c r="X321" s="20" t="s">
        <v>835</v>
      </c>
      <c r="Y321" s="20">
        <v>5</v>
      </c>
      <c r="Z321" s="20">
        <v>6</v>
      </c>
      <c r="AA321" s="20" t="s">
        <v>592</v>
      </c>
      <c r="AC321" s="20" t="s">
        <v>1163</v>
      </c>
      <c r="AD321" s="20" t="s">
        <v>1165</v>
      </c>
      <c r="AE321" s="20" t="s">
        <v>1448</v>
      </c>
      <c r="AF321" s="20" t="s">
        <v>1447</v>
      </c>
      <c r="AG321" s="20" t="s">
        <v>628</v>
      </c>
      <c r="AH321" s="20">
        <v>10</v>
      </c>
      <c r="AI321" s="20">
        <v>2</v>
      </c>
      <c r="AJ321" s="20" t="s">
        <v>593</v>
      </c>
      <c r="AL321" s="20" t="s">
        <v>1144</v>
      </c>
      <c r="AM321" s="20" t="s">
        <v>1107</v>
      </c>
      <c r="AN321" s="20" t="s">
        <v>2821</v>
      </c>
      <c r="AO321" s="20" t="s">
        <v>3013</v>
      </c>
      <c r="AP321" s="20" t="s">
        <v>628</v>
      </c>
      <c r="AQ321" s="20">
        <v>10</v>
      </c>
      <c r="AR321" s="20">
        <v>11</v>
      </c>
      <c r="AS321" s="20" t="s">
        <v>592</v>
      </c>
    </row>
    <row r="322" spans="2:45" ht="15.75" customHeight="1" x14ac:dyDescent="0.2">
      <c r="B322" s="20" t="s">
        <v>1161</v>
      </c>
      <c r="C322" s="20" t="s">
        <v>765</v>
      </c>
      <c r="D322" s="20" t="s">
        <v>512</v>
      </c>
      <c r="E322" s="20" t="s">
        <v>1328</v>
      </c>
      <c r="F322" s="20" t="s">
        <v>628</v>
      </c>
      <c r="G322" s="20">
        <v>10</v>
      </c>
      <c r="H322" s="20">
        <v>3</v>
      </c>
      <c r="I322" s="20" t="s">
        <v>593</v>
      </c>
      <c r="K322" s="20" t="s">
        <v>646</v>
      </c>
      <c r="L322" s="20" t="s">
        <v>1109</v>
      </c>
      <c r="M322" s="20" t="s">
        <v>1417</v>
      </c>
      <c r="N322" s="20" t="s">
        <v>369</v>
      </c>
      <c r="O322" s="20" t="s">
        <v>835</v>
      </c>
      <c r="P322" s="20">
        <v>5</v>
      </c>
      <c r="Q322" s="20">
        <v>6</v>
      </c>
      <c r="R322" s="20" t="s">
        <v>592</v>
      </c>
      <c r="T322" s="20" t="s">
        <v>1154</v>
      </c>
      <c r="U322" s="20" t="s">
        <v>217</v>
      </c>
      <c r="V322" s="20" t="s">
        <v>578</v>
      </c>
      <c r="W322" s="20" t="s">
        <v>1477</v>
      </c>
      <c r="X322" s="20" t="s">
        <v>835</v>
      </c>
      <c r="Y322" s="20">
        <v>5</v>
      </c>
      <c r="Z322" s="20">
        <v>7</v>
      </c>
      <c r="AA322" s="20" t="s">
        <v>592</v>
      </c>
      <c r="AC322" s="20" t="s">
        <v>1147</v>
      </c>
      <c r="AD322" s="20" t="s">
        <v>699</v>
      </c>
      <c r="AE322" s="20" t="s">
        <v>613</v>
      </c>
      <c r="AF322" s="20" t="s">
        <v>1789</v>
      </c>
      <c r="AG322" s="20" t="s">
        <v>835</v>
      </c>
      <c r="AH322" s="20">
        <v>5</v>
      </c>
      <c r="AI322" s="20">
        <v>5</v>
      </c>
      <c r="AJ322" s="20" t="s">
        <v>592</v>
      </c>
      <c r="AL322" s="20" t="s">
        <v>1144</v>
      </c>
      <c r="AM322" s="20" t="s">
        <v>313</v>
      </c>
      <c r="AN322" s="20" t="s">
        <v>531</v>
      </c>
      <c r="AO322" s="20" t="s">
        <v>3014</v>
      </c>
      <c r="AP322" s="20" t="s">
        <v>628</v>
      </c>
      <c r="AQ322" s="20">
        <v>10</v>
      </c>
      <c r="AR322" s="20">
        <v>28</v>
      </c>
      <c r="AS322" s="20" t="s">
        <v>592</v>
      </c>
    </row>
    <row r="323" spans="2:45" ht="15.75" customHeight="1" x14ac:dyDescent="0.2">
      <c r="B323" s="20" t="s">
        <v>1161</v>
      </c>
      <c r="C323" s="20" t="s">
        <v>765</v>
      </c>
      <c r="D323" s="20" t="s">
        <v>466</v>
      </c>
      <c r="E323" s="20" t="s">
        <v>992</v>
      </c>
      <c r="F323" s="20" t="s">
        <v>628</v>
      </c>
      <c r="G323" s="20">
        <v>10</v>
      </c>
      <c r="H323" s="20">
        <v>8</v>
      </c>
      <c r="I323" s="20" t="s">
        <v>592</v>
      </c>
      <c r="K323" s="20" t="s">
        <v>646</v>
      </c>
      <c r="L323" s="20" t="s">
        <v>1109</v>
      </c>
      <c r="M323" s="20" t="s">
        <v>1739</v>
      </c>
      <c r="N323" s="20" t="s">
        <v>1740</v>
      </c>
      <c r="O323" s="20" t="s">
        <v>628</v>
      </c>
      <c r="P323" s="20">
        <v>10</v>
      </c>
      <c r="Q323" s="20">
        <v>12</v>
      </c>
      <c r="R323" s="20" t="s">
        <v>592</v>
      </c>
      <c r="T323" s="20" t="s">
        <v>1144</v>
      </c>
      <c r="U323" s="20" t="s">
        <v>1145</v>
      </c>
      <c r="V323" s="20" t="s">
        <v>1525</v>
      </c>
      <c r="W323" s="20" t="s">
        <v>2255</v>
      </c>
      <c r="X323" s="20" t="s">
        <v>628</v>
      </c>
      <c r="Y323" s="20">
        <v>10</v>
      </c>
      <c r="Z323" s="20">
        <v>8</v>
      </c>
      <c r="AA323" s="20" t="s">
        <v>592</v>
      </c>
      <c r="AC323" s="20" t="s">
        <v>1154</v>
      </c>
      <c r="AD323" s="20" t="s">
        <v>1152</v>
      </c>
      <c r="AE323" s="20" t="s">
        <v>715</v>
      </c>
      <c r="AF323" s="20" t="s">
        <v>1401</v>
      </c>
      <c r="AG323" s="20" t="s">
        <v>628</v>
      </c>
      <c r="AH323" s="20">
        <v>10</v>
      </c>
      <c r="AI323" s="20">
        <v>1</v>
      </c>
      <c r="AJ323" s="20" t="s">
        <v>593</v>
      </c>
      <c r="AL323" s="20" t="s">
        <v>1144</v>
      </c>
      <c r="AM323" s="20" t="s">
        <v>313</v>
      </c>
      <c r="AN323" s="20" t="s">
        <v>2822</v>
      </c>
      <c r="AO323" s="20" t="s">
        <v>3015</v>
      </c>
      <c r="AP323" s="20" t="s">
        <v>628</v>
      </c>
      <c r="AQ323" s="20">
        <v>10</v>
      </c>
      <c r="AR323" s="20">
        <v>25</v>
      </c>
      <c r="AS323" s="20" t="s">
        <v>592</v>
      </c>
    </row>
    <row r="324" spans="2:45" ht="15.75" customHeight="1" x14ac:dyDescent="0.2">
      <c r="B324" s="20" t="s">
        <v>1163</v>
      </c>
      <c r="C324" s="20" t="s">
        <v>57</v>
      </c>
      <c r="D324" s="20" t="s">
        <v>359</v>
      </c>
      <c r="E324" s="20" t="s">
        <v>1132</v>
      </c>
      <c r="F324" s="20" t="s">
        <v>628</v>
      </c>
      <c r="G324" s="20">
        <v>10</v>
      </c>
      <c r="H324" s="20">
        <v>1</v>
      </c>
      <c r="I324" s="20" t="s">
        <v>593</v>
      </c>
      <c r="K324" s="20" t="s">
        <v>646</v>
      </c>
      <c r="L324" s="20" t="s">
        <v>285</v>
      </c>
      <c r="M324" s="20" t="s">
        <v>983</v>
      </c>
      <c r="N324" s="20" t="s">
        <v>459</v>
      </c>
      <c r="O324" s="20" t="s">
        <v>835</v>
      </c>
      <c r="P324" s="20">
        <v>5</v>
      </c>
      <c r="Q324" s="20">
        <v>2</v>
      </c>
      <c r="R324" s="20" t="s">
        <v>593</v>
      </c>
      <c r="T324" s="20" t="s">
        <v>1144</v>
      </c>
      <c r="U324" s="20" t="s">
        <v>1145</v>
      </c>
      <c r="V324" s="20" t="s">
        <v>1525</v>
      </c>
      <c r="W324" s="20" t="s">
        <v>2256</v>
      </c>
      <c r="X324" s="20" t="s">
        <v>628</v>
      </c>
      <c r="Y324" s="20">
        <v>10</v>
      </c>
      <c r="Z324" s="20">
        <v>1</v>
      </c>
      <c r="AA324" s="20" t="s">
        <v>592</v>
      </c>
      <c r="AC324" s="20" t="s">
        <v>1149</v>
      </c>
      <c r="AD324" s="20" t="s">
        <v>806</v>
      </c>
      <c r="AE324" s="20" t="s">
        <v>468</v>
      </c>
      <c r="AF324" s="20" t="s">
        <v>2052</v>
      </c>
      <c r="AG324" s="20" t="s">
        <v>835</v>
      </c>
      <c r="AH324" s="20">
        <v>5</v>
      </c>
      <c r="AI324" s="20">
        <v>6</v>
      </c>
      <c r="AJ324" s="20" t="s">
        <v>592</v>
      </c>
      <c r="AL324" s="20" t="s">
        <v>1144</v>
      </c>
      <c r="AM324" s="20" t="s">
        <v>313</v>
      </c>
      <c r="AN324" s="20" t="s">
        <v>528</v>
      </c>
      <c r="AO324" s="20" t="s">
        <v>998</v>
      </c>
      <c r="AP324" s="20" t="s">
        <v>628</v>
      </c>
      <c r="AQ324" s="20">
        <v>10</v>
      </c>
      <c r="AR324" s="20">
        <v>14</v>
      </c>
      <c r="AS324" s="20" t="s">
        <v>592</v>
      </c>
    </row>
    <row r="325" spans="2:45" ht="15.75" customHeight="1" x14ac:dyDescent="0.2">
      <c r="B325" s="20" t="s">
        <v>1169</v>
      </c>
      <c r="C325" s="20" t="s">
        <v>671</v>
      </c>
      <c r="D325" s="20" t="s">
        <v>471</v>
      </c>
      <c r="E325" s="20" t="s">
        <v>1329</v>
      </c>
      <c r="F325" s="20" t="s">
        <v>628</v>
      </c>
      <c r="G325" s="20">
        <v>10</v>
      </c>
      <c r="H325" s="20">
        <v>11</v>
      </c>
      <c r="I325" s="20" t="s">
        <v>592</v>
      </c>
      <c r="K325" s="20" t="s">
        <v>1147</v>
      </c>
      <c r="L325" s="20" t="s">
        <v>70</v>
      </c>
      <c r="M325" s="20" t="s">
        <v>1350</v>
      </c>
      <c r="N325" s="20" t="s">
        <v>1049</v>
      </c>
      <c r="O325" s="20" t="s">
        <v>628</v>
      </c>
      <c r="P325" s="20">
        <v>10</v>
      </c>
      <c r="Q325" s="20">
        <v>5</v>
      </c>
      <c r="R325" s="20" t="s">
        <v>593</v>
      </c>
      <c r="T325" s="20" t="s">
        <v>1141</v>
      </c>
      <c r="U325" s="20" t="s">
        <v>224</v>
      </c>
      <c r="V325" s="20" t="s">
        <v>386</v>
      </c>
      <c r="W325" s="20" t="s">
        <v>2257</v>
      </c>
      <c r="X325" s="20" t="s">
        <v>835</v>
      </c>
      <c r="Y325" s="20">
        <v>5</v>
      </c>
      <c r="Z325" s="20">
        <v>5</v>
      </c>
      <c r="AA325" s="20" t="s">
        <v>592</v>
      </c>
      <c r="AC325" s="20" t="s">
        <v>2099</v>
      </c>
      <c r="AD325" s="20" t="s">
        <v>2103</v>
      </c>
      <c r="AE325" s="20" t="s">
        <v>2533</v>
      </c>
      <c r="AF325" s="20" t="s">
        <v>2581</v>
      </c>
      <c r="AG325" s="20" t="s">
        <v>2514</v>
      </c>
      <c r="AH325" s="20">
        <v>3</v>
      </c>
      <c r="AI325" s="20">
        <v>11</v>
      </c>
      <c r="AJ325" s="20" t="s">
        <v>592</v>
      </c>
      <c r="AL325" s="20" t="s">
        <v>1144</v>
      </c>
      <c r="AM325" s="20" t="s">
        <v>313</v>
      </c>
      <c r="AN325" s="20" t="s">
        <v>713</v>
      </c>
      <c r="AO325" s="20" t="s">
        <v>741</v>
      </c>
      <c r="AP325" s="20" t="s">
        <v>628</v>
      </c>
      <c r="AQ325" s="20">
        <v>10</v>
      </c>
      <c r="AR325" s="20">
        <v>12</v>
      </c>
      <c r="AS325" s="20" t="s">
        <v>592</v>
      </c>
    </row>
    <row r="326" spans="2:45" ht="15.75" customHeight="1" x14ac:dyDescent="0.2">
      <c r="B326" s="20" t="s">
        <v>646</v>
      </c>
      <c r="C326" s="20" t="s">
        <v>209</v>
      </c>
      <c r="D326" s="20" t="s">
        <v>411</v>
      </c>
      <c r="E326" s="20" t="s">
        <v>969</v>
      </c>
      <c r="F326" s="20" t="s">
        <v>628</v>
      </c>
      <c r="G326" s="20">
        <v>10</v>
      </c>
      <c r="H326" s="20">
        <v>7</v>
      </c>
      <c r="I326" s="20" t="s">
        <v>592</v>
      </c>
      <c r="K326" s="20" t="s">
        <v>1147</v>
      </c>
      <c r="L326" s="20" t="s">
        <v>70</v>
      </c>
      <c r="M326" s="20" t="s">
        <v>1741</v>
      </c>
      <c r="N326" s="20" t="s">
        <v>1742</v>
      </c>
      <c r="O326" s="20" t="s">
        <v>628</v>
      </c>
      <c r="P326" s="20">
        <v>10</v>
      </c>
      <c r="Q326" s="20">
        <v>8</v>
      </c>
      <c r="R326" s="20" t="s">
        <v>592</v>
      </c>
      <c r="T326" s="20" t="s">
        <v>1163</v>
      </c>
      <c r="U326" s="20" t="s">
        <v>299</v>
      </c>
      <c r="V326" s="20" t="s">
        <v>557</v>
      </c>
      <c r="W326" s="20" t="s">
        <v>1024</v>
      </c>
      <c r="X326" s="20" t="s">
        <v>628</v>
      </c>
      <c r="Y326" s="20">
        <v>10</v>
      </c>
      <c r="Z326" s="20">
        <v>7</v>
      </c>
      <c r="AA326" s="20" t="s">
        <v>592</v>
      </c>
      <c r="AC326" s="20" t="s">
        <v>1149</v>
      </c>
      <c r="AD326" s="20" t="s">
        <v>63</v>
      </c>
      <c r="AE326" s="20" t="s">
        <v>477</v>
      </c>
      <c r="AF326" s="20" t="s">
        <v>2285</v>
      </c>
      <c r="AG326" s="20" t="s">
        <v>835</v>
      </c>
      <c r="AH326" s="20">
        <v>5</v>
      </c>
      <c r="AI326" s="20">
        <v>3</v>
      </c>
      <c r="AJ326" s="20" t="s">
        <v>593</v>
      </c>
      <c r="AL326" s="20" t="s">
        <v>1144</v>
      </c>
      <c r="AM326" s="20" t="s">
        <v>313</v>
      </c>
      <c r="AN326" s="20" t="s">
        <v>1814</v>
      </c>
      <c r="AO326" s="20" t="s">
        <v>3016</v>
      </c>
      <c r="AP326" s="20" t="s">
        <v>835</v>
      </c>
      <c r="AQ326" s="20">
        <v>5</v>
      </c>
      <c r="AR326" s="20">
        <v>6</v>
      </c>
      <c r="AS326" s="20" t="s">
        <v>592</v>
      </c>
    </row>
    <row r="327" spans="2:45" ht="15.75" customHeight="1" x14ac:dyDescent="0.2">
      <c r="B327" s="20" t="s">
        <v>646</v>
      </c>
      <c r="C327" s="20" t="s">
        <v>209</v>
      </c>
      <c r="D327" s="20" t="s">
        <v>411</v>
      </c>
      <c r="E327" s="20" t="s">
        <v>1330</v>
      </c>
      <c r="F327" s="20" t="s">
        <v>628</v>
      </c>
      <c r="G327" s="20">
        <v>10</v>
      </c>
      <c r="H327" s="20">
        <v>1</v>
      </c>
      <c r="I327" s="20" t="s">
        <v>592</v>
      </c>
      <c r="K327" s="20" t="s">
        <v>1147</v>
      </c>
      <c r="L327" s="20" t="s">
        <v>70</v>
      </c>
      <c r="M327" s="20" t="s">
        <v>1221</v>
      </c>
      <c r="N327" s="20" t="s">
        <v>632</v>
      </c>
      <c r="O327" s="20" t="s">
        <v>628</v>
      </c>
      <c r="P327" s="20">
        <v>10</v>
      </c>
      <c r="Q327" s="20">
        <v>2</v>
      </c>
      <c r="R327" s="20" t="s">
        <v>593</v>
      </c>
      <c r="T327" s="20" t="s">
        <v>1163</v>
      </c>
      <c r="U327" s="20" t="s">
        <v>299</v>
      </c>
      <c r="V327" s="20" t="s">
        <v>557</v>
      </c>
      <c r="W327" s="20" t="s">
        <v>2258</v>
      </c>
      <c r="X327" s="20" t="s">
        <v>628</v>
      </c>
      <c r="Y327" s="20">
        <v>10</v>
      </c>
      <c r="Z327" s="20">
        <v>1</v>
      </c>
      <c r="AA327" s="20" t="s">
        <v>592</v>
      </c>
      <c r="AC327" s="20" t="s">
        <v>1141</v>
      </c>
      <c r="AD327" s="20" t="s">
        <v>224</v>
      </c>
      <c r="AE327" s="20" t="s">
        <v>1666</v>
      </c>
      <c r="AF327" s="20" t="s">
        <v>2676</v>
      </c>
      <c r="AG327" s="20" t="s">
        <v>835</v>
      </c>
      <c r="AH327" s="20">
        <v>5</v>
      </c>
      <c r="AI327" s="20">
        <v>5</v>
      </c>
      <c r="AJ327" s="20" t="s">
        <v>592</v>
      </c>
      <c r="AL327" s="20" t="s">
        <v>1144</v>
      </c>
      <c r="AM327" s="20" t="s">
        <v>313</v>
      </c>
      <c r="AN327" s="20" t="s">
        <v>2823</v>
      </c>
      <c r="AO327" s="20" t="s">
        <v>3017</v>
      </c>
      <c r="AP327" s="20" t="s">
        <v>835</v>
      </c>
      <c r="AQ327" s="20">
        <v>5</v>
      </c>
      <c r="AR327" s="20">
        <v>5</v>
      </c>
      <c r="AS327" s="20" t="s">
        <v>592</v>
      </c>
    </row>
    <row r="328" spans="2:45" ht="15.75" customHeight="1" x14ac:dyDescent="0.2">
      <c r="B328" s="20" t="s">
        <v>646</v>
      </c>
      <c r="C328" s="20" t="s">
        <v>25</v>
      </c>
      <c r="D328" s="20" t="s">
        <v>524</v>
      </c>
      <c r="E328" s="20" t="s">
        <v>1013</v>
      </c>
      <c r="F328" s="20" t="s">
        <v>628</v>
      </c>
      <c r="G328" s="20">
        <v>10</v>
      </c>
      <c r="H328" s="20">
        <v>5</v>
      </c>
      <c r="I328" s="20" t="s">
        <v>593</v>
      </c>
      <c r="K328" s="20" t="s">
        <v>1149</v>
      </c>
      <c r="L328" s="20" t="s">
        <v>806</v>
      </c>
      <c r="M328" s="20" t="s">
        <v>1269</v>
      </c>
      <c r="N328" s="20" t="s">
        <v>468</v>
      </c>
      <c r="O328" s="20" t="s">
        <v>835</v>
      </c>
      <c r="P328" s="20">
        <v>5</v>
      </c>
      <c r="Q328" s="20">
        <v>6</v>
      </c>
      <c r="R328" s="20" t="s">
        <v>592</v>
      </c>
      <c r="T328" s="20" t="s">
        <v>1147</v>
      </c>
      <c r="U328" s="20" t="s">
        <v>222</v>
      </c>
      <c r="V328" s="20" t="s">
        <v>2482</v>
      </c>
      <c r="W328" s="20" t="s">
        <v>2259</v>
      </c>
      <c r="X328" s="20" t="s">
        <v>835</v>
      </c>
      <c r="Y328" s="20">
        <v>5</v>
      </c>
      <c r="Z328" s="20">
        <v>5</v>
      </c>
      <c r="AA328" s="20" t="s">
        <v>592</v>
      </c>
      <c r="AC328" s="20" t="s">
        <v>2099</v>
      </c>
      <c r="AD328" s="20" t="s">
        <v>2112</v>
      </c>
      <c r="AE328" s="20" t="s">
        <v>2527</v>
      </c>
      <c r="AF328" s="20" t="s">
        <v>2677</v>
      </c>
      <c r="AG328" s="20" t="s">
        <v>835</v>
      </c>
      <c r="AH328" s="20">
        <v>5</v>
      </c>
      <c r="AI328" s="20">
        <v>5</v>
      </c>
      <c r="AJ328" s="20" t="s">
        <v>592</v>
      </c>
      <c r="AL328" s="20" t="s">
        <v>1144</v>
      </c>
      <c r="AM328" s="20" t="s">
        <v>313</v>
      </c>
      <c r="AN328" s="20" t="s">
        <v>2823</v>
      </c>
      <c r="AO328" s="20" t="s">
        <v>3018</v>
      </c>
      <c r="AP328" s="20" t="s">
        <v>835</v>
      </c>
      <c r="AQ328" s="20">
        <v>5</v>
      </c>
      <c r="AR328" s="20">
        <v>1</v>
      </c>
      <c r="AS328" s="20" t="s">
        <v>592</v>
      </c>
    </row>
    <row r="329" spans="2:45" ht="15.75" customHeight="1" x14ac:dyDescent="0.2">
      <c r="B329" s="20" t="s">
        <v>1144</v>
      </c>
      <c r="C329" s="20" t="s">
        <v>249</v>
      </c>
      <c r="D329" s="20" t="s">
        <v>491</v>
      </c>
      <c r="E329" s="20" t="s">
        <v>1207</v>
      </c>
      <c r="F329" s="20" t="s">
        <v>628</v>
      </c>
      <c r="G329" s="20">
        <v>10</v>
      </c>
      <c r="H329" s="20">
        <v>7</v>
      </c>
      <c r="I329" s="20" t="s">
        <v>592</v>
      </c>
      <c r="K329" s="20" t="s">
        <v>1155</v>
      </c>
      <c r="L329" s="20" t="s">
        <v>657</v>
      </c>
      <c r="M329" s="20" t="s">
        <v>1743</v>
      </c>
      <c r="N329" s="20" t="s">
        <v>482</v>
      </c>
      <c r="O329" s="20" t="s">
        <v>628</v>
      </c>
      <c r="P329" s="20">
        <v>10</v>
      </c>
      <c r="Q329" s="20">
        <v>1</v>
      </c>
      <c r="R329" s="20" t="s">
        <v>593</v>
      </c>
      <c r="T329" s="20" t="s">
        <v>2099</v>
      </c>
      <c r="U329" s="20" t="s">
        <v>2106</v>
      </c>
      <c r="V329" s="20" t="s">
        <v>2452</v>
      </c>
      <c r="W329" s="20" t="s">
        <v>2260</v>
      </c>
      <c r="X329" s="20" t="s">
        <v>835</v>
      </c>
      <c r="Y329" s="20">
        <v>5</v>
      </c>
      <c r="Z329" s="20">
        <v>5</v>
      </c>
      <c r="AA329" s="20" t="s">
        <v>592</v>
      </c>
      <c r="AC329" s="20" t="s">
        <v>1161</v>
      </c>
      <c r="AD329" s="20" t="s">
        <v>41</v>
      </c>
      <c r="AE329" s="20" t="s">
        <v>1930</v>
      </c>
      <c r="AF329" s="20" t="s">
        <v>1929</v>
      </c>
      <c r="AG329" s="20" t="s">
        <v>628</v>
      </c>
      <c r="AH329" s="20">
        <v>10</v>
      </c>
      <c r="AI329" s="20">
        <v>3</v>
      </c>
      <c r="AJ329" s="20" t="s">
        <v>593</v>
      </c>
      <c r="AL329" s="20" t="s">
        <v>1144</v>
      </c>
      <c r="AM329" s="20" t="s">
        <v>313</v>
      </c>
      <c r="AN329" s="20" t="s">
        <v>2824</v>
      </c>
      <c r="AO329" s="20" t="s">
        <v>3019</v>
      </c>
      <c r="AP329" s="20" t="s">
        <v>835</v>
      </c>
      <c r="AQ329" s="20">
        <v>5</v>
      </c>
      <c r="AR329" s="20">
        <v>4</v>
      </c>
      <c r="AS329" s="20" t="s">
        <v>592</v>
      </c>
    </row>
    <row r="330" spans="2:45" ht="15.75" customHeight="1" x14ac:dyDescent="0.2">
      <c r="B330" s="20" t="s">
        <v>1144</v>
      </c>
      <c r="C330" s="20" t="s">
        <v>249</v>
      </c>
      <c r="D330" s="20" t="s">
        <v>491</v>
      </c>
      <c r="E330" s="20" t="s">
        <v>1331</v>
      </c>
      <c r="F330" s="20" t="s">
        <v>628</v>
      </c>
      <c r="G330" s="20">
        <v>10</v>
      </c>
      <c r="H330" s="20">
        <v>2</v>
      </c>
      <c r="I330" s="20" t="s">
        <v>592</v>
      </c>
      <c r="K330" s="20" t="s">
        <v>1155</v>
      </c>
      <c r="L330" s="20" t="s">
        <v>657</v>
      </c>
      <c r="M330" s="20" t="s">
        <v>1744</v>
      </c>
      <c r="N330" s="20" t="s">
        <v>1745</v>
      </c>
      <c r="O330" s="20" t="s">
        <v>628</v>
      </c>
      <c r="P330" s="20">
        <v>10</v>
      </c>
      <c r="Q330" s="20">
        <v>8</v>
      </c>
      <c r="R330" s="20" t="s">
        <v>592</v>
      </c>
      <c r="T330" s="20" t="s">
        <v>1144</v>
      </c>
      <c r="U330" s="20" t="s">
        <v>23</v>
      </c>
      <c r="V330" s="20" t="s">
        <v>2022</v>
      </c>
      <c r="W330" s="20" t="s">
        <v>2021</v>
      </c>
      <c r="X330" s="20" t="s">
        <v>835</v>
      </c>
      <c r="Y330" s="20">
        <v>5</v>
      </c>
      <c r="Z330" s="20">
        <v>5</v>
      </c>
      <c r="AA330" s="20" t="s">
        <v>592</v>
      </c>
      <c r="AC330" s="20" t="s">
        <v>1161</v>
      </c>
      <c r="AD330" s="20" t="s">
        <v>41</v>
      </c>
      <c r="AE330" s="20" t="s">
        <v>1779</v>
      </c>
      <c r="AF330" s="20" t="s">
        <v>2386</v>
      </c>
      <c r="AG330" s="20" t="s">
        <v>628</v>
      </c>
      <c r="AH330" s="20">
        <v>10</v>
      </c>
      <c r="AI330" s="20">
        <v>1</v>
      </c>
      <c r="AJ330" s="20" t="s">
        <v>593</v>
      </c>
      <c r="AL330" s="20" t="s">
        <v>1144</v>
      </c>
      <c r="AM330" s="20" t="s">
        <v>313</v>
      </c>
      <c r="AN330" s="20" t="s">
        <v>2824</v>
      </c>
      <c r="AO330" s="20" t="s">
        <v>3020</v>
      </c>
      <c r="AP330" s="20" t="s">
        <v>835</v>
      </c>
      <c r="AQ330" s="20">
        <v>5</v>
      </c>
      <c r="AR330" s="20">
        <v>1</v>
      </c>
      <c r="AS330" s="20" t="s">
        <v>592</v>
      </c>
    </row>
    <row r="331" spans="2:45" ht="15.75" customHeight="1" x14ac:dyDescent="0.2">
      <c r="B331" s="20" t="s">
        <v>1144</v>
      </c>
      <c r="C331" s="20" t="s">
        <v>1107</v>
      </c>
      <c r="D331" s="20" t="s">
        <v>496</v>
      </c>
      <c r="E331" s="20" t="s">
        <v>1332</v>
      </c>
      <c r="F331" s="20" t="s">
        <v>628</v>
      </c>
      <c r="G331" s="20">
        <v>10</v>
      </c>
      <c r="H331" s="20">
        <v>4</v>
      </c>
      <c r="I331" s="20" t="s">
        <v>593</v>
      </c>
      <c r="K331" s="20" t="s">
        <v>1161</v>
      </c>
      <c r="L331" s="20" t="s">
        <v>117</v>
      </c>
      <c r="M331" s="20" t="s">
        <v>1746</v>
      </c>
      <c r="N331" s="20" t="s">
        <v>456</v>
      </c>
      <c r="O331" s="20" t="s">
        <v>628</v>
      </c>
      <c r="P331" s="20">
        <v>10</v>
      </c>
      <c r="Q331" s="20">
        <v>6</v>
      </c>
      <c r="R331" s="20" t="s">
        <v>593</v>
      </c>
      <c r="T331" s="20" t="s">
        <v>1163</v>
      </c>
      <c r="U331" s="20" t="s">
        <v>1165</v>
      </c>
      <c r="V331" s="20" t="s">
        <v>360</v>
      </c>
      <c r="W331" s="20" t="s">
        <v>1209</v>
      </c>
      <c r="X331" s="20" t="s">
        <v>628</v>
      </c>
      <c r="Y331" s="20">
        <v>10</v>
      </c>
      <c r="Z331" s="20">
        <v>8</v>
      </c>
      <c r="AA331" s="20" t="s">
        <v>592</v>
      </c>
      <c r="AC331" s="20" t="s">
        <v>1162</v>
      </c>
      <c r="AD331" s="20" t="s">
        <v>352</v>
      </c>
      <c r="AE331" s="20" t="s">
        <v>443</v>
      </c>
      <c r="AF331" s="20" t="s">
        <v>1716</v>
      </c>
      <c r="AG331" s="20" t="s">
        <v>628</v>
      </c>
      <c r="AH331" s="20">
        <v>10</v>
      </c>
      <c r="AI331" s="20">
        <v>8</v>
      </c>
      <c r="AJ331" s="20" t="s">
        <v>592</v>
      </c>
      <c r="AL331" s="20" t="s">
        <v>1144</v>
      </c>
      <c r="AM331" s="20" t="s">
        <v>313</v>
      </c>
      <c r="AN331" s="20" t="s">
        <v>439</v>
      </c>
      <c r="AO331" s="20" t="s">
        <v>1304</v>
      </c>
      <c r="AP331" s="20" t="s">
        <v>628</v>
      </c>
      <c r="AQ331" s="20">
        <v>10</v>
      </c>
      <c r="AR331" s="20">
        <v>5</v>
      </c>
      <c r="AS331" s="20" t="s">
        <v>592</v>
      </c>
    </row>
    <row r="332" spans="2:45" ht="15.75" customHeight="1" x14ac:dyDescent="0.2">
      <c r="B332" s="20" t="s">
        <v>1144</v>
      </c>
      <c r="C332" s="20" t="s">
        <v>1107</v>
      </c>
      <c r="D332" s="20" t="s">
        <v>496</v>
      </c>
      <c r="E332" s="20" t="s">
        <v>1333</v>
      </c>
      <c r="F332" s="20" t="s">
        <v>628</v>
      </c>
      <c r="G332" s="20">
        <v>10</v>
      </c>
      <c r="H332" s="20">
        <v>2</v>
      </c>
      <c r="I332" s="20" t="s">
        <v>593</v>
      </c>
      <c r="K332" s="20" t="s">
        <v>1161</v>
      </c>
      <c r="L332" s="20" t="s">
        <v>117</v>
      </c>
      <c r="M332" s="20" t="s">
        <v>1519</v>
      </c>
      <c r="N332" s="20" t="s">
        <v>455</v>
      </c>
      <c r="O332" s="20" t="s">
        <v>628</v>
      </c>
      <c r="P332" s="20">
        <v>10</v>
      </c>
      <c r="Q332" s="20">
        <v>3</v>
      </c>
      <c r="R332" s="20" t="s">
        <v>593</v>
      </c>
      <c r="T332" s="20" t="s">
        <v>1163</v>
      </c>
      <c r="U332" s="20" t="s">
        <v>1165</v>
      </c>
      <c r="V332" s="20" t="s">
        <v>1448</v>
      </c>
      <c r="W332" s="20" t="s">
        <v>2261</v>
      </c>
      <c r="X332" s="20" t="s">
        <v>835</v>
      </c>
      <c r="Y332" s="20">
        <v>5</v>
      </c>
      <c r="Z332" s="20">
        <v>5</v>
      </c>
      <c r="AA332" s="20" t="s">
        <v>592</v>
      </c>
      <c r="AC332" s="20" t="s">
        <v>640</v>
      </c>
      <c r="AD332" s="20" t="s">
        <v>31</v>
      </c>
      <c r="AE332" s="20" t="s">
        <v>571</v>
      </c>
      <c r="AF332" s="20" t="s">
        <v>1886</v>
      </c>
      <c r="AG332" s="20" t="s">
        <v>628</v>
      </c>
      <c r="AH332" s="20">
        <v>10</v>
      </c>
      <c r="AI332" s="20">
        <v>7</v>
      </c>
      <c r="AJ332" s="20" t="s">
        <v>592</v>
      </c>
      <c r="AL332" s="20" t="s">
        <v>1144</v>
      </c>
      <c r="AM332" s="20" t="s">
        <v>313</v>
      </c>
      <c r="AN332" s="20" t="s">
        <v>439</v>
      </c>
      <c r="AO332" s="20" t="s">
        <v>2340</v>
      </c>
      <c r="AP332" s="20" t="s">
        <v>628</v>
      </c>
      <c r="AQ332" s="20">
        <v>10</v>
      </c>
      <c r="AR332" s="20">
        <v>4</v>
      </c>
      <c r="AS332" s="20" t="s">
        <v>592</v>
      </c>
    </row>
    <row r="333" spans="2:45" ht="15.75" customHeight="1" x14ac:dyDescent="0.2">
      <c r="B333" s="20" t="s">
        <v>1155</v>
      </c>
      <c r="C333" s="20" t="s">
        <v>657</v>
      </c>
      <c r="D333" s="20" t="s">
        <v>483</v>
      </c>
      <c r="E333" s="20" t="s">
        <v>747</v>
      </c>
      <c r="F333" s="20" t="s">
        <v>835</v>
      </c>
      <c r="G333" s="20">
        <v>5</v>
      </c>
      <c r="H333" s="20">
        <v>6</v>
      </c>
      <c r="I333" s="20" t="s">
        <v>592</v>
      </c>
      <c r="K333" s="20" t="s">
        <v>1161</v>
      </c>
      <c r="L333" s="20" t="s">
        <v>117</v>
      </c>
      <c r="M333" s="20" t="s">
        <v>1747</v>
      </c>
      <c r="N333" s="20" t="s">
        <v>465</v>
      </c>
      <c r="O333" s="20" t="s">
        <v>628</v>
      </c>
      <c r="P333" s="20">
        <v>10</v>
      </c>
      <c r="Q333" s="20">
        <v>5</v>
      </c>
      <c r="R333" s="20" t="s">
        <v>593</v>
      </c>
      <c r="T333" s="20" t="s">
        <v>1169</v>
      </c>
      <c r="U333" s="20" t="s">
        <v>216</v>
      </c>
      <c r="V333" s="20" t="s">
        <v>1852</v>
      </c>
      <c r="W333" s="20" t="s">
        <v>1851</v>
      </c>
      <c r="X333" s="20" t="s">
        <v>628</v>
      </c>
      <c r="Y333" s="20">
        <v>10</v>
      </c>
      <c r="Z333" s="20">
        <v>8</v>
      </c>
      <c r="AA333" s="20" t="s">
        <v>592</v>
      </c>
      <c r="AC333" s="20" t="s">
        <v>640</v>
      </c>
      <c r="AD333" s="20" t="s">
        <v>31</v>
      </c>
      <c r="AE333" s="20" t="s">
        <v>571</v>
      </c>
      <c r="AF333" s="20" t="s">
        <v>2678</v>
      </c>
      <c r="AG333" s="20" t="s">
        <v>628</v>
      </c>
      <c r="AH333" s="20">
        <v>10</v>
      </c>
      <c r="AI333" s="20">
        <v>2</v>
      </c>
      <c r="AJ333" s="20" t="s">
        <v>592</v>
      </c>
      <c r="AL333" s="20" t="s">
        <v>1144</v>
      </c>
      <c r="AM333" s="20" t="s">
        <v>313</v>
      </c>
      <c r="AN333" s="20" t="s">
        <v>439</v>
      </c>
      <c r="AO333" s="20" t="s">
        <v>2341</v>
      </c>
      <c r="AP333" s="20" t="s">
        <v>628</v>
      </c>
      <c r="AQ333" s="20">
        <v>10</v>
      </c>
      <c r="AR333" s="20">
        <v>1</v>
      </c>
      <c r="AS333" s="20" t="s">
        <v>592</v>
      </c>
    </row>
    <row r="334" spans="2:45" ht="15.75" customHeight="1" x14ac:dyDescent="0.2">
      <c r="B334" s="20" t="s">
        <v>1158</v>
      </c>
      <c r="C334" s="20" t="s">
        <v>928</v>
      </c>
      <c r="D334" s="20" t="s">
        <v>607</v>
      </c>
      <c r="E334" s="20" t="s">
        <v>1334</v>
      </c>
      <c r="F334" s="20" t="s">
        <v>835</v>
      </c>
      <c r="G334" s="20">
        <v>5</v>
      </c>
      <c r="H334" s="20">
        <v>3</v>
      </c>
      <c r="I334" s="20" t="s">
        <v>593</v>
      </c>
      <c r="K334" s="20" t="s">
        <v>1161</v>
      </c>
      <c r="L334" s="20" t="s">
        <v>117</v>
      </c>
      <c r="M334" s="20" t="s">
        <v>1748</v>
      </c>
      <c r="N334" s="20" t="s">
        <v>465</v>
      </c>
      <c r="O334" s="20" t="s">
        <v>628</v>
      </c>
      <c r="P334" s="20">
        <v>10</v>
      </c>
      <c r="Q334" s="20">
        <v>1</v>
      </c>
      <c r="R334" s="20" t="s">
        <v>593</v>
      </c>
      <c r="T334" s="20" t="s">
        <v>646</v>
      </c>
      <c r="U334" s="20" t="s">
        <v>334</v>
      </c>
      <c r="V334" s="20" t="s">
        <v>507</v>
      </c>
      <c r="W334" s="20" t="s">
        <v>2262</v>
      </c>
      <c r="X334" s="20" t="s">
        <v>835</v>
      </c>
      <c r="Y334" s="20">
        <v>5</v>
      </c>
      <c r="Z334" s="20">
        <v>5</v>
      </c>
      <c r="AA334" s="20" t="s">
        <v>592</v>
      </c>
      <c r="AC334" s="20" t="s">
        <v>1144</v>
      </c>
      <c r="AD334" s="20" t="s">
        <v>194</v>
      </c>
      <c r="AE334" s="20" t="s">
        <v>487</v>
      </c>
      <c r="AF334" s="20" t="s">
        <v>1988</v>
      </c>
      <c r="AG334" s="20" t="s">
        <v>835</v>
      </c>
      <c r="AH334" s="20">
        <v>5</v>
      </c>
      <c r="AI334" s="20">
        <v>2</v>
      </c>
      <c r="AJ334" s="20" t="s">
        <v>593</v>
      </c>
      <c r="AL334" s="20" t="s">
        <v>1144</v>
      </c>
      <c r="AM334" s="20" t="s">
        <v>313</v>
      </c>
      <c r="AN334" s="20" t="s">
        <v>529</v>
      </c>
      <c r="AO334" s="20" t="s">
        <v>3021</v>
      </c>
      <c r="AP334" s="20" t="s">
        <v>628</v>
      </c>
      <c r="AQ334" s="20">
        <v>10</v>
      </c>
      <c r="AR334" s="20">
        <v>25</v>
      </c>
      <c r="AS334" s="20" t="s">
        <v>592</v>
      </c>
    </row>
    <row r="335" spans="2:45" ht="15.75" customHeight="1" x14ac:dyDescent="0.2">
      <c r="B335" s="20" t="s">
        <v>1158</v>
      </c>
      <c r="C335" s="20" t="s">
        <v>726</v>
      </c>
      <c r="D335" s="20" t="s">
        <v>412</v>
      </c>
      <c r="E335" s="20" t="s">
        <v>735</v>
      </c>
      <c r="F335" s="20" t="s">
        <v>835</v>
      </c>
      <c r="G335" s="20">
        <v>5</v>
      </c>
      <c r="H335" s="20">
        <v>4</v>
      </c>
      <c r="I335" s="20" t="s">
        <v>592</v>
      </c>
      <c r="K335" s="20" t="s">
        <v>1161</v>
      </c>
      <c r="L335" s="20" t="s">
        <v>304</v>
      </c>
      <c r="M335" s="20" t="s">
        <v>1227</v>
      </c>
      <c r="N335" s="20" t="s">
        <v>454</v>
      </c>
      <c r="O335" s="20" t="s">
        <v>628</v>
      </c>
      <c r="P335" s="20">
        <v>10</v>
      </c>
      <c r="Q335" s="20">
        <v>9</v>
      </c>
      <c r="R335" s="20" t="s">
        <v>592</v>
      </c>
      <c r="T335" s="20" t="s">
        <v>646</v>
      </c>
      <c r="U335" s="20" t="s">
        <v>334</v>
      </c>
      <c r="V335" s="20" t="s">
        <v>486</v>
      </c>
      <c r="W335" s="20" t="s">
        <v>1470</v>
      </c>
      <c r="X335" s="20" t="s">
        <v>835</v>
      </c>
      <c r="Y335" s="20">
        <v>5</v>
      </c>
      <c r="Z335" s="20">
        <v>6</v>
      </c>
      <c r="AA335" s="20" t="s">
        <v>592</v>
      </c>
      <c r="AC335" s="20" t="s">
        <v>640</v>
      </c>
      <c r="AD335" s="20" t="s">
        <v>756</v>
      </c>
      <c r="AE335" s="20" t="s">
        <v>1531</v>
      </c>
      <c r="AF335" s="20" t="s">
        <v>2013</v>
      </c>
      <c r="AG335" s="20" t="s">
        <v>628</v>
      </c>
      <c r="AH335" s="20">
        <v>10</v>
      </c>
      <c r="AI335" s="20">
        <v>2</v>
      </c>
      <c r="AJ335" s="20" t="s">
        <v>593</v>
      </c>
      <c r="AL335" s="20" t="s">
        <v>1144</v>
      </c>
      <c r="AM335" s="20" t="s">
        <v>313</v>
      </c>
      <c r="AN335" s="20" t="s">
        <v>529</v>
      </c>
      <c r="AO335" s="20" t="s">
        <v>1487</v>
      </c>
      <c r="AP335" s="20" t="s">
        <v>628</v>
      </c>
      <c r="AQ335" s="20">
        <v>10</v>
      </c>
      <c r="AR335" s="20">
        <v>10</v>
      </c>
      <c r="AS335" s="20" t="s">
        <v>592</v>
      </c>
    </row>
    <row r="336" spans="2:45" ht="15.75" customHeight="1" x14ac:dyDescent="0.2">
      <c r="B336" s="20" t="s">
        <v>1158</v>
      </c>
      <c r="C336" s="20" t="s">
        <v>726</v>
      </c>
      <c r="D336" s="20" t="s">
        <v>412</v>
      </c>
      <c r="E336" s="20" t="s">
        <v>964</v>
      </c>
      <c r="F336" s="20" t="s">
        <v>835</v>
      </c>
      <c r="G336" s="20">
        <v>5</v>
      </c>
      <c r="H336" s="20">
        <v>1</v>
      </c>
      <c r="I336" s="20" t="s">
        <v>592</v>
      </c>
      <c r="K336" s="20" t="s">
        <v>1161</v>
      </c>
      <c r="L336" s="20" t="s">
        <v>765</v>
      </c>
      <c r="M336" s="20" t="s">
        <v>1749</v>
      </c>
      <c r="N336" s="20" t="s">
        <v>1750</v>
      </c>
      <c r="O336" s="20" t="s">
        <v>628</v>
      </c>
      <c r="P336" s="20">
        <v>10</v>
      </c>
      <c r="Q336" s="20">
        <v>6</v>
      </c>
      <c r="R336" s="20" t="s">
        <v>592</v>
      </c>
      <c r="T336" s="20" t="s">
        <v>1144</v>
      </c>
      <c r="U336" s="20" t="s">
        <v>249</v>
      </c>
      <c r="V336" s="20" t="s">
        <v>564</v>
      </c>
      <c r="W336" s="20" t="s">
        <v>834</v>
      </c>
      <c r="X336" s="20" t="s">
        <v>835</v>
      </c>
      <c r="Y336" s="20">
        <v>5</v>
      </c>
      <c r="Z336" s="20">
        <v>7</v>
      </c>
      <c r="AA336" s="20" t="s">
        <v>592</v>
      </c>
      <c r="AC336" s="20" t="s">
        <v>1144</v>
      </c>
      <c r="AD336" s="20" t="s">
        <v>23</v>
      </c>
      <c r="AE336" s="20" t="s">
        <v>558</v>
      </c>
      <c r="AF336" s="20" t="s">
        <v>1117</v>
      </c>
      <c r="AG336" s="20" t="s">
        <v>835</v>
      </c>
      <c r="AH336" s="20">
        <v>5</v>
      </c>
      <c r="AI336" s="20">
        <v>5</v>
      </c>
      <c r="AJ336" s="20" t="s">
        <v>592</v>
      </c>
      <c r="AL336" s="20" t="s">
        <v>1144</v>
      </c>
      <c r="AM336" s="20" t="s">
        <v>313</v>
      </c>
      <c r="AN336" s="20" t="s">
        <v>530</v>
      </c>
      <c r="AO336" s="20" t="s">
        <v>999</v>
      </c>
      <c r="AP336" s="20" t="s">
        <v>628</v>
      </c>
      <c r="AQ336" s="20">
        <v>10</v>
      </c>
      <c r="AR336" s="20">
        <v>5</v>
      </c>
      <c r="AS336" s="20" t="s">
        <v>592</v>
      </c>
    </row>
    <row r="337" spans="2:45" ht="15.75" customHeight="1" x14ac:dyDescent="0.2">
      <c r="B337" s="20" t="s">
        <v>1158</v>
      </c>
      <c r="C337" s="20" t="s">
        <v>925</v>
      </c>
      <c r="D337" s="20" t="s">
        <v>614</v>
      </c>
      <c r="E337" s="20" t="s">
        <v>1127</v>
      </c>
      <c r="F337" s="20" t="s">
        <v>835</v>
      </c>
      <c r="G337" s="20">
        <v>5</v>
      </c>
      <c r="H337" s="20">
        <v>5</v>
      </c>
      <c r="I337" s="20" t="s">
        <v>592</v>
      </c>
      <c r="K337" s="20" t="s">
        <v>1161</v>
      </c>
      <c r="L337" s="20" t="s">
        <v>765</v>
      </c>
      <c r="M337" s="20" t="s">
        <v>1751</v>
      </c>
      <c r="N337" s="20" t="s">
        <v>1750</v>
      </c>
      <c r="O337" s="20" t="s">
        <v>628</v>
      </c>
      <c r="P337" s="20">
        <v>10</v>
      </c>
      <c r="Q337" s="20">
        <v>2</v>
      </c>
      <c r="R337" s="20" t="s">
        <v>592</v>
      </c>
      <c r="T337" s="20" t="s">
        <v>1155</v>
      </c>
      <c r="U337" s="20" t="s">
        <v>657</v>
      </c>
      <c r="V337" s="20" t="s">
        <v>2483</v>
      </c>
      <c r="W337" s="20" t="s">
        <v>2263</v>
      </c>
      <c r="X337" s="20" t="s">
        <v>835</v>
      </c>
      <c r="Y337" s="20">
        <v>5</v>
      </c>
      <c r="Z337" s="20">
        <v>5</v>
      </c>
      <c r="AA337" s="20" t="s">
        <v>592</v>
      </c>
      <c r="AC337" s="20" t="s">
        <v>1147</v>
      </c>
      <c r="AD337" s="20" t="s">
        <v>699</v>
      </c>
      <c r="AE337" s="20" t="s">
        <v>712</v>
      </c>
      <c r="AF337" s="20" t="s">
        <v>785</v>
      </c>
      <c r="AG337" s="20" t="s">
        <v>835</v>
      </c>
      <c r="AH337" s="20">
        <v>5</v>
      </c>
      <c r="AI337" s="20">
        <v>7</v>
      </c>
      <c r="AJ337" s="20" t="s">
        <v>592</v>
      </c>
      <c r="AL337" s="20" t="s">
        <v>1144</v>
      </c>
      <c r="AM337" s="20" t="s">
        <v>313</v>
      </c>
      <c r="AN337" s="20" t="s">
        <v>530</v>
      </c>
      <c r="AO337" s="20" t="s">
        <v>2125</v>
      </c>
      <c r="AP337" s="20" t="s">
        <v>628</v>
      </c>
      <c r="AQ337" s="20">
        <v>10</v>
      </c>
      <c r="AR337" s="20">
        <v>1</v>
      </c>
      <c r="AS337" s="20" t="s">
        <v>592</v>
      </c>
    </row>
    <row r="338" spans="2:45" ht="15.75" customHeight="1" x14ac:dyDescent="0.2">
      <c r="B338" s="20" t="s">
        <v>1154</v>
      </c>
      <c r="C338" s="20" t="s">
        <v>307</v>
      </c>
      <c r="D338" s="20" t="s">
        <v>549</v>
      </c>
      <c r="E338" s="20" t="s">
        <v>1335</v>
      </c>
      <c r="F338" s="20" t="s">
        <v>628</v>
      </c>
      <c r="G338" s="20">
        <v>10</v>
      </c>
      <c r="H338" s="20">
        <v>2</v>
      </c>
      <c r="I338" s="20" t="s">
        <v>593</v>
      </c>
      <c r="K338" s="20" t="s">
        <v>1161</v>
      </c>
      <c r="L338" s="20" t="s">
        <v>765</v>
      </c>
      <c r="M338" s="20" t="s">
        <v>1752</v>
      </c>
      <c r="N338" s="20" t="s">
        <v>858</v>
      </c>
      <c r="O338" s="20" t="s">
        <v>628</v>
      </c>
      <c r="P338" s="20">
        <v>10</v>
      </c>
      <c r="Q338" s="20">
        <v>2</v>
      </c>
      <c r="R338" s="20" t="s">
        <v>592</v>
      </c>
      <c r="T338" s="20" t="s">
        <v>1144</v>
      </c>
      <c r="U338" s="20" t="s">
        <v>313</v>
      </c>
      <c r="V338" s="20" t="s">
        <v>441</v>
      </c>
      <c r="W338" s="20" t="s">
        <v>1359</v>
      </c>
      <c r="X338" s="20" t="s">
        <v>628</v>
      </c>
      <c r="Y338" s="20">
        <v>10</v>
      </c>
      <c r="Z338" s="20">
        <v>11</v>
      </c>
      <c r="AA338" s="20" t="s">
        <v>592</v>
      </c>
      <c r="AC338" s="20" t="s">
        <v>1147</v>
      </c>
      <c r="AD338" s="20" t="s">
        <v>699</v>
      </c>
      <c r="AE338" s="20" t="s">
        <v>712</v>
      </c>
      <c r="AF338" s="20" t="s">
        <v>1091</v>
      </c>
      <c r="AG338" s="20" t="s">
        <v>835</v>
      </c>
      <c r="AH338" s="20">
        <v>5</v>
      </c>
      <c r="AI338" s="20">
        <v>1</v>
      </c>
      <c r="AJ338" s="20" t="s">
        <v>592</v>
      </c>
      <c r="AL338" s="20" t="s">
        <v>1144</v>
      </c>
      <c r="AM338" s="20" t="s">
        <v>313</v>
      </c>
      <c r="AN338" s="20" t="s">
        <v>530</v>
      </c>
      <c r="AO338" s="20" t="s">
        <v>3022</v>
      </c>
      <c r="AP338" s="20" t="s">
        <v>628</v>
      </c>
      <c r="AQ338" s="20">
        <v>10</v>
      </c>
      <c r="AR338" s="20">
        <v>6</v>
      </c>
      <c r="AS338" s="20" t="s">
        <v>592</v>
      </c>
    </row>
    <row r="339" spans="2:45" ht="15.75" customHeight="1" x14ac:dyDescent="0.2">
      <c r="B339" s="20" t="s">
        <v>1147</v>
      </c>
      <c r="C339" s="20" t="s">
        <v>699</v>
      </c>
      <c r="D339" s="20" t="s">
        <v>712</v>
      </c>
      <c r="E339" s="20" t="s">
        <v>785</v>
      </c>
      <c r="F339" s="20" t="s">
        <v>835</v>
      </c>
      <c r="G339" s="20">
        <v>5</v>
      </c>
      <c r="H339" s="20">
        <v>5</v>
      </c>
      <c r="I339" s="20" t="s">
        <v>592</v>
      </c>
      <c r="K339" s="20" t="s">
        <v>1161</v>
      </c>
      <c r="L339" s="20" t="s">
        <v>765</v>
      </c>
      <c r="M339" s="20" t="s">
        <v>1753</v>
      </c>
      <c r="N339" s="20" t="s">
        <v>858</v>
      </c>
      <c r="O339" s="20" t="s">
        <v>628</v>
      </c>
      <c r="P339" s="20">
        <v>10</v>
      </c>
      <c r="Q339" s="20">
        <v>6</v>
      </c>
      <c r="R339" s="20" t="s">
        <v>592</v>
      </c>
      <c r="T339" s="20" t="s">
        <v>1144</v>
      </c>
      <c r="U339" s="20" t="s">
        <v>313</v>
      </c>
      <c r="V339" s="20" t="s">
        <v>441</v>
      </c>
      <c r="W339" s="20" t="s">
        <v>1360</v>
      </c>
      <c r="X339" s="20" t="s">
        <v>628</v>
      </c>
      <c r="Y339" s="20">
        <v>10</v>
      </c>
      <c r="Z339" s="20">
        <v>1</v>
      </c>
      <c r="AA339" s="20" t="s">
        <v>592</v>
      </c>
      <c r="AC339" s="20" t="s">
        <v>1162</v>
      </c>
      <c r="AD339" s="20" t="s">
        <v>352</v>
      </c>
      <c r="AE339" s="20" t="s">
        <v>2548</v>
      </c>
      <c r="AF339" s="20" t="s">
        <v>2679</v>
      </c>
      <c r="AG339" s="20" t="s">
        <v>628</v>
      </c>
      <c r="AH339" s="20">
        <v>10</v>
      </c>
      <c r="AI339" s="20">
        <v>8</v>
      </c>
      <c r="AJ339" s="20" t="s">
        <v>592</v>
      </c>
      <c r="AL339" s="20" t="s">
        <v>1144</v>
      </c>
      <c r="AM339" s="20" t="s">
        <v>313</v>
      </c>
      <c r="AN339" s="20" t="s">
        <v>441</v>
      </c>
      <c r="AO339" s="20" t="s">
        <v>3023</v>
      </c>
      <c r="AP339" s="20" t="s">
        <v>628</v>
      </c>
      <c r="AQ339" s="20">
        <v>10</v>
      </c>
      <c r="AR339" s="20">
        <v>33</v>
      </c>
      <c r="AS339" s="20" t="s">
        <v>592</v>
      </c>
    </row>
    <row r="340" spans="2:45" ht="15.75" customHeight="1" x14ac:dyDescent="0.2">
      <c r="B340" s="20" t="s">
        <v>1143</v>
      </c>
      <c r="C340" s="20" t="s">
        <v>61</v>
      </c>
      <c r="D340" s="20" t="s">
        <v>604</v>
      </c>
      <c r="E340" s="20" t="s">
        <v>722</v>
      </c>
      <c r="F340" s="20" t="s">
        <v>628</v>
      </c>
      <c r="G340" s="20">
        <v>10</v>
      </c>
      <c r="H340" s="20">
        <v>6</v>
      </c>
      <c r="I340" s="20" t="s">
        <v>592</v>
      </c>
      <c r="K340" s="20" t="s">
        <v>640</v>
      </c>
      <c r="L340" s="20" t="s">
        <v>191</v>
      </c>
      <c r="M340" s="20" t="s">
        <v>1754</v>
      </c>
      <c r="N340" s="20" t="s">
        <v>570</v>
      </c>
      <c r="O340" s="20" t="s">
        <v>835</v>
      </c>
      <c r="P340" s="20">
        <v>5</v>
      </c>
      <c r="Q340" s="20">
        <v>7</v>
      </c>
      <c r="R340" s="20" t="s">
        <v>592</v>
      </c>
      <c r="T340" s="20" t="s">
        <v>1149</v>
      </c>
      <c r="U340" s="20" t="s">
        <v>301</v>
      </c>
      <c r="V340" s="20" t="s">
        <v>2032</v>
      </c>
      <c r="W340" s="20" t="s">
        <v>2031</v>
      </c>
      <c r="X340" s="20" t="s">
        <v>835</v>
      </c>
      <c r="Y340" s="20">
        <v>5</v>
      </c>
      <c r="Z340" s="20">
        <v>6</v>
      </c>
      <c r="AA340" s="20" t="s">
        <v>592</v>
      </c>
      <c r="AC340" s="20" t="s">
        <v>1158</v>
      </c>
      <c r="AD340" s="20" t="s">
        <v>925</v>
      </c>
      <c r="AE340" s="20" t="s">
        <v>533</v>
      </c>
      <c r="AF340" s="20" t="s">
        <v>2680</v>
      </c>
      <c r="AG340" s="20" t="s">
        <v>628</v>
      </c>
      <c r="AH340" s="20">
        <v>10</v>
      </c>
      <c r="AI340" s="20">
        <v>14</v>
      </c>
      <c r="AJ340" s="20" t="s">
        <v>592</v>
      </c>
      <c r="AL340" s="20" t="s">
        <v>1144</v>
      </c>
      <c r="AM340" s="20" t="s">
        <v>313</v>
      </c>
      <c r="AN340" s="20" t="s">
        <v>441</v>
      </c>
      <c r="AO340" s="20" t="s">
        <v>1359</v>
      </c>
      <c r="AP340" s="20" t="s">
        <v>628</v>
      </c>
      <c r="AQ340" s="20">
        <v>10</v>
      </c>
      <c r="AR340" s="20">
        <v>9</v>
      </c>
      <c r="AS340" s="20" t="s">
        <v>592</v>
      </c>
    </row>
    <row r="341" spans="2:45" ht="15.75" customHeight="1" x14ac:dyDescent="0.2">
      <c r="B341" s="20" t="s">
        <v>1143</v>
      </c>
      <c r="C341" s="20" t="s">
        <v>61</v>
      </c>
      <c r="D341" s="20" t="s">
        <v>604</v>
      </c>
      <c r="E341" s="20" t="s">
        <v>1336</v>
      </c>
      <c r="F341" s="20" t="s">
        <v>628</v>
      </c>
      <c r="G341" s="20">
        <v>10</v>
      </c>
      <c r="H341" s="20">
        <v>2</v>
      </c>
      <c r="I341" s="20" t="s">
        <v>592</v>
      </c>
      <c r="K341" s="20" t="s">
        <v>640</v>
      </c>
      <c r="L341" s="20" t="s">
        <v>191</v>
      </c>
      <c r="M341" s="20" t="s">
        <v>1755</v>
      </c>
      <c r="N341" s="20" t="s">
        <v>572</v>
      </c>
      <c r="O341" s="20" t="s">
        <v>835</v>
      </c>
      <c r="P341" s="20">
        <v>5</v>
      </c>
      <c r="Q341" s="20">
        <v>8</v>
      </c>
      <c r="R341" s="20" t="s">
        <v>592</v>
      </c>
      <c r="T341" s="20" t="s">
        <v>1149</v>
      </c>
      <c r="U341" s="20" t="s">
        <v>1150</v>
      </c>
      <c r="V341" s="20" t="s">
        <v>476</v>
      </c>
      <c r="W341" s="20" t="s">
        <v>2264</v>
      </c>
      <c r="X341" s="20" t="s">
        <v>835</v>
      </c>
      <c r="Y341" s="20">
        <v>5</v>
      </c>
      <c r="Z341" s="20">
        <v>5</v>
      </c>
      <c r="AA341" s="20" t="s">
        <v>592</v>
      </c>
      <c r="AC341" s="20" t="s">
        <v>640</v>
      </c>
      <c r="AD341" s="20" t="s">
        <v>756</v>
      </c>
      <c r="AE341" s="20" t="s">
        <v>2549</v>
      </c>
      <c r="AF341" s="20" t="s">
        <v>2681</v>
      </c>
      <c r="AG341" s="20" t="s">
        <v>628</v>
      </c>
      <c r="AH341" s="20">
        <v>10</v>
      </c>
      <c r="AI341" s="20">
        <v>19</v>
      </c>
      <c r="AJ341" s="20" t="s">
        <v>592</v>
      </c>
      <c r="AL341" s="20" t="s">
        <v>1144</v>
      </c>
      <c r="AM341" s="20" t="s">
        <v>194</v>
      </c>
      <c r="AN341" s="20" t="s">
        <v>437</v>
      </c>
      <c r="AO341" s="20" t="s">
        <v>1484</v>
      </c>
      <c r="AP341" s="20" t="s">
        <v>628</v>
      </c>
      <c r="AQ341" s="20">
        <v>10</v>
      </c>
      <c r="AR341" s="20">
        <v>21</v>
      </c>
      <c r="AS341" s="20" t="s">
        <v>592</v>
      </c>
    </row>
    <row r="342" spans="2:45" ht="15.75" customHeight="1" x14ac:dyDescent="0.2">
      <c r="B342" s="20" t="s">
        <v>1162</v>
      </c>
      <c r="C342" s="20" t="s">
        <v>240</v>
      </c>
      <c r="D342" s="20" t="s">
        <v>848</v>
      </c>
      <c r="E342" s="20" t="s">
        <v>887</v>
      </c>
      <c r="F342" s="20" t="s">
        <v>628</v>
      </c>
      <c r="G342" s="20">
        <v>10</v>
      </c>
      <c r="H342" s="20">
        <v>8</v>
      </c>
      <c r="I342" s="20" t="s">
        <v>592</v>
      </c>
      <c r="K342" s="20" t="s">
        <v>640</v>
      </c>
      <c r="L342" s="20" t="s">
        <v>31</v>
      </c>
      <c r="M342" s="20" t="s">
        <v>1756</v>
      </c>
      <c r="N342" s="20" t="s">
        <v>393</v>
      </c>
      <c r="O342" s="20" t="s">
        <v>835</v>
      </c>
      <c r="P342" s="20">
        <v>5</v>
      </c>
      <c r="Q342" s="20">
        <v>5</v>
      </c>
      <c r="R342" s="20" t="s">
        <v>592</v>
      </c>
      <c r="T342" s="20" t="s">
        <v>1149</v>
      </c>
      <c r="U342" s="20" t="s">
        <v>1150</v>
      </c>
      <c r="V342" s="20" t="s">
        <v>478</v>
      </c>
      <c r="W342" s="20" t="s">
        <v>1402</v>
      </c>
      <c r="X342" s="20" t="s">
        <v>835</v>
      </c>
      <c r="Y342" s="20">
        <v>5</v>
      </c>
      <c r="Z342" s="20">
        <v>5</v>
      </c>
      <c r="AA342" s="20" t="s">
        <v>592</v>
      </c>
      <c r="AC342" s="20" t="s">
        <v>646</v>
      </c>
      <c r="AD342" s="20" t="s">
        <v>209</v>
      </c>
      <c r="AE342" s="20" t="s">
        <v>1714</v>
      </c>
      <c r="AF342" s="20" t="s">
        <v>1713</v>
      </c>
      <c r="AG342" s="20" t="s">
        <v>835</v>
      </c>
      <c r="AH342" s="20">
        <v>5</v>
      </c>
      <c r="AI342" s="20">
        <v>4</v>
      </c>
      <c r="AJ342" s="20" t="s">
        <v>593</v>
      </c>
      <c r="AL342" s="20" t="s">
        <v>1144</v>
      </c>
      <c r="AM342" s="20" t="s">
        <v>194</v>
      </c>
      <c r="AN342" s="20" t="s">
        <v>868</v>
      </c>
      <c r="AO342" s="20" t="s">
        <v>1363</v>
      </c>
      <c r="AP342" s="20" t="s">
        <v>628</v>
      </c>
      <c r="AQ342" s="20">
        <v>10</v>
      </c>
      <c r="AR342" s="20">
        <v>10</v>
      </c>
      <c r="AS342" s="20" t="s">
        <v>592</v>
      </c>
    </row>
    <row r="343" spans="2:45" ht="15.75" customHeight="1" x14ac:dyDescent="0.2">
      <c r="B343" s="20" t="s">
        <v>1143</v>
      </c>
      <c r="C343" s="20" t="s">
        <v>706</v>
      </c>
      <c r="D343" s="20" t="s">
        <v>403</v>
      </c>
      <c r="E343" s="20" t="s">
        <v>1098</v>
      </c>
      <c r="F343" s="20" t="s">
        <v>628</v>
      </c>
      <c r="G343" s="20">
        <v>10</v>
      </c>
      <c r="H343" s="20">
        <v>3</v>
      </c>
      <c r="I343" s="20" t="s">
        <v>592</v>
      </c>
      <c r="K343" s="20" t="s">
        <v>640</v>
      </c>
      <c r="L343" s="20" t="s">
        <v>31</v>
      </c>
      <c r="M343" s="20" t="s">
        <v>1757</v>
      </c>
      <c r="N343" s="20" t="s">
        <v>1758</v>
      </c>
      <c r="O343" s="20" t="s">
        <v>835</v>
      </c>
      <c r="P343" s="20">
        <v>5</v>
      </c>
      <c r="Q343" s="20">
        <v>5</v>
      </c>
      <c r="R343" s="20" t="s">
        <v>592</v>
      </c>
      <c r="T343" s="20" t="s">
        <v>1154</v>
      </c>
      <c r="U343" s="20" t="s">
        <v>217</v>
      </c>
      <c r="V343" s="20" t="s">
        <v>1622</v>
      </c>
      <c r="W343" s="20" t="s">
        <v>2265</v>
      </c>
      <c r="X343" s="20" t="s">
        <v>835</v>
      </c>
      <c r="Y343" s="20">
        <v>5</v>
      </c>
      <c r="Z343" s="20">
        <v>2</v>
      </c>
      <c r="AA343" s="20" t="s">
        <v>593</v>
      </c>
      <c r="AC343" s="20" t="s">
        <v>1162</v>
      </c>
      <c r="AD343" s="20" t="s">
        <v>352</v>
      </c>
      <c r="AE343" s="20" t="s">
        <v>894</v>
      </c>
      <c r="AF343" s="20" t="s">
        <v>2682</v>
      </c>
      <c r="AG343" s="20" t="s">
        <v>835</v>
      </c>
      <c r="AH343" s="20">
        <v>5</v>
      </c>
      <c r="AI343" s="20">
        <v>5</v>
      </c>
      <c r="AJ343" s="20" t="s">
        <v>592</v>
      </c>
      <c r="AL343" s="20" t="s">
        <v>1144</v>
      </c>
      <c r="AM343" s="20" t="s">
        <v>194</v>
      </c>
      <c r="AN343" s="20" t="s">
        <v>897</v>
      </c>
      <c r="AO343" s="20" t="s">
        <v>1373</v>
      </c>
      <c r="AP343" s="20" t="s">
        <v>628</v>
      </c>
      <c r="AQ343" s="20">
        <v>10</v>
      </c>
      <c r="AR343" s="20">
        <v>13</v>
      </c>
      <c r="AS343" s="20" t="s">
        <v>592</v>
      </c>
    </row>
    <row r="344" spans="2:45" ht="15.75" customHeight="1" x14ac:dyDescent="0.2">
      <c r="B344" s="20" t="s">
        <v>1143</v>
      </c>
      <c r="C344" s="20" t="s">
        <v>706</v>
      </c>
      <c r="D344" s="20" t="s">
        <v>403</v>
      </c>
      <c r="E344" s="20" t="s">
        <v>899</v>
      </c>
      <c r="F344" s="20" t="s">
        <v>628</v>
      </c>
      <c r="G344" s="20">
        <v>10</v>
      </c>
      <c r="H344" s="20">
        <v>6</v>
      </c>
      <c r="I344" s="20" t="s">
        <v>592</v>
      </c>
      <c r="K344" s="20" t="s">
        <v>640</v>
      </c>
      <c r="L344" s="20" t="s">
        <v>705</v>
      </c>
      <c r="M344" s="20" t="s">
        <v>994</v>
      </c>
      <c r="N344" s="20" t="s">
        <v>380</v>
      </c>
      <c r="O344" s="20" t="s">
        <v>835</v>
      </c>
      <c r="P344" s="20">
        <v>5</v>
      </c>
      <c r="Q344" s="20">
        <v>1</v>
      </c>
      <c r="R344" s="20" t="s">
        <v>593</v>
      </c>
      <c r="T344" s="20" t="s">
        <v>1163</v>
      </c>
      <c r="U344" s="20" t="s">
        <v>299</v>
      </c>
      <c r="V344" s="20" t="s">
        <v>362</v>
      </c>
      <c r="W344" s="20" t="s">
        <v>2266</v>
      </c>
      <c r="X344" s="20" t="s">
        <v>835</v>
      </c>
      <c r="Y344" s="20">
        <v>5</v>
      </c>
      <c r="Z344" s="20">
        <v>1</v>
      </c>
      <c r="AA344" s="20" t="s">
        <v>593</v>
      </c>
      <c r="AC344" s="20" t="s">
        <v>646</v>
      </c>
      <c r="AD344" s="20" t="s">
        <v>285</v>
      </c>
      <c r="AE344" s="20" t="s">
        <v>425</v>
      </c>
      <c r="AF344" s="20" t="s">
        <v>2636</v>
      </c>
      <c r="AG344" s="20" t="s">
        <v>628</v>
      </c>
      <c r="AH344" s="20">
        <v>10</v>
      </c>
      <c r="AI344" s="20">
        <v>3</v>
      </c>
      <c r="AJ344" s="20" t="s">
        <v>593</v>
      </c>
      <c r="AL344" s="20" t="s">
        <v>1144</v>
      </c>
      <c r="AM344" s="20" t="s">
        <v>194</v>
      </c>
      <c r="AN344" s="20" t="s">
        <v>487</v>
      </c>
      <c r="AO344" s="20" t="s">
        <v>1988</v>
      </c>
      <c r="AP344" s="20" t="s">
        <v>628</v>
      </c>
      <c r="AQ344" s="20">
        <v>10</v>
      </c>
      <c r="AR344" s="20">
        <v>13</v>
      </c>
      <c r="AS344" s="20" t="s">
        <v>592</v>
      </c>
    </row>
    <row r="345" spans="2:45" ht="15.75" customHeight="1" x14ac:dyDescent="0.2">
      <c r="B345" s="20" t="s">
        <v>1143</v>
      </c>
      <c r="C345" s="20" t="s">
        <v>689</v>
      </c>
      <c r="D345" s="20" t="s">
        <v>527</v>
      </c>
      <c r="E345" s="20" t="s">
        <v>1337</v>
      </c>
      <c r="F345" s="20" t="s">
        <v>628</v>
      </c>
      <c r="G345" s="20">
        <v>10</v>
      </c>
      <c r="H345" s="20">
        <v>8</v>
      </c>
      <c r="I345" s="20" t="s">
        <v>592</v>
      </c>
      <c r="K345" s="20" t="s">
        <v>640</v>
      </c>
      <c r="L345" s="20" t="s">
        <v>705</v>
      </c>
      <c r="M345" s="20" t="s">
        <v>993</v>
      </c>
      <c r="N345" s="20" t="s">
        <v>392</v>
      </c>
      <c r="O345" s="20" t="s">
        <v>835</v>
      </c>
      <c r="P345" s="20">
        <v>5</v>
      </c>
      <c r="Q345" s="20">
        <v>4</v>
      </c>
      <c r="R345" s="20" t="s">
        <v>592</v>
      </c>
      <c r="T345" s="20" t="s">
        <v>1144</v>
      </c>
      <c r="U345" s="20" t="s">
        <v>707</v>
      </c>
      <c r="V345" s="20" t="s">
        <v>1955</v>
      </c>
      <c r="W345" s="20" t="s">
        <v>1954</v>
      </c>
      <c r="X345" s="20" t="s">
        <v>835</v>
      </c>
      <c r="Y345" s="20">
        <v>5</v>
      </c>
      <c r="Z345" s="20">
        <v>6</v>
      </c>
      <c r="AA345" s="20" t="s">
        <v>592</v>
      </c>
      <c r="AC345" s="20" t="s">
        <v>646</v>
      </c>
      <c r="AD345" s="20" t="s">
        <v>334</v>
      </c>
      <c r="AE345" s="20" t="s">
        <v>522</v>
      </c>
      <c r="AF345" s="20" t="s">
        <v>1598</v>
      </c>
      <c r="AG345" s="20" t="s">
        <v>835</v>
      </c>
      <c r="AH345" s="20">
        <v>5</v>
      </c>
      <c r="AI345" s="20">
        <v>5</v>
      </c>
      <c r="AJ345" s="20" t="s">
        <v>592</v>
      </c>
      <c r="AL345" s="20" t="s">
        <v>1144</v>
      </c>
      <c r="AM345" s="20" t="s">
        <v>194</v>
      </c>
      <c r="AN345" s="20" t="s">
        <v>561</v>
      </c>
      <c r="AO345" s="20" t="s">
        <v>1586</v>
      </c>
      <c r="AP345" s="20" t="s">
        <v>628</v>
      </c>
      <c r="AQ345" s="20">
        <v>10</v>
      </c>
      <c r="AR345" s="20">
        <v>30</v>
      </c>
      <c r="AS345" s="20" t="s">
        <v>592</v>
      </c>
    </row>
    <row r="346" spans="2:45" ht="15.75" customHeight="1" x14ac:dyDescent="0.2">
      <c r="B346" s="20" t="s">
        <v>1143</v>
      </c>
      <c r="C346" s="20" t="s">
        <v>689</v>
      </c>
      <c r="D346" s="20" t="s">
        <v>527</v>
      </c>
      <c r="E346" s="20" t="s">
        <v>1338</v>
      </c>
      <c r="F346" s="20" t="s">
        <v>628</v>
      </c>
      <c r="G346" s="20">
        <v>10</v>
      </c>
      <c r="H346" s="20">
        <v>1</v>
      </c>
      <c r="I346" s="20" t="s">
        <v>592</v>
      </c>
      <c r="K346" s="20" t="s">
        <v>640</v>
      </c>
      <c r="L346" s="20" t="s">
        <v>705</v>
      </c>
      <c r="M346" s="20" t="s">
        <v>1759</v>
      </c>
      <c r="N346" s="20" t="s">
        <v>1011</v>
      </c>
      <c r="O346" s="20" t="s">
        <v>835</v>
      </c>
      <c r="P346" s="20">
        <v>5</v>
      </c>
      <c r="Q346" s="20">
        <v>7</v>
      </c>
      <c r="R346" s="20" t="s">
        <v>592</v>
      </c>
      <c r="T346" s="20" t="s">
        <v>1144</v>
      </c>
      <c r="U346" s="20" t="s">
        <v>249</v>
      </c>
      <c r="V346" s="20" t="s">
        <v>491</v>
      </c>
      <c r="W346" s="20" t="s">
        <v>1444</v>
      </c>
      <c r="X346" s="20" t="s">
        <v>835</v>
      </c>
      <c r="Y346" s="20">
        <v>5</v>
      </c>
      <c r="Z346" s="20">
        <v>5</v>
      </c>
      <c r="AA346" s="20" t="s">
        <v>592</v>
      </c>
      <c r="AC346" s="20" t="s">
        <v>646</v>
      </c>
      <c r="AD346" s="20" t="s">
        <v>303</v>
      </c>
      <c r="AE346" s="20" t="s">
        <v>409</v>
      </c>
      <c r="AF346" s="20" t="s">
        <v>2683</v>
      </c>
      <c r="AG346" s="20" t="s">
        <v>835</v>
      </c>
      <c r="AH346" s="20">
        <v>5</v>
      </c>
      <c r="AI346" s="20">
        <v>5</v>
      </c>
      <c r="AJ346" s="20" t="s">
        <v>592</v>
      </c>
      <c r="AL346" s="20" t="s">
        <v>1144</v>
      </c>
      <c r="AM346" s="20" t="s">
        <v>194</v>
      </c>
      <c r="AN346" s="20" t="s">
        <v>438</v>
      </c>
      <c r="AO346" s="20" t="s">
        <v>828</v>
      </c>
      <c r="AP346" s="20" t="s">
        <v>628</v>
      </c>
      <c r="AQ346" s="20">
        <v>10</v>
      </c>
      <c r="AR346" s="20">
        <v>25</v>
      </c>
      <c r="AS346" s="20" t="s">
        <v>592</v>
      </c>
    </row>
    <row r="347" spans="2:45" ht="15.75" customHeight="1" x14ac:dyDescent="0.2">
      <c r="B347" s="20" t="s">
        <v>1161</v>
      </c>
      <c r="C347" s="20" t="s">
        <v>304</v>
      </c>
      <c r="D347" s="20" t="s">
        <v>423</v>
      </c>
      <c r="E347" s="20" t="s">
        <v>1339</v>
      </c>
      <c r="F347" s="20" t="s">
        <v>628</v>
      </c>
      <c r="G347" s="20">
        <v>10</v>
      </c>
      <c r="H347" s="20">
        <v>11</v>
      </c>
      <c r="I347" s="20" t="s">
        <v>592</v>
      </c>
      <c r="K347" s="20" t="s">
        <v>640</v>
      </c>
      <c r="L347" s="20" t="s">
        <v>705</v>
      </c>
      <c r="M347" s="20" t="s">
        <v>1760</v>
      </c>
      <c r="N347" s="20" t="s">
        <v>392</v>
      </c>
      <c r="O347" s="20" t="s">
        <v>835</v>
      </c>
      <c r="P347" s="20">
        <v>5</v>
      </c>
      <c r="Q347" s="20">
        <v>1</v>
      </c>
      <c r="R347" s="20" t="s">
        <v>592</v>
      </c>
      <c r="T347" s="20" t="s">
        <v>1161</v>
      </c>
      <c r="U347" s="20" t="s">
        <v>765</v>
      </c>
      <c r="V347" s="20" t="s">
        <v>512</v>
      </c>
      <c r="W347" s="20" t="s">
        <v>1255</v>
      </c>
      <c r="X347" s="20" t="s">
        <v>835</v>
      </c>
      <c r="Y347" s="20">
        <v>5</v>
      </c>
      <c r="Z347" s="20">
        <v>5</v>
      </c>
      <c r="AA347" s="20" t="s">
        <v>592</v>
      </c>
      <c r="AC347" s="20" t="s">
        <v>646</v>
      </c>
      <c r="AD347" s="20" t="s">
        <v>25</v>
      </c>
      <c r="AE347" s="20" t="s">
        <v>521</v>
      </c>
      <c r="AF347" s="20" t="s">
        <v>2345</v>
      </c>
      <c r="AG347" s="20" t="s">
        <v>628</v>
      </c>
      <c r="AH347" s="20">
        <v>10</v>
      </c>
      <c r="AI347" s="20">
        <v>8</v>
      </c>
      <c r="AJ347" s="20" t="s">
        <v>592</v>
      </c>
      <c r="AL347" s="20" t="s">
        <v>1144</v>
      </c>
      <c r="AM347" s="20" t="s">
        <v>194</v>
      </c>
      <c r="AN347" s="20" t="s">
        <v>442</v>
      </c>
      <c r="AO347" s="20" t="s">
        <v>1662</v>
      </c>
      <c r="AP347" s="20" t="s">
        <v>628</v>
      </c>
      <c r="AQ347" s="20">
        <v>10</v>
      </c>
      <c r="AR347" s="20">
        <v>9</v>
      </c>
      <c r="AS347" s="20" t="s">
        <v>592</v>
      </c>
    </row>
    <row r="348" spans="2:45" ht="15.75" customHeight="1" x14ac:dyDescent="0.2">
      <c r="B348" s="20" t="s">
        <v>1154</v>
      </c>
      <c r="C348" s="20" t="s">
        <v>335</v>
      </c>
      <c r="D348" s="20" t="s">
        <v>575</v>
      </c>
      <c r="E348" s="20" t="s">
        <v>1029</v>
      </c>
      <c r="F348" s="20" t="s">
        <v>628</v>
      </c>
      <c r="G348" s="20">
        <v>10</v>
      </c>
      <c r="H348" s="20">
        <v>8</v>
      </c>
      <c r="I348" s="20" t="s">
        <v>592</v>
      </c>
      <c r="K348" s="20" t="s">
        <v>640</v>
      </c>
      <c r="L348" s="20" t="s">
        <v>248</v>
      </c>
      <c r="M348" s="20" t="s">
        <v>1449</v>
      </c>
      <c r="N348" s="20" t="s">
        <v>1450</v>
      </c>
      <c r="O348" s="20" t="s">
        <v>835</v>
      </c>
      <c r="P348" s="20">
        <v>5</v>
      </c>
      <c r="Q348" s="20">
        <v>6</v>
      </c>
      <c r="R348" s="20" t="s">
        <v>592</v>
      </c>
      <c r="T348" s="20" t="s">
        <v>1161</v>
      </c>
      <c r="U348" s="20" t="s">
        <v>765</v>
      </c>
      <c r="V348" s="20" t="s">
        <v>2034</v>
      </c>
      <c r="W348" s="20" t="s">
        <v>2033</v>
      </c>
      <c r="X348" s="20" t="s">
        <v>628</v>
      </c>
      <c r="Y348" s="20">
        <v>10</v>
      </c>
      <c r="Z348" s="20">
        <v>9</v>
      </c>
      <c r="AA348" s="20" t="s">
        <v>592</v>
      </c>
      <c r="AC348" s="20" t="s">
        <v>1141</v>
      </c>
      <c r="AD348" s="20" t="s">
        <v>780</v>
      </c>
      <c r="AE348" s="20" t="s">
        <v>398</v>
      </c>
      <c r="AF348" s="20" t="s">
        <v>1287</v>
      </c>
      <c r="AG348" s="20" t="s">
        <v>835</v>
      </c>
      <c r="AH348" s="20">
        <v>5</v>
      </c>
      <c r="AI348" s="20">
        <v>5</v>
      </c>
      <c r="AJ348" s="20" t="s">
        <v>592</v>
      </c>
      <c r="AL348" s="20" t="s">
        <v>1144</v>
      </c>
      <c r="AM348" s="20" t="s">
        <v>194</v>
      </c>
      <c r="AN348" s="20" t="s">
        <v>2825</v>
      </c>
      <c r="AO348" s="20" t="s">
        <v>3024</v>
      </c>
      <c r="AP348" s="20" t="s">
        <v>628</v>
      </c>
      <c r="AQ348" s="20">
        <v>10</v>
      </c>
      <c r="AR348" s="20">
        <v>8</v>
      </c>
      <c r="AS348" s="20" t="s">
        <v>592</v>
      </c>
    </row>
    <row r="349" spans="2:45" ht="15.75" customHeight="1" x14ac:dyDescent="0.2">
      <c r="B349" s="20" t="s">
        <v>1144</v>
      </c>
      <c r="C349" s="20" t="s">
        <v>249</v>
      </c>
      <c r="D349" s="20" t="s">
        <v>440</v>
      </c>
      <c r="E349" s="20" t="s">
        <v>1340</v>
      </c>
      <c r="F349" s="20" t="s">
        <v>628</v>
      </c>
      <c r="G349" s="20">
        <v>10</v>
      </c>
      <c r="H349" s="20">
        <v>7</v>
      </c>
      <c r="I349" s="20" t="s">
        <v>592</v>
      </c>
      <c r="K349" s="20" t="s">
        <v>640</v>
      </c>
      <c r="L349" s="20" t="s">
        <v>248</v>
      </c>
      <c r="M349" s="20" t="s">
        <v>1761</v>
      </c>
      <c r="N349" s="20" t="s">
        <v>635</v>
      </c>
      <c r="O349" s="20" t="s">
        <v>835</v>
      </c>
      <c r="P349" s="20">
        <v>5</v>
      </c>
      <c r="Q349" s="20">
        <v>7</v>
      </c>
      <c r="R349" s="20" t="s">
        <v>592</v>
      </c>
      <c r="T349" s="20" t="s">
        <v>1161</v>
      </c>
      <c r="U349" s="20" t="s">
        <v>765</v>
      </c>
      <c r="V349" s="20" t="s">
        <v>2034</v>
      </c>
      <c r="W349" s="20" t="s">
        <v>2267</v>
      </c>
      <c r="X349" s="20" t="s">
        <v>628</v>
      </c>
      <c r="Y349" s="20">
        <v>10</v>
      </c>
      <c r="Z349" s="20">
        <v>5</v>
      </c>
      <c r="AA349" s="20" t="s">
        <v>592</v>
      </c>
      <c r="AC349" s="20" t="s">
        <v>640</v>
      </c>
      <c r="AD349" s="20" t="s">
        <v>705</v>
      </c>
      <c r="AE349" s="20" t="s">
        <v>2550</v>
      </c>
      <c r="AF349" s="20" t="s">
        <v>2684</v>
      </c>
      <c r="AG349" s="20" t="s">
        <v>628</v>
      </c>
      <c r="AH349" s="20">
        <v>10</v>
      </c>
      <c r="AI349" s="20">
        <v>8</v>
      </c>
      <c r="AJ349" s="20" t="s">
        <v>592</v>
      </c>
      <c r="AL349" s="20" t="s">
        <v>1144</v>
      </c>
      <c r="AM349" s="20" t="s">
        <v>249</v>
      </c>
      <c r="AN349" s="20" t="s">
        <v>440</v>
      </c>
      <c r="AO349" s="20" t="s">
        <v>1983</v>
      </c>
      <c r="AP349" s="20" t="s">
        <v>628</v>
      </c>
      <c r="AQ349" s="20">
        <v>10</v>
      </c>
      <c r="AR349" s="20">
        <v>8</v>
      </c>
      <c r="AS349" s="20" t="s">
        <v>592</v>
      </c>
    </row>
    <row r="350" spans="2:45" ht="15.75" customHeight="1" x14ac:dyDescent="0.2">
      <c r="B350" s="20" t="s">
        <v>1144</v>
      </c>
      <c r="C350" s="20" t="s">
        <v>249</v>
      </c>
      <c r="D350" s="20" t="s">
        <v>440</v>
      </c>
      <c r="E350" s="20" t="s">
        <v>1341</v>
      </c>
      <c r="F350" s="20" t="s">
        <v>628</v>
      </c>
      <c r="G350" s="20">
        <v>10</v>
      </c>
      <c r="H350" s="20">
        <v>1</v>
      </c>
      <c r="I350" s="20" t="s">
        <v>592</v>
      </c>
      <c r="K350" s="20" t="s">
        <v>640</v>
      </c>
      <c r="L350" s="20" t="s">
        <v>248</v>
      </c>
      <c r="M350" s="20" t="s">
        <v>1762</v>
      </c>
      <c r="N350" s="20" t="s">
        <v>635</v>
      </c>
      <c r="O350" s="20" t="s">
        <v>835</v>
      </c>
      <c r="P350" s="20">
        <v>5</v>
      </c>
      <c r="Q350" s="20">
        <v>1</v>
      </c>
      <c r="R350" s="20" t="s">
        <v>592</v>
      </c>
      <c r="T350" s="20" t="s">
        <v>1143</v>
      </c>
      <c r="U350" s="20" t="s">
        <v>61</v>
      </c>
      <c r="V350" s="20" t="s">
        <v>526</v>
      </c>
      <c r="W350" s="20" t="s">
        <v>588</v>
      </c>
      <c r="X350" s="20" t="s">
        <v>835</v>
      </c>
      <c r="Y350" s="20">
        <v>5</v>
      </c>
      <c r="Z350" s="20">
        <v>5</v>
      </c>
      <c r="AA350" s="20" t="s">
        <v>592</v>
      </c>
      <c r="AC350" s="20" t="s">
        <v>1144</v>
      </c>
      <c r="AD350" s="20" t="s">
        <v>707</v>
      </c>
      <c r="AE350" s="20" t="s">
        <v>846</v>
      </c>
      <c r="AF350" s="20" t="s">
        <v>1027</v>
      </c>
      <c r="AG350" s="20" t="s">
        <v>835</v>
      </c>
      <c r="AH350" s="20">
        <v>5</v>
      </c>
      <c r="AI350" s="20">
        <v>6</v>
      </c>
      <c r="AJ350" s="20" t="s">
        <v>592</v>
      </c>
      <c r="AL350" s="20" t="s">
        <v>1144</v>
      </c>
      <c r="AM350" s="20" t="s">
        <v>249</v>
      </c>
      <c r="AN350" s="20" t="s">
        <v>562</v>
      </c>
      <c r="AO350" s="20" t="s">
        <v>761</v>
      </c>
      <c r="AP350" s="20" t="s">
        <v>628</v>
      </c>
      <c r="AQ350" s="20">
        <v>10</v>
      </c>
      <c r="AR350" s="20">
        <v>48</v>
      </c>
      <c r="AS350" s="20" t="s">
        <v>592</v>
      </c>
    </row>
    <row r="351" spans="2:45" ht="15.75" customHeight="1" x14ac:dyDescent="0.2">
      <c r="B351" s="20" t="s">
        <v>1141</v>
      </c>
      <c r="C351" s="20" t="s">
        <v>224</v>
      </c>
      <c r="D351" s="20" t="s">
        <v>387</v>
      </c>
      <c r="E351" s="20" t="s">
        <v>794</v>
      </c>
      <c r="F351" s="20" t="s">
        <v>628</v>
      </c>
      <c r="G351" s="20">
        <v>10</v>
      </c>
      <c r="H351" s="20">
        <v>10</v>
      </c>
      <c r="I351" s="20" t="s">
        <v>592</v>
      </c>
      <c r="K351" s="20" t="s">
        <v>1141</v>
      </c>
      <c r="L351" s="20" t="s">
        <v>780</v>
      </c>
      <c r="M351" s="20" t="s">
        <v>1763</v>
      </c>
      <c r="N351" s="20" t="s">
        <v>401</v>
      </c>
      <c r="O351" s="20" t="s">
        <v>628</v>
      </c>
      <c r="P351" s="20">
        <v>10</v>
      </c>
      <c r="Q351" s="20">
        <v>5</v>
      </c>
      <c r="R351" s="20" t="s">
        <v>592</v>
      </c>
      <c r="T351" s="20" t="s">
        <v>1143</v>
      </c>
      <c r="U351" s="20" t="s">
        <v>689</v>
      </c>
      <c r="V351" s="20" t="s">
        <v>406</v>
      </c>
      <c r="W351" s="20" t="s">
        <v>2268</v>
      </c>
      <c r="X351" s="20" t="s">
        <v>835</v>
      </c>
      <c r="Y351" s="20">
        <v>5</v>
      </c>
      <c r="Z351" s="20">
        <v>5</v>
      </c>
      <c r="AA351" s="20" t="s">
        <v>592</v>
      </c>
      <c r="AC351" s="20" t="s">
        <v>1144</v>
      </c>
      <c r="AD351" s="20" t="s">
        <v>249</v>
      </c>
      <c r="AE351" s="20" t="s">
        <v>440</v>
      </c>
      <c r="AF351" s="20" t="s">
        <v>1340</v>
      </c>
      <c r="AG351" s="20" t="s">
        <v>628</v>
      </c>
      <c r="AH351" s="20">
        <v>10</v>
      </c>
      <c r="AI351" s="20">
        <v>6</v>
      </c>
      <c r="AJ351" s="20" t="s">
        <v>592</v>
      </c>
      <c r="AL351" s="20" t="s">
        <v>1144</v>
      </c>
      <c r="AM351" s="20" t="s">
        <v>249</v>
      </c>
      <c r="AN351" s="20" t="s">
        <v>491</v>
      </c>
      <c r="AO351" s="20" t="s">
        <v>1444</v>
      </c>
      <c r="AP351" s="20" t="s">
        <v>628</v>
      </c>
      <c r="AQ351" s="20">
        <v>10</v>
      </c>
      <c r="AR351" s="20">
        <v>16</v>
      </c>
      <c r="AS351" s="20" t="s">
        <v>592</v>
      </c>
    </row>
    <row r="352" spans="2:45" ht="15.75" customHeight="1" x14ac:dyDescent="0.2">
      <c r="B352" s="20" t="s">
        <v>1147</v>
      </c>
      <c r="C352" s="20" t="s">
        <v>244</v>
      </c>
      <c r="D352" s="20" t="s">
        <v>488</v>
      </c>
      <c r="E352" s="20" t="s">
        <v>1342</v>
      </c>
      <c r="F352" s="20" t="s">
        <v>628</v>
      </c>
      <c r="G352" s="20">
        <v>10</v>
      </c>
      <c r="H352" s="20">
        <v>7</v>
      </c>
      <c r="I352" s="20" t="s">
        <v>592</v>
      </c>
      <c r="K352" s="20" t="s">
        <v>1141</v>
      </c>
      <c r="L352" s="20" t="s">
        <v>780</v>
      </c>
      <c r="M352" s="20" t="s">
        <v>1764</v>
      </c>
      <c r="N352" s="20" t="s">
        <v>401</v>
      </c>
      <c r="O352" s="20" t="s">
        <v>628</v>
      </c>
      <c r="P352" s="20">
        <v>10</v>
      </c>
      <c r="Q352" s="20">
        <v>3</v>
      </c>
      <c r="R352" s="20" t="s">
        <v>592</v>
      </c>
      <c r="T352" s="20" t="s">
        <v>1143</v>
      </c>
      <c r="U352" s="20" t="s">
        <v>706</v>
      </c>
      <c r="V352" s="20" t="s">
        <v>404</v>
      </c>
      <c r="W352" s="20" t="s">
        <v>1257</v>
      </c>
      <c r="X352" s="20" t="s">
        <v>835</v>
      </c>
      <c r="Y352" s="20">
        <v>5</v>
      </c>
      <c r="Z352" s="20">
        <v>2</v>
      </c>
      <c r="AA352" s="20" t="s">
        <v>593</v>
      </c>
      <c r="AC352" s="20" t="s">
        <v>1144</v>
      </c>
      <c r="AD352" s="20" t="s">
        <v>249</v>
      </c>
      <c r="AE352" s="20" t="s">
        <v>440</v>
      </c>
      <c r="AF352" s="20" t="s">
        <v>1341</v>
      </c>
      <c r="AG352" s="20" t="s">
        <v>628</v>
      </c>
      <c r="AH352" s="20">
        <v>10</v>
      </c>
      <c r="AI352" s="20">
        <v>2</v>
      </c>
      <c r="AJ352" s="20" t="s">
        <v>592</v>
      </c>
      <c r="AL352" s="20" t="s">
        <v>1144</v>
      </c>
      <c r="AM352" s="20" t="s">
        <v>249</v>
      </c>
      <c r="AN352" s="20" t="s">
        <v>560</v>
      </c>
      <c r="AO352" s="20" t="s">
        <v>2393</v>
      </c>
      <c r="AP352" s="20" t="s">
        <v>628</v>
      </c>
      <c r="AQ352" s="20">
        <v>10</v>
      </c>
      <c r="AR352" s="20">
        <v>9</v>
      </c>
      <c r="AS352" s="20" t="s">
        <v>592</v>
      </c>
    </row>
    <row r="353" spans="2:45" ht="15.75" customHeight="1" x14ac:dyDescent="0.2">
      <c r="B353" s="20" t="s">
        <v>1147</v>
      </c>
      <c r="C353" s="20" t="s">
        <v>244</v>
      </c>
      <c r="D353" s="20" t="s">
        <v>488</v>
      </c>
      <c r="E353" s="20" t="s">
        <v>1343</v>
      </c>
      <c r="F353" s="20" t="s">
        <v>628</v>
      </c>
      <c r="G353" s="20">
        <v>10</v>
      </c>
      <c r="H353" s="20">
        <v>1</v>
      </c>
      <c r="I353" s="20" t="s">
        <v>592</v>
      </c>
      <c r="K353" s="20" t="s">
        <v>1141</v>
      </c>
      <c r="L353" s="20" t="s">
        <v>780</v>
      </c>
      <c r="M353" s="20" t="s">
        <v>1765</v>
      </c>
      <c r="N353" s="20" t="s">
        <v>1766</v>
      </c>
      <c r="O353" s="20" t="s">
        <v>835</v>
      </c>
      <c r="P353" s="20">
        <v>5</v>
      </c>
      <c r="Q353" s="20">
        <v>2</v>
      </c>
      <c r="R353" s="20" t="s">
        <v>593</v>
      </c>
      <c r="T353" s="20" t="s">
        <v>646</v>
      </c>
      <c r="U353" s="20" t="s">
        <v>25</v>
      </c>
      <c r="V353" s="20" t="s">
        <v>373</v>
      </c>
      <c r="W353" s="20" t="s">
        <v>2269</v>
      </c>
      <c r="X353" s="20" t="s">
        <v>628</v>
      </c>
      <c r="Y353" s="20">
        <v>10</v>
      </c>
      <c r="Z353" s="20">
        <v>9</v>
      </c>
      <c r="AA353" s="20" t="s">
        <v>592</v>
      </c>
      <c r="AC353" s="20" t="s">
        <v>1155</v>
      </c>
      <c r="AD353" s="20" t="s">
        <v>286</v>
      </c>
      <c r="AE353" s="20" t="s">
        <v>1512</v>
      </c>
      <c r="AF353" s="20" t="s">
        <v>1717</v>
      </c>
      <c r="AG353" s="20" t="s">
        <v>835</v>
      </c>
      <c r="AH353" s="20">
        <v>5</v>
      </c>
      <c r="AI353" s="20">
        <v>7</v>
      </c>
      <c r="AJ353" s="20" t="s">
        <v>592</v>
      </c>
      <c r="AL353" s="20" t="s">
        <v>1144</v>
      </c>
      <c r="AM353" s="20" t="s">
        <v>249</v>
      </c>
      <c r="AN353" s="20" t="s">
        <v>564</v>
      </c>
      <c r="AO353" s="20" t="s">
        <v>834</v>
      </c>
      <c r="AP353" s="20" t="s">
        <v>628</v>
      </c>
      <c r="AQ353" s="20">
        <v>10</v>
      </c>
      <c r="AR353" s="20">
        <v>30</v>
      </c>
      <c r="AS353" s="20" t="s">
        <v>592</v>
      </c>
    </row>
    <row r="354" spans="2:45" ht="15.75" customHeight="1" x14ac:dyDescent="0.2">
      <c r="B354" s="20" t="s">
        <v>1163</v>
      </c>
      <c r="C354" s="20" t="s">
        <v>221</v>
      </c>
      <c r="D354" s="20" t="s">
        <v>678</v>
      </c>
      <c r="E354" s="20" t="s">
        <v>1344</v>
      </c>
      <c r="F354" s="20" t="s">
        <v>628</v>
      </c>
      <c r="G354" s="20">
        <v>10</v>
      </c>
      <c r="H354" s="20">
        <v>8</v>
      </c>
      <c r="I354" s="20" t="s">
        <v>592</v>
      </c>
      <c r="K354" s="20" t="s">
        <v>1141</v>
      </c>
      <c r="L354" s="20" t="s">
        <v>787</v>
      </c>
      <c r="M354" s="20" t="s">
        <v>1767</v>
      </c>
      <c r="N354" s="20" t="s">
        <v>1768</v>
      </c>
      <c r="O354" s="20" t="s">
        <v>835</v>
      </c>
      <c r="P354" s="20">
        <v>5</v>
      </c>
      <c r="Q354" s="20">
        <v>5</v>
      </c>
      <c r="R354" s="20" t="s">
        <v>592</v>
      </c>
      <c r="T354" s="20" t="s">
        <v>646</v>
      </c>
      <c r="U354" s="20" t="s">
        <v>25</v>
      </c>
      <c r="V354" s="20" t="s">
        <v>371</v>
      </c>
      <c r="W354" s="20" t="s">
        <v>2270</v>
      </c>
      <c r="X354" s="20" t="s">
        <v>835</v>
      </c>
      <c r="Y354" s="20">
        <v>5</v>
      </c>
      <c r="Z354" s="20">
        <v>5</v>
      </c>
      <c r="AA354" s="20" t="s">
        <v>592</v>
      </c>
      <c r="AC354" s="20" t="s">
        <v>1163</v>
      </c>
      <c r="AD354" s="20" t="s">
        <v>207</v>
      </c>
      <c r="AE354" s="20" t="s">
        <v>1566</v>
      </c>
      <c r="AF354" s="20" t="s">
        <v>2685</v>
      </c>
      <c r="AG354" s="20" t="s">
        <v>628</v>
      </c>
      <c r="AH354" s="20">
        <v>10</v>
      </c>
      <c r="AI354" s="20">
        <v>11</v>
      </c>
      <c r="AJ354" s="20" t="s">
        <v>592</v>
      </c>
      <c r="AL354" s="20" t="s">
        <v>1144</v>
      </c>
      <c r="AM354" s="20" t="s">
        <v>249</v>
      </c>
      <c r="AN354" s="20" t="s">
        <v>564</v>
      </c>
      <c r="AO354" s="20" t="s">
        <v>3025</v>
      </c>
      <c r="AP354" s="20" t="s">
        <v>628</v>
      </c>
      <c r="AQ354" s="20">
        <v>10</v>
      </c>
      <c r="AR354" s="20">
        <v>17</v>
      </c>
      <c r="AS354" s="20" t="s">
        <v>592</v>
      </c>
    </row>
    <row r="355" spans="2:45" ht="15.75" customHeight="1" x14ac:dyDescent="0.2">
      <c r="B355" s="20" t="s">
        <v>1169</v>
      </c>
      <c r="C355" s="20" t="s">
        <v>19</v>
      </c>
      <c r="D355" s="20" t="s">
        <v>500</v>
      </c>
      <c r="E355" s="20" t="s">
        <v>1224</v>
      </c>
      <c r="F355" s="20" t="s">
        <v>628</v>
      </c>
      <c r="G355" s="20">
        <v>10</v>
      </c>
      <c r="H355" s="20">
        <v>17</v>
      </c>
      <c r="I355" s="20" t="s">
        <v>592</v>
      </c>
      <c r="K355" s="20" t="s">
        <v>646</v>
      </c>
      <c r="L355" s="20" t="s">
        <v>246</v>
      </c>
      <c r="M355" s="20" t="s">
        <v>1769</v>
      </c>
      <c r="N355" s="20" t="s">
        <v>1770</v>
      </c>
      <c r="O355" s="20" t="s">
        <v>835</v>
      </c>
      <c r="P355" s="20">
        <v>5</v>
      </c>
      <c r="Q355" s="20">
        <v>1</v>
      </c>
      <c r="R355" s="20" t="s">
        <v>593</v>
      </c>
      <c r="T355" s="20" t="s">
        <v>640</v>
      </c>
      <c r="U355" s="20" t="s">
        <v>31</v>
      </c>
      <c r="V355" s="20" t="s">
        <v>571</v>
      </c>
      <c r="W355" s="20" t="s">
        <v>1886</v>
      </c>
      <c r="X355" s="20" t="s">
        <v>835</v>
      </c>
      <c r="Y355" s="20">
        <v>5</v>
      </c>
      <c r="Z355" s="20">
        <v>4</v>
      </c>
      <c r="AA355" s="20" t="s">
        <v>593</v>
      </c>
      <c r="AC355" s="20" t="s">
        <v>2099</v>
      </c>
      <c r="AD355" s="20" t="s">
        <v>2109</v>
      </c>
      <c r="AE355" s="20" t="s">
        <v>2545</v>
      </c>
      <c r="AF355" s="20" t="s">
        <v>2686</v>
      </c>
      <c r="AG355" s="20" t="s">
        <v>835</v>
      </c>
      <c r="AH355" s="20">
        <v>5</v>
      </c>
      <c r="AI355" s="20">
        <v>8</v>
      </c>
      <c r="AJ355" s="20" t="s">
        <v>592</v>
      </c>
      <c r="AL355" s="20" t="s">
        <v>1144</v>
      </c>
      <c r="AM355" s="20" t="s">
        <v>249</v>
      </c>
      <c r="AN355" s="20" t="s">
        <v>563</v>
      </c>
      <c r="AO355" s="20" t="s">
        <v>3026</v>
      </c>
      <c r="AP355" s="20" t="s">
        <v>628</v>
      </c>
      <c r="AQ355" s="20">
        <v>10</v>
      </c>
      <c r="AR355" s="20">
        <v>12</v>
      </c>
      <c r="AS355" s="20" t="s">
        <v>592</v>
      </c>
    </row>
    <row r="356" spans="2:45" ht="15.75" customHeight="1" x14ac:dyDescent="0.2">
      <c r="B356" s="20" t="s">
        <v>1161</v>
      </c>
      <c r="C356" s="20" t="s">
        <v>117</v>
      </c>
      <c r="D356" s="20" t="s">
        <v>455</v>
      </c>
      <c r="E356" s="20" t="s">
        <v>719</v>
      </c>
      <c r="F356" s="20" t="s">
        <v>628</v>
      </c>
      <c r="G356" s="20">
        <v>10</v>
      </c>
      <c r="H356" s="20">
        <v>16</v>
      </c>
      <c r="I356" s="20" t="s">
        <v>592</v>
      </c>
      <c r="K356" s="20" t="s">
        <v>646</v>
      </c>
      <c r="L356" s="20" t="s">
        <v>334</v>
      </c>
      <c r="M356" s="20" t="s">
        <v>1771</v>
      </c>
      <c r="N356" s="20" t="s">
        <v>1772</v>
      </c>
      <c r="O356" s="20" t="s">
        <v>835</v>
      </c>
      <c r="P356" s="20">
        <v>5</v>
      </c>
      <c r="Q356" s="20">
        <v>5</v>
      </c>
      <c r="R356" s="20" t="s">
        <v>592</v>
      </c>
      <c r="T356" s="20" t="s">
        <v>640</v>
      </c>
      <c r="U356" s="20" t="s">
        <v>191</v>
      </c>
      <c r="V356" s="20" t="s">
        <v>1697</v>
      </c>
      <c r="W356" s="20" t="s">
        <v>2271</v>
      </c>
      <c r="X356" s="20" t="s">
        <v>835</v>
      </c>
      <c r="Y356" s="20">
        <v>5</v>
      </c>
      <c r="Z356" s="20">
        <v>4</v>
      </c>
      <c r="AA356" s="20" t="s">
        <v>592</v>
      </c>
      <c r="AC356" s="20" t="s">
        <v>1149</v>
      </c>
      <c r="AD356" s="20" t="s">
        <v>301</v>
      </c>
      <c r="AE356" s="20" t="s">
        <v>1633</v>
      </c>
      <c r="AF356" s="20" t="s">
        <v>1632</v>
      </c>
      <c r="AG356" s="20" t="s">
        <v>628</v>
      </c>
      <c r="AH356" s="20">
        <v>10</v>
      </c>
      <c r="AI356" s="20">
        <v>1</v>
      </c>
      <c r="AJ356" s="20" t="s">
        <v>593</v>
      </c>
      <c r="AL356" s="20" t="s">
        <v>1144</v>
      </c>
      <c r="AM356" s="20" t="s">
        <v>249</v>
      </c>
      <c r="AN356" s="20" t="s">
        <v>564</v>
      </c>
      <c r="AO356" s="20" t="s">
        <v>3027</v>
      </c>
      <c r="AP356" s="20" t="s">
        <v>628</v>
      </c>
      <c r="AQ356" s="20">
        <v>10</v>
      </c>
      <c r="AR356" s="20">
        <v>1</v>
      </c>
      <c r="AS356" s="20" t="s">
        <v>592</v>
      </c>
    </row>
    <row r="357" spans="2:45" ht="15.75" customHeight="1" x14ac:dyDescent="0.2">
      <c r="B357" s="20" t="s">
        <v>1161</v>
      </c>
      <c r="C357" s="20" t="s">
        <v>117</v>
      </c>
      <c r="D357" s="20" t="s">
        <v>455</v>
      </c>
      <c r="E357" s="20" t="s">
        <v>910</v>
      </c>
      <c r="F357" s="20" t="s">
        <v>628</v>
      </c>
      <c r="G357" s="20">
        <v>10</v>
      </c>
      <c r="H357" s="20">
        <v>1</v>
      </c>
      <c r="I357" s="20" t="s">
        <v>592</v>
      </c>
      <c r="K357" s="20" t="s">
        <v>646</v>
      </c>
      <c r="L357" s="20" t="s">
        <v>303</v>
      </c>
      <c r="M357" s="20" t="s">
        <v>1773</v>
      </c>
      <c r="N357" s="20" t="s">
        <v>1774</v>
      </c>
      <c r="O357" s="20" t="s">
        <v>628</v>
      </c>
      <c r="P357" s="20">
        <v>10</v>
      </c>
      <c r="Q357" s="20">
        <v>20</v>
      </c>
      <c r="R357" s="20" t="s">
        <v>592</v>
      </c>
      <c r="T357" s="20" t="s">
        <v>640</v>
      </c>
      <c r="U357" s="20" t="s">
        <v>248</v>
      </c>
      <c r="V357" s="20" t="s">
        <v>635</v>
      </c>
      <c r="W357" s="20" t="s">
        <v>2272</v>
      </c>
      <c r="X357" s="20" t="s">
        <v>835</v>
      </c>
      <c r="Y357" s="20">
        <v>5</v>
      </c>
      <c r="Z357" s="20">
        <v>1</v>
      </c>
      <c r="AA357" s="20" t="s">
        <v>592</v>
      </c>
      <c r="AC357" s="20" t="s">
        <v>1149</v>
      </c>
      <c r="AD357" s="20" t="s">
        <v>301</v>
      </c>
      <c r="AE357" s="20" t="s">
        <v>2032</v>
      </c>
      <c r="AF357" s="20" t="s">
        <v>2687</v>
      </c>
      <c r="AG357" s="20" t="s">
        <v>628</v>
      </c>
      <c r="AH357" s="20">
        <v>10</v>
      </c>
      <c r="AI357" s="20">
        <v>1</v>
      </c>
      <c r="AJ357" s="20" t="s">
        <v>593</v>
      </c>
      <c r="AL357" s="20" t="s">
        <v>1144</v>
      </c>
      <c r="AM357" s="20" t="s">
        <v>249</v>
      </c>
      <c r="AN357" s="20" t="s">
        <v>622</v>
      </c>
      <c r="AO357" s="20" t="s">
        <v>1003</v>
      </c>
      <c r="AP357" s="20" t="s">
        <v>628</v>
      </c>
      <c r="AQ357" s="20">
        <v>10</v>
      </c>
      <c r="AR357" s="20">
        <v>9</v>
      </c>
      <c r="AS357" s="20" t="s">
        <v>592</v>
      </c>
    </row>
    <row r="358" spans="2:45" ht="15.75" customHeight="1" x14ac:dyDescent="0.2">
      <c r="B358" s="20" t="s">
        <v>1161</v>
      </c>
      <c r="C358" s="20" t="s">
        <v>117</v>
      </c>
      <c r="D358" s="20" t="s">
        <v>465</v>
      </c>
      <c r="E358" s="20" t="s">
        <v>1345</v>
      </c>
      <c r="F358" s="20" t="s">
        <v>628</v>
      </c>
      <c r="G358" s="20">
        <v>10</v>
      </c>
      <c r="H358" s="20">
        <v>4</v>
      </c>
      <c r="I358" s="20" t="s">
        <v>593</v>
      </c>
      <c r="K358" s="20" t="s">
        <v>1143</v>
      </c>
      <c r="L358" s="20" t="s">
        <v>689</v>
      </c>
      <c r="M358" s="20" t="s">
        <v>1775</v>
      </c>
      <c r="N358" s="20" t="s">
        <v>527</v>
      </c>
      <c r="O358" s="20" t="s">
        <v>835</v>
      </c>
      <c r="P358" s="20">
        <v>5</v>
      </c>
      <c r="Q358" s="20">
        <v>5</v>
      </c>
      <c r="R358" s="20" t="s">
        <v>592</v>
      </c>
      <c r="T358" s="20" t="s">
        <v>640</v>
      </c>
      <c r="U358" s="20" t="s">
        <v>248</v>
      </c>
      <c r="V358" s="20" t="s">
        <v>635</v>
      </c>
      <c r="W358" s="20" t="s">
        <v>2273</v>
      </c>
      <c r="X358" s="20" t="s">
        <v>835</v>
      </c>
      <c r="Y358" s="20">
        <v>5</v>
      </c>
      <c r="Z358" s="20">
        <v>4</v>
      </c>
      <c r="AA358" s="20" t="s">
        <v>592</v>
      </c>
      <c r="AC358" s="20" t="s">
        <v>1149</v>
      </c>
      <c r="AD358" s="20" t="s">
        <v>301</v>
      </c>
      <c r="AE358" s="20" t="s">
        <v>1464</v>
      </c>
      <c r="AF358" s="20" t="s">
        <v>2688</v>
      </c>
      <c r="AG358" s="20" t="s">
        <v>628</v>
      </c>
      <c r="AH358" s="20">
        <v>10</v>
      </c>
      <c r="AI358" s="20">
        <v>1</v>
      </c>
      <c r="AJ358" s="20" t="s">
        <v>593</v>
      </c>
      <c r="AL358" s="20" t="s">
        <v>1144</v>
      </c>
      <c r="AM358" s="20" t="s">
        <v>249</v>
      </c>
      <c r="AN358" s="20" t="s">
        <v>622</v>
      </c>
      <c r="AO358" s="20" t="s">
        <v>1918</v>
      </c>
      <c r="AP358" s="20" t="s">
        <v>628</v>
      </c>
      <c r="AQ358" s="20">
        <v>10</v>
      </c>
      <c r="AR358" s="20">
        <v>7</v>
      </c>
      <c r="AS358" s="20" t="s">
        <v>592</v>
      </c>
    </row>
    <row r="359" spans="2:45" ht="15.75" customHeight="1" x14ac:dyDescent="0.2">
      <c r="B359" s="20" t="s">
        <v>1161</v>
      </c>
      <c r="C359" s="20" t="s">
        <v>117</v>
      </c>
      <c r="D359" s="20" t="s">
        <v>510</v>
      </c>
      <c r="E359" s="20" t="s">
        <v>1346</v>
      </c>
      <c r="F359" s="20" t="s">
        <v>628</v>
      </c>
      <c r="G359" s="20">
        <v>10</v>
      </c>
      <c r="H359" s="20">
        <v>3</v>
      </c>
      <c r="I359" s="20" t="s">
        <v>593</v>
      </c>
      <c r="K359" s="20" t="s">
        <v>1143</v>
      </c>
      <c r="L359" s="20" t="s">
        <v>706</v>
      </c>
      <c r="M359" s="20" t="s">
        <v>1257</v>
      </c>
      <c r="N359" s="20" t="s">
        <v>404</v>
      </c>
      <c r="O359" s="20" t="s">
        <v>835</v>
      </c>
      <c r="P359" s="20">
        <v>5</v>
      </c>
      <c r="Q359" s="20">
        <v>6</v>
      </c>
      <c r="R359" s="20" t="s">
        <v>592</v>
      </c>
      <c r="T359" s="20" t="s">
        <v>640</v>
      </c>
      <c r="U359" s="20" t="s">
        <v>191</v>
      </c>
      <c r="V359" s="20" t="s">
        <v>1697</v>
      </c>
      <c r="W359" s="20" t="s">
        <v>2274</v>
      </c>
      <c r="X359" s="20" t="s">
        <v>835</v>
      </c>
      <c r="Y359" s="20">
        <v>5</v>
      </c>
      <c r="Z359" s="20">
        <v>1</v>
      </c>
      <c r="AA359" s="20" t="s">
        <v>592</v>
      </c>
      <c r="AC359" s="20" t="s">
        <v>1149</v>
      </c>
      <c r="AD359" s="20" t="s">
        <v>301</v>
      </c>
      <c r="AE359" s="20" t="s">
        <v>503</v>
      </c>
      <c r="AF359" s="20" t="s">
        <v>2028</v>
      </c>
      <c r="AG359" s="20" t="s">
        <v>628</v>
      </c>
      <c r="AH359" s="20">
        <v>10</v>
      </c>
      <c r="AI359" s="20">
        <v>2</v>
      </c>
      <c r="AJ359" s="20" t="s">
        <v>593</v>
      </c>
      <c r="AL359" s="20" t="s">
        <v>1144</v>
      </c>
      <c r="AM359" s="20" t="s">
        <v>249</v>
      </c>
      <c r="AN359" s="20" t="s">
        <v>436</v>
      </c>
      <c r="AO359" s="20" t="s">
        <v>1002</v>
      </c>
      <c r="AP359" s="20" t="s">
        <v>628</v>
      </c>
      <c r="AQ359" s="20">
        <v>10</v>
      </c>
      <c r="AR359" s="20">
        <v>20</v>
      </c>
      <c r="AS359" s="20" t="s">
        <v>592</v>
      </c>
    </row>
    <row r="360" spans="2:45" ht="15.75" customHeight="1" x14ac:dyDescent="0.2">
      <c r="B360" s="20" t="s">
        <v>1161</v>
      </c>
      <c r="C360" s="20" t="s">
        <v>117</v>
      </c>
      <c r="D360" s="20" t="s">
        <v>510</v>
      </c>
      <c r="E360" s="20" t="s">
        <v>1347</v>
      </c>
      <c r="F360" s="20" t="s">
        <v>628</v>
      </c>
      <c r="G360" s="20">
        <v>10</v>
      </c>
      <c r="H360" s="20">
        <v>1</v>
      </c>
      <c r="I360" s="20" t="s">
        <v>593</v>
      </c>
      <c r="K360" s="20" t="s">
        <v>1143</v>
      </c>
      <c r="L360" s="20" t="s">
        <v>706</v>
      </c>
      <c r="M360" s="20" t="s">
        <v>1258</v>
      </c>
      <c r="N360" s="20" t="s">
        <v>404</v>
      </c>
      <c r="O360" s="20" t="s">
        <v>835</v>
      </c>
      <c r="P360" s="20">
        <v>5</v>
      </c>
      <c r="Q360" s="20">
        <v>1</v>
      </c>
      <c r="R360" s="20" t="s">
        <v>592</v>
      </c>
      <c r="T360" s="20" t="s">
        <v>640</v>
      </c>
      <c r="U360" s="20" t="s">
        <v>756</v>
      </c>
      <c r="V360" s="20" t="s">
        <v>395</v>
      </c>
      <c r="W360" s="20" t="s">
        <v>2275</v>
      </c>
      <c r="X360" s="20" t="s">
        <v>835</v>
      </c>
      <c r="Y360" s="20">
        <v>5</v>
      </c>
      <c r="Z360" s="20">
        <v>5</v>
      </c>
      <c r="AA360" s="20" t="s">
        <v>592</v>
      </c>
      <c r="AC360" s="20" t="s">
        <v>1149</v>
      </c>
      <c r="AD360" s="20" t="s">
        <v>301</v>
      </c>
      <c r="AE360" s="20" t="s">
        <v>2030</v>
      </c>
      <c r="AF360" s="20" t="s">
        <v>2395</v>
      </c>
      <c r="AG360" s="20" t="s">
        <v>628</v>
      </c>
      <c r="AH360" s="20">
        <v>10</v>
      </c>
      <c r="AI360" s="20">
        <v>1</v>
      </c>
      <c r="AJ360" s="20" t="s">
        <v>593</v>
      </c>
      <c r="AL360" s="20" t="s">
        <v>1144</v>
      </c>
      <c r="AM360" s="20" t="s">
        <v>1107</v>
      </c>
      <c r="AN360" s="20" t="s">
        <v>1909</v>
      </c>
      <c r="AO360" s="20" t="s">
        <v>2415</v>
      </c>
      <c r="AP360" s="20" t="s">
        <v>628</v>
      </c>
      <c r="AQ360" s="20">
        <v>10</v>
      </c>
      <c r="AR360" s="20">
        <v>18</v>
      </c>
      <c r="AS360" s="20" t="s">
        <v>592</v>
      </c>
    </row>
    <row r="361" spans="2:45" ht="15.75" customHeight="1" x14ac:dyDescent="0.2">
      <c r="B361" s="20" t="s">
        <v>1161</v>
      </c>
      <c r="C361" s="20" t="s">
        <v>117</v>
      </c>
      <c r="D361" s="20" t="s">
        <v>456</v>
      </c>
      <c r="E361" s="20" t="s">
        <v>1260</v>
      </c>
      <c r="F361" s="20" t="s">
        <v>628</v>
      </c>
      <c r="G361" s="20">
        <v>10</v>
      </c>
      <c r="H361" s="20">
        <v>1</v>
      </c>
      <c r="I361" s="20" t="s">
        <v>593</v>
      </c>
      <c r="K361" s="20" t="s">
        <v>1147</v>
      </c>
      <c r="L361" s="20" t="s">
        <v>699</v>
      </c>
      <c r="M361" s="20" t="s">
        <v>1282</v>
      </c>
      <c r="N361" s="20" t="s">
        <v>489</v>
      </c>
      <c r="O361" s="20" t="s">
        <v>628</v>
      </c>
      <c r="P361" s="20">
        <v>10</v>
      </c>
      <c r="Q361" s="20">
        <v>9</v>
      </c>
      <c r="R361" s="20" t="s">
        <v>592</v>
      </c>
      <c r="T361" s="20" t="s">
        <v>640</v>
      </c>
      <c r="U361" s="20" t="s">
        <v>756</v>
      </c>
      <c r="V361" s="20" t="s">
        <v>431</v>
      </c>
      <c r="W361" s="20" t="s">
        <v>1437</v>
      </c>
      <c r="X361" s="20" t="s">
        <v>835</v>
      </c>
      <c r="Y361" s="20">
        <v>5</v>
      </c>
      <c r="Z361" s="20">
        <v>2</v>
      </c>
      <c r="AA361" s="20" t="s">
        <v>593</v>
      </c>
      <c r="AC361" s="20" t="s">
        <v>1149</v>
      </c>
      <c r="AD361" s="20" t="s">
        <v>301</v>
      </c>
      <c r="AE361" s="20" t="s">
        <v>2477</v>
      </c>
      <c r="AF361" s="20" t="s">
        <v>2231</v>
      </c>
      <c r="AG361" s="20" t="s">
        <v>628</v>
      </c>
      <c r="AH361" s="20">
        <v>10</v>
      </c>
      <c r="AI361" s="20">
        <v>1</v>
      </c>
      <c r="AJ361" s="20" t="s">
        <v>593</v>
      </c>
      <c r="AL361" s="20" t="s">
        <v>1144</v>
      </c>
      <c r="AM361" s="20" t="s">
        <v>1107</v>
      </c>
      <c r="AN361" s="20" t="s">
        <v>2826</v>
      </c>
      <c r="AO361" s="20" t="s">
        <v>3028</v>
      </c>
      <c r="AP361" s="20" t="s">
        <v>628</v>
      </c>
      <c r="AQ361" s="20">
        <v>10</v>
      </c>
      <c r="AR361" s="20">
        <v>24</v>
      </c>
      <c r="AS361" s="20" t="s">
        <v>592</v>
      </c>
    </row>
    <row r="362" spans="2:45" ht="15.75" customHeight="1" x14ac:dyDescent="0.2">
      <c r="B362" s="20" t="s">
        <v>1149</v>
      </c>
      <c r="C362" s="20" t="s">
        <v>301</v>
      </c>
      <c r="D362" s="20" t="s">
        <v>501</v>
      </c>
      <c r="E362" s="20" t="s">
        <v>1197</v>
      </c>
      <c r="F362" s="20" t="s">
        <v>628</v>
      </c>
      <c r="G362" s="20">
        <v>10</v>
      </c>
      <c r="H362" s="20">
        <v>9</v>
      </c>
      <c r="I362" s="20" t="s">
        <v>592</v>
      </c>
      <c r="K362" s="20" t="s">
        <v>1147</v>
      </c>
      <c r="L362" s="20" t="s">
        <v>225</v>
      </c>
      <c r="M362" s="20" t="s">
        <v>1532</v>
      </c>
      <c r="N362" s="20" t="s">
        <v>382</v>
      </c>
      <c r="O362" s="20" t="s">
        <v>628</v>
      </c>
      <c r="P362" s="20">
        <v>10</v>
      </c>
      <c r="Q362" s="20">
        <v>11</v>
      </c>
      <c r="R362" s="20" t="s">
        <v>592</v>
      </c>
      <c r="T362" s="20" t="s">
        <v>640</v>
      </c>
      <c r="U362" s="20" t="s">
        <v>248</v>
      </c>
      <c r="V362" s="20" t="s">
        <v>809</v>
      </c>
      <c r="W362" s="20" t="s">
        <v>1071</v>
      </c>
      <c r="X362" s="20" t="s">
        <v>835</v>
      </c>
      <c r="Y362" s="20">
        <v>5</v>
      </c>
      <c r="Z362" s="20">
        <v>1</v>
      </c>
      <c r="AA362" s="20" t="s">
        <v>593</v>
      </c>
      <c r="AC362" s="20" t="s">
        <v>1149</v>
      </c>
      <c r="AD362" s="20" t="s">
        <v>301</v>
      </c>
      <c r="AE362" s="20" t="s">
        <v>501</v>
      </c>
      <c r="AF362" s="20" t="s">
        <v>2689</v>
      </c>
      <c r="AG362" s="20" t="s">
        <v>628</v>
      </c>
      <c r="AH362" s="20">
        <v>10</v>
      </c>
      <c r="AI362" s="20">
        <v>1</v>
      </c>
      <c r="AJ362" s="20" t="s">
        <v>593</v>
      </c>
      <c r="AL362" s="20" t="s">
        <v>1144</v>
      </c>
      <c r="AM362" s="20" t="s">
        <v>1107</v>
      </c>
      <c r="AN362" s="20" t="s">
        <v>2827</v>
      </c>
      <c r="AO362" s="20" t="s">
        <v>3029</v>
      </c>
      <c r="AP362" s="20" t="s">
        <v>835</v>
      </c>
      <c r="AQ362" s="20">
        <v>5</v>
      </c>
      <c r="AR362" s="20">
        <v>5</v>
      </c>
      <c r="AS362" s="20" t="s">
        <v>592</v>
      </c>
    </row>
    <row r="363" spans="2:45" ht="15.75" customHeight="1" x14ac:dyDescent="0.2">
      <c r="B363" s="20" t="s">
        <v>1149</v>
      </c>
      <c r="C363" s="20" t="s">
        <v>301</v>
      </c>
      <c r="D363" s="20" t="s">
        <v>501</v>
      </c>
      <c r="E363" s="20" t="s">
        <v>1198</v>
      </c>
      <c r="F363" s="20" t="s">
        <v>628</v>
      </c>
      <c r="G363" s="20">
        <v>10</v>
      </c>
      <c r="H363" s="20">
        <v>1</v>
      </c>
      <c r="I363" s="20" t="s">
        <v>592</v>
      </c>
      <c r="K363" s="20" t="s">
        <v>1158</v>
      </c>
      <c r="L363" s="20" t="s">
        <v>72</v>
      </c>
      <c r="M363" s="20" t="s">
        <v>1438</v>
      </c>
      <c r="N363" s="20" t="s">
        <v>547</v>
      </c>
      <c r="O363" s="20" t="s">
        <v>835</v>
      </c>
      <c r="P363" s="20">
        <v>5</v>
      </c>
      <c r="Q363" s="20">
        <v>1</v>
      </c>
      <c r="R363" s="20" t="s">
        <v>593</v>
      </c>
      <c r="T363" s="20" t="s">
        <v>1143</v>
      </c>
      <c r="U363" s="20" t="s">
        <v>689</v>
      </c>
      <c r="V363" s="20" t="s">
        <v>1506</v>
      </c>
      <c r="W363" s="20" t="s">
        <v>1505</v>
      </c>
      <c r="X363" s="20" t="s">
        <v>835</v>
      </c>
      <c r="Y363" s="20">
        <v>5</v>
      </c>
      <c r="Z363" s="20">
        <v>2</v>
      </c>
      <c r="AA363" s="20" t="s">
        <v>593</v>
      </c>
      <c r="AC363" s="20" t="s">
        <v>1149</v>
      </c>
      <c r="AD363" s="20" t="s">
        <v>806</v>
      </c>
      <c r="AE363" s="20" t="s">
        <v>502</v>
      </c>
      <c r="AF363" s="20" t="s">
        <v>2247</v>
      </c>
      <c r="AG363" s="20" t="s">
        <v>628</v>
      </c>
      <c r="AH363" s="20">
        <v>10</v>
      </c>
      <c r="AI363" s="20">
        <v>1</v>
      </c>
      <c r="AJ363" s="20" t="s">
        <v>593</v>
      </c>
      <c r="AL363" s="20" t="s">
        <v>1144</v>
      </c>
      <c r="AM363" s="20" t="s">
        <v>23</v>
      </c>
      <c r="AN363" s="20" t="s">
        <v>545</v>
      </c>
      <c r="AO363" s="20" t="s">
        <v>1120</v>
      </c>
      <c r="AP363" s="20" t="s">
        <v>628</v>
      </c>
      <c r="AQ363" s="20">
        <v>10</v>
      </c>
      <c r="AR363" s="20">
        <v>62</v>
      </c>
      <c r="AS363" s="20" t="s">
        <v>592</v>
      </c>
    </row>
    <row r="364" spans="2:45" ht="15.75" customHeight="1" x14ac:dyDescent="0.2">
      <c r="B364" s="20" t="s">
        <v>1147</v>
      </c>
      <c r="C364" s="20" t="s">
        <v>29</v>
      </c>
      <c r="D364" s="20" t="s">
        <v>419</v>
      </c>
      <c r="E364" s="20" t="s">
        <v>1092</v>
      </c>
      <c r="F364" s="20" t="s">
        <v>628</v>
      </c>
      <c r="G364" s="20">
        <v>10</v>
      </c>
      <c r="H364" s="20">
        <v>5</v>
      </c>
      <c r="I364" s="20" t="s">
        <v>592</v>
      </c>
      <c r="K364" s="20" t="s">
        <v>1158</v>
      </c>
      <c r="L364" s="20" t="s">
        <v>72</v>
      </c>
      <c r="M364" s="20" t="s">
        <v>1776</v>
      </c>
      <c r="N364" s="20" t="s">
        <v>1777</v>
      </c>
      <c r="O364" s="20" t="s">
        <v>835</v>
      </c>
      <c r="P364" s="20">
        <v>5</v>
      </c>
      <c r="Q364" s="20">
        <v>4</v>
      </c>
      <c r="R364" s="20" t="s">
        <v>593</v>
      </c>
      <c r="T364" s="20" t="s">
        <v>1154</v>
      </c>
      <c r="U364" s="20" t="s">
        <v>217</v>
      </c>
      <c r="V364" s="20" t="s">
        <v>576</v>
      </c>
      <c r="W364" s="20" t="s">
        <v>743</v>
      </c>
      <c r="X364" s="20" t="s">
        <v>835</v>
      </c>
      <c r="Y364" s="20">
        <v>5</v>
      </c>
      <c r="Z364" s="20">
        <v>5</v>
      </c>
      <c r="AA364" s="20" t="s">
        <v>592</v>
      </c>
      <c r="AC364" s="20" t="s">
        <v>1149</v>
      </c>
      <c r="AD364" s="20" t="s">
        <v>806</v>
      </c>
      <c r="AE364" s="20" t="s">
        <v>1690</v>
      </c>
      <c r="AF364" s="20" t="s">
        <v>1689</v>
      </c>
      <c r="AG364" s="20" t="s">
        <v>628</v>
      </c>
      <c r="AH364" s="20">
        <v>10</v>
      </c>
      <c r="AI364" s="20">
        <v>8</v>
      </c>
      <c r="AJ364" s="20" t="s">
        <v>592</v>
      </c>
      <c r="AL364" s="20" t="s">
        <v>1144</v>
      </c>
      <c r="AM364" s="20" t="s">
        <v>23</v>
      </c>
      <c r="AN364" s="20" t="s">
        <v>544</v>
      </c>
      <c r="AO364" s="20" t="s">
        <v>589</v>
      </c>
      <c r="AP364" s="20" t="s">
        <v>628</v>
      </c>
      <c r="AQ364" s="20">
        <v>10</v>
      </c>
      <c r="AR364" s="20">
        <v>26</v>
      </c>
      <c r="AS364" s="20" t="s">
        <v>592</v>
      </c>
    </row>
    <row r="365" spans="2:45" ht="15.75" customHeight="1" x14ac:dyDescent="0.2">
      <c r="B365" s="20" t="s">
        <v>1147</v>
      </c>
      <c r="C365" s="20" t="s">
        <v>29</v>
      </c>
      <c r="D365" s="20" t="s">
        <v>419</v>
      </c>
      <c r="E365" s="20" t="s">
        <v>1348</v>
      </c>
      <c r="F365" s="20" t="s">
        <v>628</v>
      </c>
      <c r="G365" s="20">
        <v>10</v>
      </c>
      <c r="H365" s="20">
        <v>3</v>
      </c>
      <c r="I365" s="20" t="s">
        <v>592</v>
      </c>
      <c r="K365" s="20" t="s">
        <v>1161</v>
      </c>
      <c r="L365" s="20" t="s">
        <v>765</v>
      </c>
      <c r="M365" s="20" t="s">
        <v>1255</v>
      </c>
      <c r="N365" s="20" t="s">
        <v>512</v>
      </c>
      <c r="O365" s="20" t="s">
        <v>628</v>
      </c>
      <c r="P365" s="20">
        <v>10</v>
      </c>
      <c r="Q365" s="20">
        <v>4</v>
      </c>
      <c r="R365" s="20" t="s">
        <v>593</v>
      </c>
      <c r="T365" s="20" t="s">
        <v>1154</v>
      </c>
      <c r="U365" s="20" t="s">
        <v>217</v>
      </c>
      <c r="V365" s="20" t="s">
        <v>577</v>
      </c>
      <c r="W365" s="20" t="s">
        <v>1067</v>
      </c>
      <c r="X365" s="20" t="s">
        <v>835</v>
      </c>
      <c r="Y365" s="20">
        <v>5</v>
      </c>
      <c r="Z365" s="20">
        <v>6</v>
      </c>
      <c r="AA365" s="20" t="s">
        <v>592</v>
      </c>
      <c r="AC365" s="20" t="s">
        <v>1149</v>
      </c>
      <c r="AD365" s="20" t="s">
        <v>806</v>
      </c>
      <c r="AE365" s="20" t="s">
        <v>1652</v>
      </c>
      <c r="AF365" s="20" t="s">
        <v>1651</v>
      </c>
      <c r="AG365" s="20" t="s">
        <v>628</v>
      </c>
      <c r="AH365" s="20">
        <v>10</v>
      </c>
      <c r="AI365" s="20">
        <v>1</v>
      </c>
      <c r="AJ365" s="20" t="s">
        <v>593</v>
      </c>
      <c r="AL365" s="20" t="s">
        <v>1144</v>
      </c>
      <c r="AM365" s="20" t="s">
        <v>23</v>
      </c>
      <c r="AN365" s="20" t="s">
        <v>2513</v>
      </c>
      <c r="AO365" s="20" t="s">
        <v>2442</v>
      </c>
      <c r="AP365" s="20" t="s">
        <v>628</v>
      </c>
      <c r="AQ365" s="20">
        <v>10</v>
      </c>
      <c r="AR365" s="20">
        <v>23</v>
      </c>
      <c r="AS365" s="20" t="s">
        <v>592</v>
      </c>
    </row>
    <row r="366" spans="2:45" ht="15.75" customHeight="1" x14ac:dyDescent="0.2">
      <c r="B366" s="20" t="s">
        <v>1149</v>
      </c>
      <c r="C366" s="20" t="s">
        <v>806</v>
      </c>
      <c r="D366" s="20" t="s">
        <v>467</v>
      </c>
      <c r="E366" s="20" t="s">
        <v>976</v>
      </c>
      <c r="F366" s="20" t="s">
        <v>628</v>
      </c>
      <c r="G366" s="20">
        <v>10</v>
      </c>
      <c r="H366" s="20">
        <v>10</v>
      </c>
      <c r="I366" s="20" t="s">
        <v>592</v>
      </c>
      <c r="K366" s="20" t="s">
        <v>1161</v>
      </c>
      <c r="L366" s="20" t="s">
        <v>41</v>
      </c>
      <c r="M366" s="20" t="s">
        <v>1778</v>
      </c>
      <c r="N366" s="20" t="s">
        <v>1779</v>
      </c>
      <c r="O366" s="20" t="s">
        <v>835</v>
      </c>
      <c r="P366" s="20">
        <v>5</v>
      </c>
      <c r="Q366" s="20">
        <v>4</v>
      </c>
      <c r="R366" s="20" t="s">
        <v>593</v>
      </c>
      <c r="T366" s="20" t="s">
        <v>1154</v>
      </c>
      <c r="U366" s="20" t="s">
        <v>335</v>
      </c>
      <c r="V366" s="20" t="s">
        <v>548</v>
      </c>
      <c r="W366" s="20" t="s">
        <v>1868</v>
      </c>
      <c r="X366" s="20" t="s">
        <v>835</v>
      </c>
      <c r="Y366" s="20">
        <v>5</v>
      </c>
      <c r="Z366" s="20">
        <v>5</v>
      </c>
      <c r="AA366" s="20" t="s">
        <v>592</v>
      </c>
      <c r="AC366" s="20" t="s">
        <v>1149</v>
      </c>
      <c r="AD366" s="20" t="s">
        <v>63</v>
      </c>
      <c r="AE366" s="20" t="s">
        <v>2487</v>
      </c>
      <c r="AF366" s="20" t="s">
        <v>2284</v>
      </c>
      <c r="AG366" s="20" t="s">
        <v>628</v>
      </c>
      <c r="AH366" s="20">
        <v>10</v>
      </c>
      <c r="AI366" s="20">
        <v>3</v>
      </c>
      <c r="AJ366" s="20" t="s">
        <v>593</v>
      </c>
      <c r="AL366" s="20" t="s">
        <v>1144</v>
      </c>
      <c r="AM366" s="20" t="s">
        <v>23</v>
      </c>
      <c r="AN366" s="20" t="s">
        <v>543</v>
      </c>
      <c r="AO366" s="20" t="s">
        <v>2593</v>
      </c>
      <c r="AP366" s="20" t="s">
        <v>628</v>
      </c>
      <c r="AQ366" s="20">
        <v>10</v>
      </c>
      <c r="AR366" s="20">
        <v>17</v>
      </c>
      <c r="AS366" s="20" t="s">
        <v>592</v>
      </c>
    </row>
    <row r="367" spans="2:45" ht="15.75" customHeight="1" x14ac:dyDescent="0.2">
      <c r="B367" s="20" t="s">
        <v>1149</v>
      </c>
      <c r="C367" s="20" t="s">
        <v>806</v>
      </c>
      <c r="D367" s="20" t="s">
        <v>467</v>
      </c>
      <c r="E367" s="20" t="s">
        <v>1349</v>
      </c>
      <c r="F367" s="20" t="s">
        <v>628</v>
      </c>
      <c r="G367" s="20">
        <v>10</v>
      </c>
      <c r="H367" s="20">
        <v>1</v>
      </c>
      <c r="I367" s="20" t="s">
        <v>592</v>
      </c>
      <c r="K367" s="20" t="s">
        <v>1161</v>
      </c>
      <c r="L367" s="20" t="s">
        <v>41</v>
      </c>
      <c r="M367" s="20" t="s">
        <v>1780</v>
      </c>
      <c r="N367" s="20" t="s">
        <v>535</v>
      </c>
      <c r="O367" s="20" t="s">
        <v>835</v>
      </c>
      <c r="P367" s="20">
        <v>5</v>
      </c>
      <c r="Q367" s="20">
        <v>3</v>
      </c>
      <c r="R367" s="20" t="s">
        <v>593</v>
      </c>
      <c r="T367" s="20" t="s">
        <v>1154</v>
      </c>
      <c r="U367" s="20" t="s">
        <v>335</v>
      </c>
      <c r="V367" s="20" t="s">
        <v>2048</v>
      </c>
      <c r="W367" s="20" t="s">
        <v>2047</v>
      </c>
      <c r="X367" s="20" t="s">
        <v>835</v>
      </c>
      <c r="Y367" s="20">
        <v>5</v>
      </c>
      <c r="Z367" s="20">
        <v>1</v>
      </c>
      <c r="AA367" s="20" t="s">
        <v>593</v>
      </c>
      <c r="AC367" s="20" t="s">
        <v>1149</v>
      </c>
      <c r="AD367" s="20" t="s">
        <v>63</v>
      </c>
      <c r="AE367" s="20" t="s">
        <v>1482</v>
      </c>
      <c r="AF367" s="20" t="s">
        <v>1481</v>
      </c>
      <c r="AG367" s="20" t="s">
        <v>628</v>
      </c>
      <c r="AH367" s="20">
        <v>10</v>
      </c>
      <c r="AI367" s="20">
        <v>2</v>
      </c>
      <c r="AJ367" s="20" t="s">
        <v>593</v>
      </c>
      <c r="AL367" s="20" t="s">
        <v>1144</v>
      </c>
      <c r="AM367" s="20" t="s">
        <v>23</v>
      </c>
      <c r="AN367" s="20" t="s">
        <v>2022</v>
      </c>
      <c r="AO367" s="20" t="s">
        <v>2021</v>
      </c>
      <c r="AP367" s="20" t="s">
        <v>628</v>
      </c>
      <c r="AQ367" s="20">
        <v>10</v>
      </c>
      <c r="AR367" s="20">
        <v>11</v>
      </c>
      <c r="AS367" s="20" t="s">
        <v>592</v>
      </c>
    </row>
    <row r="368" spans="2:45" ht="15.75" customHeight="1" x14ac:dyDescent="0.2">
      <c r="B368" s="20" t="s">
        <v>1147</v>
      </c>
      <c r="C368" s="20" t="s">
        <v>70</v>
      </c>
      <c r="D368" s="20" t="s">
        <v>1049</v>
      </c>
      <c r="E368" s="20" t="s">
        <v>1350</v>
      </c>
      <c r="F368" s="20" t="s">
        <v>628</v>
      </c>
      <c r="G368" s="20">
        <v>10</v>
      </c>
      <c r="H368" s="20">
        <v>4</v>
      </c>
      <c r="I368" s="20" t="s">
        <v>593</v>
      </c>
      <c r="K368" s="20" t="s">
        <v>1161</v>
      </c>
      <c r="L368" s="20" t="s">
        <v>765</v>
      </c>
      <c r="M368" s="20" t="s">
        <v>1781</v>
      </c>
      <c r="N368" s="20" t="s">
        <v>1782</v>
      </c>
      <c r="O368" s="20" t="s">
        <v>835</v>
      </c>
      <c r="P368" s="20">
        <v>5</v>
      </c>
      <c r="Q368" s="20">
        <v>3</v>
      </c>
      <c r="R368" s="20" t="s">
        <v>593</v>
      </c>
      <c r="T368" s="20" t="s">
        <v>1154</v>
      </c>
      <c r="U368" s="20" t="s">
        <v>335</v>
      </c>
      <c r="V368" s="20" t="s">
        <v>474</v>
      </c>
      <c r="W368" s="20" t="s">
        <v>1455</v>
      </c>
      <c r="X368" s="20" t="s">
        <v>835</v>
      </c>
      <c r="Y368" s="20">
        <v>5</v>
      </c>
      <c r="Z368" s="20">
        <v>11</v>
      </c>
      <c r="AA368" s="20" t="s">
        <v>592</v>
      </c>
      <c r="AC368" s="20" t="s">
        <v>646</v>
      </c>
      <c r="AD368" s="20" t="s">
        <v>246</v>
      </c>
      <c r="AE368" s="20" t="s">
        <v>523</v>
      </c>
      <c r="AF368" s="20" t="s">
        <v>2690</v>
      </c>
      <c r="AG368" s="20" t="s">
        <v>628</v>
      </c>
      <c r="AH368" s="20">
        <v>10</v>
      </c>
      <c r="AI368" s="20">
        <v>5</v>
      </c>
      <c r="AJ368" s="20" t="s">
        <v>593</v>
      </c>
      <c r="AL368" s="20" t="s">
        <v>1144</v>
      </c>
      <c r="AM368" s="20" t="s">
        <v>23</v>
      </c>
      <c r="AN368" s="20" t="s">
        <v>1657</v>
      </c>
      <c r="AO368" s="20" t="s">
        <v>2211</v>
      </c>
      <c r="AP368" s="20" t="s">
        <v>628</v>
      </c>
      <c r="AQ368" s="20">
        <v>10</v>
      </c>
      <c r="AR368" s="20">
        <v>16</v>
      </c>
      <c r="AS368" s="20" t="s">
        <v>592</v>
      </c>
    </row>
    <row r="369" spans="2:45" ht="15.75" customHeight="1" x14ac:dyDescent="0.2">
      <c r="B369" s="20" t="s">
        <v>1141</v>
      </c>
      <c r="C369" s="20" t="s">
        <v>787</v>
      </c>
      <c r="D369" s="20" t="s">
        <v>767</v>
      </c>
      <c r="E369" s="20" t="s">
        <v>1131</v>
      </c>
      <c r="F369" s="20" t="s">
        <v>628</v>
      </c>
      <c r="G369" s="20">
        <v>10</v>
      </c>
      <c r="H369" s="20">
        <v>2</v>
      </c>
      <c r="I369" s="20" t="s">
        <v>592</v>
      </c>
      <c r="K369" s="20" t="s">
        <v>1162</v>
      </c>
      <c r="L369" s="20" t="s">
        <v>240</v>
      </c>
      <c r="M369" s="20" t="s">
        <v>962</v>
      </c>
      <c r="N369" s="20" t="s">
        <v>416</v>
      </c>
      <c r="O369" s="20" t="s">
        <v>628</v>
      </c>
      <c r="P369" s="20">
        <v>10</v>
      </c>
      <c r="Q369" s="20">
        <v>1</v>
      </c>
      <c r="R369" s="20" t="s">
        <v>593</v>
      </c>
      <c r="T369" s="20" t="s">
        <v>1154</v>
      </c>
      <c r="U369" s="20" t="s">
        <v>335</v>
      </c>
      <c r="V369" s="20" t="s">
        <v>550</v>
      </c>
      <c r="W369" s="20" t="s">
        <v>720</v>
      </c>
      <c r="X369" s="20" t="s">
        <v>835</v>
      </c>
      <c r="Y369" s="20">
        <v>5</v>
      </c>
      <c r="Z369" s="20">
        <v>2</v>
      </c>
      <c r="AA369" s="20" t="s">
        <v>593</v>
      </c>
      <c r="AC369" s="20" t="s">
        <v>640</v>
      </c>
      <c r="AD369" s="20" t="s">
        <v>248</v>
      </c>
      <c r="AE369" s="20" t="s">
        <v>2551</v>
      </c>
      <c r="AF369" s="20" t="s">
        <v>2691</v>
      </c>
      <c r="AG369" s="20" t="s">
        <v>628</v>
      </c>
      <c r="AH369" s="20">
        <v>10</v>
      </c>
      <c r="AI369" s="20">
        <v>8</v>
      </c>
      <c r="AJ369" s="20" t="s">
        <v>592</v>
      </c>
      <c r="AL369" s="20" t="s">
        <v>1144</v>
      </c>
      <c r="AM369" s="20" t="s">
        <v>23</v>
      </c>
      <c r="AN369" s="20" t="s">
        <v>558</v>
      </c>
      <c r="AO369" s="20" t="s">
        <v>3030</v>
      </c>
      <c r="AP369" s="20" t="s">
        <v>628</v>
      </c>
      <c r="AQ369" s="20">
        <v>10</v>
      </c>
      <c r="AR369" s="20">
        <v>21</v>
      </c>
      <c r="AS369" s="20" t="s">
        <v>592</v>
      </c>
    </row>
    <row r="370" spans="2:45" ht="15.75" customHeight="1" x14ac:dyDescent="0.2">
      <c r="B370" s="20" t="s">
        <v>1141</v>
      </c>
      <c r="C370" s="20" t="s">
        <v>787</v>
      </c>
      <c r="D370" s="20" t="s">
        <v>767</v>
      </c>
      <c r="E370" s="20" t="s">
        <v>792</v>
      </c>
      <c r="F370" s="20" t="s">
        <v>628</v>
      </c>
      <c r="G370" s="20">
        <v>10</v>
      </c>
      <c r="H370" s="20">
        <v>6</v>
      </c>
      <c r="I370" s="20" t="s">
        <v>592</v>
      </c>
      <c r="K370" s="20" t="s">
        <v>1162</v>
      </c>
      <c r="L370" s="20" t="s">
        <v>240</v>
      </c>
      <c r="M370" s="20" t="s">
        <v>1783</v>
      </c>
      <c r="N370" s="20" t="s">
        <v>365</v>
      </c>
      <c r="O370" s="20" t="s">
        <v>628</v>
      </c>
      <c r="P370" s="20">
        <v>10</v>
      </c>
      <c r="Q370" s="20">
        <v>6</v>
      </c>
      <c r="R370" s="20" t="s">
        <v>592</v>
      </c>
      <c r="T370" s="20" t="s">
        <v>1141</v>
      </c>
      <c r="U370" s="20" t="s">
        <v>787</v>
      </c>
      <c r="V370" s="20" t="s">
        <v>1643</v>
      </c>
      <c r="W370" s="20" t="s">
        <v>2276</v>
      </c>
      <c r="X370" s="20" t="s">
        <v>835</v>
      </c>
      <c r="Y370" s="20">
        <v>5</v>
      </c>
      <c r="Z370" s="20">
        <v>1</v>
      </c>
      <c r="AA370" s="20" t="s">
        <v>593</v>
      </c>
      <c r="AC370" s="20" t="s">
        <v>1147</v>
      </c>
      <c r="AD370" s="20" t="s">
        <v>699</v>
      </c>
      <c r="AE370" s="20" t="s">
        <v>489</v>
      </c>
      <c r="AF370" s="20" t="s">
        <v>1282</v>
      </c>
      <c r="AG370" s="20" t="s">
        <v>628</v>
      </c>
      <c r="AH370" s="20">
        <v>10</v>
      </c>
      <c r="AI370" s="20">
        <v>7</v>
      </c>
      <c r="AJ370" s="20" t="s">
        <v>592</v>
      </c>
      <c r="AL370" s="20" t="s">
        <v>1144</v>
      </c>
      <c r="AM370" s="20" t="s">
        <v>194</v>
      </c>
      <c r="AN370" s="20" t="s">
        <v>1940</v>
      </c>
      <c r="AO370" s="20" t="s">
        <v>1939</v>
      </c>
      <c r="AP370" s="20" t="s">
        <v>628</v>
      </c>
      <c r="AQ370" s="20">
        <v>10</v>
      </c>
      <c r="AR370" s="20">
        <v>9</v>
      </c>
      <c r="AS370" s="20" t="s">
        <v>592</v>
      </c>
    </row>
    <row r="371" spans="2:45" ht="15.75" customHeight="1" x14ac:dyDescent="0.2">
      <c r="B371" s="20" t="s">
        <v>1147</v>
      </c>
      <c r="C371" s="20" t="s">
        <v>20</v>
      </c>
      <c r="D371" s="20" t="s">
        <v>446</v>
      </c>
      <c r="E371" s="20" t="s">
        <v>584</v>
      </c>
      <c r="F371" s="20" t="s">
        <v>628</v>
      </c>
      <c r="G371" s="20">
        <v>10</v>
      </c>
      <c r="H371" s="20">
        <v>15</v>
      </c>
      <c r="I371" s="20" t="s">
        <v>592</v>
      </c>
      <c r="K371" s="20" t="s">
        <v>1162</v>
      </c>
      <c r="L371" s="20" t="s">
        <v>240</v>
      </c>
      <c r="M371" s="20" t="s">
        <v>1784</v>
      </c>
      <c r="N371" s="20" t="s">
        <v>365</v>
      </c>
      <c r="O371" s="20" t="s">
        <v>628</v>
      </c>
      <c r="P371" s="20">
        <v>10</v>
      </c>
      <c r="Q371" s="20">
        <v>2</v>
      </c>
      <c r="R371" s="20" t="s">
        <v>592</v>
      </c>
      <c r="T371" s="20" t="s">
        <v>1141</v>
      </c>
      <c r="U371" s="20" t="s">
        <v>780</v>
      </c>
      <c r="V371" s="20" t="s">
        <v>1457</v>
      </c>
      <c r="W371" s="20" t="s">
        <v>1458</v>
      </c>
      <c r="X371" s="20" t="s">
        <v>835</v>
      </c>
      <c r="Y371" s="20">
        <v>5</v>
      </c>
      <c r="Z371" s="20">
        <v>6</v>
      </c>
      <c r="AA371" s="20" t="s">
        <v>592</v>
      </c>
      <c r="AC371" s="20" t="s">
        <v>1147</v>
      </c>
      <c r="AD371" s="20" t="s">
        <v>699</v>
      </c>
      <c r="AE371" s="20" t="s">
        <v>489</v>
      </c>
      <c r="AF371" s="20" t="s">
        <v>1489</v>
      </c>
      <c r="AG371" s="20" t="s">
        <v>628</v>
      </c>
      <c r="AH371" s="20">
        <v>10</v>
      </c>
      <c r="AI371" s="20">
        <v>1</v>
      </c>
      <c r="AJ371" s="20" t="s">
        <v>592</v>
      </c>
      <c r="AL371" s="20" t="s">
        <v>1144</v>
      </c>
      <c r="AM371" s="20" t="s">
        <v>23</v>
      </c>
      <c r="AN371" s="20" t="s">
        <v>1823</v>
      </c>
      <c r="AO371" s="20" t="s">
        <v>1822</v>
      </c>
      <c r="AP371" s="20" t="s">
        <v>628</v>
      </c>
      <c r="AQ371" s="20">
        <v>10</v>
      </c>
      <c r="AR371" s="20">
        <v>8</v>
      </c>
      <c r="AS371" s="20" t="s">
        <v>592</v>
      </c>
    </row>
    <row r="372" spans="2:45" ht="15.75" customHeight="1" x14ac:dyDescent="0.2">
      <c r="B372" s="20" t="s">
        <v>1147</v>
      </c>
      <c r="C372" s="20" t="s">
        <v>20</v>
      </c>
      <c r="D372" s="20" t="s">
        <v>450</v>
      </c>
      <c r="E372" s="20" t="s">
        <v>1351</v>
      </c>
      <c r="F372" s="20" t="s">
        <v>628</v>
      </c>
      <c r="G372" s="20">
        <v>10</v>
      </c>
      <c r="H372" s="20">
        <v>9</v>
      </c>
      <c r="I372" s="20" t="s">
        <v>592</v>
      </c>
      <c r="K372" s="20" t="s">
        <v>1162</v>
      </c>
      <c r="L372" s="20" t="s">
        <v>240</v>
      </c>
      <c r="M372" s="20" t="s">
        <v>1785</v>
      </c>
      <c r="N372" s="20" t="s">
        <v>1786</v>
      </c>
      <c r="O372" s="20" t="s">
        <v>628</v>
      </c>
      <c r="P372" s="20">
        <v>10</v>
      </c>
      <c r="Q372" s="20">
        <v>1</v>
      </c>
      <c r="R372" s="20" t="s">
        <v>593</v>
      </c>
      <c r="T372" s="20" t="s">
        <v>646</v>
      </c>
      <c r="U372" s="20" t="s">
        <v>1109</v>
      </c>
      <c r="V372" s="20" t="s">
        <v>1740</v>
      </c>
      <c r="W372" s="20" t="s">
        <v>2277</v>
      </c>
      <c r="X372" s="20" t="s">
        <v>835</v>
      </c>
      <c r="Y372" s="20">
        <v>5</v>
      </c>
      <c r="Z372" s="20">
        <v>5</v>
      </c>
      <c r="AA372" s="20" t="s">
        <v>592</v>
      </c>
      <c r="AC372" s="20" t="s">
        <v>1154</v>
      </c>
      <c r="AD372" s="20" t="s">
        <v>1152</v>
      </c>
      <c r="AE372" s="20" t="s">
        <v>1862</v>
      </c>
      <c r="AF372" s="20" t="s">
        <v>2151</v>
      </c>
      <c r="AG372" s="20" t="s">
        <v>628</v>
      </c>
      <c r="AH372" s="20">
        <v>10</v>
      </c>
      <c r="AI372" s="20">
        <v>2</v>
      </c>
      <c r="AJ372" s="20" t="s">
        <v>593</v>
      </c>
      <c r="AL372" s="20" t="s">
        <v>1144</v>
      </c>
      <c r="AM372" s="20" t="s">
        <v>1145</v>
      </c>
      <c r="AN372" s="20" t="s">
        <v>2478</v>
      </c>
      <c r="AO372" s="20" t="s">
        <v>2234</v>
      </c>
      <c r="AP372" s="20" t="s">
        <v>628</v>
      </c>
      <c r="AQ372" s="20">
        <v>10</v>
      </c>
      <c r="AR372" s="20">
        <v>5</v>
      </c>
      <c r="AS372" s="20" t="s">
        <v>592</v>
      </c>
    </row>
    <row r="373" spans="2:45" ht="15.75" customHeight="1" x14ac:dyDescent="0.2">
      <c r="B373" s="20" t="s">
        <v>1147</v>
      </c>
      <c r="C373" s="20" t="s">
        <v>20</v>
      </c>
      <c r="D373" s="20" t="s">
        <v>450</v>
      </c>
      <c r="E373" s="20" t="s">
        <v>1352</v>
      </c>
      <c r="F373" s="20" t="s">
        <v>628</v>
      </c>
      <c r="G373" s="20">
        <v>10</v>
      </c>
      <c r="H373" s="20">
        <v>1</v>
      </c>
      <c r="I373" s="20" t="s">
        <v>592</v>
      </c>
      <c r="K373" s="20" t="s">
        <v>1147</v>
      </c>
      <c r="L373" s="20" t="s">
        <v>699</v>
      </c>
      <c r="M373" s="20" t="s">
        <v>1787</v>
      </c>
      <c r="N373" s="20" t="s">
        <v>1788</v>
      </c>
      <c r="O373" s="20" t="s">
        <v>628</v>
      </c>
      <c r="P373" s="20">
        <v>10</v>
      </c>
      <c r="Q373" s="20">
        <v>10</v>
      </c>
      <c r="R373" s="20" t="s">
        <v>592</v>
      </c>
      <c r="T373" s="20" t="s">
        <v>646</v>
      </c>
      <c r="U373" s="20" t="s">
        <v>303</v>
      </c>
      <c r="V373" s="20" t="s">
        <v>1774</v>
      </c>
      <c r="W373" s="20" t="s">
        <v>2278</v>
      </c>
      <c r="X373" s="20" t="s">
        <v>835</v>
      </c>
      <c r="Y373" s="20">
        <v>5</v>
      </c>
      <c r="Z373" s="20">
        <v>7</v>
      </c>
      <c r="AA373" s="20" t="s">
        <v>592</v>
      </c>
      <c r="AC373" s="20" t="s">
        <v>1154</v>
      </c>
      <c r="AD373" s="20" t="s">
        <v>1152</v>
      </c>
      <c r="AE373" s="20" t="s">
        <v>2552</v>
      </c>
      <c r="AF373" s="20" t="s">
        <v>2692</v>
      </c>
      <c r="AG373" s="20" t="s">
        <v>628</v>
      </c>
      <c r="AH373" s="20">
        <v>10</v>
      </c>
      <c r="AI373" s="20">
        <v>1</v>
      </c>
      <c r="AJ373" s="20" t="s">
        <v>593</v>
      </c>
      <c r="AL373" s="20" t="s">
        <v>1144</v>
      </c>
      <c r="AM373" s="20" t="s">
        <v>1145</v>
      </c>
      <c r="AN373" s="20" t="s">
        <v>2478</v>
      </c>
      <c r="AO373" s="20" t="s">
        <v>3031</v>
      </c>
      <c r="AP373" s="20" t="s">
        <v>628</v>
      </c>
      <c r="AQ373" s="20">
        <v>10</v>
      </c>
      <c r="AR373" s="20">
        <v>5</v>
      </c>
      <c r="AS373" s="20" t="s">
        <v>592</v>
      </c>
    </row>
    <row r="374" spans="2:45" ht="15.75" customHeight="1" x14ac:dyDescent="0.2">
      <c r="B374" s="20" t="s">
        <v>1147</v>
      </c>
      <c r="C374" s="20" t="s">
        <v>20</v>
      </c>
      <c r="D374" s="20" t="s">
        <v>871</v>
      </c>
      <c r="E374" s="20" t="s">
        <v>1055</v>
      </c>
      <c r="F374" s="20" t="s">
        <v>628</v>
      </c>
      <c r="G374" s="20">
        <v>10</v>
      </c>
      <c r="H374" s="20">
        <v>1</v>
      </c>
      <c r="I374" s="20" t="s">
        <v>593</v>
      </c>
      <c r="K374" s="20" t="s">
        <v>1147</v>
      </c>
      <c r="L374" s="20" t="s">
        <v>699</v>
      </c>
      <c r="M374" s="20" t="s">
        <v>1789</v>
      </c>
      <c r="N374" s="20" t="s">
        <v>613</v>
      </c>
      <c r="O374" s="20" t="s">
        <v>628</v>
      </c>
      <c r="P374" s="20">
        <v>10</v>
      </c>
      <c r="Q374" s="20">
        <v>11</v>
      </c>
      <c r="R374" s="20" t="s">
        <v>592</v>
      </c>
      <c r="T374" s="20" t="s">
        <v>646</v>
      </c>
      <c r="U374" s="20" t="s">
        <v>303</v>
      </c>
      <c r="V374" s="20" t="s">
        <v>409</v>
      </c>
      <c r="W374" s="20" t="s">
        <v>636</v>
      </c>
      <c r="X374" s="20" t="s">
        <v>835</v>
      </c>
      <c r="Y374" s="20">
        <v>5</v>
      </c>
      <c r="Z374" s="20">
        <v>1</v>
      </c>
      <c r="AA374" s="20" t="s">
        <v>593</v>
      </c>
      <c r="AC374" s="20" t="s">
        <v>1154</v>
      </c>
      <c r="AD374" s="20" t="s">
        <v>307</v>
      </c>
      <c r="AE374" s="20" t="s">
        <v>1574</v>
      </c>
      <c r="AF374" s="20" t="s">
        <v>1573</v>
      </c>
      <c r="AG374" s="20" t="s">
        <v>628</v>
      </c>
      <c r="AH374" s="20">
        <v>10</v>
      </c>
      <c r="AI374" s="20">
        <v>2</v>
      </c>
      <c r="AJ374" s="20" t="s">
        <v>593</v>
      </c>
      <c r="AL374" s="20" t="s">
        <v>1144</v>
      </c>
      <c r="AM374" s="20" t="s">
        <v>249</v>
      </c>
      <c r="AN374" s="20" t="s">
        <v>2480</v>
      </c>
      <c r="AO374" s="20" t="s">
        <v>3032</v>
      </c>
      <c r="AP374" s="20" t="s">
        <v>628</v>
      </c>
      <c r="AQ374" s="20">
        <v>10</v>
      </c>
      <c r="AR374" s="20">
        <v>13</v>
      </c>
      <c r="AS374" s="20" t="s">
        <v>592</v>
      </c>
    </row>
    <row r="375" spans="2:45" ht="15.75" customHeight="1" x14ac:dyDescent="0.2">
      <c r="B375" s="20" t="s">
        <v>1147</v>
      </c>
      <c r="C375" s="20" t="s">
        <v>20</v>
      </c>
      <c r="D375" s="20" t="s">
        <v>871</v>
      </c>
      <c r="E375" s="20" t="s">
        <v>872</v>
      </c>
      <c r="F375" s="20" t="s">
        <v>628</v>
      </c>
      <c r="G375" s="20">
        <v>10</v>
      </c>
      <c r="H375" s="20">
        <v>2</v>
      </c>
      <c r="I375" s="20" t="s">
        <v>593</v>
      </c>
      <c r="K375" s="20" t="s">
        <v>1147</v>
      </c>
      <c r="L375" s="20" t="s">
        <v>699</v>
      </c>
      <c r="M375" s="20" t="s">
        <v>1790</v>
      </c>
      <c r="N375" s="20" t="s">
        <v>613</v>
      </c>
      <c r="O375" s="20" t="s">
        <v>628</v>
      </c>
      <c r="P375" s="20">
        <v>10</v>
      </c>
      <c r="Q375" s="20">
        <v>1</v>
      </c>
      <c r="R375" s="20" t="s">
        <v>592</v>
      </c>
      <c r="T375" s="20" t="s">
        <v>1149</v>
      </c>
      <c r="U375" s="20" t="s">
        <v>806</v>
      </c>
      <c r="V375" s="20" t="s">
        <v>468</v>
      </c>
      <c r="W375" s="20" t="s">
        <v>2052</v>
      </c>
      <c r="X375" s="20" t="s">
        <v>835</v>
      </c>
      <c r="Y375" s="20">
        <v>5</v>
      </c>
      <c r="Z375" s="20">
        <v>6</v>
      </c>
      <c r="AA375" s="20" t="s">
        <v>592</v>
      </c>
      <c r="AC375" s="20" t="s">
        <v>640</v>
      </c>
      <c r="AD375" s="20" t="s">
        <v>705</v>
      </c>
      <c r="AE375" s="20" t="s">
        <v>808</v>
      </c>
      <c r="AF375" s="20" t="s">
        <v>1310</v>
      </c>
      <c r="AG375" s="20" t="s">
        <v>835</v>
      </c>
      <c r="AH375" s="20">
        <v>5</v>
      </c>
      <c r="AI375" s="20">
        <v>6</v>
      </c>
      <c r="AJ375" s="20" t="s">
        <v>592</v>
      </c>
      <c r="AL375" s="20" t="s">
        <v>1144</v>
      </c>
      <c r="AM375" s="20" t="s">
        <v>194</v>
      </c>
      <c r="AN375" s="20" t="s">
        <v>1817</v>
      </c>
      <c r="AO375" s="20" t="s">
        <v>2369</v>
      </c>
      <c r="AP375" s="20" t="s">
        <v>628</v>
      </c>
      <c r="AQ375" s="20">
        <v>10</v>
      </c>
      <c r="AR375" s="20">
        <v>8</v>
      </c>
      <c r="AS375" s="20" t="s">
        <v>592</v>
      </c>
    </row>
    <row r="376" spans="2:45" ht="15.75" customHeight="1" x14ac:dyDescent="0.2">
      <c r="B376" s="20" t="s">
        <v>1162</v>
      </c>
      <c r="C376" s="20" t="s">
        <v>352</v>
      </c>
      <c r="D376" s="20" t="s">
        <v>894</v>
      </c>
      <c r="E376" s="20" t="s">
        <v>1353</v>
      </c>
      <c r="F376" s="20" t="s">
        <v>628</v>
      </c>
      <c r="G376" s="20">
        <v>10</v>
      </c>
      <c r="H376" s="20">
        <v>1</v>
      </c>
      <c r="I376" s="20" t="s">
        <v>593</v>
      </c>
      <c r="K376" s="20" t="s">
        <v>1147</v>
      </c>
      <c r="L376" s="20" t="s">
        <v>29</v>
      </c>
      <c r="M376" s="20" t="s">
        <v>1791</v>
      </c>
      <c r="N376" s="20" t="s">
        <v>1792</v>
      </c>
      <c r="O376" s="20" t="s">
        <v>628</v>
      </c>
      <c r="P376" s="20">
        <v>10</v>
      </c>
      <c r="Q376" s="20">
        <v>6</v>
      </c>
      <c r="R376" s="20" t="s">
        <v>593</v>
      </c>
      <c r="T376" s="20" t="s">
        <v>1149</v>
      </c>
      <c r="U376" s="20" t="s">
        <v>806</v>
      </c>
      <c r="V376" s="20" t="s">
        <v>2484</v>
      </c>
      <c r="W376" s="20" t="s">
        <v>2279</v>
      </c>
      <c r="X376" s="20" t="s">
        <v>835</v>
      </c>
      <c r="Y376" s="20">
        <v>5</v>
      </c>
      <c r="Z376" s="20">
        <v>1</v>
      </c>
      <c r="AA376" s="20" t="s">
        <v>593</v>
      </c>
      <c r="AC376" s="20" t="s">
        <v>640</v>
      </c>
      <c r="AD376" s="20" t="s">
        <v>705</v>
      </c>
      <c r="AE376" s="20" t="s">
        <v>1551</v>
      </c>
      <c r="AF376" s="20" t="s">
        <v>2693</v>
      </c>
      <c r="AG376" s="20" t="s">
        <v>628</v>
      </c>
      <c r="AH376" s="20">
        <v>10</v>
      </c>
      <c r="AI376" s="20">
        <v>11</v>
      </c>
      <c r="AJ376" s="20" t="s">
        <v>592</v>
      </c>
      <c r="AL376" s="20" t="s">
        <v>1144</v>
      </c>
      <c r="AM376" s="20" t="s">
        <v>194</v>
      </c>
      <c r="AN376" s="20" t="s">
        <v>1817</v>
      </c>
      <c r="AO376" s="20" t="s">
        <v>2370</v>
      </c>
      <c r="AP376" s="20" t="s">
        <v>628</v>
      </c>
      <c r="AQ376" s="20">
        <v>10</v>
      </c>
      <c r="AR376" s="20">
        <v>1</v>
      </c>
      <c r="AS376" s="20" t="s">
        <v>592</v>
      </c>
    </row>
    <row r="377" spans="2:45" ht="15.75" customHeight="1" x14ac:dyDescent="0.2">
      <c r="B377" s="20" t="s">
        <v>1162</v>
      </c>
      <c r="C377" s="20" t="s">
        <v>352</v>
      </c>
      <c r="D377" s="20" t="s">
        <v>443</v>
      </c>
      <c r="E377" s="20" t="s">
        <v>1354</v>
      </c>
      <c r="F377" s="20" t="s">
        <v>628</v>
      </c>
      <c r="G377" s="20">
        <v>10</v>
      </c>
      <c r="H377" s="20">
        <v>10</v>
      </c>
      <c r="I377" s="20" t="s">
        <v>592</v>
      </c>
      <c r="K377" s="20" t="s">
        <v>1147</v>
      </c>
      <c r="L377" s="20" t="s">
        <v>29</v>
      </c>
      <c r="M377" s="20" t="s">
        <v>1793</v>
      </c>
      <c r="N377" s="20" t="s">
        <v>1794</v>
      </c>
      <c r="O377" s="20" t="s">
        <v>628</v>
      </c>
      <c r="P377" s="20">
        <v>10</v>
      </c>
      <c r="Q377" s="20">
        <v>1</v>
      </c>
      <c r="R377" s="20" t="s">
        <v>593</v>
      </c>
      <c r="T377" s="20" t="s">
        <v>1154</v>
      </c>
      <c r="U377" s="20" t="s">
        <v>335</v>
      </c>
      <c r="V377" s="20" t="s">
        <v>711</v>
      </c>
      <c r="W377" s="20" t="s">
        <v>2049</v>
      </c>
      <c r="X377" s="20" t="s">
        <v>628</v>
      </c>
      <c r="Y377" s="20">
        <v>10</v>
      </c>
      <c r="Z377" s="20">
        <v>4</v>
      </c>
      <c r="AA377" s="20" t="s">
        <v>593</v>
      </c>
      <c r="AC377" s="20" t="s">
        <v>1147</v>
      </c>
      <c r="AD377" s="20" t="s">
        <v>20</v>
      </c>
      <c r="AE377" s="20" t="s">
        <v>2553</v>
      </c>
      <c r="AF377" s="20" t="s">
        <v>2694</v>
      </c>
      <c r="AG377" s="20" t="s">
        <v>835</v>
      </c>
      <c r="AH377" s="20">
        <v>5</v>
      </c>
      <c r="AI377" s="20">
        <v>7</v>
      </c>
      <c r="AJ377" s="20" t="s">
        <v>592</v>
      </c>
      <c r="AL377" s="20" t="s">
        <v>1144</v>
      </c>
      <c r="AM377" s="20" t="s">
        <v>249</v>
      </c>
      <c r="AN377" s="20" t="s">
        <v>563</v>
      </c>
      <c r="AO377" s="20" t="s">
        <v>2321</v>
      </c>
      <c r="AP377" s="20" t="s">
        <v>628</v>
      </c>
      <c r="AQ377" s="20">
        <v>10</v>
      </c>
      <c r="AR377" s="20">
        <v>8</v>
      </c>
      <c r="AS377" s="20" t="s">
        <v>592</v>
      </c>
    </row>
    <row r="378" spans="2:45" ht="15.75" customHeight="1" x14ac:dyDescent="0.2">
      <c r="B378" s="20" t="s">
        <v>1162</v>
      </c>
      <c r="C378" s="20" t="s">
        <v>352</v>
      </c>
      <c r="D378" s="20" t="s">
        <v>443</v>
      </c>
      <c r="E378" s="20" t="s">
        <v>1355</v>
      </c>
      <c r="F378" s="20" t="s">
        <v>628</v>
      </c>
      <c r="G378" s="20">
        <v>10</v>
      </c>
      <c r="H378" s="20">
        <v>2</v>
      </c>
      <c r="I378" s="20" t="s">
        <v>592</v>
      </c>
      <c r="K378" s="20" t="s">
        <v>640</v>
      </c>
      <c r="L378" s="20" t="s">
        <v>191</v>
      </c>
      <c r="M378" s="20" t="s">
        <v>815</v>
      </c>
      <c r="N378" s="20" t="s">
        <v>568</v>
      </c>
      <c r="O378" s="20" t="s">
        <v>835</v>
      </c>
      <c r="P378" s="20">
        <v>5</v>
      </c>
      <c r="Q378" s="20">
        <v>5</v>
      </c>
      <c r="R378" s="20" t="s">
        <v>592</v>
      </c>
      <c r="T378" s="20" t="s">
        <v>1154</v>
      </c>
      <c r="U378" s="20" t="s">
        <v>307</v>
      </c>
      <c r="V378" s="20" t="s">
        <v>549</v>
      </c>
      <c r="W378" s="20" t="s">
        <v>1335</v>
      </c>
      <c r="X378" s="20" t="s">
        <v>835</v>
      </c>
      <c r="Y378" s="20">
        <v>5</v>
      </c>
      <c r="Z378" s="20">
        <v>4</v>
      </c>
      <c r="AA378" s="20" t="s">
        <v>593</v>
      </c>
      <c r="AC378" s="20" t="s">
        <v>1162</v>
      </c>
      <c r="AD378" s="20" t="s">
        <v>230</v>
      </c>
      <c r="AE378" s="20" t="s">
        <v>415</v>
      </c>
      <c r="AF378" s="20" t="s">
        <v>1240</v>
      </c>
      <c r="AG378" s="20" t="s">
        <v>628</v>
      </c>
      <c r="AH378" s="20">
        <v>10</v>
      </c>
      <c r="AI378" s="20">
        <v>3</v>
      </c>
      <c r="AJ378" s="20" t="s">
        <v>593</v>
      </c>
      <c r="AL378" s="20" t="s">
        <v>1144</v>
      </c>
      <c r="AM378" s="20" t="s">
        <v>194</v>
      </c>
      <c r="AN378" s="20" t="s">
        <v>897</v>
      </c>
      <c r="AO378" s="20" t="s">
        <v>1373</v>
      </c>
      <c r="AP378" s="20" t="s">
        <v>628</v>
      </c>
      <c r="AQ378" s="20">
        <v>10</v>
      </c>
      <c r="AR378" s="20">
        <v>9</v>
      </c>
      <c r="AS378" s="20" t="s">
        <v>592</v>
      </c>
    </row>
    <row r="379" spans="2:45" ht="15.75" customHeight="1" x14ac:dyDescent="0.2">
      <c r="B379" s="20" t="s">
        <v>646</v>
      </c>
      <c r="C379" s="20" t="s">
        <v>246</v>
      </c>
      <c r="D379" s="20" t="s">
        <v>523</v>
      </c>
      <c r="E379" s="20" t="s">
        <v>903</v>
      </c>
      <c r="F379" s="20" t="s">
        <v>628</v>
      </c>
      <c r="G379" s="20">
        <v>10</v>
      </c>
      <c r="H379" s="20">
        <v>8</v>
      </c>
      <c r="I379" s="20" t="s">
        <v>592</v>
      </c>
      <c r="K379" s="20" t="s">
        <v>1147</v>
      </c>
      <c r="L379" s="20" t="s">
        <v>70</v>
      </c>
      <c r="M379" s="20" t="s">
        <v>1795</v>
      </c>
      <c r="N379" s="20" t="s">
        <v>1473</v>
      </c>
      <c r="O379" s="20" t="s">
        <v>628</v>
      </c>
      <c r="P379" s="20">
        <v>10</v>
      </c>
      <c r="Q379" s="20">
        <v>8</v>
      </c>
      <c r="R379" s="20" t="s">
        <v>592</v>
      </c>
      <c r="T379" s="20" t="s">
        <v>1154</v>
      </c>
      <c r="U379" s="20" t="s">
        <v>307</v>
      </c>
      <c r="V379" s="20" t="s">
        <v>2485</v>
      </c>
      <c r="W379" s="20" t="s">
        <v>2280</v>
      </c>
      <c r="X379" s="20" t="s">
        <v>835</v>
      </c>
      <c r="Y379" s="20">
        <v>5</v>
      </c>
      <c r="Z379" s="20">
        <v>1</v>
      </c>
      <c r="AA379" s="20" t="s">
        <v>593</v>
      </c>
      <c r="AC379" s="20" t="s">
        <v>1143</v>
      </c>
      <c r="AD379" s="20" t="s">
        <v>689</v>
      </c>
      <c r="AE379" s="20" t="s">
        <v>1660</v>
      </c>
      <c r="AF379" s="20" t="s">
        <v>1659</v>
      </c>
      <c r="AG379" s="20" t="s">
        <v>835</v>
      </c>
      <c r="AH379" s="20">
        <v>5</v>
      </c>
      <c r="AI379" s="20">
        <v>2</v>
      </c>
      <c r="AJ379" s="20" t="s">
        <v>593</v>
      </c>
      <c r="AL379" s="20" t="s">
        <v>1144</v>
      </c>
      <c r="AM379" s="20" t="s">
        <v>194</v>
      </c>
      <c r="AN379" s="20" t="s">
        <v>487</v>
      </c>
      <c r="AO379" s="20" t="s">
        <v>1988</v>
      </c>
      <c r="AP379" s="20" t="s">
        <v>628</v>
      </c>
      <c r="AQ379" s="20">
        <v>10</v>
      </c>
      <c r="AR379" s="20">
        <v>9</v>
      </c>
      <c r="AS379" s="20" t="s">
        <v>592</v>
      </c>
    </row>
    <row r="380" spans="2:45" ht="15.75" customHeight="1" x14ac:dyDescent="0.2">
      <c r="B380" s="20" t="s">
        <v>1144</v>
      </c>
      <c r="C380" s="20" t="s">
        <v>249</v>
      </c>
      <c r="D380" s="20" t="s">
        <v>562</v>
      </c>
      <c r="E380" s="20" t="s">
        <v>762</v>
      </c>
      <c r="F380" s="20" t="s">
        <v>628</v>
      </c>
      <c r="G380" s="20">
        <v>10</v>
      </c>
      <c r="H380" s="20">
        <v>2</v>
      </c>
      <c r="I380" s="20" t="s">
        <v>592</v>
      </c>
      <c r="K380" s="20" t="s">
        <v>640</v>
      </c>
      <c r="L380" s="20" t="s">
        <v>756</v>
      </c>
      <c r="M380" s="20" t="s">
        <v>1796</v>
      </c>
      <c r="N380" s="20" t="s">
        <v>435</v>
      </c>
      <c r="O380" s="20" t="s">
        <v>835</v>
      </c>
      <c r="P380" s="20">
        <v>5</v>
      </c>
      <c r="Q380" s="20">
        <v>5</v>
      </c>
      <c r="R380" s="20" t="s">
        <v>592</v>
      </c>
      <c r="T380" s="20" t="s">
        <v>1154</v>
      </c>
      <c r="U380" s="20" t="s">
        <v>307</v>
      </c>
      <c r="V380" s="20" t="s">
        <v>514</v>
      </c>
      <c r="W380" s="20" t="s">
        <v>2281</v>
      </c>
      <c r="X380" s="20" t="s">
        <v>835</v>
      </c>
      <c r="Y380" s="20">
        <v>5</v>
      </c>
      <c r="Z380" s="20">
        <v>3</v>
      </c>
      <c r="AA380" s="20" t="s">
        <v>593</v>
      </c>
      <c r="AC380" s="20" t="s">
        <v>2099</v>
      </c>
      <c r="AD380" s="20" t="s">
        <v>2144</v>
      </c>
      <c r="AE380" s="20" t="s">
        <v>2526</v>
      </c>
      <c r="AF380" s="20" t="s">
        <v>2695</v>
      </c>
      <c r="AG380" s="20" t="s">
        <v>835</v>
      </c>
      <c r="AH380" s="20">
        <v>5</v>
      </c>
      <c r="AI380" s="20">
        <v>6</v>
      </c>
      <c r="AJ380" s="20" t="s">
        <v>592</v>
      </c>
      <c r="AL380" s="20" t="s">
        <v>1144</v>
      </c>
      <c r="AM380" s="20" t="s">
        <v>1145</v>
      </c>
      <c r="AN380" s="20" t="s">
        <v>853</v>
      </c>
      <c r="AO380" s="20" t="s">
        <v>1251</v>
      </c>
      <c r="AP380" s="20" t="s">
        <v>628</v>
      </c>
      <c r="AQ380" s="20">
        <v>10</v>
      </c>
      <c r="AR380" s="20">
        <v>12</v>
      </c>
      <c r="AS380" s="20" t="s">
        <v>592</v>
      </c>
    </row>
    <row r="381" spans="2:45" ht="15.75" customHeight="1" x14ac:dyDescent="0.2">
      <c r="B381" s="20" t="s">
        <v>1144</v>
      </c>
      <c r="C381" s="20" t="s">
        <v>249</v>
      </c>
      <c r="D381" s="20" t="s">
        <v>562</v>
      </c>
      <c r="E381" s="20" t="s">
        <v>761</v>
      </c>
      <c r="F381" s="20" t="s">
        <v>628</v>
      </c>
      <c r="G381" s="20">
        <v>10</v>
      </c>
      <c r="H381" s="20">
        <v>17</v>
      </c>
      <c r="I381" s="20" t="s">
        <v>592</v>
      </c>
      <c r="K381" s="20" t="s">
        <v>640</v>
      </c>
      <c r="L381" s="20" t="s">
        <v>248</v>
      </c>
      <c r="M381" s="20" t="s">
        <v>1374</v>
      </c>
      <c r="N381" s="20" t="s">
        <v>844</v>
      </c>
      <c r="O381" s="20" t="s">
        <v>835</v>
      </c>
      <c r="P381" s="20">
        <v>5</v>
      </c>
      <c r="Q381" s="20">
        <v>8</v>
      </c>
      <c r="R381" s="20" t="s">
        <v>592</v>
      </c>
      <c r="T381" s="20" t="s">
        <v>1154</v>
      </c>
      <c r="U381" s="20" t="s">
        <v>307</v>
      </c>
      <c r="V381" s="20" t="s">
        <v>1574</v>
      </c>
      <c r="W381" s="20" t="s">
        <v>1873</v>
      </c>
      <c r="X381" s="20" t="s">
        <v>835</v>
      </c>
      <c r="Y381" s="20">
        <v>5</v>
      </c>
      <c r="Z381" s="20">
        <v>1</v>
      </c>
      <c r="AA381" s="20" t="s">
        <v>593</v>
      </c>
      <c r="AC381" s="20" t="s">
        <v>640</v>
      </c>
      <c r="AD381" s="20" t="s">
        <v>756</v>
      </c>
      <c r="AE381" s="20" t="s">
        <v>1593</v>
      </c>
      <c r="AF381" s="20" t="s">
        <v>2315</v>
      </c>
      <c r="AG381" s="20" t="s">
        <v>835</v>
      </c>
      <c r="AH381" s="20">
        <v>5</v>
      </c>
      <c r="AI381" s="20">
        <v>5</v>
      </c>
      <c r="AJ381" s="20" t="s">
        <v>592</v>
      </c>
      <c r="AL381" s="20" t="s">
        <v>1144</v>
      </c>
      <c r="AM381" s="20" t="s">
        <v>1107</v>
      </c>
      <c r="AN381" s="20" t="s">
        <v>2828</v>
      </c>
      <c r="AO381" s="20" t="s">
        <v>3033</v>
      </c>
      <c r="AP381" s="20" t="s">
        <v>628</v>
      </c>
      <c r="AQ381" s="20">
        <v>10</v>
      </c>
      <c r="AR381" s="20">
        <v>14</v>
      </c>
      <c r="AS381" s="20" t="s">
        <v>592</v>
      </c>
    </row>
    <row r="382" spans="2:45" ht="15.75" customHeight="1" x14ac:dyDescent="0.2">
      <c r="B382" s="20" t="s">
        <v>1169</v>
      </c>
      <c r="C382" s="20" t="s">
        <v>671</v>
      </c>
      <c r="D382" s="20" t="s">
        <v>710</v>
      </c>
      <c r="E382" s="20" t="s">
        <v>975</v>
      </c>
      <c r="F382" s="20" t="s">
        <v>628</v>
      </c>
      <c r="G382" s="20">
        <v>10</v>
      </c>
      <c r="H382" s="20">
        <v>18</v>
      </c>
      <c r="I382" s="20" t="s">
        <v>592</v>
      </c>
      <c r="K382" s="20" t="s">
        <v>640</v>
      </c>
      <c r="L382" s="20" t="s">
        <v>756</v>
      </c>
      <c r="M382" s="20" t="s">
        <v>1437</v>
      </c>
      <c r="N382" s="20" t="s">
        <v>431</v>
      </c>
      <c r="O382" s="20" t="s">
        <v>835</v>
      </c>
      <c r="P382" s="20">
        <v>5</v>
      </c>
      <c r="Q382" s="20">
        <v>5</v>
      </c>
      <c r="R382" s="20" t="s">
        <v>592</v>
      </c>
      <c r="T382" s="20" t="s">
        <v>1154</v>
      </c>
      <c r="U382" s="20" t="s">
        <v>307</v>
      </c>
      <c r="V382" s="20" t="s">
        <v>515</v>
      </c>
      <c r="W382" s="20" t="s">
        <v>1004</v>
      </c>
      <c r="X382" s="20" t="s">
        <v>835</v>
      </c>
      <c r="Y382" s="20">
        <v>5</v>
      </c>
      <c r="Z382" s="20">
        <v>5</v>
      </c>
      <c r="AA382" s="20" t="s">
        <v>592</v>
      </c>
      <c r="AC382" s="20" t="s">
        <v>1158</v>
      </c>
      <c r="AD382" s="20" t="s">
        <v>2524</v>
      </c>
      <c r="AE382" s="20" t="s">
        <v>1923</v>
      </c>
      <c r="AF382" s="20" t="s">
        <v>2696</v>
      </c>
      <c r="AG382" s="20" t="s">
        <v>835</v>
      </c>
      <c r="AH382" s="20">
        <v>5</v>
      </c>
      <c r="AI382" s="20">
        <v>6</v>
      </c>
      <c r="AJ382" s="20" t="s">
        <v>592</v>
      </c>
      <c r="AL382" s="20" t="s">
        <v>1144</v>
      </c>
      <c r="AM382" s="20" t="s">
        <v>1145</v>
      </c>
      <c r="AN382" s="20" t="s">
        <v>497</v>
      </c>
      <c r="AO382" s="20" t="s">
        <v>1390</v>
      </c>
      <c r="AP382" s="20" t="s">
        <v>628</v>
      </c>
      <c r="AQ382" s="20">
        <v>10</v>
      </c>
      <c r="AR382" s="20">
        <v>9</v>
      </c>
      <c r="AS382" s="20" t="s">
        <v>592</v>
      </c>
    </row>
    <row r="383" spans="2:45" ht="15.75" customHeight="1" x14ac:dyDescent="0.2">
      <c r="B383" s="20" t="s">
        <v>1169</v>
      </c>
      <c r="C383" s="20" t="s">
        <v>671</v>
      </c>
      <c r="D383" s="20" t="s">
        <v>710</v>
      </c>
      <c r="E383" s="20" t="s">
        <v>1356</v>
      </c>
      <c r="F383" s="20" t="s">
        <v>628</v>
      </c>
      <c r="G383" s="20">
        <v>10</v>
      </c>
      <c r="H383" s="20">
        <v>1</v>
      </c>
      <c r="I383" s="20" t="s">
        <v>592</v>
      </c>
      <c r="K383" s="20" t="s">
        <v>1141</v>
      </c>
      <c r="L383" s="20" t="s">
        <v>224</v>
      </c>
      <c r="M383" s="20" t="s">
        <v>1797</v>
      </c>
      <c r="N383" s="20" t="s">
        <v>1798</v>
      </c>
      <c r="O383" s="20" t="s">
        <v>628</v>
      </c>
      <c r="P383" s="20">
        <v>10</v>
      </c>
      <c r="Q383" s="20">
        <v>9</v>
      </c>
      <c r="R383" s="20" t="s">
        <v>592</v>
      </c>
      <c r="T383" s="20" t="s">
        <v>1154</v>
      </c>
      <c r="U383" s="20" t="s">
        <v>1152</v>
      </c>
      <c r="V383" s="20" t="s">
        <v>2486</v>
      </c>
      <c r="W383" s="20" t="s">
        <v>2282</v>
      </c>
      <c r="X383" s="20" t="s">
        <v>835</v>
      </c>
      <c r="Y383" s="20">
        <v>5</v>
      </c>
      <c r="Z383" s="20">
        <v>5</v>
      </c>
      <c r="AA383" s="20" t="s">
        <v>592</v>
      </c>
      <c r="AC383" s="20" t="s">
        <v>640</v>
      </c>
      <c r="AD383" s="20" t="s">
        <v>31</v>
      </c>
      <c r="AE383" s="20" t="s">
        <v>394</v>
      </c>
      <c r="AF383" s="20" t="s">
        <v>2130</v>
      </c>
      <c r="AG383" s="20" t="s">
        <v>628</v>
      </c>
      <c r="AH383" s="20">
        <v>10</v>
      </c>
      <c r="AI383" s="20">
        <v>1</v>
      </c>
      <c r="AJ383" s="20" t="s">
        <v>593</v>
      </c>
      <c r="AL383" s="20" t="s">
        <v>1144</v>
      </c>
      <c r="AM383" s="20" t="s">
        <v>313</v>
      </c>
      <c r="AN383" s="20" t="s">
        <v>529</v>
      </c>
      <c r="AO383" s="20" t="s">
        <v>2026</v>
      </c>
      <c r="AP383" s="20" t="s">
        <v>628</v>
      </c>
      <c r="AQ383" s="20">
        <v>10</v>
      </c>
      <c r="AR383" s="20">
        <v>9</v>
      </c>
      <c r="AS383" s="20" t="s">
        <v>592</v>
      </c>
    </row>
    <row r="384" spans="2:45" ht="15.75" customHeight="1" x14ac:dyDescent="0.2">
      <c r="B384" s="20" t="s">
        <v>1169</v>
      </c>
      <c r="C384" s="20" t="s">
        <v>671</v>
      </c>
      <c r="D384" s="20" t="s">
        <v>1111</v>
      </c>
      <c r="E384" s="20" t="s">
        <v>1124</v>
      </c>
      <c r="F384" s="20" t="s">
        <v>628</v>
      </c>
      <c r="G384" s="20">
        <v>10</v>
      </c>
      <c r="H384" s="20">
        <v>10</v>
      </c>
      <c r="I384" s="20" t="s">
        <v>592</v>
      </c>
      <c r="K384" s="20" t="s">
        <v>1141</v>
      </c>
      <c r="L384" s="20" t="s">
        <v>780</v>
      </c>
      <c r="M384" s="20" t="s">
        <v>1458</v>
      </c>
      <c r="N384" s="20" t="s">
        <v>1457</v>
      </c>
      <c r="O384" s="20" t="s">
        <v>835</v>
      </c>
      <c r="P384" s="20">
        <v>5</v>
      </c>
      <c r="Q384" s="20">
        <v>5</v>
      </c>
      <c r="R384" s="20" t="s">
        <v>592</v>
      </c>
      <c r="T384" s="20" t="s">
        <v>1158</v>
      </c>
      <c r="U384" s="20" t="s">
        <v>928</v>
      </c>
      <c r="V384" s="20" t="s">
        <v>607</v>
      </c>
      <c r="W384" s="20" t="s">
        <v>2283</v>
      </c>
      <c r="X384" s="20" t="s">
        <v>835</v>
      </c>
      <c r="Y384" s="20">
        <v>5</v>
      </c>
      <c r="Z384" s="20">
        <v>1</v>
      </c>
      <c r="AA384" s="20" t="s">
        <v>593</v>
      </c>
      <c r="AC384" s="20" t="s">
        <v>1154</v>
      </c>
      <c r="AD384" s="20" t="s">
        <v>217</v>
      </c>
      <c r="AE384" s="20" t="s">
        <v>1557</v>
      </c>
      <c r="AF384" s="20" t="s">
        <v>2242</v>
      </c>
      <c r="AG384" s="20" t="s">
        <v>628</v>
      </c>
      <c r="AH384" s="20">
        <v>10</v>
      </c>
      <c r="AI384" s="20">
        <v>2</v>
      </c>
      <c r="AJ384" s="20" t="s">
        <v>593</v>
      </c>
      <c r="AL384" s="20" t="s">
        <v>1144</v>
      </c>
      <c r="AM384" s="20" t="s">
        <v>313</v>
      </c>
      <c r="AN384" s="20" t="s">
        <v>529</v>
      </c>
      <c r="AO384" s="20" t="s">
        <v>3034</v>
      </c>
      <c r="AP384" s="20" t="s">
        <v>628</v>
      </c>
      <c r="AQ384" s="20">
        <v>10</v>
      </c>
      <c r="AR384" s="20">
        <v>1</v>
      </c>
      <c r="AS384" s="20" t="s">
        <v>592</v>
      </c>
    </row>
    <row r="385" spans="2:45" ht="15.75" customHeight="1" x14ac:dyDescent="0.2">
      <c r="B385" s="20" t="s">
        <v>1169</v>
      </c>
      <c r="C385" s="20" t="s">
        <v>701</v>
      </c>
      <c r="D385" s="20" t="s">
        <v>681</v>
      </c>
      <c r="E385" s="20" t="s">
        <v>967</v>
      </c>
      <c r="F385" s="20" t="s">
        <v>628</v>
      </c>
      <c r="G385" s="20">
        <v>10</v>
      </c>
      <c r="H385" s="20">
        <v>17</v>
      </c>
      <c r="I385" s="20" t="s">
        <v>592</v>
      </c>
      <c r="K385" s="20" t="s">
        <v>1141</v>
      </c>
      <c r="L385" s="20" t="s">
        <v>218</v>
      </c>
      <c r="M385" s="20" t="s">
        <v>1466</v>
      </c>
      <c r="N385" s="20" t="s">
        <v>1467</v>
      </c>
      <c r="O385" s="20" t="s">
        <v>835</v>
      </c>
      <c r="P385" s="20">
        <v>5</v>
      </c>
      <c r="Q385" s="20">
        <v>2</v>
      </c>
      <c r="R385" s="20" t="s">
        <v>593</v>
      </c>
      <c r="T385" s="20" t="s">
        <v>1158</v>
      </c>
      <c r="U385" s="20" t="s">
        <v>925</v>
      </c>
      <c r="V385" s="20" t="s">
        <v>534</v>
      </c>
      <c r="W385" s="20" t="s">
        <v>914</v>
      </c>
      <c r="X385" s="20" t="s">
        <v>835</v>
      </c>
      <c r="Y385" s="20">
        <v>5</v>
      </c>
      <c r="Z385" s="20">
        <v>5</v>
      </c>
      <c r="AA385" s="20" t="s">
        <v>592</v>
      </c>
      <c r="AC385" s="20" t="s">
        <v>1154</v>
      </c>
      <c r="AD385" s="20" t="s">
        <v>217</v>
      </c>
      <c r="AE385" s="20" t="s">
        <v>625</v>
      </c>
      <c r="AF385" s="20" t="s">
        <v>1036</v>
      </c>
      <c r="AG385" s="20" t="s">
        <v>628</v>
      </c>
      <c r="AH385" s="20">
        <v>10</v>
      </c>
      <c r="AI385" s="20">
        <v>1</v>
      </c>
      <c r="AJ385" s="20" t="s">
        <v>593</v>
      </c>
      <c r="AL385" s="20" t="s">
        <v>1144</v>
      </c>
      <c r="AM385" s="20" t="s">
        <v>313</v>
      </c>
      <c r="AN385" s="20" t="s">
        <v>531</v>
      </c>
      <c r="AO385" s="20" t="s">
        <v>1115</v>
      </c>
      <c r="AP385" s="20" t="s">
        <v>628</v>
      </c>
      <c r="AQ385" s="20">
        <v>10</v>
      </c>
      <c r="AR385" s="20">
        <v>9</v>
      </c>
      <c r="AS385" s="20" t="s">
        <v>592</v>
      </c>
    </row>
    <row r="386" spans="2:45" ht="15.75" customHeight="1" x14ac:dyDescent="0.2">
      <c r="B386" s="20" t="s">
        <v>1163</v>
      </c>
      <c r="C386" s="20" t="s">
        <v>299</v>
      </c>
      <c r="D386" s="20" t="s">
        <v>408</v>
      </c>
      <c r="E386" s="20" t="s">
        <v>1025</v>
      </c>
      <c r="F386" s="20" t="s">
        <v>628</v>
      </c>
      <c r="G386" s="20">
        <v>10</v>
      </c>
      <c r="H386" s="20">
        <v>4</v>
      </c>
      <c r="I386" s="20" t="s">
        <v>593</v>
      </c>
      <c r="K386" s="20" t="s">
        <v>646</v>
      </c>
      <c r="L386" s="20" t="s">
        <v>285</v>
      </c>
      <c r="M386" s="20" t="s">
        <v>1799</v>
      </c>
      <c r="N386" s="20" t="s">
        <v>461</v>
      </c>
      <c r="O386" s="20" t="s">
        <v>628</v>
      </c>
      <c r="P386" s="20">
        <v>10</v>
      </c>
      <c r="Q386" s="20">
        <v>27</v>
      </c>
      <c r="R386" s="20" t="s">
        <v>592</v>
      </c>
      <c r="T386" s="20" t="s">
        <v>1149</v>
      </c>
      <c r="U386" s="20" t="s">
        <v>63</v>
      </c>
      <c r="V386" s="20" t="s">
        <v>2487</v>
      </c>
      <c r="W386" s="20" t="s">
        <v>2284</v>
      </c>
      <c r="X386" s="20" t="s">
        <v>835</v>
      </c>
      <c r="Y386" s="20">
        <v>5</v>
      </c>
      <c r="Z386" s="20">
        <v>2</v>
      </c>
      <c r="AA386" s="20" t="s">
        <v>593</v>
      </c>
      <c r="AC386" s="20" t="s">
        <v>1161</v>
      </c>
      <c r="AD386" s="20" t="s">
        <v>659</v>
      </c>
      <c r="AE386" s="20" t="s">
        <v>390</v>
      </c>
      <c r="AF386" s="20" t="s">
        <v>784</v>
      </c>
      <c r="AG386" s="20" t="s">
        <v>628</v>
      </c>
      <c r="AH386" s="20">
        <v>10</v>
      </c>
      <c r="AI386" s="20">
        <v>1</v>
      </c>
      <c r="AJ386" s="20" t="s">
        <v>593</v>
      </c>
      <c r="AL386" s="20" t="s">
        <v>1144</v>
      </c>
      <c r="AM386" s="20" t="s">
        <v>313</v>
      </c>
      <c r="AN386" s="20" t="s">
        <v>531</v>
      </c>
      <c r="AO386" s="20" t="s">
        <v>1116</v>
      </c>
      <c r="AP386" s="20" t="s">
        <v>628</v>
      </c>
      <c r="AQ386" s="20">
        <v>10</v>
      </c>
      <c r="AR386" s="20">
        <v>1</v>
      </c>
      <c r="AS386" s="20" t="s">
        <v>592</v>
      </c>
    </row>
    <row r="387" spans="2:45" ht="15.75" customHeight="1" x14ac:dyDescent="0.2">
      <c r="B387" s="20" t="s">
        <v>1163</v>
      </c>
      <c r="C387" s="20" t="s">
        <v>221</v>
      </c>
      <c r="D387" s="20" t="s">
        <v>556</v>
      </c>
      <c r="E387" s="20" t="s">
        <v>825</v>
      </c>
      <c r="F387" s="20" t="s">
        <v>835</v>
      </c>
      <c r="G387" s="20">
        <v>5</v>
      </c>
      <c r="H387" s="20">
        <v>6</v>
      </c>
      <c r="I387" s="20" t="s">
        <v>592</v>
      </c>
      <c r="K387" s="20" t="s">
        <v>646</v>
      </c>
      <c r="L387" s="20" t="s">
        <v>285</v>
      </c>
      <c r="M387" s="20" t="s">
        <v>1800</v>
      </c>
      <c r="N387" s="20" t="s">
        <v>461</v>
      </c>
      <c r="O387" s="20" t="s">
        <v>628</v>
      </c>
      <c r="P387" s="20">
        <v>10</v>
      </c>
      <c r="Q387" s="20">
        <v>1</v>
      </c>
      <c r="R387" s="20" t="s">
        <v>592</v>
      </c>
      <c r="T387" s="20" t="s">
        <v>1149</v>
      </c>
      <c r="U387" s="20" t="s">
        <v>63</v>
      </c>
      <c r="V387" s="20" t="s">
        <v>477</v>
      </c>
      <c r="W387" s="20" t="s">
        <v>2285</v>
      </c>
      <c r="X387" s="20" t="s">
        <v>835</v>
      </c>
      <c r="Y387" s="20">
        <v>5</v>
      </c>
      <c r="Z387" s="20">
        <v>6</v>
      </c>
      <c r="AA387" s="20" t="s">
        <v>592</v>
      </c>
      <c r="AC387" s="20" t="s">
        <v>1161</v>
      </c>
      <c r="AD387" s="20" t="s">
        <v>659</v>
      </c>
      <c r="AE387" s="20" t="s">
        <v>2554</v>
      </c>
      <c r="AF387" s="20" t="s">
        <v>2697</v>
      </c>
      <c r="AG387" s="20" t="s">
        <v>628</v>
      </c>
      <c r="AH387" s="20">
        <v>10</v>
      </c>
      <c r="AI387" s="20">
        <v>1</v>
      </c>
      <c r="AJ387" s="20" t="s">
        <v>593</v>
      </c>
      <c r="AL387" s="20" t="s">
        <v>1144</v>
      </c>
      <c r="AM387" s="20" t="s">
        <v>313</v>
      </c>
      <c r="AN387" s="20" t="s">
        <v>441</v>
      </c>
      <c r="AO387" s="20" t="s">
        <v>3035</v>
      </c>
      <c r="AP387" s="20" t="s">
        <v>628</v>
      </c>
      <c r="AQ387" s="20">
        <v>10</v>
      </c>
      <c r="AR387" s="20">
        <v>13</v>
      </c>
      <c r="AS387" s="20" t="s">
        <v>592</v>
      </c>
    </row>
    <row r="388" spans="2:45" ht="15.75" customHeight="1" x14ac:dyDescent="0.2">
      <c r="B388" s="20" t="s">
        <v>1144</v>
      </c>
      <c r="C388" s="20" t="s">
        <v>249</v>
      </c>
      <c r="D388" s="20" t="s">
        <v>563</v>
      </c>
      <c r="E388" s="20" t="s">
        <v>861</v>
      </c>
      <c r="F388" s="20" t="s">
        <v>835</v>
      </c>
      <c r="G388" s="20">
        <v>5</v>
      </c>
      <c r="H388" s="20">
        <v>9</v>
      </c>
      <c r="I388" s="20" t="s">
        <v>592</v>
      </c>
      <c r="K388" s="20" t="s">
        <v>646</v>
      </c>
      <c r="L388" s="20" t="s">
        <v>246</v>
      </c>
      <c r="M388" s="20" t="s">
        <v>1801</v>
      </c>
      <c r="N388" s="20" t="s">
        <v>1802</v>
      </c>
      <c r="O388" s="20" t="s">
        <v>628</v>
      </c>
      <c r="P388" s="20">
        <v>10</v>
      </c>
      <c r="Q388" s="20">
        <v>11</v>
      </c>
      <c r="R388" s="20" t="s">
        <v>592</v>
      </c>
      <c r="T388" s="20" t="s">
        <v>640</v>
      </c>
      <c r="U388" s="20" t="s">
        <v>705</v>
      </c>
      <c r="V388" s="20" t="s">
        <v>1965</v>
      </c>
      <c r="W388" s="20" t="s">
        <v>1964</v>
      </c>
      <c r="X388" s="20" t="s">
        <v>835</v>
      </c>
      <c r="Y388" s="20">
        <v>5</v>
      </c>
      <c r="Z388" s="20">
        <v>5</v>
      </c>
      <c r="AA388" s="20" t="s">
        <v>592</v>
      </c>
      <c r="AC388" s="20" t="s">
        <v>1169</v>
      </c>
      <c r="AD388" s="20" t="s">
        <v>701</v>
      </c>
      <c r="AE388" s="20" t="s">
        <v>2555</v>
      </c>
      <c r="AF388" s="20" t="s">
        <v>2698</v>
      </c>
      <c r="AG388" s="20" t="s">
        <v>628</v>
      </c>
      <c r="AH388" s="20">
        <v>10</v>
      </c>
      <c r="AI388" s="20">
        <v>8</v>
      </c>
      <c r="AJ388" s="20" t="s">
        <v>592</v>
      </c>
      <c r="AL388" s="20" t="s">
        <v>1144</v>
      </c>
      <c r="AM388" s="20" t="s">
        <v>313</v>
      </c>
      <c r="AN388" s="20" t="s">
        <v>439</v>
      </c>
      <c r="AO388" s="20" t="s">
        <v>1304</v>
      </c>
      <c r="AP388" s="20" t="s">
        <v>628</v>
      </c>
      <c r="AQ388" s="20">
        <v>10</v>
      </c>
      <c r="AR388" s="20">
        <v>9</v>
      </c>
      <c r="AS388" s="20" t="s">
        <v>592</v>
      </c>
    </row>
    <row r="389" spans="2:45" ht="15.75" customHeight="1" x14ac:dyDescent="0.2">
      <c r="B389" s="20" t="s">
        <v>1161</v>
      </c>
      <c r="C389" s="20" t="s">
        <v>304</v>
      </c>
      <c r="D389" s="20" t="s">
        <v>960</v>
      </c>
      <c r="E389" s="20" t="s">
        <v>1357</v>
      </c>
      <c r="F389" s="20" t="s">
        <v>628</v>
      </c>
      <c r="G389" s="20">
        <v>10</v>
      </c>
      <c r="H389" s="20">
        <v>8</v>
      </c>
      <c r="I389" s="20" t="s">
        <v>592</v>
      </c>
      <c r="K389" s="20" t="s">
        <v>646</v>
      </c>
      <c r="L389" s="20" t="s">
        <v>25</v>
      </c>
      <c r="M389" s="20" t="s">
        <v>1305</v>
      </c>
      <c r="N389" s="20" t="s">
        <v>372</v>
      </c>
      <c r="O389" s="20" t="s">
        <v>628</v>
      </c>
      <c r="P389" s="20">
        <v>10</v>
      </c>
      <c r="Q389" s="20">
        <v>9</v>
      </c>
      <c r="R389" s="20" t="s">
        <v>592</v>
      </c>
      <c r="T389" s="20" t="s">
        <v>640</v>
      </c>
      <c r="U389" s="20" t="s">
        <v>31</v>
      </c>
      <c r="V389" s="20" t="s">
        <v>393</v>
      </c>
      <c r="W389" s="20" t="s">
        <v>1756</v>
      </c>
      <c r="X389" s="20" t="s">
        <v>835</v>
      </c>
      <c r="Y389" s="20">
        <v>5</v>
      </c>
      <c r="Z389" s="20">
        <v>3</v>
      </c>
      <c r="AA389" s="20" t="s">
        <v>593</v>
      </c>
      <c r="AC389" s="20" t="s">
        <v>646</v>
      </c>
      <c r="AD389" s="20" t="s">
        <v>334</v>
      </c>
      <c r="AE389" s="20" t="s">
        <v>507</v>
      </c>
      <c r="AF389" s="20" t="s">
        <v>1062</v>
      </c>
      <c r="AG389" s="20" t="s">
        <v>628</v>
      </c>
      <c r="AH389" s="20">
        <v>10</v>
      </c>
      <c r="AI389" s="20">
        <v>9</v>
      </c>
      <c r="AJ389" s="20" t="s">
        <v>592</v>
      </c>
      <c r="AL389" s="20" t="s">
        <v>1144</v>
      </c>
      <c r="AM389" s="20" t="s">
        <v>707</v>
      </c>
      <c r="AN389" s="20" t="s">
        <v>854</v>
      </c>
      <c r="AO389" s="20" t="s">
        <v>2739</v>
      </c>
      <c r="AP389" s="20" t="s">
        <v>628</v>
      </c>
      <c r="AQ389" s="20">
        <v>10</v>
      </c>
      <c r="AR389" s="20">
        <v>8</v>
      </c>
      <c r="AS389" s="20" t="s">
        <v>592</v>
      </c>
    </row>
    <row r="390" spans="2:45" ht="15.75" customHeight="1" x14ac:dyDescent="0.2">
      <c r="B390" s="20" t="s">
        <v>1161</v>
      </c>
      <c r="C390" s="20" t="s">
        <v>659</v>
      </c>
      <c r="D390" s="20" t="s">
        <v>955</v>
      </c>
      <c r="E390" s="20" t="s">
        <v>974</v>
      </c>
      <c r="F390" s="20" t="s">
        <v>628</v>
      </c>
      <c r="G390" s="20">
        <v>10</v>
      </c>
      <c r="H390" s="20">
        <v>3</v>
      </c>
      <c r="I390" s="20" t="s">
        <v>593</v>
      </c>
      <c r="K390" s="20" t="s">
        <v>646</v>
      </c>
      <c r="L390" s="20" t="s">
        <v>285</v>
      </c>
      <c r="M390" s="20" t="s">
        <v>822</v>
      </c>
      <c r="N390" s="20" t="s">
        <v>462</v>
      </c>
      <c r="O390" s="20" t="s">
        <v>835</v>
      </c>
      <c r="P390" s="20">
        <v>5</v>
      </c>
      <c r="Q390" s="20">
        <v>8</v>
      </c>
      <c r="R390" s="20" t="s">
        <v>592</v>
      </c>
      <c r="T390" s="20" t="s">
        <v>640</v>
      </c>
      <c r="U390" s="20" t="s">
        <v>248</v>
      </c>
      <c r="V390" s="20" t="s">
        <v>580</v>
      </c>
      <c r="W390" s="20" t="s">
        <v>2286</v>
      </c>
      <c r="X390" s="20" t="s">
        <v>835</v>
      </c>
      <c r="Y390" s="20">
        <v>5</v>
      </c>
      <c r="Z390" s="20">
        <v>5</v>
      </c>
      <c r="AA390" s="20" t="s">
        <v>592</v>
      </c>
      <c r="AC390" s="20" t="s">
        <v>1147</v>
      </c>
      <c r="AD390" s="20" t="s">
        <v>225</v>
      </c>
      <c r="AE390" s="20" t="s">
        <v>860</v>
      </c>
      <c r="AF390" s="20" t="s">
        <v>2699</v>
      </c>
      <c r="AG390" s="20" t="s">
        <v>628</v>
      </c>
      <c r="AH390" s="20">
        <v>10</v>
      </c>
      <c r="AI390" s="20">
        <v>8</v>
      </c>
      <c r="AJ390" s="20" t="s">
        <v>592</v>
      </c>
      <c r="AL390" s="20" t="s">
        <v>1144</v>
      </c>
      <c r="AM390" s="20" t="s">
        <v>707</v>
      </c>
      <c r="AN390" s="20" t="s">
        <v>846</v>
      </c>
      <c r="AO390" s="20" t="s">
        <v>1027</v>
      </c>
      <c r="AP390" s="20" t="s">
        <v>628</v>
      </c>
      <c r="AQ390" s="20">
        <v>10</v>
      </c>
      <c r="AR390" s="20">
        <v>8</v>
      </c>
      <c r="AS390" s="20" t="s">
        <v>592</v>
      </c>
    </row>
    <row r="391" spans="2:45" ht="15.75" customHeight="1" x14ac:dyDescent="0.2">
      <c r="B391" s="20" t="s">
        <v>1161</v>
      </c>
      <c r="C391" s="20" t="s">
        <v>765</v>
      </c>
      <c r="D391" s="20" t="s">
        <v>537</v>
      </c>
      <c r="E391" s="20" t="s">
        <v>911</v>
      </c>
      <c r="F391" s="20" t="s">
        <v>628</v>
      </c>
      <c r="G391" s="20">
        <v>10</v>
      </c>
      <c r="H391" s="20">
        <v>8</v>
      </c>
      <c r="I391" s="20" t="s">
        <v>592</v>
      </c>
      <c r="K391" s="20" t="s">
        <v>646</v>
      </c>
      <c r="L391" s="20" t="s">
        <v>25</v>
      </c>
      <c r="M391" s="20" t="s">
        <v>1803</v>
      </c>
      <c r="N391" s="20" t="s">
        <v>882</v>
      </c>
      <c r="O391" s="20" t="s">
        <v>835</v>
      </c>
      <c r="P391" s="20">
        <v>5</v>
      </c>
      <c r="Q391" s="20">
        <v>6</v>
      </c>
      <c r="R391" s="20" t="s">
        <v>592</v>
      </c>
      <c r="T391" s="20" t="s">
        <v>640</v>
      </c>
      <c r="U391" s="20" t="s">
        <v>31</v>
      </c>
      <c r="V391" s="20" t="s">
        <v>432</v>
      </c>
      <c r="W391" s="20" t="s">
        <v>716</v>
      </c>
      <c r="X391" s="20" t="s">
        <v>835</v>
      </c>
      <c r="Y391" s="20">
        <v>5</v>
      </c>
      <c r="Z391" s="20">
        <v>2</v>
      </c>
      <c r="AA391" s="20" t="s">
        <v>593</v>
      </c>
      <c r="AC391" s="20" t="s">
        <v>1143</v>
      </c>
      <c r="AD391" s="20" t="s">
        <v>61</v>
      </c>
      <c r="AE391" s="20" t="s">
        <v>525</v>
      </c>
      <c r="AF391" s="20" t="s">
        <v>2412</v>
      </c>
      <c r="AG391" s="20" t="s">
        <v>835</v>
      </c>
      <c r="AH391" s="20">
        <v>5</v>
      </c>
      <c r="AI391" s="20">
        <v>1</v>
      </c>
      <c r="AJ391" s="20" t="s">
        <v>593</v>
      </c>
      <c r="AL391" s="20" t="s">
        <v>1144</v>
      </c>
      <c r="AM391" s="20" t="s">
        <v>707</v>
      </c>
      <c r="AN391" s="20" t="s">
        <v>1955</v>
      </c>
      <c r="AO391" s="20" t="s">
        <v>3010</v>
      </c>
      <c r="AP391" s="20" t="s">
        <v>628</v>
      </c>
      <c r="AQ391" s="20">
        <v>10</v>
      </c>
      <c r="AR391" s="20">
        <v>9</v>
      </c>
      <c r="AS391" s="20" t="s">
        <v>592</v>
      </c>
    </row>
    <row r="392" spans="2:45" ht="15.75" customHeight="1" x14ac:dyDescent="0.2">
      <c r="B392" s="20" t="s">
        <v>1161</v>
      </c>
      <c r="C392" s="20" t="s">
        <v>765</v>
      </c>
      <c r="D392" s="20" t="s">
        <v>537</v>
      </c>
      <c r="E392" s="20" t="s">
        <v>1358</v>
      </c>
      <c r="F392" s="20" t="s">
        <v>628</v>
      </c>
      <c r="G392" s="20">
        <v>10</v>
      </c>
      <c r="H392" s="20">
        <v>1</v>
      </c>
      <c r="I392" s="20" t="s">
        <v>592</v>
      </c>
      <c r="K392" s="20" t="s">
        <v>646</v>
      </c>
      <c r="L392" s="20" t="s">
        <v>285</v>
      </c>
      <c r="M392" s="20" t="s">
        <v>823</v>
      </c>
      <c r="N392" s="20" t="s">
        <v>425</v>
      </c>
      <c r="O392" s="20" t="s">
        <v>835</v>
      </c>
      <c r="P392" s="20">
        <v>5</v>
      </c>
      <c r="Q392" s="20">
        <v>1</v>
      </c>
      <c r="R392" s="20" t="s">
        <v>593</v>
      </c>
      <c r="T392" s="20" t="s">
        <v>646</v>
      </c>
      <c r="U392" s="20" t="s">
        <v>285</v>
      </c>
      <c r="V392" s="20" t="s">
        <v>461</v>
      </c>
      <c r="W392" s="20" t="s">
        <v>864</v>
      </c>
      <c r="X392" s="20" t="s">
        <v>835</v>
      </c>
      <c r="Y392" s="20">
        <v>5</v>
      </c>
      <c r="Z392" s="20">
        <v>7</v>
      </c>
      <c r="AA392" s="20" t="s">
        <v>592</v>
      </c>
      <c r="AC392" s="20" t="s">
        <v>1154</v>
      </c>
      <c r="AD392" s="20" t="s">
        <v>217</v>
      </c>
      <c r="AE392" s="20" t="s">
        <v>578</v>
      </c>
      <c r="AF392" s="20" t="s">
        <v>2700</v>
      </c>
      <c r="AG392" s="20" t="s">
        <v>628</v>
      </c>
      <c r="AH392" s="20">
        <v>10</v>
      </c>
      <c r="AI392" s="20">
        <v>2</v>
      </c>
      <c r="AJ392" s="20" t="s">
        <v>593</v>
      </c>
      <c r="AL392" s="20" t="s">
        <v>1144</v>
      </c>
      <c r="AM392" s="20" t="s">
        <v>707</v>
      </c>
      <c r="AN392" s="20" t="s">
        <v>496</v>
      </c>
      <c r="AO392" s="20" t="s">
        <v>2757</v>
      </c>
      <c r="AP392" s="20" t="s">
        <v>628</v>
      </c>
      <c r="AQ392" s="20">
        <v>10</v>
      </c>
      <c r="AR392" s="20">
        <v>9</v>
      </c>
      <c r="AS392" s="20" t="s">
        <v>592</v>
      </c>
    </row>
    <row r="393" spans="2:45" ht="15.75" customHeight="1" x14ac:dyDescent="0.2">
      <c r="B393" s="20" t="s">
        <v>1144</v>
      </c>
      <c r="C393" s="20" t="s">
        <v>313</v>
      </c>
      <c r="D393" s="20" t="s">
        <v>528</v>
      </c>
      <c r="E393" s="20" t="s">
        <v>998</v>
      </c>
      <c r="F393" s="20" t="s">
        <v>628</v>
      </c>
      <c r="G393" s="20">
        <v>10</v>
      </c>
      <c r="H393" s="20">
        <v>16</v>
      </c>
      <c r="I393" s="20" t="s">
        <v>592</v>
      </c>
      <c r="K393" s="20" t="s">
        <v>646</v>
      </c>
      <c r="L393" s="20" t="s">
        <v>25</v>
      </c>
      <c r="M393" s="20" t="s">
        <v>1804</v>
      </c>
      <c r="N393" s="20" t="s">
        <v>521</v>
      </c>
      <c r="O393" s="20" t="s">
        <v>835</v>
      </c>
      <c r="P393" s="20">
        <v>5</v>
      </c>
      <c r="Q393" s="20">
        <v>6</v>
      </c>
      <c r="R393" s="20" t="s">
        <v>592</v>
      </c>
      <c r="T393" s="20" t="s">
        <v>646</v>
      </c>
      <c r="U393" s="20" t="s">
        <v>285</v>
      </c>
      <c r="V393" s="20" t="s">
        <v>459</v>
      </c>
      <c r="W393" s="20" t="s">
        <v>1581</v>
      </c>
      <c r="X393" s="20" t="s">
        <v>628</v>
      </c>
      <c r="Y393" s="20">
        <v>10</v>
      </c>
      <c r="Z393" s="20">
        <v>8</v>
      </c>
      <c r="AA393" s="20" t="s">
        <v>592</v>
      </c>
      <c r="AC393" s="20" t="s">
        <v>2099</v>
      </c>
      <c r="AD393" s="20" t="s">
        <v>350</v>
      </c>
      <c r="AE393" s="20" t="s">
        <v>2528</v>
      </c>
      <c r="AF393" s="20" t="s">
        <v>2701</v>
      </c>
      <c r="AG393" s="20" t="s">
        <v>835</v>
      </c>
      <c r="AH393" s="20">
        <v>5</v>
      </c>
      <c r="AI393" s="20">
        <v>7</v>
      </c>
      <c r="AJ393" s="20" t="s">
        <v>592</v>
      </c>
      <c r="AL393" s="20" t="s">
        <v>1144</v>
      </c>
      <c r="AM393" s="20" t="s">
        <v>1145</v>
      </c>
      <c r="AN393" s="20" t="s">
        <v>2559</v>
      </c>
      <c r="AO393" s="20" t="s">
        <v>3008</v>
      </c>
      <c r="AP393" s="20" t="s">
        <v>628</v>
      </c>
      <c r="AQ393" s="20">
        <v>10</v>
      </c>
      <c r="AR393" s="20">
        <v>7</v>
      </c>
      <c r="AS393" s="20" t="s">
        <v>592</v>
      </c>
    </row>
    <row r="394" spans="2:45" ht="15.75" customHeight="1" x14ac:dyDescent="0.2">
      <c r="B394" s="20" t="s">
        <v>1144</v>
      </c>
      <c r="C394" s="20" t="s">
        <v>313</v>
      </c>
      <c r="D394" s="20" t="s">
        <v>528</v>
      </c>
      <c r="E394" s="20" t="s">
        <v>1033</v>
      </c>
      <c r="F394" s="20" t="s">
        <v>628</v>
      </c>
      <c r="G394" s="20">
        <v>10</v>
      </c>
      <c r="H394" s="20">
        <v>2</v>
      </c>
      <c r="I394" s="20" t="s">
        <v>592</v>
      </c>
      <c r="K394" s="20" t="s">
        <v>646</v>
      </c>
      <c r="L394" s="20" t="s">
        <v>334</v>
      </c>
      <c r="M394" s="20" t="s">
        <v>1470</v>
      </c>
      <c r="N394" s="20" t="s">
        <v>486</v>
      </c>
      <c r="O394" s="20" t="s">
        <v>835</v>
      </c>
      <c r="P394" s="20">
        <v>5</v>
      </c>
      <c r="Q394" s="20">
        <v>5</v>
      </c>
      <c r="R394" s="20" t="s">
        <v>592</v>
      </c>
      <c r="T394" s="20" t="s">
        <v>1141</v>
      </c>
      <c r="U394" s="20" t="s">
        <v>218</v>
      </c>
      <c r="V394" s="20" t="s">
        <v>493</v>
      </c>
      <c r="W394" s="20" t="s">
        <v>1478</v>
      </c>
      <c r="X394" s="20" t="s">
        <v>628</v>
      </c>
      <c r="Y394" s="20">
        <v>10</v>
      </c>
      <c r="Z394" s="20">
        <v>7</v>
      </c>
      <c r="AA394" s="20" t="s">
        <v>592</v>
      </c>
      <c r="AC394" s="20" t="s">
        <v>1149</v>
      </c>
      <c r="AD394" s="20" t="s">
        <v>1150</v>
      </c>
      <c r="AE394" s="20" t="s">
        <v>478</v>
      </c>
      <c r="AF394" s="20" t="s">
        <v>1402</v>
      </c>
      <c r="AG394" s="20" t="s">
        <v>835</v>
      </c>
      <c r="AH394" s="20">
        <v>5</v>
      </c>
      <c r="AI394" s="20">
        <v>6</v>
      </c>
      <c r="AJ394" s="20" t="s">
        <v>592</v>
      </c>
      <c r="AL394" s="20" t="s">
        <v>1144</v>
      </c>
      <c r="AM394" s="20" t="s">
        <v>1145</v>
      </c>
      <c r="AN394" s="20" t="s">
        <v>2559</v>
      </c>
      <c r="AO394" s="20" t="s">
        <v>3036</v>
      </c>
      <c r="AP394" s="20" t="s">
        <v>628</v>
      </c>
      <c r="AQ394" s="20">
        <v>10</v>
      </c>
      <c r="AR394" s="20">
        <v>1</v>
      </c>
      <c r="AS394" s="20" t="s">
        <v>592</v>
      </c>
    </row>
    <row r="395" spans="2:45" ht="15.75" customHeight="1" x14ac:dyDescent="0.2">
      <c r="B395" s="20" t="s">
        <v>1144</v>
      </c>
      <c r="C395" s="20" t="s">
        <v>313</v>
      </c>
      <c r="D395" s="20" t="s">
        <v>441</v>
      </c>
      <c r="E395" s="20" t="s">
        <v>1359</v>
      </c>
      <c r="F395" s="20" t="s">
        <v>628</v>
      </c>
      <c r="G395" s="20">
        <v>10</v>
      </c>
      <c r="H395" s="20">
        <v>12</v>
      </c>
      <c r="I395" s="20" t="s">
        <v>592</v>
      </c>
      <c r="K395" s="20" t="s">
        <v>646</v>
      </c>
      <c r="L395" s="20" t="s">
        <v>334</v>
      </c>
      <c r="M395" s="20" t="s">
        <v>1805</v>
      </c>
      <c r="N395" s="20" t="s">
        <v>1806</v>
      </c>
      <c r="O395" s="20" t="s">
        <v>835</v>
      </c>
      <c r="P395" s="20">
        <v>5</v>
      </c>
      <c r="Q395" s="20">
        <v>3</v>
      </c>
      <c r="R395" s="20" t="s">
        <v>593</v>
      </c>
      <c r="T395" s="20" t="s">
        <v>1141</v>
      </c>
      <c r="U395" s="20" t="s">
        <v>218</v>
      </c>
      <c r="V395" s="20" t="s">
        <v>493</v>
      </c>
      <c r="W395" s="20" t="s">
        <v>2287</v>
      </c>
      <c r="X395" s="20" t="s">
        <v>628</v>
      </c>
      <c r="Y395" s="20">
        <v>10</v>
      </c>
      <c r="Z395" s="20">
        <v>1</v>
      </c>
      <c r="AA395" s="20" t="s">
        <v>592</v>
      </c>
      <c r="AC395" s="20" t="s">
        <v>1163</v>
      </c>
      <c r="AD395" s="20" t="s">
        <v>57</v>
      </c>
      <c r="AE395" s="20" t="s">
        <v>768</v>
      </c>
      <c r="AF395" s="20" t="s">
        <v>1279</v>
      </c>
      <c r="AG395" s="20" t="s">
        <v>628</v>
      </c>
      <c r="AH395" s="20">
        <v>10</v>
      </c>
      <c r="AI395" s="20">
        <v>1</v>
      </c>
      <c r="AJ395" s="20" t="s">
        <v>593</v>
      </c>
      <c r="AL395" s="20" t="s">
        <v>1144</v>
      </c>
      <c r="AM395" s="20" t="s">
        <v>804</v>
      </c>
      <c r="AN395" s="20" t="s">
        <v>2816</v>
      </c>
      <c r="AO395" s="20" t="s">
        <v>3002</v>
      </c>
      <c r="AP395" s="20" t="s">
        <v>628</v>
      </c>
      <c r="AQ395" s="20">
        <v>10</v>
      </c>
      <c r="AR395" s="20">
        <v>9</v>
      </c>
      <c r="AS395" s="20" t="s">
        <v>592</v>
      </c>
    </row>
    <row r="396" spans="2:45" ht="15.75" customHeight="1" x14ac:dyDescent="0.2">
      <c r="B396" s="20" t="s">
        <v>1144</v>
      </c>
      <c r="C396" s="20" t="s">
        <v>313</v>
      </c>
      <c r="D396" s="20" t="s">
        <v>441</v>
      </c>
      <c r="E396" s="20" t="s">
        <v>1360</v>
      </c>
      <c r="F396" s="20" t="s">
        <v>628</v>
      </c>
      <c r="G396" s="20">
        <v>10</v>
      </c>
      <c r="H396" s="20">
        <v>6</v>
      </c>
      <c r="I396" s="20" t="s">
        <v>592</v>
      </c>
      <c r="K396" s="20" t="s">
        <v>646</v>
      </c>
      <c r="L396" s="20" t="s">
        <v>334</v>
      </c>
      <c r="M396" s="20" t="s">
        <v>1807</v>
      </c>
      <c r="N396" s="20" t="s">
        <v>581</v>
      </c>
      <c r="O396" s="20" t="s">
        <v>835</v>
      </c>
      <c r="P396" s="20">
        <v>5</v>
      </c>
      <c r="Q396" s="20">
        <v>6</v>
      </c>
      <c r="R396" s="20" t="s">
        <v>592</v>
      </c>
      <c r="T396" s="20" t="s">
        <v>1144</v>
      </c>
      <c r="U396" s="20" t="s">
        <v>707</v>
      </c>
      <c r="V396" s="20" t="s">
        <v>873</v>
      </c>
      <c r="W396" s="20" t="s">
        <v>2288</v>
      </c>
      <c r="X396" s="20" t="s">
        <v>628</v>
      </c>
      <c r="Y396" s="20">
        <v>10</v>
      </c>
      <c r="Z396" s="20">
        <v>9</v>
      </c>
      <c r="AA396" s="20" t="s">
        <v>592</v>
      </c>
      <c r="AC396" s="20" t="s">
        <v>640</v>
      </c>
      <c r="AD396" s="20" t="s">
        <v>248</v>
      </c>
      <c r="AE396" s="20" t="s">
        <v>961</v>
      </c>
      <c r="AF396" s="20" t="s">
        <v>2586</v>
      </c>
      <c r="AG396" s="20" t="s">
        <v>628</v>
      </c>
      <c r="AH396" s="20">
        <v>10</v>
      </c>
      <c r="AI396" s="20">
        <v>2</v>
      </c>
      <c r="AJ396" s="20" t="s">
        <v>593</v>
      </c>
      <c r="AL396" s="20" t="s">
        <v>1144</v>
      </c>
      <c r="AM396" s="20" t="s">
        <v>23</v>
      </c>
      <c r="AN396" s="20" t="s">
        <v>545</v>
      </c>
      <c r="AO396" s="20" t="s">
        <v>1120</v>
      </c>
      <c r="AP396" s="20" t="s">
        <v>628</v>
      </c>
      <c r="AQ396" s="20">
        <v>10</v>
      </c>
      <c r="AR396" s="20">
        <v>8</v>
      </c>
      <c r="AS396" s="20" t="s">
        <v>592</v>
      </c>
    </row>
    <row r="397" spans="2:45" ht="15.75" customHeight="1" x14ac:dyDescent="0.2">
      <c r="B397" s="20" t="s">
        <v>1144</v>
      </c>
      <c r="C397" s="20" t="s">
        <v>707</v>
      </c>
      <c r="D397" s="20" t="s">
        <v>873</v>
      </c>
      <c r="E397" s="20" t="s">
        <v>874</v>
      </c>
      <c r="F397" s="20" t="s">
        <v>835</v>
      </c>
      <c r="G397" s="20">
        <v>5</v>
      </c>
      <c r="H397" s="20">
        <v>5</v>
      </c>
      <c r="I397" s="20" t="s">
        <v>592</v>
      </c>
      <c r="K397" s="20" t="s">
        <v>646</v>
      </c>
      <c r="L397" s="20" t="s">
        <v>1109</v>
      </c>
      <c r="M397" s="20" t="s">
        <v>1808</v>
      </c>
      <c r="N397" s="20" t="s">
        <v>375</v>
      </c>
      <c r="O397" s="20" t="s">
        <v>835</v>
      </c>
      <c r="P397" s="20">
        <v>5</v>
      </c>
      <c r="Q397" s="20">
        <v>1</v>
      </c>
      <c r="R397" s="20" t="s">
        <v>593</v>
      </c>
      <c r="T397" s="20" t="s">
        <v>1143</v>
      </c>
      <c r="U397" s="20" t="s">
        <v>61</v>
      </c>
      <c r="V397" s="20" t="s">
        <v>2488</v>
      </c>
      <c r="W397" s="20" t="s">
        <v>2289</v>
      </c>
      <c r="X397" s="20" t="s">
        <v>835</v>
      </c>
      <c r="Y397" s="20">
        <v>5</v>
      </c>
      <c r="Z397" s="20">
        <v>5</v>
      </c>
      <c r="AA397" s="20" t="s">
        <v>592</v>
      </c>
      <c r="AC397" s="20" t="s">
        <v>1154</v>
      </c>
      <c r="AD397" s="20" t="s">
        <v>307</v>
      </c>
      <c r="AE397" s="20" t="s">
        <v>514</v>
      </c>
      <c r="AF397" s="20" t="s">
        <v>2702</v>
      </c>
      <c r="AG397" s="20" t="s">
        <v>628</v>
      </c>
      <c r="AH397" s="20">
        <v>10</v>
      </c>
      <c r="AI397" s="20">
        <v>4</v>
      </c>
      <c r="AJ397" s="20" t="s">
        <v>593</v>
      </c>
      <c r="AL397" s="20" t="s">
        <v>1144</v>
      </c>
      <c r="AM397" s="20" t="s">
        <v>804</v>
      </c>
      <c r="AN397" s="20" t="s">
        <v>2816</v>
      </c>
      <c r="AO397" s="20" t="s">
        <v>3004</v>
      </c>
      <c r="AP397" s="20" t="s">
        <v>628</v>
      </c>
      <c r="AQ397" s="20">
        <v>10</v>
      </c>
      <c r="AR397" s="20">
        <v>3</v>
      </c>
      <c r="AS397" s="20" t="s">
        <v>592</v>
      </c>
    </row>
    <row r="398" spans="2:45" ht="15.75" customHeight="1" x14ac:dyDescent="0.2">
      <c r="B398" s="20" t="s">
        <v>1147</v>
      </c>
      <c r="C398" s="20" t="s">
        <v>222</v>
      </c>
      <c r="D398" s="20" t="s">
        <v>553</v>
      </c>
      <c r="E398" s="20" t="s">
        <v>1205</v>
      </c>
      <c r="F398" s="20" t="s">
        <v>628</v>
      </c>
      <c r="G398" s="20">
        <v>10</v>
      </c>
      <c r="H398" s="20">
        <v>7</v>
      </c>
      <c r="I398" s="20" t="s">
        <v>592</v>
      </c>
      <c r="K398" s="20" t="s">
        <v>646</v>
      </c>
      <c r="L398" s="20" t="s">
        <v>298</v>
      </c>
      <c r="M398" s="20" t="s">
        <v>1809</v>
      </c>
      <c r="N398" s="20" t="s">
        <v>1810</v>
      </c>
      <c r="O398" s="20" t="s">
        <v>835</v>
      </c>
      <c r="P398" s="20">
        <v>5</v>
      </c>
      <c r="Q398" s="20">
        <v>4</v>
      </c>
      <c r="R398" s="20" t="s">
        <v>593</v>
      </c>
      <c r="T398" s="20" t="s">
        <v>646</v>
      </c>
      <c r="U398" s="20" t="s">
        <v>246</v>
      </c>
      <c r="V398" s="20" t="s">
        <v>1543</v>
      </c>
      <c r="W398" s="20" t="s">
        <v>2290</v>
      </c>
      <c r="X398" s="20" t="s">
        <v>835</v>
      </c>
      <c r="Y398" s="20">
        <v>5</v>
      </c>
      <c r="Z398" s="20">
        <v>5</v>
      </c>
      <c r="AA398" s="20" t="s">
        <v>592</v>
      </c>
      <c r="AC398" s="20" t="s">
        <v>1163</v>
      </c>
      <c r="AD398" s="20" t="s">
        <v>1165</v>
      </c>
      <c r="AE398" s="20" t="s">
        <v>504</v>
      </c>
      <c r="AF398" s="20" t="s">
        <v>1262</v>
      </c>
      <c r="AG398" s="20" t="s">
        <v>628</v>
      </c>
      <c r="AH398" s="20">
        <v>10</v>
      </c>
      <c r="AI398" s="20">
        <v>3</v>
      </c>
      <c r="AJ398" s="20" t="s">
        <v>593</v>
      </c>
      <c r="AL398" s="20" t="s">
        <v>1144</v>
      </c>
      <c r="AM398" s="20" t="s">
        <v>23</v>
      </c>
      <c r="AN398" s="20" t="s">
        <v>544</v>
      </c>
      <c r="AO398" s="20" t="s">
        <v>589</v>
      </c>
      <c r="AP398" s="20" t="s">
        <v>628</v>
      </c>
      <c r="AQ398" s="20">
        <v>10</v>
      </c>
      <c r="AR398" s="20">
        <v>7</v>
      </c>
      <c r="AS398" s="20" t="s">
        <v>592</v>
      </c>
    </row>
    <row r="399" spans="2:45" ht="15.75" customHeight="1" x14ac:dyDescent="0.2">
      <c r="B399" s="20" t="s">
        <v>1147</v>
      </c>
      <c r="C399" s="20" t="s">
        <v>222</v>
      </c>
      <c r="D399" s="20" t="s">
        <v>553</v>
      </c>
      <c r="E399" s="20" t="s">
        <v>1204</v>
      </c>
      <c r="F399" s="20" t="s">
        <v>628</v>
      </c>
      <c r="G399" s="20">
        <v>10</v>
      </c>
      <c r="H399" s="20">
        <v>1</v>
      </c>
      <c r="I399" s="20" t="s">
        <v>592</v>
      </c>
      <c r="K399" s="20" t="s">
        <v>1143</v>
      </c>
      <c r="L399" s="20" t="s">
        <v>706</v>
      </c>
      <c r="M399" s="20" t="s">
        <v>1811</v>
      </c>
      <c r="N399" s="20" t="s">
        <v>1812</v>
      </c>
      <c r="O399" s="20" t="s">
        <v>835</v>
      </c>
      <c r="P399" s="20">
        <v>5</v>
      </c>
      <c r="Q399" s="20">
        <v>5</v>
      </c>
      <c r="R399" s="20" t="s">
        <v>592</v>
      </c>
      <c r="T399" s="20" t="s">
        <v>1155</v>
      </c>
      <c r="U399" s="20" t="s">
        <v>1156</v>
      </c>
      <c r="V399" s="20" t="s">
        <v>518</v>
      </c>
      <c r="W399" s="20" t="s">
        <v>1323</v>
      </c>
      <c r="X399" s="20" t="s">
        <v>835</v>
      </c>
      <c r="Y399" s="20">
        <v>5</v>
      </c>
      <c r="Z399" s="20">
        <v>5</v>
      </c>
      <c r="AA399" s="20" t="s">
        <v>592</v>
      </c>
      <c r="AC399" s="20" t="s">
        <v>1163</v>
      </c>
      <c r="AD399" s="20" t="s">
        <v>299</v>
      </c>
      <c r="AE399" s="20" t="s">
        <v>1569</v>
      </c>
      <c r="AF399" s="20" t="s">
        <v>2703</v>
      </c>
      <c r="AG399" s="20" t="s">
        <v>628</v>
      </c>
      <c r="AH399" s="20">
        <v>10</v>
      </c>
      <c r="AI399" s="20">
        <v>1</v>
      </c>
      <c r="AJ399" s="20" t="s">
        <v>593</v>
      </c>
      <c r="AL399" s="20" t="s">
        <v>1144</v>
      </c>
      <c r="AM399" s="20" t="s">
        <v>23</v>
      </c>
      <c r="AN399" s="20" t="s">
        <v>544</v>
      </c>
      <c r="AO399" s="20" t="s">
        <v>745</v>
      </c>
      <c r="AP399" s="20" t="s">
        <v>628</v>
      </c>
      <c r="AQ399" s="20">
        <v>10</v>
      </c>
      <c r="AR399" s="20">
        <v>1</v>
      </c>
      <c r="AS399" s="20" t="s">
        <v>592</v>
      </c>
    </row>
    <row r="400" spans="2:45" ht="15.75" customHeight="1" x14ac:dyDescent="0.2">
      <c r="B400" s="20" t="s">
        <v>1147</v>
      </c>
      <c r="C400" s="20" t="s">
        <v>222</v>
      </c>
      <c r="D400" s="20" t="s">
        <v>551</v>
      </c>
      <c r="E400" s="20" t="s">
        <v>1361</v>
      </c>
      <c r="F400" s="20" t="s">
        <v>628</v>
      </c>
      <c r="G400" s="20">
        <v>10</v>
      </c>
      <c r="H400" s="20">
        <v>1</v>
      </c>
      <c r="I400" s="20" t="s">
        <v>593</v>
      </c>
      <c r="K400" s="20" t="s">
        <v>646</v>
      </c>
      <c r="L400" s="20" t="s">
        <v>298</v>
      </c>
      <c r="M400" s="20" t="s">
        <v>968</v>
      </c>
      <c r="N400" s="20" t="s">
        <v>374</v>
      </c>
      <c r="O400" s="20" t="s">
        <v>835</v>
      </c>
      <c r="P400" s="20">
        <v>5</v>
      </c>
      <c r="Q400" s="20">
        <v>4</v>
      </c>
      <c r="R400" s="20" t="s">
        <v>593</v>
      </c>
      <c r="T400" s="20" t="s">
        <v>1143</v>
      </c>
      <c r="U400" s="20" t="s">
        <v>61</v>
      </c>
      <c r="V400" s="20" t="s">
        <v>616</v>
      </c>
      <c r="W400" s="20" t="s">
        <v>1920</v>
      </c>
      <c r="X400" s="20" t="s">
        <v>835</v>
      </c>
      <c r="Y400" s="20">
        <v>5</v>
      </c>
      <c r="Z400" s="20">
        <v>7</v>
      </c>
      <c r="AA400" s="20" t="s">
        <v>592</v>
      </c>
      <c r="AC400" s="20" t="s">
        <v>640</v>
      </c>
      <c r="AD400" s="20" t="s">
        <v>191</v>
      </c>
      <c r="AE400" s="20" t="s">
        <v>570</v>
      </c>
      <c r="AF400" s="20" t="s">
        <v>1754</v>
      </c>
      <c r="AG400" s="20" t="s">
        <v>628</v>
      </c>
      <c r="AH400" s="20">
        <v>10</v>
      </c>
      <c r="AI400" s="20">
        <v>4</v>
      </c>
      <c r="AJ400" s="20" t="s">
        <v>593</v>
      </c>
      <c r="AL400" s="20" t="s">
        <v>1144</v>
      </c>
      <c r="AM400" s="20" t="s">
        <v>23</v>
      </c>
      <c r="AN400" s="20" t="s">
        <v>558</v>
      </c>
      <c r="AO400" s="20" t="s">
        <v>3030</v>
      </c>
      <c r="AP400" s="20" t="s">
        <v>628</v>
      </c>
      <c r="AQ400" s="20">
        <v>10</v>
      </c>
      <c r="AR400" s="20">
        <v>8</v>
      </c>
      <c r="AS400" s="20" t="s">
        <v>592</v>
      </c>
    </row>
    <row r="401" spans="2:45" ht="15.75" customHeight="1" x14ac:dyDescent="0.2">
      <c r="B401" s="20" t="s">
        <v>646</v>
      </c>
      <c r="C401" s="20" t="s">
        <v>209</v>
      </c>
      <c r="D401" s="20" t="s">
        <v>410</v>
      </c>
      <c r="E401" s="20" t="s">
        <v>1362</v>
      </c>
      <c r="F401" s="20" t="s">
        <v>628</v>
      </c>
      <c r="G401" s="20">
        <v>10</v>
      </c>
      <c r="H401" s="20">
        <v>10</v>
      </c>
      <c r="I401" s="20" t="s">
        <v>592</v>
      </c>
      <c r="K401" s="20" t="s">
        <v>1143</v>
      </c>
      <c r="L401" s="20" t="s">
        <v>689</v>
      </c>
      <c r="M401" s="20" t="s">
        <v>1053</v>
      </c>
      <c r="N401" s="20" t="s">
        <v>618</v>
      </c>
      <c r="O401" s="20" t="s">
        <v>835</v>
      </c>
      <c r="P401" s="20">
        <v>5</v>
      </c>
      <c r="Q401" s="20">
        <v>6</v>
      </c>
      <c r="R401" s="20" t="s">
        <v>592</v>
      </c>
      <c r="T401" s="20" t="s">
        <v>1143</v>
      </c>
      <c r="U401" s="20" t="s">
        <v>689</v>
      </c>
      <c r="V401" s="20" t="s">
        <v>618</v>
      </c>
      <c r="W401" s="20" t="s">
        <v>1053</v>
      </c>
      <c r="X401" s="20" t="s">
        <v>835</v>
      </c>
      <c r="Y401" s="20">
        <v>5</v>
      </c>
      <c r="Z401" s="20">
        <v>5</v>
      </c>
      <c r="AA401" s="20" t="s">
        <v>592</v>
      </c>
      <c r="AC401" s="20" t="s">
        <v>1141</v>
      </c>
      <c r="AD401" s="20" t="s">
        <v>780</v>
      </c>
      <c r="AE401" s="20" t="s">
        <v>1457</v>
      </c>
      <c r="AF401" s="20" t="s">
        <v>1458</v>
      </c>
      <c r="AG401" s="20" t="s">
        <v>628</v>
      </c>
      <c r="AH401" s="20">
        <v>10</v>
      </c>
      <c r="AI401" s="20">
        <v>7</v>
      </c>
      <c r="AJ401" s="20" t="s">
        <v>592</v>
      </c>
      <c r="AL401" s="20" t="s">
        <v>1144</v>
      </c>
      <c r="AM401" s="20" t="s">
        <v>23</v>
      </c>
      <c r="AN401" s="20" t="s">
        <v>543</v>
      </c>
      <c r="AO401" s="20" t="s">
        <v>2593</v>
      </c>
      <c r="AP401" s="20" t="s">
        <v>628</v>
      </c>
      <c r="AQ401" s="20">
        <v>10</v>
      </c>
      <c r="AR401" s="20">
        <v>8</v>
      </c>
      <c r="AS401" s="20" t="s">
        <v>592</v>
      </c>
    </row>
    <row r="402" spans="2:45" ht="15.75" customHeight="1" x14ac:dyDescent="0.2">
      <c r="B402" s="20" t="s">
        <v>1144</v>
      </c>
      <c r="C402" s="20" t="s">
        <v>194</v>
      </c>
      <c r="D402" s="20" t="s">
        <v>438</v>
      </c>
      <c r="E402" s="20" t="s">
        <v>829</v>
      </c>
      <c r="F402" s="20" t="s">
        <v>628</v>
      </c>
      <c r="G402" s="20">
        <v>10</v>
      </c>
      <c r="H402" s="20">
        <v>1</v>
      </c>
      <c r="I402" s="20" t="s">
        <v>592</v>
      </c>
      <c r="K402" s="20" t="s">
        <v>1144</v>
      </c>
      <c r="L402" s="20" t="s">
        <v>194</v>
      </c>
      <c r="M402" s="20" t="s">
        <v>1484</v>
      </c>
      <c r="N402" s="20" t="s">
        <v>437</v>
      </c>
      <c r="O402" s="20" t="s">
        <v>835</v>
      </c>
      <c r="P402" s="20">
        <v>5</v>
      </c>
      <c r="Q402" s="20">
        <v>10</v>
      </c>
      <c r="R402" s="20" t="s">
        <v>592</v>
      </c>
      <c r="T402" s="20" t="s">
        <v>1149</v>
      </c>
      <c r="U402" s="20" t="s">
        <v>63</v>
      </c>
      <c r="V402" s="20" t="s">
        <v>880</v>
      </c>
      <c r="W402" s="20" t="s">
        <v>906</v>
      </c>
      <c r="X402" s="20" t="s">
        <v>835</v>
      </c>
      <c r="Y402" s="20">
        <v>5</v>
      </c>
      <c r="Z402" s="20">
        <v>2</v>
      </c>
      <c r="AA402" s="20" t="s">
        <v>593</v>
      </c>
      <c r="AC402" s="20" t="s">
        <v>1141</v>
      </c>
      <c r="AD402" s="20" t="s">
        <v>780</v>
      </c>
      <c r="AE402" s="20" t="s">
        <v>1457</v>
      </c>
      <c r="AF402" s="20" t="s">
        <v>1456</v>
      </c>
      <c r="AG402" s="20" t="s">
        <v>628</v>
      </c>
      <c r="AH402" s="20">
        <v>10</v>
      </c>
      <c r="AI402" s="20">
        <v>1</v>
      </c>
      <c r="AJ402" s="20" t="s">
        <v>592</v>
      </c>
      <c r="AL402" s="20" t="s">
        <v>1144</v>
      </c>
      <c r="AM402" s="20" t="s">
        <v>249</v>
      </c>
      <c r="AN402" s="20" t="s">
        <v>563</v>
      </c>
      <c r="AO402" s="20" t="s">
        <v>591</v>
      </c>
      <c r="AP402" s="20" t="s">
        <v>628</v>
      </c>
      <c r="AQ402" s="20">
        <v>10</v>
      </c>
      <c r="AR402" s="20">
        <v>10</v>
      </c>
      <c r="AS402" s="20" t="s">
        <v>592</v>
      </c>
    </row>
    <row r="403" spans="2:45" ht="15.75" customHeight="1" x14ac:dyDescent="0.2">
      <c r="B403" s="20" t="s">
        <v>1144</v>
      </c>
      <c r="C403" s="20" t="s">
        <v>194</v>
      </c>
      <c r="D403" s="20" t="s">
        <v>438</v>
      </c>
      <c r="E403" s="20" t="s">
        <v>828</v>
      </c>
      <c r="F403" s="20" t="s">
        <v>628</v>
      </c>
      <c r="G403" s="20">
        <v>10</v>
      </c>
      <c r="H403" s="20">
        <v>20</v>
      </c>
      <c r="I403" s="20" t="s">
        <v>592</v>
      </c>
      <c r="K403" s="20" t="s">
        <v>1144</v>
      </c>
      <c r="L403" s="20" t="s">
        <v>313</v>
      </c>
      <c r="M403" s="20" t="s">
        <v>1813</v>
      </c>
      <c r="N403" s="20" t="s">
        <v>1814</v>
      </c>
      <c r="O403" s="20" t="s">
        <v>835</v>
      </c>
      <c r="P403" s="20">
        <v>5</v>
      </c>
      <c r="Q403" s="20">
        <v>5</v>
      </c>
      <c r="R403" s="20" t="s">
        <v>592</v>
      </c>
      <c r="T403" s="20" t="s">
        <v>1154</v>
      </c>
      <c r="U403" s="20" t="s">
        <v>307</v>
      </c>
      <c r="V403" s="20" t="s">
        <v>2489</v>
      </c>
      <c r="W403" s="20" t="s">
        <v>2291</v>
      </c>
      <c r="X403" s="20" t="s">
        <v>835</v>
      </c>
      <c r="Y403" s="20">
        <v>5</v>
      </c>
      <c r="Z403" s="20">
        <v>3</v>
      </c>
      <c r="AA403" s="20" t="s">
        <v>593</v>
      </c>
      <c r="AC403" s="20" t="s">
        <v>1144</v>
      </c>
      <c r="AD403" s="20" t="s">
        <v>23</v>
      </c>
      <c r="AE403" s="20" t="s">
        <v>2513</v>
      </c>
      <c r="AF403" s="20" t="s">
        <v>2442</v>
      </c>
      <c r="AG403" s="20" t="s">
        <v>628</v>
      </c>
      <c r="AH403" s="20">
        <v>10</v>
      </c>
      <c r="AI403" s="20">
        <v>8</v>
      </c>
      <c r="AJ403" s="20" t="s">
        <v>592</v>
      </c>
      <c r="AL403" s="20" t="s">
        <v>1144</v>
      </c>
      <c r="AM403" s="20" t="s">
        <v>249</v>
      </c>
      <c r="AN403" s="20" t="s">
        <v>564</v>
      </c>
      <c r="AO403" s="20" t="s">
        <v>834</v>
      </c>
      <c r="AP403" s="20" t="s">
        <v>628</v>
      </c>
      <c r="AQ403" s="20">
        <v>10</v>
      </c>
      <c r="AR403" s="20">
        <v>8</v>
      </c>
      <c r="AS403" s="20" t="s">
        <v>592</v>
      </c>
    </row>
    <row r="404" spans="2:45" ht="15.75" customHeight="1" x14ac:dyDescent="0.2">
      <c r="B404" s="20" t="s">
        <v>1144</v>
      </c>
      <c r="C404" s="20" t="s">
        <v>194</v>
      </c>
      <c r="D404" s="20" t="s">
        <v>868</v>
      </c>
      <c r="E404" s="20" t="s">
        <v>1363</v>
      </c>
      <c r="F404" s="20" t="s">
        <v>628</v>
      </c>
      <c r="G404" s="20">
        <v>10</v>
      </c>
      <c r="H404" s="20">
        <v>7</v>
      </c>
      <c r="I404" s="20" t="s">
        <v>592</v>
      </c>
      <c r="K404" s="20" t="s">
        <v>1144</v>
      </c>
      <c r="L404" s="20" t="s">
        <v>249</v>
      </c>
      <c r="M404" s="20" t="s">
        <v>1207</v>
      </c>
      <c r="N404" s="20" t="s">
        <v>491</v>
      </c>
      <c r="O404" s="20" t="s">
        <v>835</v>
      </c>
      <c r="P404" s="20">
        <v>5</v>
      </c>
      <c r="Q404" s="20">
        <v>8</v>
      </c>
      <c r="R404" s="20" t="s">
        <v>592</v>
      </c>
      <c r="T404" s="20" t="s">
        <v>1163</v>
      </c>
      <c r="U404" s="20" t="s">
        <v>837</v>
      </c>
      <c r="V404" s="20" t="s">
        <v>554</v>
      </c>
      <c r="W404" s="20" t="s">
        <v>1935</v>
      </c>
      <c r="X404" s="20" t="s">
        <v>835</v>
      </c>
      <c r="Y404" s="20">
        <v>5</v>
      </c>
      <c r="Z404" s="20">
        <v>5</v>
      </c>
      <c r="AA404" s="20" t="s">
        <v>592</v>
      </c>
      <c r="AC404" s="20" t="s">
        <v>1162</v>
      </c>
      <c r="AD404" s="20" t="s">
        <v>230</v>
      </c>
      <c r="AE404" s="20" t="s">
        <v>413</v>
      </c>
      <c r="AF404" s="20" t="s">
        <v>1673</v>
      </c>
      <c r="AG404" s="20" t="s">
        <v>628</v>
      </c>
      <c r="AH404" s="20">
        <v>10</v>
      </c>
      <c r="AI404" s="20">
        <v>7</v>
      </c>
      <c r="AJ404" s="20" t="s">
        <v>592</v>
      </c>
      <c r="AL404" s="20" t="s">
        <v>1144</v>
      </c>
      <c r="AM404" s="20" t="s">
        <v>249</v>
      </c>
      <c r="AN404" s="20" t="s">
        <v>564</v>
      </c>
      <c r="AO404" s="20" t="s">
        <v>833</v>
      </c>
      <c r="AP404" s="20" t="s">
        <v>628</v>
      </c>
      <c r="AQ404" s="20">
        <v>10</v>
      </c>
      <c r="AR404" s="20">
        <v>2</v>
      </c>
      <c r="AS404" s="20" t="s">
        <v>592</v>
      </c>
    </row>
    <row r="405" spans="2:45" ht="15.75" customHeight="1" x14ac:dyDescent="0.2">
      <c r="B405" s="20" t="s">
        <v>1144</v>
      </c>
      <c r="C405" s="20" t="s">
        <v>194</v>
      </c>
      <c r="D405" s="20" t="s">
        <v>868</v>
      </c>
      <c r="E405" s="20" t="s">
        <v>1364</v>
      </c>
      <c r="F405" s="20" t="s">
        <v>628</v>
      </c>
      <c r="G405" s="20">
        <v>10</v>
      </c>
      <c r="H405" s="20">
        <v>1</v>
      </c>
      <c r="I405" s="20" t="s">
        <v>592</v>
      </c>
      <c r="K405" s="20" t="s">
        <v>1144</v>
      </c>
      <c r="L405" s="20" t="s">
        <v>249</v>
      </c>
      <c r="M405" s="20" t="s">
        <v>834</v>
      </c>
      <c r="N405" s="20" t="s">
        <v>564</v>
      </c>
      <c r="O405" s="20" t="s">
        <v>835</v>
      </c>
      <c r="P405" s="20">
        <v>5</v>
      </c>
      <c r="Q405" s="20">
        <v>13</v>
      </c>
      <c r="R405" s="20" t="s">
        <v>592</v>
      </c>
      <c r="T405" s="20" t="s">
        <v>1163</v>
      </c>
      <c r="U405" s="20" t="s">
        <v>837</v>
      </c>
      <c r="V405" s="20" t="s">
        <v>407</v>
      </c>
      <c r="W405" s="20" t="s">
        <v>1888</v>
      </c>
      <c r="X405" s="20" t="s">
        <v>835</v>
      </c>
      <c r="Y405" s="20">
        <v>5</v>
      </c>
      <c r="Z405" s="20">
        <v>1</v>
      </c>
      <c r="AA405" s="20" t="s">
        <v>593</v>
      </c>
      <c r="AC405" s="20" t="s">
        <v>1162</v>
      </c>
      <c r="AD405" s="20" t="s">
        <v>230</v>
      </c>
      <c r="AE405" s="20" t="s">
        <v>413</v>
      </c>
      <c r="AF405" s="20" t="s">
        <v>2704</v>
      </c>
      <c r="AG405" s="20" t="s">
        <v>628</v>
      </c>
      <c r="AH405" s="20">
        <v>10</v>
      </c>
      <c r="AI405" s="20">
        <v>1</v>
      </c>
      <c r="AJ405" s="20" t="s">
        <v>592</v>
      </c>
      <c r="AL405" s="20" t="s">
        <v>1144</v>
      </c>
      <c r="AM405" s="20" t="s">
        <v>249</v>
      </c>
      <c r="AN405" s="20" t="s">
        <v>560</v>
      </c>
      <c r="AO405" s="20" t="s">
        <v>2761</v>
      </c>
      <c r="AP405" s="20" t="s">
        <v>628</v>
      </c>
      <c r="AQ405" s="20">
        <v>10</v>
      </c>
      <c r="AR405" s="20">
        <v>1</v>
      </c>
      <c r="AS405" s="20" t="s">
        <v>592</v>
      </c>
    </row>
    <row r="406" spans="2:45" ht="15.75" customHeight="1" x14ac:dyDescent="0.2">
      <c r="B406" s="20" t="s">
        <v>1163</v>
      </c>
      <c r="C406" s="20" t="s">
        <v>1165</v>
      </c>
      <c r="D406" s="20" t="s">
        <v>631</v>
      </c>
      <c r="E406" s="20" t="s">
        <v>1365</v>
      </c>
      <c r="F406" s="20" t="s">
        <v>835</v>
      </c>
      <c r="G406" s="20">
        <v>5</v>
      </c>
      <c r="H406" s="20">
        <v>4</v>
      </c>
      <c r="I406" s="20" t="s">
        <v>593</v>
      </c>
      <c r="K406" s="20" t="s">
        <v>1144</v>
      </c>
      <c r="L406" s="20" t="s">
        <v>249</v>
      </c>
      <c r="M406" s="20" t="s">
        <v>1483</v>
      </c>
      <c r="N406" s="20" t="s">
        <v>560</v>
      </c>
      <c r="O406" s="20" t="s">
        <v>835</v>
      </c>
      <c r="P406" s="20">
        <v>5</v>
      </c>
      <c r="Q406" s="20">
        <v>7</v>
      </c>
      <c r="R406" s="20" t="s">
        <v>592</v>
      </c>
      <c r="T406" s="20" t="s">
        <v>1141</v>
      </c>
      <c r="U406" s="20" t="s">
        <v>218</v>
      </c>
      <c r="V406" s="20" t="s">
        <v>2459</v>
      </c>
      <c r="W406" s="20" t="s">
        <v>2138</v>
      </c>
      <c r="X406" s="20" t="s">
        <v>835</v>
      </c>
      <c r="Y406" s="20">
        <v>5</v>
      </c>
      <c r="Z406" s="20">
        <v>3</v>
      </c>
      <c r="AA406" s="20" t="s">
        <v>593</v>
      </c>
      <c r="AC406" s="20" t="s">
        <v>1154</v>
      </c>
      <c r="AD406" s="20" t="s">
        <v>1152</v>
      </c>
      <c r="AE406" s="20" t="s">
        <v>520</v>
      </c>
      <c r="AF406" s="20" t="s">
        <v>1502</v>
      </c>
      <c r="AG406" s="20" t="s">
        <v>628</v>
      </c>
      <c r="AH406" s="20">
        <v>10</v>
      </c>
      <c r="AI406" s="20">
        <v>1</v>
      </c>
      <c r="AJ406" s="20" t="s">
        <v>593</v>
      </c>
      <c r="AL406" s="20" t="s">
        <v>1144</v>
      </c>
      <c r="AM406" s="20" t="s">
        <v>249</v>
      </c>
      <c r="AN406" s="20" t="s">
        <v>560</v>
      </c>
      <c r="AO406" s="20" t="s">
        <v>2393</v>
      </c>
      <c r="AP406" s="20" t="s">
        <v>628</v>
      </c>
      <c r="AQ406" s="20">
        <v>10</v>
      </c>
      <c r="AR406" s="20">
        <v>7</v>
      </c>
      <c r="AS406" s="20" t="s">
        <v>592</v>
      </c>
    </row>
    <row r="407" spans="2:45" ht="15.75" customHeight="1" x14ac:dyDescent="0.2">
      <c r="B407" s="20" t="s">
        <v>1163</v>
      </c>
      <c r="C407" s="20" t="s">
        <v>837</v>
      </c>
      <c r="D407" s="20" t="s">
        <v>407</v>
      </c>
      <c r="E407" s="20" t="s">
        <v>1366</v>
      </c>
      <c r="F407" s="20" t="s">
        <v>628</v>
      </c>
      <c r="G407" s="20">
        <v>10</v>
      </c>
      <c r="H407" s="20">
        <v>2</v>
      </c>
      <c r="I407" s="20" t="s">
        <v>593</v>
      </c>
      <c r="K407" s="20" t="s">
        <v>1144</v>
      </c>
      <c r="L407" s="20" t="s">
        <v>707</v>
      </c>
      <c r="M407" s="20" t="s">
        <v>1815</v>
      </c>
      <c r="N407" s="20" t="s">
        <v>496</v>
      </c>
      <c r="O407" s="20" t="s">
        <v>628</v>
      </c>
      <c r="P407" s="20">
        <v>10</v>
      </c>
      <c r="Q407" s="20">
        <v>8</v>
      </c>
      <c r="R407" s="20" t="s">
        <v>592</v>
      </c>
      <c r="T407" s="20" t="s">
        <v>1147</v>
      </c>
      <c r="U407" s="20" t="s">
        <v>225</v>
      </c>
      <c r="V407" s="20" t="s">
        <v>383</v>
      </c>
      <c r="W407" s="20" t="s">
        <v>2292</v>
      </c>
      <c r="X407" s="20" t="s">
        <v>835</v>
      </c>
      <c r="Y407" s="20">
        <v>5</v>
      </c>
      <c r="Z407" s="20">
        <v>1</v>
      </c>
      <c r="AA407" s="20" t="s">
        <v>593</v>
      </c>
      <c r="AC407" s="20" t="s">
        <v>1161</v>
      </c>
      <c r="AD407" s="20" t="s">
        <v>41</v>
      </c>
      <c r="AE407" s="20" t="s">
        <v>540</v>
      </c>
      <c r="AF407" s="20" t="s">
        <v>2342</v>
      </c>
      <c r="AG407" s="20" t="s">
        <v>628</v>
      </c>
      <c r="AH407" s="20">
        <v>10</v>
      </c>
      <c r="AI407" s="20">
        <v>3</v>
      </c>
      <c r="AJ407" s="20" t="s">
        <v>593</v>
      </c>
      <c r="AL407" s="20" t="s">
        <v>1144</v>
      </c>
      <c r="AM407" s="20" t="s">
        <v>194</v>
      </c>
      <c r="AN407" s="20" t="s">
        <v>1817</v>
      </c>
      <c r="AO407" s="20" t="s">
        <v>2369</v>
      </c>
      <c r="AP407" s="20" t="s">
        <v>628</v>
      </c>
      <c r="AQ407" s="20">
        <v>10</v>
      </c>
      <c r="AR407" s="20">
        <v>11</v>
      </c>
      <c r="AS407" s="20" t="s">
        <v>592</v>
      </c>
    </row>
    <row r="408" spans="2:45" ht="15.75" customHeight="1" x14ac:dyDescent="0.2">
      <c r="B408" s="20" t="s">
        <v>1163</v>
      </c>
      <c r="C408" s="20" t="s">
        <v>837</v>
      </c>
      <c r="D408" s="20" t="s">
        <v>555</v>
      </c>
      <c r="E408" s="20" t="s">
        <v>1367</v>
      </c>
      <c r="F408" s="20" t="s">
        <v>835</v>
      </c>
      <c r="G408" s="20">
        <v>5</v>
      </c>
      <c r="H408" s="20">
        <v>1</v>
      </c>
      <c r="I408" s="20" t="s">
        <v>593</v>
      </c>
      <c r="K408" s="20" t="s">
        <v>1144</v>
      </c>
      <c r="L408" s="20" t="s">
        <v>194</v>
      </c>
      <c r="M408" s="20" t="s">
        <v>1816</v>
      </c>
      <c r="N408" s="20" t="s">
        <v>1817</v>
      </c>
      <c r="O408" s="20" t="s">
        <v>835</v>
      </c>
      <c r="P408" s="20">
        <v>5</v>
      </c>
      <c r="Q408" s="20">
        <v>5</v>
      </c>
      <c r="R408" s="20" t="s">
        <v>592</v>
      </c>
      <c r="T408" s="20" t="s">
        <v>1149</v>
      </c>
      <c r="U408" s="20" t="s">
        <v>63</v>
      </c>
      <c r="V408" s="20" t="s">
        <v>472</v>
      </c>
      <c r="W408" s="20" t="s">
        <v>1549</v>
      </c>
      <c r="X408" s="20" t="s">
        <v>835</v>
      </c>
      <c r="Y408" s="20">
        <v>5</v>
      </c>
      <c r="Z408" s="20">
        <v>8</v>
      </c>
      <c r="AA408" s="20" t="s">
        <v>592</v>
      </c>
      <c r="AC408" s="20" t="s">
        <v>1169</v>
      </c>
      <c r="AD408" s="20" t="s">
        <v>671</v>
      </c>
      <c r="AE408" s="20" t="s">
        <v>2556</v>
      </c>
      <c r="AF408" s="20" t="s">
        <v>2705</v>
      </c>
      <c r="AG408" s="20" t="s">
        <v>628</v>
      </c>
      <c r="AH408" s="20">
        <v>10</v>
      </c>
      <c r="AI408" s="20">
        <v>1</v>
      </c>
      <c r="AJ408" s="20" t="s">
        <v>593</v>
      </c>
      <c r="AL408" s="20" t="s">
        <v>1144</v>
      </c>
      <c r="AM408" s="20" t="s">
        <v>194</v>
      </c>
      <c r="AN408" s="20" t="s">
        <v>438</v>
      </c>
      <c r="AO408" s="20" t="s">
        <v>2583</v>
      </c>
      <c r="AP408" s="20" t="s">
        <v>628</v>
      </c>
      <c r="AQ408" s="20">
        <v>10</v>
      </c>
      <c r="AR408" s="20">
        <v>16</v>
      </c>
      <c r="AS408" s="20" t="s">
        <v>592</v>
      </c>
    </row>
    <row r="409" spans="2:45" ht="15.75" customHeight="1" x14ac:dyDescent="0.2">
      <c r="B409" s="20" t="s">
        <v>1163</v>
      </c>
      <c r="C409" s="20" t="s">
        <v>837</v>
      </c>
      <c r="D409" s="20" t="s">
        <v>358</v>
      </c>
      <c r="E409" s="20" t="s">
        <v>1368</v>
      </c>
      <c r="F409" s="20" t="s">
        <v>628</v>
      </c>
      <c r="G409" s="20">
        <v>10</v>
      </c>
      <c r="H409" s="20">
        <v>1</v>
      </c>
      <c r="I409" s="20" t="s">
        <v>593</v>
      </c>
      <c r="K409" s="20" t="s">
        <v>1144</v>
      </c>
      <c r="L409" s="20" t="s">
        <v>313</v>
      </c>
      <c r="M409" s="20" t="s">
        <v>1034</v>
      </c>
      <c r="N409" s="20" t="s">
        <v>529</v>
      </c>
      <c r="O409" s="20" t="s">
        <v>628</v>
      </c>
      <c r="P409" s="20">
        <v>10</v>
      </c>
      <c r="Q409" s="20">
        <v>7</v>
      </c>
      <c r="R409" s="20" t="s">
        <v>592</v>
      </c>
      <c r="T409" s="20" t="s">
        <v>1149</v>
      </c>
      <c r="U409" s="20" t="s">
        <v>63</v>
      </c>
      <c r="V409" s="20" t="s">
        <v>473</v>
      </c>
      <c r="W409" s="20" t="s">
        <v>1000</v>
      </c>
      <c r="X409" s="20" t="s">
        <v>835</v>
      </c>
      <c r="Y409" s="20">
        <v>5</v>
      </c>
      <c r="Z409" s="20">
        <v>2</v>
      </c>
      <c r="AA409" s="20" t="s">
        <v>593</v>
      </c>
      <c r="AC409" s="20" t="s">
        <v>1162</v>
      </c>
      <c r="AD409" s="20" t="s">
        <v>240</v>
      </c>
      <c r="AE409" s="20" t="s">
        <v>416</v>
      </c>
      <c r="AF409" s="20" t="s">
        <v>962</v>
      </c>
      <c r="AG409" s="20" t="s">
        <v>628</v>
      </c>
      <c r="AH409" s="20">
        <v>10</v>
      </c>
      <c r="AI409" s="20">
        <v>8</v>
      </c>
      <c r="AJ409" s="20" t="s">
        <v>592</v>
      </c>
      <c r="AL409" s="20" t="s">
        <v>1144</v>
      </c>
      <c r="AM409" s="20" t="s">
        <v>249</v>
      </c>
      <c r="AN409" s="20" t="s">
        <v>562</v>
      </c>
      <c r="AO409" s="20" t="s">
        <v>761</v>
      </c>
      <c r="AP409" s="20" t="s">
        <v>835</v>
      </c>
      <c r="AQ409" s="20">
        <v>5</v>
      </c>
      <c r="AR409" s="20">
        <v>5</v>
      </c>
      <c r="AS409" s="20" t="s">
        <v>592</v>
      </c>
    </row>
    <row r="410" spans="2:45" ht="15.75" customHeight="1" x14ac:dyDescent="0.2">
      <c r="B410" s="20" t="s">
        <v>1144</v>
      </c>
      <c r="C410" s="20" t="s">
        <v>23</v>
      </c>
      <c r="D410" s="20" t="s">
        <v>543</v>
      </c>
      <c r="E410" s="20" t="s">
        <v>1369</v>
      </c>
      <c r="F410" s="20" t="s">
        <v>628</v>
      </c>
      <c r="G410" s="20">
        <v>10</v>
      </c>
      <c r="H410" s="20">
        <v>12</v>
      </c>
      <c r="I410" s="20" t="s">
        <v>592</v>
      </c>
      <c r="K410" s="20" t="s">
        <v>1144</v>
      </c>
      <c r="L410" s="20" t="s">
        <v>313</v>
      </c>
      <c r="M410" s="20" t="s">
        <v>1818</v>
      </c>
      <c r="N410" s="20" t="s">
        <v>529</v>
      </c>
      <c r="O410" s="20" t="s">
        <v>628</v>
      </c>
      <c r="P410" s="20">
        <v>10</v>
      </c>
      <c r="Q410" s="20">
        <v>3</v>
      </c>
      <c r="R410" s="20" t="s">
        <v>592</v>
      </c>
      <c r="T410" s="20" t="s">
        <v>1149</v>
      </c>
      <c r="U410" s="20" t="s">
        <v>63</v>
      </c>
      <c r="V410" s="20" t="s">
        <v>1482</v>
      </c>
      <c r="W410" s="20" t="s">
        <v>1481</v>
      </c>
      <c r="X410" s="20" t="s">
        <v>835</v>
      </c>
      <c r="Y410" s="20">
        <v>5</v>
      </c>
      <c r="Z410" s="20">
        <v>2</v>
      </c>
      <c r="AA410" s="20" t="s">
        <v>593</v>
      </c>
      <c r="AC410" s="20" t="s">
        <v>1158</v>
      </c>
      <c r="AD410" s="20" t="s">
        <v>1040</v>
      </c>
      <c r="AE410" s="20" t="s">
        <v>485</v>
      </c>
      <c r="AF410" s="20" t="s">
        <v>1082</v>
      </c>
      <c r="AG410" s="20" t="s">
        <v>628</v>
      </c>
      <c r="AH410" s="20">
        <v>10</v>
      </c>
      <c r="AI410" s="20">
        <v>7</v>
      </c>
      <c r="AJ410" s="20" t="s">
        <v>592</v>
      </c>
      <c r="AL410" s="20" t="s">
        <v>1144</v>
      </c>
      <c r="AM410" s="20" t="s">
        <v>313</v>
      </c>
      <c r="AN410" s="20" t="s">
        <v>528</v>
      </c>
      <c r="AO410" s="20" t="s">
        <v>998</v>
      </c>
      <c r="AP410" s="20" t="s">
        <v>628</v>
      </c>
      <c r="AQ410" s="20">
        <v>10</v>
      </c>
      <c r="AR410" s="20">
        <v>10</v>
      </c>
      <c r="AS410" s="20" t="s">
        <v>592</v>
      </c>
    </row>
    <row r="411" spans="2:45" ht="15.75" customHeight="1" x14ac:dyDescent="0.2">
      <c r="B411" s="20" t="s">
        <v>1144</v>
      </c>
      <c r="C411" s="20" t="s">
        <v>23</v>
      </c>
      <c r="D411" s="20" t="s">
        <v>543</v>
      </c>
      <c r="E411" s="20" t="s">
        <v>1370</v>
      </c>
      <c r="F411" s="20" t="s">
        <v>628</v>
      </c>
      <c r="G411" s="20">
        <v>10</v>
      </c>
      <c r="H411" s="20">
        <v>1</v>
      </c>
      <c r="I411" s="20" t="s">
        <v>592</v>
      </c>
      <c r="K411" s="20" t="s">
        <v>1144</v>
      </c>
      <c r="L411" s="20" t="s">
        <v>313</v>
      </c>
      <c r="M411" s="20" t="s">
        <v>1819</v>
      </c>
      <c r="N411" s="20" t="s">
        <v>439</v>
      </c>
      <c r="O411" s="20" t="s">
        <v>628</v>
      </c>
      <c r="P411" s="20">
        <v>10</v>
      </c>
      <c r="Q411" s="20">
        <v>9</v>
      </c>
      <c r="R411" s="20" t="s">
        <v>592</v>
      </c>
      <c r="T411" s="20" t="s">
        <v>640</v>
      </c>
      <c r="U411" s="20" t="s">
        <v>248</v>
      </c>
      <c r="V411" s="20" t="s">
        <v>1450</v>
      </c>
      <c r="W411" s="20" t="s">
        <v>1449</v>
      </c>
      <c r="X411" s="20" t="s">
        <v>835</v>
      </c>
      <c r="Y411" s="20">
        <v>5</v>
      </c>
      <c r="Z411" s="20">
        <v>1</v>
      </c>
      <c r="AA411" s="20" t="s">
        <v>593</v>
      </c>
      <c r="AC411" s="20" t="s">
        <v>1158</v>
      </c>
      <c r="AD411" s="20" t="s">
        <v>1040</v>
      </c>
      <c r="AE411" s="20" t="s">
        <v>485</v>
      </c>
      <c r="AF411" s="20" t="s">
        <v>1083</v>
      </c>
      <c r="AG411" s="20" t="s">
        <v>628</v>
      </c>
      <c r="AH411" s="20">
        <v>10</v>
      </c>
      <c r="AI411" s="20">
        <v>1</v>
      </c>
      <c r="AJ411" s="20" t="s">
        <v>592</v>
      </c>
      <c r="AL411" s="20" t="s">
        <v>1144</v>
      </c>
      <c r="AM411" s="20" t="s">
        <v>313</v>
      </c>
      <c r="AN411" s="20" t="s">
        <v>528</v>
      </c>
      <c r="AO411" s="20" t="s">
        <v>1033</v>
      </c>
      <c r="AP411" s="20" t="s">
        <v>628</v>
      </c>
      <c r="AQ411" s="20">
        <v>10</v>
      </c>
      <c r="AR411" s="20">
        <v>1</v>
      </c>
      <c r="AS411" s="20" t="s">
        <v>592</v>
      </c>
    </row>
    <row r="412" spans="2:45" ht="15.75" customHeight="1" x14ac:dyDescent="0.2">
      <c r="B412" s="20" t="s">
        <v>1144</v>
      </c>
      <c r="C412" s="20" t="s">
        <v>249</v>
      </c>
      <c r="D412" s="20" t="s">
        <v>564</v>
      </c>
      <c r="E412" s="20" t="s">
        <v>1371</v>
      </c>
      <c r="F412" s="20" t="s">
        <v>628</v>
      </c>
      <c r="G412" s="20">
        <v>10</v>
      </c>
      <c r="H412" s="20">
        <v>13</v>
      </c>
      <c r="I412" s="20" t="s">
        <v>592</v>
      </c>
      <c r="K412" s="20" t="s">
        <v>1144</v>
      </c>
      <c r="L412" s="20" t="s">
        <v>313</v>
      </c>
      <c r="M412" s="20" t="s">
        <v>1231</v>
      </c>
      <c r="N412" s="20" t="s">
        <v>441</v>
      </c>
      <c r="O412" s="20" t="s">
        <v>628</v>
      </c>
      <c r="P412" s="20">
        <v>10</v>
      </c>
      <c r="Q412" s="20">
        <v>18</v>
      </c>
      <c r="R412" s="20" t="s">
        <v>592</v>
      </c>
      <c r="T412" s="20" t="s">
        <v>1161</v>
      </c>
      <c r="U412" s="20" t="s">
        <v>41</v>
      </c>
      <c r="V412" s="20" t="s">
        <v>536</v>
      </c>
      <c r="W412" s="20" t="s">
        <v>1241</v>
      </c>
      <c r="X412" s="20" t="s">
        <v>628</v>
      </c>
      <c r="Y412" s="20">
        <v>10</v>
      </c>
      <c r="Z412" s="20">
        <v>13</v>
      </c>
      <c r="AA412" s="20" t="s">
        <v>592</v>
      </c>
      <c r="AC412" s="20" t="s">
        <v>1158</v>
      </c>
      <c r="AD412" s="20" t="s">
        <v>726</v>
      </c>
      <c r="AE412" s="20" t="s">
        <v>1731</v>
      </c>
      <c r="AF412" s="20" t="s">
        <v>2305</v>
      </c>
      <c r="AG412" s="20" t="s">
        <v>835</v>
      </c>
      <c r="AH412" s="20">
        <v>5</v>
      </c>
      <c r="AI412" s="20">
        <v>2</v>
      </c>
      <c r="AJ412" s="20" t="s">
        <v>593</v>
      </c>
      <c r="AL412" s="20" t="s">
        <v>1144</v>
      </c>
      <c r="AM412" s="20" t="s">
        <v>249</v>
      </c>
      <c r="AN412" s="20" t="s">
        <v>436</v>
      </c>
      <c r="AO412" s="20" t="s">
        <v>1002</v>
      </c>
      <c r="AP412" s="20" t="s">
        <v>628</v>
      </c>
      <c r="AQ412" s="20">
        <v>10</v>
      </c>
      <c r="AR412" s="20">
        <v>8</v>
      </c>
      <c r="AS412" s="20" t="s">
        <v>592</v>
      </c>
    </row>
    <row r="413" spans="2:45" ht="15.75" customHeight="1" x14ac:dyDescent="0.2">
      <c r="B413" s="20" t="s">
        <v>1144</v>
      </c>
      <c r="C413" s="20" t="s">
        <v>249</v>
      </c>
      <c r="D413" s="20" t="s">
        <v>564</v>
      </c>
      <c r="E413" s="20" t="s">
        <v>1372</v>
      </c>
      <c r="F413" s="20" t="s">
        <v>628</v>
      </c>
      <c r="G413" s="20">
        <v>10</v>
      </c>
      <c r="H413" s="20">
        <v>1</v>
      </c>
      <c r="I413" s="20" t="s">
        <v>592</v>
      </c>
      <c r="K413" s="20" t="s">
        <v>1144</v>
      </c>
      <c r="L413" s="20" t="s">
        <v>313</v>
      </c>
      <c r="M413" s="20" t="s">
        <v>1820</v>
      </c>
      <c r="N413" s="20" t="s">
        <v>439</v>
      </c>
      <c r="O413" s="20" t="s">
        <v>628</v>
      </c>
      <c r="P413" s="20">
        <v>10</v>
      </c>
      <c r="Q413" s="20">
        <v>1</v>
      </c>
      <c r="R413" s="20" t="s">
        <v>592</v>
      </c>
      <c r="T413" s="20" t="s">
        <v>1147</v>
      </c>
      <c r="U413" s="20" t="s">
        <v>699</v>
      </c>
      <c r="V413" s="20" t="s">
        <v>447</v>
      </c>
      <c r="W413" s="20" t="s">
        <v>1997</v>
      </c>
      <c r="X413" s="20" t="s">
        <v>835</v>
      </c>
      <c r="Y413" s="20">
        <v>5</v>
      </c>
      <c r="Z413" s="20">
        <v>1</v>
      </c>
      <c r="AA413" s="20" t="s">
        <v>593</v>
      </c>
      <c r="AC413" s="20" t="s">
        <v>1147</v>
      </c>
      <c r="AD413" s="20" t="s">
        <v>244</v>
      </c>
      <c r="AE413" s="20" t="s">
        <v>1950</v>
      </c>
      <c r="AF413" s="20" t="s">
        <v>1949</v>
      </c>
      <c r="AG413" s="20" t="s">
        <v>628</v>
      </c>
      <c r="AH413" s="20">
        <v>10</v>
      </c>
      <c r="AI413" s="20">
        <v>5</v>
      </c>
      <c r="AJ413" s="20" t="s">
        <v>593</v>
      </c>
      <c r="AL413" s="20" t="s">
        <v>1144</v>
      </c>
      <c r="AM413" s="20" t="s">
        <v>249</v>
      </c>
      <c r="AN413" s="20" t="s">
        <v>436</v>
      </c>
      <c r="AO413" s="20" t="s">
        <v>2128</v>
      </c>
      <c r="AP413" s="20" t="s">
        <v>628</v>
      </c>
      <c r="AQ413" s="20">
        <v>10</v>
      </c>
      <c r="AR413" s="20">
        <v>1</v>
      </c>
      <c r="AS413" s="20" t="s">
        <v>592</v>
      </c>
    </row>
    <row r="414" spans="2:45" ht="15.75" customHeight="1" x14ac:dyDescent="0.2">
      <c r="B414" s="20" t="s">
        <v>1155</v>
      </c>
      <c r="C414" s="20" t="s">
        <v>286</v>
      </c>
      <c r="D414" s="20" t="s">
        <v>1010</v>
      </c>
      <c r="E414" s="20" t="s">
        <v>1015</v>
      </c>
      <c r="F414" s="20" t="s">
        <v>628</v>
      </c>
      <c r="G414" s="20">
        <v>10</v>
      </c>
      <c r="H414" s="20">
        <v>6</v>
      </c>
      <c r="I414" s="20" t="s">
        <v>592</v>
      </c>
      <c r="K414" s="20" t="s">
        <v>1144</v>
      </c>
      <c r="L414" s="20" t="s">
        <v>249</v>
      </c>
      <c r="M414" s="20" t="s">
        <v>861</v>
      </c>
      <c r="N414" s="20" t="s">
        <v>563</v>
      </c>
      <c r="O414" s="20" t="s">
        <v>628</v>
      </c>
      <c r="P414" s="20">
        <v>10</v>
      </c>
      <c r="Q414" s="20">
        <v>16</v>
      </c>
      <c r="R414" s="20" t="s">
        <v>592</v>
      </c>
      <c r="T414" s="20" t="s">
        <v>1143</v>
      </c>
      <c r="U414" s="20" t="s">
        <v>61</v>
      </c>
      <c r="V414" s="20" t="s">
        <v>617</v>
      </c>
      <c r="W414" s="20" t="s">
        <v>627</v>
      </c>
      <c r="X414" s="20" t="s">
        <v>835</v>
      </c>
      <c r="Y414" s="20">
        <v>5</v>
      </c>
      <c r="Z414" s="20">
        <v>1</v>
      </c>
      <c r="AA414" s="20" t="s">
        <v>593</v>
      </c>
      <c r="AC414" s="20" t="s">
        <v>2099</v>
      </c>
      <c r="AD414" s="20" t="s">
        <v>2103</v>
      </c>
      <c r="AE414" s="20" t="s">
        <v>2533</v>
      </c>
      <c r="AF414" s="20" t="s">
        <v>2706</v>
      </c>
      <c r="AG414" s="20" t="s">
        <v>835</v>
      </c>
      <c r="AH414" s="20">
        <v>5</v>
      </c>
      <c r="AI414" s="20">
        <v>13</v>
      </c>
      <c r="AJ414" s="20" t="s">
        <v>592</v>
      </c>
      <c r="AL414" s="20" t="s">
        <v>1144</v>
      </c>
      <c r="AM414" s="20" t="s">
        <v>23</v>
      </c>
      <c r="AN414" s="20" t="s">
        <v>2513</v>
      </c>
      <c r="AO414" s="20" t="s">
        <v>2442</v>
      </c>
      <c r="AP414" s="20" t="s">
        <v>835</v>
      </c>
      <c r="AQ414" s="20">
        <v>5</v>
      </c>
      <c r="AR414" s="20">
        <v>5</v>
      </c>
      <c r="AS414" s="20" t="s">
        <v>592</v>
      </c>
    </row>
    <row r="415" spans="2:45" ht="15.75" customHeight="1" x14ac:dyDescent="0.2">
      <c r="B415" s="20" t="s">
        <v>1155</v>
      </c>
      <c r="C415" s="20" t="s">
        <v>286</v>
      </c>
      <c r="D415" s="20" t="s">
        <v>1010</v>
      </c>
      <c r="E415" s="20" t="s">
        <v>1089</v>
      </c>
      <c r="F415" s="20" t="s">
        <v>628</v>
      </c>
      <c r="G415" s="20">
        <v>10</v>
      </c>
      <c r="H415" s="20">
        <v>2</v>
      </c>
      <c r="I415" s="20" t="s">
        <v>592</v>
      </c>
      <c r="K415" s="20" t="s">
        <v>1144</v>
      </c>
      <c r="L415" s="20" t="s">
        <v>249</v>
      </c>
      <c r="M415" s="20" t="s">
        <v>761</v>
      </c>
      <c r="N415" s="20" t="s">
        <v>562</v>
      </c>
      <c r="O415" s="20" t="s">
        <v>628</v>
      </c>
      <c r="P415" s="20">
        <v>10</v>
      </c>
      <c r="Q415" s="20">
        <v>17</v>
      </c>
      <c r="R415" s="20" t="s">
        <v>592</v>
      </c>
      <c r="T415" s="20" t="s">
        <v>640</v>
      </c>
      <c r="U415" s="20" t="s">
        <v>248</v>
      </c>
      <c r="V415" s="20" t="s">
        <v>635</v>
      </c>
      <c r="W415" s="20" t="s">
        <v>1006</v>
      </c>
      <c r="X415" s="20" t="s">
        <v>835</v>
      </c>
      <c r="Y415" s="20">
        <v>5</v>
      </c>
      <c r="Z415" s="20">
        <v>1</v>
      </c>
      <c r="AA415" s="20" t="s">
        <v>592</v>
      </c>
      <c r="AC415" s="20" t="s">
        <v>2099</v>
      </c>
      <c r="AD415" s="20" t="s">
        <v>2103</v>
      </c>
      <c r="AE415" s="20" t="s">
        <v>2533</v>
      </c>
      <c r="AF415" s="20" t="s">
        <v>2707</v>
      </c>
      <c r="AG415" s="20" t="s">
        <v>835</v>
      </c>
      <c r="AH415" s="20">
        <v>5</v>
      </c>
      <c r="AI415" s="20">
        <v>1</v>
      </c>
      <c r="AJ415" s="20" t="s">
        <v>592</v>
      </c>
      <c r="AL415" s="20" t="s">
        <v>1144</v>
      </c>
      <c r="AM415" s="20" t="s">
        <v>707</v>
      </c>
      <c r="AN415" s="20" t="s">
        <v>2829</v>
      </c>
      <c r="AO415" s="20" t="s">
        <v>3037</v>
      </c>
      <c r="AP415" s="20" t="s">
        <v>628</v>
      </c>
      <c r="AQ415" s="20">
        <v>10</v>
      </c>
      <c r="AR415" s="20">
        <v>9</v>
      </c>
      <c r="AS415" s="20" t="s">
        <v>592</v>
      </c>
    </row>
    <row r="416" spans="2:45" ht="15.75" customHeight="1" x14ac:dyDescent="0.2">
      <c r="B416" s="20" t="s">
        <v>1144</v>
      </c>
      <c r="C416" s="20" t="s">
        <v>194</v>
      </c>
      <c r="D416" s="20" t="s">
        <v>897</v>
      </c>
      <c r="E416" s="20" t="s">
        <v>1373</v>
      </c>
      <c r="F416" s="20" t="s">
        <v>835</v>
      </c>
      <c r="G416" s="20">
        <v>5</v>
      </c>
      <c r="H416" s="20">
        <v>6</v>
      </c>
      <c r="I416" s="20" t="s">
        <v>592</v>
      </c>
      <c r="K416" s="20" t="s">
        <v>1144</v>
      </c>
      <c r="L416" s="20" t="s">
        <v>23</v>
      </c>
      <c r="M416" s="20" t="s">
        <v>1120</v>
      </c>
      <c r="N416" s="20" t="s">
        <v>545</v>
      </c>
      <c r="O416" s="20" t="s">
        <v>628</v>
      </c>
      <c r="P416" s="20">
        <v>10</v>
      </c>
      <c r="Q416" s="20">
        <v>7</v>
      </c>
      <c r="R416" s="20" t="s">
        <v>592</v>
      </c>
      <c r="T416" s="20" t="s">
        <v>1163</v>
      </c>
      <c r="U416" s="20" t="s">
        <v>221</v>
      </c>
      <c r="V416" s="20" t="s">
        <v>678</v>
      </c>
      <c r="W416" s="20" t="s">
        <v>2293</v>
      </c>
      <c r="X416" s="20" t="s">
        <v>835</v>
      </c>
      <c r="Y416" s="20">
        <v>5</v>
      </c>
      <c r="Z416" s="20">
        <v>5</v>
      </c>
      <c r="AA416" s="20" t="s">
        <v>592</v>
      </c>
      <c r="AC416" s="20" t="s">
        <v>1147</v>
      </c>
      <c r="AD416" s="20" t="s">
        <v>222</v>
      </c>
      <c r="AE416" s="20" t="s">
        <v>553</v>
      </c>
      <c r="AF416" s="20" t="s">
        <v>2310</v>
      </c>
      <c r="AG416" s="20" t="s">
        <v>628</v>
      </c>
      <c r="AH416" s="20">
        <v>10</v>
      </c>
      <c r="AI416" s="20">
        <v>8</v>
      </c>
      <c r="AJ416" s="20" t="s">
        <v>592</v>
      </c>
      <c r="AL416" s="20" t="s">
        <v>1144</v>
      </c>
      <c r="AM416" s="20" t="s">
        <v>804</v>
      </c>
      <c r="AN416" s="20" t="s">
        <v>546</v>
      </c>
      <c r="AO416" s="20" t="s">
        <v>830</v>
      </c>
      <c r="AP416" s="20" t="s">
        <v>835</v>
      </c>
      <c r="AQ416" s="20">
        <v>5</v>
      </c>
      <c r="AR416" s="20">
        <v>4</v>
      </c>
      <c r="AS416" s="20" t="s">
        <v>592</v>
      </c>
    </row>
    <row r="417" spans="2:45" ht="15.75" customHeight="1" x14ac:dyDescent="0.2">
      <c r="B417" s="20" t="s">
        <v>1147</v>
      </c>
      <c r="C417" s="20" t="s">
        <v>225</v>
      </c>
      <c r="D417" s="20" t="s">
        <v>383</v>
      </c>
      <c r="E417" s="20" t="s">
        <v>1253</v>
      </c>
      <c r="F417" s="20" t="s">
        <v>628</v>
      </c>
      <c r="G417" s="20">
        <v>10</v>
      </c>
      <c r="H417" s="20">
        <v>12</v>
      </c>
      <c r="I417" s="20" t="s">
        <v>592</v>
      </c>
      <c r="K417" s="20" t="s">
        <v>1144</v>
      </c>
      <c r="L417" s="20" t="s">
        <v>249</v>
      </c>
      <c r="M417" s="20" t="s">
        <v>1821</v>
      </c>
      <c r="N417" s="20" t="s">
        <v>563</v>
      </c>
      <c r="O417" s="20" t="s">
        <v>628</v>
      </c>
      <c r="P417" s="20">
        <v>10</v>
      </c>
      <c r="Q417" s="20">
        <v>1</v>
      </c>
      <c r="R417" s="20" t="s">
        <v>592</v>
      </c>
      <c r="T417" s="20" t="s">
        <v>1162</v>
      </c>
      <c r="U417" s="20" t="s">
        <v>230</v>
      </c>
      <c r="V417" s="20" t="s">
        <v>610</v>
      </c>
      <c r="W417" s="20" t="s">
        <v>2294</v>
      </c>
      <c r="X417" s="20" t="s">
        <v>835</v>
      </c>
      <c r="Y417" s="20">
        <v>5</v>
      </c>
      <c r="Z417" s="20">
        <v>4</v>
      </c>
      <c r="AA417" s="20" t="s">
        <v>593</v>
      </c>
      <c r="AC417" s="20" t="s">
        <v>1141</v>
      </c>
      <c r="AD417" s="20" t="s">
        <v>218</v>
      </c>
      <c r="AE417" s="20" t="s">
        <v>2458</v>
      </c>
      <c r="AF417" s="20" t="s">
        <v>2136</v>
      </c>
      <c r="AG417" s="20" t="s">
        <v>628</v>
      </c>
      <c r="AH417" s="20">
        <v>10</v>
      </c>
      <c r="AI417" s="20">
        <v>8</v>
      </c>
      <c r="AJ417" s="20" t="s">
        <v>592</v>
      </c>
      <c r="AL417" s="20" t="s">
        <v>1144</v>
      </c>
      <c r="AM417" s="20" t="s">
        <v>804</v>
      </c>
      <c r="AN417" s="20" t="s">
        <v>546</v>
      </c>
      <c r="AO417" s="20" t="s">
        <v>1030</v>
      </c>
      <c r="AP417" s="20" t="s">
        <v>835</v>
      </c>
      <c r="AQ417" s="20">
        <v>5</v>
      </c>
      <c r="AR417" s="20">
        <v>1</v>
      </c>
      <c r="AS417" s="20" t="s">
        <v>592</v>
      </c>
    </row>
    <row r="418" spans="2:45" ht="15.75" customHeight="1" x14ac:dyDescent="0.2">
      <c r="B418" s="20" t="s">
        <v>1147</v>
      </c>
      <c r="C418" s="20" t="s">
        <v>225</v>
      </c>
      <c r="D418" s="20" t="s">
        <v>381</v>
      </c>
      <c r="E418" s="20" t="s">
        <v>774</v>
      </c>
      <c r="F418" s="20" t="s">
        <v>628</v>
      </c>
      <c r="G418" s="20">
        <v>10</v>
      </c>
      <c r="H418" s="20">
        <v>8</v>
      </c>
      <c r="I418" s="20" t="s">
        <v>592</v>
      </c>
      <c r="K418" s="20" t="s">
        <v>1144</v>
      </c>
      <c r="L418" s="20" t="s">
        <v>23</v>
      </c>
      <c r="M418" s="20" t="s">
        <v>1121</v>
      </c>
      <c r="N418" s="20" t="s">
        <v>545</v>
      </c>
      <c r="O418" s="20" t="s">
        <v>628</v>
      </c>
      <c r="P418" s="20">
        <v>10</v>
      </c>
      <c r="Q418" s="20">
        <v>1</v>
      </c>
      <c r="R418" s="20" t="s">
        <v>592</v>
      </c>
      <c r="T418" s="20" t="s">
        <v>1163</v>
      </c>
      <c r="U418" s="20" t="s">
        <v>207</v>
      </c>
      <c r="V418" s="20" t="s">
        <v>1615</v>
      </c>
      <c r="W418" s="20" t="s">
        <v>1614</v>
      </c>
      <c r="X418" s="20" t="s">
        <v>835</v>
      </c>
      <c r="Y418" s="20">
        <v>5</v>
      </c>
      <c r="Z418" s="20">
        <v>4</v>
      </c>
      <c r="AA418" s="20" t="s">
        <v>593</v>
      </c>
      <c r="AC418" s="20" t="s">
        <v>1163</v>
      </c>
      <c r="AD418" s="20" t="s">
        <v>221</v>
      </c>
      <c r="AE418" s="20" t="s">
        <v>1645</v>
      </c>
      <c r="AF418" s="20" t="s">
        <v>2708</v>
      </c>
      <c r="AG418" s="20" t="s">
        <v>628</v>
      </c>
      <c r="AH418" s="20">
        <v>10</v>
      </c>
      <c r="AI418" s="20">
        <v>4</v>
      </c>
      <c r="AJ418" s="20" t="s">
        <v>593</v>
      </c>
      <c r="AL418" s="20" t="s">
        <v>1143</v>
      </c>
      <c r="AM418" s="20" t="s">
        <v>61</v>
      </c>
      <c r="AN418" s="20" t="s">
        <v>2488</v>
      </c>
      <c r="AO418" s="20" t="s">
        <v>3038</v>
      </c>
      <c r="AP418" s="20" t="s">
        <v>628</v>
      </c>
      <c r="AQ418" s="20">
        <v>10</v>
      </c>
      <c r="AR418" s="20">
        <v>81</v>
      </c>
      <c r="AS418" s="20" t="s">
        <v>592</v>
      </c>
    </row>
    <row r="419" spans="2:45" ht="15.75" customHeight="1" x14ac:dyDescent="0.2">
      <c r="B419" s="20" t="s">
        <v>640</v>
      </c>
      <c r="C419" s="20" t="s">
        <v>248</v>
      </c>
      <c r="D419" s="20" t="s">
        <v>844</v>
      </c>
      <c r="E419" s="20" t="s">
        <v>1374</v>
      </c>
      <c r="F419" s="20" t="s">
        <v>835</v>
      </c>
      <c r="G419" s="20">
        <v>5</v>
      </c>
      <c r="H419" s="20">
        <v>5</v>
      </c>
      <c r="I419" s="20" t="s">
        <v>592</v>
      </c>
      <c r="K419" s="20" t="s">
        <v>1144</v>
      </c>
      <c r="L419" s="20" t="s">
        <v>23</v>
      </c>
      <c r="M419" s="20" t="s">
        <v>1822</v>
      </c>
      <c r="N419" s="20" t="s">
        <v>1823</v>
      </c>
      <c r="O419" s="20" t="s">
        <v>628</v>
      </c>
      <c r="P419" s="20">
        <v>10</v>
      </c>
      <c r="Q419" s="20">
        <v>7</v>
      </c>
      <c r="R419" s="20" t="s">
        <v>592</v>
      </c>
      <c r="T419" s="20" t="s">
        <v>2099</v>
      </c>
      <c r="U419" s="20" t="s">
        <v>2144</v>
      </c>
      <c r="V419" s="20" t="s">
        <v>2460</v>
      </c>
      <c r="W419" s="20" t="s">
        <v>2295</v>
      </c>
      <c r="X419" s="20" t="s">
        <v>835</v>
      </c>
      <c r="Y419" s="20">
        <v>5</v>
      </c>
      <c r="Z419" s="20">
        <v>5</v>
      </c>
      <c r="AA419" s="20" t="s">
        <v>592</v>
      </c>
      <c r="AC419" s="20" t="s">
        <v>640</v>
      </c>
      <c r="AD419" s="20" t="s">
        <v>705</v>
      </c>
      <c r="AE419" s="20" t="s">
        <v>1475</v>
      </c>
      <c r="AF419" s="20" t="s">
        <v>2709</v>
      </c>
      <c r="AG419" s="20" t="s">
        <v>628</v>
      </c>
      <c r="AH419" s="20">
        <v>10</v>
      </c>
      <c r="AI419" s="20">
        <v>10</v>
      </c>
      <c r="AJ419" s="20" t="s">
        <v>592</v>
      </c>
      <c r="AL419" s="20" t="s">
        <v>1143</v>
      </c>
      <c r="AM419" s="20" t="s">
        <v>61</v>
      </c>
      <c r="AN419" s="20" t="s">
        <v>603</v>
      </c>
      <c r="AO419" s="20" t="s">
        <v>3039</v>
      </c>
      <c r="AP419" s="20" t="s">
        <v>628</v>
      </c>
      <c r="AQ419" s="20">
        <v>10</v>
      </c>
      <c r="AR419" s="20">
        <v>23</v>
      </c>
      <c r="AS419" s="20" t="s">
        <v>592</v>
      </c>
    </row>
    <row r="420" spans="2:45" ht="15.75" customHeight="1" x14ac:dyDescent="0.2">
      <c r="B420" s="20" t="s">
        <v>640</v>
      </c>
      <c r="C420" s="20" t="s">
        <v>248</v>
      </c>
      <c r="D420" s="20" t="s">
        <v>961</v>
      </c>
      <c r="E420" s="20" t="s">
        <v>1130</v>
      </c>
      <c r="F420" s="20" t="s">
        <v>835</v>
      </c>
      <c r="G420" s="20">
        <v>5</v>
      </c>
      <c r="H420" s="20">
        <v>11</v>
      </c>
      <c r="I420" s="20" t="s">
        <v>592</v>
      </c>
      <c r="K420" s="20" t="s">
        <v>1144</v>
      </c>
      <c r="L420" s="20" t="s">
        <v>23</v>
      </c>
      <c r="M420" s="20" t="s">
        <v>1824</v>
      </c>
      <c r="N420" s="20" t="s">
        <v>1823</v>
      </c>
      <c r="O420" s="20" t="s">
        <v>628</v>
      </c>
      <c r="P420" s="20">
        <v>10</v>
      </c>
      <c r="Q420" s="20">
        <v>1</v>
      </c>
      <c r="R420" s="20" t="s">
        <v>592</v>
      </c>
      <c r="T420" s="20" t="s">
        <v>1161</v>
      </c>
      <c r="U420" s="20" t="s">
        <v>304</v>
      </c>
      <c r="V420" s="20" t="s">
        <v>454</v>
      </c>
      <c r="W420" s="20" t="s">
        <v>1227</v>
      </c>
      <c r="X420" s="20" t="s">
        <v>628</v>
      </c>
      <c r="Y420" s="20">
        <v>10</v>
      </c>
      <c r="Z420" s="20">
        <v>8</v>
      </c>
      <c r="AA420" s="20" t="s">
        <v>592</v>
      </c>
      <c r="AC420" s="20" t="s">
        <v>2099</v>
      </c>
      <c r="AD420" s="20" t="s">
        <v>2117</v>
      </c>
      <c r="AE420" s="20" t="s">
        <v>2530</v>
      </c>
      <c r="AF420" s="20" t="s">
        <v>2332</v>
      </c>
      <c r="AG420" s="20" t="s">
        <v>835</v>
      </c>
      <c r="AH420" s="20">
        <v>5</v>
      </c>
      <c r="AI420" s="20">
        <v>5</v>
      </c>
      <c r="AJ420" s="20" t="s">
        <v>592</v>
      </c>
      <c r="AL420" s="20" t="s">
        <v>1143</v>
      </c>
      <c r="AM420" s="20" t="s">
        <v>61</v>
      </c>
      <c r="AN420" s="20" t="s">
        <v>603</v>
      </c>
      <c r="AO420" s="20" t="s">
        <v>996</v>
      </c>
      <c r="AP420" s="20" t="s">
        <v>628</v>
      </c>
      <c r="AQ420" s="20">
        <v>10</v>
      </c>
      <c r="AR420" s="20">
        <v>20</v>
      </c>
      <c r="AS420" s="20" t="s">
        <v>592</v>
      </c>
    </row>
    <row r="421" spans="2:45" ht="15.75" customHeight="1" x14ac:dyDescent="0.2">
      <c r="B421" s="20" t="s">
        <v>640</v>
      </c>
      <c r="C421" s="20" t="s">
        <v>191</v>
      </c>
      <c r="D421" s="20" t="s">
        <v>570</v>
      </c>
      <c r="E421" s="20" t="s">
        <v>1134</v>
      </c>
      <c r="F421" s="20" t="s">
        <v>835</v>
      </c>
      <c r="G421" s="20">
        <v>5</v>
      </c>
      <c r="H421" s="20">
        <v>6</v>
      </c>
      <c r="I421" s="20" t="s">
        <v>592</v>
      </c>
      <c r="K421" s="20" t="s">
        <v>1147</v>
      </c>
      <c r="L421" s="20" t="s">
        <v>225</v>
      </c>
      <c r="M421" s="20" t="s">
        <v>1825</v>
      </c>
      <c r="N421" s="20" t="s">
        <v>1826</v>
      </c>
      <c r="O421" s="20" t="s">
        <v>628</v>
      </c>
      <c r="P421" s="20">
        <v>10</v>
      </c>
      <c r="Q421" s="20">
        <v>8</v>
      </c>
      <c r="R421" s="20" t="s">
        <v>592</v>
      </c>
      <c r="T421" s="20" t="s">
        <v>1161</v>
      </c>
      <c r="U421" s="20" t="s">
        <v>117</v>
      </c>
      <c r="V421" s="20" t="s">
        <v>541</v>
      </c>
      <c r="W421" s="20" t="s">
        <v>2201</v>
      </c>
      <c r="X421" s="20" t="s">
        <v>628</v>
      </c>
      <c r="Y421" s="20">
        <v>10</v>
      </c>
      <c r="Z421" s="20">
        <v>1</v>
      </c>
      <c r="AA421" s="20" t="s">
        <v>593</v>
      </c>
      <c r="AC421" s="20" t="s">
        <v>2099</v>
      </c>
      <c r="AD421" s="20" t="s">
        <v>2117</v>
      </c>
      <c r="AE421" s="20" t="s">
        <v>2530</v>
      </c>
      <c r="AF421" s="20" t="s">
        <v>2333</v>
      </c>
      <c r="AG421" s="20" t="s">
        <v>835</v>
      </c>
      <c r="AH421" s="20">
        <v>5</v>
      </c>
      <c r="AI421" s="20">
        <v>1</v>
      </c>
      <c r="AJ421" s="20" t="s">
        <v>592</v>
      </c>
      <c r="AL421" s="20" t="s">
        <v>1143</v>
      </c>
      <c r="AM421" s="20" t="s">
        <v>61</v>
      </c>
      <c r="AN421" s="20" t="s">
        <v>2466</v>
      </c>
      <c r="AO421" s="20" t="s">
        <v>3040</v>
      </c>
      <c r="AP421" s="20" t="s">
        <v>628</v>
      </c>
      <c r="AQ421" s="20">
        <v>10</v>
      </c>
      <c r="AR421" s="20">
        <v>17</v>
      </c>
      <c r="AS421" s="20" t="s">
        <v>592</v>
      </c>
    </row>
    <row r="422" spans="2:45" ht="15.75" customHeight="1" x14ac:dyDescent="0.2">
      <c r="B422" s="20" t="s">
        <v>1141</v>
      </c>
      <c r="C422" s="20" t="s">
        <v>218</v>
      </c>
      <c r="D422" s="20" t="s">
        <v>494</v>
      </c>
      <c r="E422" s="20" t="s">
        <v>1129</v>
      </c>
      <c r="F422" s="20" t="s">
        <v>628</v>
      </c>
      <c r="G422" s="20">
        <v>10</v>
      </c>
      <c r="H422" s="20">
        <v>6</v>
      </c>
      <c r="I422" s="20" t="s">
        <v>592</v>
      </c>
      <c r="K422" s="20" t="s">
        <v>1147</v>
      </c>
      <c r="L422" s="20" t="s">
        <v>20</v>
      </c>
      <c r="M422" s="20" t="s">
        <v>585</v>
      </c>
      <c r="N422" s="20" t="s">
        <v>451</v>
      </c>
      <c r="O422" s="20" t="s">
        <v>628</v>
      </c>
      <c r="P422" s="20">
        <v>10</v>
      </c>
      <c r="Q422" s="20">
        <v>13</v>
      </c>
      <c r="R422" s="20" t="s">
        <v>592</v>
      </c>
      <c r="T422" s="20" t="s">
        <v>1161</v>
      </c>
      <c r="U422" s="20" t="s">
        <v>117</v>
      </c>
      <c r="V422" s="20" t="s">
        <v>2490</v>
      </c>
      <c r="W422" s="20" t="s">
        <v>2296</v>
      </c>
      <c r="X422" s="20" t="s">
        <v>628</v>
      </c>
      <c r="Y422" s="20">
        <v>10</v>
      </c>
      <c r="Z422" s="20">
        <v>1</v>
      </c>
      <c r="AA422" s="20" t="s">
        <v>593</v>
      </c>
      <c r="AC422" s="20" t="s">
        <v>1161</v>
      </c>
      <c r="AD422" s="20" t="s">
        <v>41</v>
      </c>
      <c r="AE422" s="20" t="s">
        <v>539</v>
      </c>
      <c r="AF422" s="20" t="s">
        <v>2710</v>
      </c>
      <c r="AG422" s="20" t="s">
        <v>628</v>
      </c>
      <c r="AH422" s="20">
        <v>10</v>
      </c>
      <c r="AI422" s="20">
        <v>1</v>
      </c>
      <c r="AJ422" s="20" t="s">
        <v>593</v>
      </c>
      <c r="AL422" s="20" t="s">
        <v>1143</v>
      </c>
      <c r="AM422" s="20" t="s">
        <v>61</v>
      </c>
      <c r="AN422" s="20" t="s">
        <v>2466</v>
      </c>
      <c r="AO422" s="20" t="s">
        <v>3041</v>
      </c>
      <c r="AP422" s="20" t="s">
        <v>628</v>
      </c>
      <c r="AQ422" s="20">
        <v>10</v>
      </c>
      <c r="AR422" s="20">
        <v>7</v>
      </c>
      <c r="AS422" s="20" t="s">
        <v>592</v>
      </c>
    </row>
    <row r="423" spans="2:45" ht="15.75" customHeight="1" x14ac:dyDescent="0.2">
      <c r="B423" s="20" t="s">
        <v>1141</v>
      </c>
      <c r="C423" s="20" t="s">
        <v>218</v>
      </c>
      <c r="D423" s="20" t="s">
        <v>494</v>
      </c>
      <c r="E423" s="20" t="s">
        <v>1375</v>
      </c>
      <c r="F423" s="20" t="s">
        <v>628</v>
      </c>
      <c r="G423" s="20">
        <v>10</v>
      </c>
      <c r="H423" s="20">
        <v>2</v>
      </c>
      <c r="I423" s="20" t="s">
        <v>592</v>
      </c>
      <c r="K423" s="20" t="s">
        <v>1147</v>
      </c>
      <c r="L423" s="20" t="s">
        <v>20</v>
      </c>
      <c r="M423" s="20" t="s">
        <v>746</v>
      </c>
      <c r="N423" s="20" t="s">
        <v>451</v>
      </c>
      <c r="O423" s="20" t="s">
        <v>628</v>
      </c>
      <c r="P423" s="20">
        <v>10</v>
      </c>
      <c r="Q423" s="20">
        <v>1</v>
      </c>
      <c r="R423" s="20" t="s">
        <v>592</v>
      </c>
      <c r="T423" s="20" t="s">
        <v>1161</v>
      </c>
      <c r="U423" s="20" t="s">
        <v>117</v>
      </c>
      <c r="V423" s="20" t="s">
        <v>2490</v>
      </c>
      <c r="W423" s="20" t="s">
        <v>2297</v>
      </c>
      <c r="X423" s="20" t="s">
        <v>628</v>
      </c>
      <c r="Y423" s="20">
        <v>10</v>
      </c>
      <c r="Z423" s="20">
        <v>1</v>
      </c>
      <c r="AA423" s="20" t="s">
        <v>593</v>
      </c>
      <c r="AC423" s="20" t="s">
        <v>1147</v>
      </c>
      <c r="AD423" s="20" t="s">
        <v>29</v>
      </c>
      <c r="AE423" s="20" t="s">
        <v>2557</v>
      </c>
      <c r="AF423" s="20" t="s">
        <v>2711</v>
      </c>
      <c r="AG423" s="20" t="s">
        <v>628</v>
      </c>
      <c r="AH423" s="20">
        <v>10</v>
      </c>
      <c r="AI423" s="20">
        <v>8</v>
      </c>
      <c r="AJ423" s="20" t="s">
        <v>592</v>
      </c>
      <c r="AL423" s="20" t="s">
        <v>1143</v>
      </c>
      <c r="AM423" s="20" t="s">
        <v>689</v>
      </c>
      <c r="AN423" s="20" t="s">
        <v>1589</v>
      </c>
      <c r="AO423" s="20" t="s">
        <v>2185</v>
      </c>
      <c r="AP423" s="20" t="s">
        <v>628</v>
      </c>
      <c r="AQ423" s="20">
        <v>10</v>
      </c>
      <c r="AR423" s="20">
        <v>12</v>
      </c>
      <c r="AS423" s="20" t="s">
        <v>592</v>
      </c>
    </row>
    <row r="424" spans="2:45" ht="15.75" customHeight="1" x14ac:dyDescent="0.2">
      <c r="B424" s="20" t="s">
        <v>640</v>
      </c>
      <c r="C424" s="20" t="s">
        <v>705</v>
      </c>
      <c r="D424" s="20" t="s">
        <v>380</v>
      </c>
      <c r="E424" s="20" t="s">
        <v>994</v>
      </c>
      <c r="F424" s="20" t="s">
        <v>835</v>
      </c>
      <c r="G424" s="20">
        <v>5</v>
      </c>
      <c r="H424" s="20">
        <v>11</v>
      </c>
      <c r="I424" s="20" t="s">
        <v>592</v>
      </c>
      <c r="K424" s="20" t="s">
        <v>1147</v>
      </c>
      <c r="L424" s="20" t="s">
        <v>20</v>
      </c>
      <c r="M424" s="20" t="s">
        <v>584</v>
      </c>
      <c r="N424" s="20" t="s">
        <v>446</v>
      </c>
      <c r="O424" s="20" t="s">
        <v>628</v>
      </c>
      <c r="P424" s="20">
        <v>10</v>
      </c>
      <c r="Q424" s="20">
        <v>9</v>
      </c>
      <c r="R424" s="20" t="s">
        <v>592</v>
      </c>
      <c r="T424" s="20" t="s">
        <v>1161</v>
      </c>
      <c r="U424" s="20" t="s">
        <v>659</v>
      </c>
      <c r="V424" s="20" t="s">
        <v>601</v>
      </c>
      <c r="W424" s="20" t="s">
        <v>2298</v>
      </c>
      <c r="X424" s="20" t="s">
        <v>835</v>
      </c>
      <c r="Y424" s="20">
        <v>5</v>
      </c>
      <c r="Z424" s="20">
        <v>5</v>
      </c>
      <c r="AA424" s="20" t="s">
        <v>592</v>
      </c>
      <c r="AC424" s="20" t="s">
        <v>646</v>
      </c>
      <c r="AD424" s="20" t="s">
        <v>303</v>
      </c>
      <c r="AE424" s="20" t="s">
        <v>1904</v>
      </c>
      <c r="AF424" s="20" t="s">
        <v>2183</v>
      </c>
      <c r="AG424" s="20" t="s">
        <v>835</v>
      </c>
      <c r="AH424" s="20">
        <v>5</v>
      </c>
      <c r="AI424" s="20">
        <v>1</v>
      </c>
      <c r="AJ424" s="20" t="s">
        <v>593</v>
      </c>
      <c r="AL424" s="20" t="s">
        <v>1143</v>
      </c>
      <c r="AM424" s="20" t="s">
        <v>689</v>
      </c>
      <c r="AN424" s="20" t="s">
        <v>618</v>
      </c>
      <c r="AO424" s="20" t="s">
        <v>1053</v>
      </c>
      <c r="AP424" s="20" t="s">
        <v>628</v>
      </c>
      <c r="AQ424" s="20">
        <v>10</v>
      </c>
      <c r="AR424" s="20">
        <v>15</v>
      </c>
      <c r="AS424" s="20" t="s">
        <v>592</v>
      </c>
    </row>
    <row r="425" spans="2:45" ht="15.75" customHeight="1" x14ac:dyDescent="0.2">
      <c r="B425" s="20" t="s">
        <v>640</v>
      </c>
      <c r="C425" s="20" t="s">
        <v>705</v>
      </c>
      <c r="D425" s="20" t="s">
        <v>1011</v>
      </c>
      <c r="E425" s="20" t="s">
        <v>1032</v>
      </c>
      <c r="F425" s="20" t="s">
        <v>628</v>
      </c>
      <c r="G425" s="20">
        <v>10</v>
      </c>
      <c r="H425" s="20">
        <v>8</v>
      </c>
      <c r="I425" s="20" t="s">
        <v>592</v>
      </c>
      <c r="K425" s="20" t="s">
        <v>1147</v>
      </c>
      <c r="L425" s="20" t="s">
        <v>20</v>
      </c>
      <c r="M425" s="20" t="s">
        <v>1827</v>
      </c>
      <c r="N425" s="20" t="s">
        <v>446</v>
      </c>
      <c r="O425" s="20" t="s">
        <v>628</v>
      </c>
      <c r="P425" s="20">
        <v>10</v>
      </c>
      <c r="Q425" s="20">
        <v>1</v>
      </c>
      <c r="R425" s="20" t="s">
        <v>592</v>
      </c>
      <c r="T425" s="20" t="s">
        <v>1161</v>
      </c>
      <c r="U425" s="20" t="s">
        <v>659</v>
      </c>
      <c r="V425" s="20" t="s">
        <v>389</v>
      </c>
      <c r="W425" s="20" t="s">
        <v>1247</v>
      </c>
      <c r="X425" s="20" t="s">
        <v>835</v>
      </c>
      <c r="Y425" s="20">
        <v>5</v>
      </c>
      <c r="Z425" s="20">
        <v>5</v>
      </c>
      <c r="AA425" s="20" t="s">
        <v>592</v>
      </c>
      <c r="AC425" s="20" t="s">
        <v>646</v>
      </c>
      <c r="AD425" s="20" t="s">
        <v>1109</v>
      </c>
      <c r="AE425" s="20" t="s">
        <v>367</v>
      </c>
      <c r="AF425" s="20" t="s">
        <v>1734</v>
      </c>
      <c r="AG425" s="20" t="s">
        <v>628</v>
      </c>
      <c r="AH425" s="20">
        <v>10</v>
      </c>
      <c r="AI425" s="20">
        <v>4</v>
      </c>
      <c r="AJ425" s="20" t="s">
        <v>593</v>
      </c>
      <c r="AL425" s="20" t="s">
        <v>1143</v>
      </c>
      <c r="AM425" s="20" t="s">
        <v>689</v>
      </c>
      <c r="AN425" s="20" t="s">
        <v>406</v>
      </c>
      <c r="AO425" s="20" t="s">
        <v>734</v>
      </c>
      <c r="AP425" s="20" t="s">
        <v>628</v>
      </c>
      <c r="AQ425" s="20">
        <v>10</v>
      </c>
      <c r="AR425" s="20">
        <v>35</v>
      </c>
      <c r="AS425" s="20" t="s">
        <v>592</v>
      </c>
    </row>
    <row r="426" spans="2:45" ht="15.75" customHeight="1" x14ac:dyDescent="0.2">
      <c r="B426" s="20" t="s">
        <v>640</v>
      </c>
      <c r="C426" s="20" t="s">
        <v>705</v>
      </c>
      <c r="D426" s="20" t="s">
        <v>392</v>
      </c>
      <c r="E426" s="20" t="s">
        <v>993</v>
      </c>
      <c r="F426" s="20" t="s">
        <v>835</v>
      </c>
      <c r="G426" s="20">
        <v>5</v>
      </c>
      <c r="H426" s="20">
        <v>12</v>
      </c>
      <c r="I426" s="20" t="s">
        <v>592</v>
      </c>
      <c r="K426" s="20" t="s">
        <v>1147</v>
      </c>
      <c r="L426" s="20" t="s">
        <v>20</v>
      </c>
      <c r="M426" s="20" t="s">
        <v>1828</v>
      </c>
      <c r="N426" s="20" t="s">
        <v>1829</v>
      </c>
      <c r="O426" s="20" t="s">
        <v>628</v>
      </c>
      <c r="P426" s="20">
        <v>10</v>
      </c>
      <c r="Q426" s="20">
        <v>9</v>
      </c>
      <c r="R426" s="20" t="s">
        <v>592</v>
      </c>
      <c r="T426" s="20" t="s">
        <v>1161</v>
      </c>
      <c r="U426" s="20" t="s">
        <v>117</v>
      </c>
      <c r="V426" s="20" t="s">
        <v>2491</v>
      </c>
      <c r="W426" s="20" t="s">
        <v>2299</v>
      </c>
      <c r="X426" s="20" t="s">
        <v>835</v>
      </c>
      <c r="Y426" s="20">
        <v>5</v>
      </c>
      <c r="Z426" s="20">
        <v>2</v>
      </c>
      <c r="AA426" s="20" t="s">
        <v>593</v>
      </c>
      <c r="AC426" s="20" t="s">
        <v>1144</v>
      </c>
      <c r="AD426" s="20" t="s">
        <v>313</v>
      </c>
      <c r="AE426" s="20" t="s">
        <v>529</v>
      </c>
      <c r="AF426" s="20" t="s">
        <v>2026</v>
      </c>
      <c r="AG426" s="20" t="s">
        <v>835</v>
      </c>
      <c r="AH426" s="20">
        <v>5</v>
      </c>
      <c r="AI426" s="20">
        <v>6</v>
      </c>
      <c r="AJ426" s="20" t="s">
        <v>592</v>
      </c>
      <c r="AL426" s="20" t="s">
        <v>1143</v>
      </c>
      <c r="AM426" s="20" t="s">
        <v>689</v>
      </c>
      <c r="AN426" s="20" t="s">
        <v>527</v>
      </c>
      <c r="AO426" s="20" t="s">
        <v>3042</v>
      </c>
      <c r="AP426" s="20" t="s">
        <v>628</v>
      </c>
      <c r="AQ426" s="20">
        <v>10</v>
      </c>
      <c r="AR426" s="20">
        <v>9</v>
      </c>
      <c r="AS426" s="20" t="s">
        <v>592</v>
      </c>
    </row>
    <row r="427" spans="2:45" ht="15.75" customHeight="1" x14ac:dyDescent="0.2">
      <c r="B427" s="20" t="s">
        <v>640</v>
      </c>
      <c r="C427" s="20" t="s">
        <v>31</v>
      </c>
      <c r="D427" s="20" t="s">
        <v>393</v>
      </c>
      <c r="E427" s="20" t="s">
        <v>1376</v>
      </c>
      <c r="F427" s="20" t="s">
        <v>835</v>
      </c>
      <c r="G427" s="20">
        <v>5</v>
      </c>
      <c r="H427" s="20">
        <v>7</v>
      </c>
      <c r="I427" s="20" t="s">
        <v>592</v>
      </c>
      <c r="K427" s="20" t="s">
        <v>1147</v>
      </c>
      <c r="L427" s="20" t="s">
        <v>20</v>
      </c>
      <c r="M427" s="20" t="s">
        <v>1830</v>
      </c>
      <c r="N427" s="20" t="s">
        <v>1829</v>
      </c>
      <c r="O427" s="20" t="s">
        <v>628</v>
      </c>
      <c r="P427" s="20">
        <v>10</v>
      </c>
      <c r="Q427" s="20">
        <v>1</v>
      </c>
      <c r="R427" s="20" t="s">
        <v>592</v>
      </c>
      <c r="T427" s="20" t="s">
        <v>1147</v>
      </c>
      <c r="U427" s="20" t="s">
        <v>222</v>
      </c>
      <c r="V427" s="20" t="s">
        <v>1996</v>
      </c>
      <c r="W427" s="20" t="s">
        <v>2300</v>
      </c>
      <c r="X427" s="20" t="s">
        <v>835</v>
      </c>
      <c r="Y427" s="20">
        <v>5</v>
      </c>
      <c r="Z427" s="20">
        <v>5</v>
      </c>
      <c r="AA427" s="20" t="s">
        <v>592</v>
      </c>
      <c r="AC427" s="20" t="s">
        <v>1144</v>
      </c>
      <c r="AD427" s="20" t="s">
        <v>707</v>
      </c>
      <c r="AE427" s="20" t="s">
        <v>2498</v>
      </c>
      <c r="AF427" s="20" t="s">
        <v>2324</v>
      </c>
      <c r="AG427" s="20" t="s">
        <v>628</v>
      </c>
      <c r="AH427" s="20">
        <v>10</v>
      </c>
      <c r="AI427" s="20">
        <v>9</v>
      </c>
      <c r="AJ427" s="20" t="s">
        <v>592</v>
      </c>
      <c r="AL427" s="20" t="s">
        <v>1143</v>
      </c>
      <c r="AM427" s="20" t="s">
        <v>689</v>
      </c>
      <c r="AN427" s="20" t="s">
        <v>1660</v>
      </c>
      <c r="AO427" s="20" t="s">
        <v>1659</v>
      </c>
      <c r="AP427" s="20" t="s">
        <v>628</v>
      </c>
      <c r="AQ427" s="20">
        <v>10</v>
      </c>
      <c r="AR427" s="20">
        <v>9</v>
      </c>
      <c r="AS427" s="20" t="s">
        <v>592</v>
      </c>
    </row>
    <row r="428" spans="2:45" ht="15.75" customHeight="1" x14ac:dyDescent="0.2">
      <c r="B428" s="20" t="s">
        <v>640</v>
      </c>
      <c r="C428" s="20" t="s">
        <v>31</v>
      </c>
      <c r="D428" s="20" t="s">
        <v>396</v>
      </c>
      <c r="E428" s="20" t="s">
        <v>1017</v>
      </c>
      <c r="F428" s="20" t="s">
        <v>835</v>
      </c>
      <c r="G428" s="20">
        <v>5</v>
      </c>
      <c r="H428" s="20">
        <v>1</v>
      </c>
      <c r="I428" s="20" t="s">
        <v>593</v>
      </c>
      <c r="K428" s="20" t="s">
        <v>1147</v>
      </c>
      <c r="L428" s="20" t="s">
        <v>244</v>
      </c>
      <c r="M428" s="20" t="s">
        <v>777</v>
      </c>
      <c r="N428" s="20" t="s">
        <v>421</v>
      </c>
      <c r="O428" s="20" t="s">
        <v>628</v>
      </c>
      <c r="P428" s="20">
        <v>10</v>
      </c>
      <c r="Q428" s="20">
        <v>10</v>
      </c>
      <c r="R428" s="20" t="s">
        <v>592</v>
      </c>
      <c r="T428" s="20" t="s">
        <v>1147</v>
      </c>
      <c r="U428" s="20" t="s">
        <v>222</v>
      </c>
      <c r="V428" s="20" t="s">
        <v>1620</v>
      </c>
      <c r="W428" s="20" t="s">
        <v>1619</v>
      </c>
      <c r="X428" s="20" t="s">
        <v>835</v>
      </c>
      <c r="Y428" s="20">
        <v>5</v>
      </c>
      <c r="Z428" s="20">
        <v>6</v>
      </c>
      <c r="AA428" s="20" t="s">
        <v>592</v>
      </c>
      <c r="AC428" s="20" t="s">
        <v>1144</v>
      </c>
      <c r="AD428" s="20" t="s">
        <v>249</v>
      </c>
      <c r="AE428" s="20" t="s">
        <v>564</v>
      </c>
      <c r="AF428" s="20" t="s">
        <v>834</v>
      </c>
      <c r="AG428" s="20" t="s">
        <v>628</v>
      </c>
      <c r="AH428" s="20">
        <v>10</v>
      </c>
      <c r="AI428" s="20">
        <v>12</v>
      </c>
      <c r="AJ428" s="20" t="s">
        <v>592</v>
      </c>
      <c r="AL428" s="20" t="s">
        <v>1143</v>
      </c>
      <c r="AM428" s="20" t="s">
        <v>689</v>
      </c>
      <c r="AN428" s="20" t="s">
        <v>1506</v>
      </c>
      <c r="AO428" s="20" t="s">
        <v>1505</v>
      </c>
      <c r="AP428" s="20" t="s">
        <v>628</v>
      </c>
      <c r="AQ428" s="20">
        <v>10</v>
      </c>
      <c r="AR428" s="20">
        <v>6</v>
      </c>
      <c r="AS428" s="20" t="s">
        <v>592</v>
      </c>
    </row>
    <row r="429" spans="2:45" ht="15.75" customHeight="1" x14ac:dyDescent="0.2">
      <c r="B429" s="20" t="s">
        <v>640</v>
      </c>
      <c r="C429" s="20" t="s">
        <v>31</v>
      </c>
      <c r="D429" s="20" t="s">
        <v>393</v>
      </c>
      <c r="E429" s="20" t="s">
        <v>1377</v>
      </c>
      <c r="F429" s="20" t="s">
        <v>835</v>
      </c>
      <c r="G429" s="20">
        <v>5</v>
      </c>
      <c r="H429" s="20">
        <v>1</v>
      </c>
      <c r="I429" s="20" t="s">
        <v>592</v>
      </c>
      <c r="K429" s="20" t="s">
        <v>1147</v>
      </c>
      <c r="L429" s="20" t="s">
        <v>244</v>
      </c>
      <c r="M429" s="20" t="s">
        <v>1440</v>
      </c>
      <c r="N429" s="20" t="s">
        <v>1441</v>
      </c>
      <c r="O429" s="20" t="s">
        <v>628</v>
      </c>
      <c r="P429" s="20">
        <v>10</v>
      </c>
      <c r="Q429" s="20">
        <v>10</v>
      </c>
      <c r="R429" s="20" t="s">
        <v>592</v>
      </c>
      <c r="T429" s="20" t="s">
        <v>1158</v>
      </c>
      <c r="U429" s="20" t="s">
        <v>1040</v>
      </c>
      <c r="V429" s="20" t="s">
        <v>2084</v>
      </c>
      <c r="W429" s="20" t="s">
        <v>2083</v>
      </c>
      <c r="X429" s="20" t="s">
        <v>835</v>
      </c>
      <c r="Y429" s="20">
        <v>5</v>
      </c>
      <c r="Z429" s="20">
        <v>1</v>
      </c>
      <c r="AA429" s="20" t="s">
        <v>593</v>
      </c>
      <c r="AC429" s="20" t="s">
        <v>1144</v>
      </c>
      <c r="AD429" s="20" t="s">
        <v>1145</v>
      </c>
      <c r="AE429" s="20" t="s">
        <v>1999</v>
      </c>
      <c r="AF429" s="20" t="s">
        <v>2712</v>
      </c>
      <c r="AG429" s="20" t="s">
        <v>628</v>
      </c>
      <c r="AH429" s="20">
        <v>10</v>
      </c>
      <c r="AI429" s="20">
        <v>6</v>
      </c>
      <c r="AJ429" s="20" t="s">
        <v>593</v>
      </c>
      <c r="AL429" s="20" t="s">
        <v>1143</v>
      </c>
      <c r="AM429" s="20" t="s">
        <v>689</v>
      </c>
      <c r="AN429" s="20" t="s">
        <v>1506</v>
      </c>
      <c r="AO429" s="20" t="s">
        <v>3043</v>
      </c>
      <c r="AP429" s="20" t="s">
        <v>628</v>
      </c>
      <c r="AQ429" s="20">
        <v>10</v>
      </c>
      <c r="AR429" s="20">
        <v>26</v>
      </c>
      <c r="AS429" s="20" t="s">
        <v>592</v>
      </c>
    </row>
    <row r="430" spans="2:45" ht="15.75" customHeight="1" x14ac:dyDescent="0.2">
      <c r="B430" s="20" t="s">
        <v>640</v>
      </c>
      <c r="C430" s="20" t="s">
        <v>248</v>
      </c>
      <c r="D430" s="20" t="s">
        <v>866</v>
      </c>
      <c r="E430" s="20" t="s">
        <v>1007</v>
      </c>
      <c r="F430" s="20" t="s">
        <v>835</v>
      </c>
      <c r="G430" s="20">
        <v>5</v>
      </c>
      <c r="H430" s="20">
        <v>1</v>
      </c>
      <c r="I430" s="20" t="s">
        <v>593</v>
      </c>
      <c r="K430" s="20" t="s">
        <v>1155</v>
      </c>
      <c r="L430" s="20" t="s">
        <v>286</v>
      </c>
      <c r="M430" s="20" t="s">
        <v>1831</v>
      </c>
      <c r="N430" s="20" t="s">
        <v>1832</v>
      </c>
      <c r="O430" s="20" t="s">
        <v>628</v>
      </c>
      <c r="P430" s="20">
        <v>10</v>
      </c>
      <c r="Q430" s="20">
        <v>6</v>
      </c>
      <c r="R430" s="20" t="s">
        <v>592</v>
      </c>
      <c r="T430" s="20" t="s">
        <v>1158</v>
      </c>
      <c r="U430" s="20" t="s">
        <v>925</v>
      </c>
      <c r="V430" s="20" t="s">
        <v>2492</v>
      </c>
      <c r="W430" s="20" t="s">
        <v>2301</v>
      </c>
      <c r="X430" s="20" t="s">
        <v>835</v>
      </c>
      <c r="Y430" s="20">
        <v>5</v>
      </c>
      <c r="Z430" s="20">
        <v>6</v>
      </c>
      <c r="AA430" s="20" t="s">
        <v>592</v>
      </c>
      <c r="AC430" s="20" t="s">
        <v>1163</v>
      </c>
      <c r="AD430" s="20" t="s">
        <v>837</v>
      </c>
      <c r="AE430" s="20" t="s">
        <v>554</v>
      </c>
      <c r="AF430" s="20" t="s">
        <v>2713</v>
      </c>
      <c r="AG430" s="20" t="s">
        <v>628</v>
      </c>
      <c r="AH430" s="20">
        <v>10</v>
      </c>
      <c r="AI430" s="20">
        <v>1</v>
      </c>
      <c r="AJ430" s="20" t="s">
        <v>593</v>
      </c>
      <c r="AL430" s="20" t="s">
        <v>1143</v>
      </c>
      <c r="AM430" s="20" t="s">
        <v>689</v>
      </c>
      <c r="AN430" s="20" t="s">
        <v>402</v>
      </c>
      <c r="AO430" s="20" t="s">
        <v>2420</v>
      </c>
      <c r="AP430" s="20" t="s">
        <v>628</v>
      </c>
      <c r="AQ430" s="20">
        <v>10</v>
      </c>
      <c r="AR430" s="20">
        <v>22</v>
      </c>
      <c r="AS430" s="20" t="s">
        <v>592</v>
      </c>
    </row>
    <row r="431" spans="2:45" ht="15.75" customHeight="1" x14ac:dyDescent="0.2">
      <c r="B431" s="20" t="s">
        <v>1141</v>
      </c>
      <c r="C431" s="20" t="s">
        <v>224</v>
      </c>
      <c r="D431" s="20" t="s">
        <v>388</v>
      </c>
      <c r="E431" s="20" t="s">
        <v>1119</v>
      </c>
      <c r="F431" s="20" t="s">
        <v>628</v>
      </c>
      <c r="G431" s="20">
        <v>10</v>
      </c>
      <c r="H431" s="20">
        <v>9</v>
      </c>
      <c r="I431" s="20" t="s">
        <v>592</v>
      </c>
      <c r="K431" s="20" t="s">
        <v>1155</v>
      </c>
      <c r="L431" s="20" t="s">
        <v>286</v>
      </c>
      <c r="M431" s="20" t="s">
        <v>1833</v>
      </c>
      <c r="N431" s="20" t="s">
        <v>1832</v>
      </c>
      <c r="O431" s="20" t="s">
        <v>628</v>
      </c>
      <c r="P431" s="20">
        <v>10</v>
      </c>
      <c r="Q431" s="20">
        <v>2</v>
      </c>
      <c r="R431" s="20" t="s">
        <v>592</v>
      </c>
      <c r="T431" s="20" t="s">
        <v>1158</v>
      </c>
      <c r="U431" s="20" t="s">
        <v>1040</v>
      </c>
      <c r="V431" s="20" t="s">
        <v>879</v>
      </c>
      <c r="W431" s="20" t="s">
        <v>2302</v>
      </c>
      <c r="X431" s="20" t="s">
        <v>835</v>
      </c>
      <c r="Y431" s="20">
        <v>5</v>
      </c>
      <c r="Z431" s="20">
        <v>1</v>
      </c>
      <c r="AA431" s="20" t="s">
        <v>593</v>
      </c>
      <c r="AC431" s="20" t="s">
        <v>1158</v>
      </c>
      <c r="AD431" s="20" t="s">
        <v>72</v>
      </c>
      <c r="AE431" s="20" t="s">
        <v>634</v>
      </c>
      <c r="AF431" s="20" t="s">
        <v>1317</v>
      </c>
      <c r="AG431" s="20" t="s">
        <v>835</v>
      </c>
      <c r="AH431" s="20">
        <v>5</v>
      </c>
      <c r="AI431" s="20">
        <v>6</v>
      </c>
      <c r="AJ431" s="20" t="s">
        <v>592</v>
      </c>
      <c r="AL431" s="20" t="s">
        <v>1143</v>
      </c>
      <c r="AM431" s="20" t="s">
        <v>689</v>
      </c>
      <c r="AN431" s="20" t="s">
        <v>402</v>
      </c>
      <c r="AO431" s="20" t="s">
        <v>1661</v>
      </c>
      <c r="AP431" s="20" t="s">
        <v>628</v>
      </c>
      <c r="AQ431" s="20">
        <v>10</v>
      </c>
      <c r="AR431" s="20">
        <v>9</v>
      </c>
      <c r="AS431" s="20" t="s">
        <v>592</v>
      </c>
    </row>
    <row r="432" spans="2:45" ht="15.75" customHeight="1" x14ac:dyDescent="0.2">
      <c r="B432" s="20" t="s">
        <v>1147</v>
      </c>
      <c r="C432" s="20" t="s">
        <v>225</v>
      </c>
      <c r="D432" s="20" t="s">
        <v>382</v>
      </c>
      <c r="E432" s="20" t="s">
        <v>1097</v>
      </c>
      <c r="F432" s="20" t="s">
        <v>628</v>
      </c>
      <c r="G432" s="20">
        <v>10</v>
      </c>
      <c r="H432" s="20">
        <v>10</v>
      </c>
      <c r="I432" s="20" t="s">
        <v>592</v>
      </c>
      <c r="K432" s="20" t="s">
        <v>1155</v>
      </c>
      <c r="L432" s="20" t="s">
        <v>1156</v>
      </c>
      <c r="M432" s="20" t="s">
        <v>1834</v>
      </c>
      <c r="N432" s="20" t="s">
        <v>1835</v>
      </c>
      <c r="O432" s="20" t="s">
        <v>628</v>
      </c>
      <c r="P432" s="20">
        <v>10</v>
      </c>
      <c r="Q432" s="20">
        <v>8</v>
      </c>
      <c r="R432" s="20" t="s">
        <v>592</v>
      </c>
      <c r="T432" s="20" t="s">
        <v>1158</v>
      </c>
      <c r="U432" s="20" t="s">
        <v>726</v>
      </c>
      <c r="V432" s="20" t="s">
        <v>679</v>
      </c>
      <c r="W432" s="20" t="s">
        <v>2054</v>
      </c>
      <c r="X432" s="20" t="s">
        <v>835</v>
      </c>
      <c r="Y432" s="20">
        <v>5</v>
      </c>
      <c r="Z432" s="20">
        <v>2</v>
      </c>
      <c r="AA432" s="20" t="s">
        <v>593</v>
      </c>
      <c r="AC432" s="20" t="s">
        <v>1163</v>
      </c>
      <c r="AD432" s="20" t="s">
        <v>1165</v>
      </c>
      <c r="AE432" s="20" t="s">
        <v>1562</v>
      </c>
      <c r="AF432" s="20" t="s">
        <v>2714</v>
      </c>
      <c r="AG432" s="20" t="s">
        <v>628</v>
      </c>
      <c r="AH432" s="20">
        <v>10</v>
      </c>
      <c r="AI432" s="20">
        <v>2</v>
      </c>
      <c r="AJ432" s="20" t="s">
        <v>593</v>
      </c>
      <c r="AL432" s="20" t="s">
        <v>1143</v>
      </c>
      <c r="AM432" s="20" t="s">
        <v>689</v>
      </c>
      <c r="AN432" s="20" t="s">
        <v>402</v>
      </c>
      <c r="AO432" s="20" t="s">
        <v>3044</v>
      </c>
      <c r="AP432" s="20" t="s">
        <v>628</v>
      </c>
      <c r="AQ432" s="20">
        <v>10</v>
      </c>
      <c r="AR432" s="20">
        <v>41</v>
      </c>
      <c r="AS432" s="20" t="s">
        <v>592</v>
      </c>
    </row>
    <row r="433" spans="2:45" ht="15.75" customHeight="1" x14ac:dyDescent="0.2">
      <c r="B433" s="20" t="s">
        <v>1158</v>
      </c>
      <c r="C433" s="20" t="s">
        <v>925</v>
      </c>
      <c r="D433" s="20" t="s">
        <v>1012</v>
      </c>
      <c r="E433" s="20" t="s">
        <v>1378</v>
      </c>
      <c r="F433" s="20" t="s">
        <v>835</v>
      </c>
      <c r="G433" s="20">
        <v>5</v>
      </c>
      <c r="H433" s="20">
        <v>4</v>
      </c>
      <c r="I433" s="20" t="s">
        <v>592</v>
      </c>
      <c r="K433" s="20" t="s">
        <v>1162</v>
      </c>
      <c r="L433" s="20" t="s">
        <v>230</v>
      </c>
      <c r="M433" s="20" t="s">
        <v>1836</v>
      </c>
      <c r="N433" s="20" t="s">
        <v>417</v>
      </c>
      <c r="O433" s="20" t="s">
        <v>628</v>
      </c>
      <c r="P433" s="20">
        <v>10</v>
      </c>
      <c r="Q433" s="20">
        <v>3</v>
      </c>
      <c r="R433" s="20" t="s">
        <v>593</v>
      </c>
      <c r="T433" s="20" t="s">
        <v>1161</v>
      </c>
      <c r="U433" s="20" t="s">
        <v>765</v>
      </c>
      <c r="V433" s="20" t="s">
        <v>1782</v>
      </c>
      <c r="W433" s="20" t="s">
        <v>1781</v>
      </c>
      <c r="X433" s="20" t="s">
        <v>835</v>
      </c>
      <c r="Y433" s="20">
        <v>5</v>
      </c>
      <c r="Z433" s="20">
        <v>5</v>
      </c>
      <c r="AA433" s="20" t="s">
        <v>592</v>
      </c>
      <c r="AC433" s="20" t="s">
        <v>2099</v>
      </c>
      <c r="AD433" s="20" t="s">
        <v>350</v>
      </c>
      <c r="AE433" s="20" t="s">
        <v>2528</v>
      </c>
      <c r="AF433" s="20" t="s">
        <v>2715</v>
      </c>
      <c r="AG433" s="20" t="s">
        <v>835</v>
      </c>
      <c r="AH433" s="20">
        <v>5</v>
      </c>
      <c r="AI433" s="20">
        <v>5</v>
      </c>
      <c r="AJ433" s="20" t="s">
        <v>592</v>
      </c>
      <c r="AL433" s="20" t="s">
        <v>1143</v>
      </c>
      <c r="AM433" s="20" t="s">
        <v>706</v>
      </c>
      <c r="AN433" s="20" t="s">
        <v>404</v>
      </c>
      <c r="AO433" s="20" t="s">
        <v>1257</v>
      </c>
      <c r="AP433" s="20" t="s">
        <v>628</v>
      </c>
      <c r="AQ433" s="20">
        <v>10</v>
      </c>
      <c r="AR433" s="20">
        <v>21</v>
      </c>
      <c r="AS433" s="20" t="s">
        <v>592</v>
      </c>
    </row>
    <row r="434" spans="2:45" ht="15.75" customHeight="1" x14ac:dyDescent="0.2">
      <c r="B434" s="20" t="s">
        <v>1158</v>
      </c>
      <c r="C434" s="20" t="s">
        <v>925</v>
      </c>
      <c r="D434" s="20" t="s">
        <v>1012</v>
      </c>
      <c r="E434" s="20" t="s">
        <v>1379</v>
      </c>
      <c r="F434" s="20" t="s">
        <v>835</v>
      </c>
      <c r="G434" s="20">
        <v>5</v>
      </c>
      <c r="H434" s="20">
        <v>1</v>
      </c>
      <c r="I434" s="20" t="s">
        <v>592</v>
      </c>
      <c r="K434" s="20" t="s">
        <v>1162</v>
      </c>
      <c r="L434" s="20" t="s">
        <v>240</v>
      </c>
      <c r="M434" s="20" t="s">
        <v>849</v>
      </c>
      <c r="N434" s="20" t="s">
        <v>848</v>
      </c>
      <c r="O434" s="20" t="s">
        <v>835</v>
      </c>
      <c r="P434" s="20">
        <v>5</v>
      </c>
      <c r="Q434" s="20">
        <v>1</v>
      </c>
      <c r="R434" s="20" t="s">
        <v>593</v>
      </c>
      <c r="T434" s="20" t="s">
        <v>1161</v>
      </c>
      <c r="U434" s="20" t="s">
        <v>304</v>
      </c>
      <c r="V434" s="20" t="s">
        <v>2461</v>
      </c>
      <c r="W434" s="20" t="s">
        <v>2152</v>
      </c>
      <c r="X434" s="20" t="s">
        <v>835</v>
      </c>
      <c r="Y434" s="20">
        <v>5</v>
      </c>
      <c r="Z434" s="20">
        <v>2</v>
      </c>
      <c r="AA434" s="20" t="s">
        <v>593</v>
      </c>
      <c r="AC434" s="20" t="s">
        <v>1158</v>
      </c>
      <c r="AD434" s="20" t="s">
        <v>72</v>
      </c>
      <c r="AE434" s="20" t="s">
        <v>1726</v>
      </c>
      <c r="AF434" s="20" t="s">
        <v>2716</v>
      </c>
      <c r="AG434" s="20" t="s">
        <v>628</v>
      </c>
      <c r="AH434" s="20">
        <v>10</v>
      </c>
      <c r="AI434" s="20">
        <v>7</v>
      </c>
      <c r="AJ434" s="20" t="s">
        <v>592</v>
      </c>
      <c r="AL434" s="20" t="s">
        <v>1143</v>
      </c>
      <c r="AM434" s="20" t="s">
        <v>706</v>
      </c>
      <c r="AN434" s="20" t="s">
        <v>404</v>
      </c>
      <c r="AO434" s="20" t="s">
        <v>3045</v>
      </c>
      <c r="AP434" s="20" t="s">
        <v>628</v>
      </c>
      <c r="AQ434" s="20">
        <v>10</v>
      </c>
      <c r="AR434" s="20">
        <v>30</v>
      </c>
      <c r="AS434" s="20" t="s">
        <v>592</v>
      </c>
    </row>
    <row r="435" spans="2:45" ht="15.75" customHeight="1" x14ac:dyDescent="0.2">
      <c r="B435" s="20" t="s">
        <v>1141</v>
      </c>
      <c r="C435" s="20" t="s">
        <v>787</v>
      </c>
      <c r="D435" s="20" t="s">
        <v>384</v>
      </c>
      <c r="E435" s="20" t="s">
        <v>1380</v>
      </c>
      <c r="F435" s="20" t="s">
        <v>835</v>
      </c>
      <c r="G435" s="20">
        <v>5</v>
      </c>
      <c r="H435" s="20">
        <v>6</v>
      </c>
      <c r="I435" s="20" t="s">
        <v>592</v>
      </c>
      <c r="K435" s="20" t="s">
        <v>1162</v>
      </c>
      <c r="L435" s="20" t="s">
        <v>230</v>
      </c>
      <c r="M435" s="20" t="s">
        <v>1837</v>
      </c>
      <c r="N435" s="20" t="s">
        <v>415</v>
      </c>
      <c r="O435" s="20" t="s">
        <v>628</v>
      </c>
      <c r="P435" s="20">
        <v>10</v>
      </c>
      <c r="Q435" s="20">
        <v>9</v>
      </c>
      <c r="R435" s="20" t="s">
        <v>592</v>
      </c>
      <c r="T435" s="20" t="s">
        <v>1162</v>
      </c>
      <c r="U435" s="20" t="s">
        <v>230</v>
      </c>
      <c r="V435" s="20" t="s">
        <v>413</v>
      </c>
      <c r="W435" s="20" t="s">
        <v>2042</v>
      </c>
      <c r="X435" s="20" t="s">
        <v>835</v>
      </c>
      <c r="Y435" s="20">
        <v>5</v>
      </c>
      <c r="Z435" s="20">
        <v>1</v>
      </c>
      <c r="AA435" s="20" t="s">
        <v>593</v>
      </c>
      <c r="AC435" s="20" t="s">
        <v>1158</v>
      </c>
      <c r="AD435" s="20" t="s">
        <v>72</v>
      </c>
      <c r="AE435" s="20" t="s">
        <v>1726</v>
      </c>
      <c r="AF435" s="20" t="s">
        <v>2717</v>
      </c>
      <c r="AG435" s="20" t="s">
        <v>628</v>
      </c>
      <c r="AH435" s="20">
        <v>10</v>
      </c>
      <c r="AI435" s="20">
        <v>1</v>
      </c>
      <c r="AJ435" s="20" t="s">
        <v>592</v>
      </c>
      <c r="AL435" s="20" t="s">
        <v>1143</v>
      </c>
      <c r="AM435" s="20" t="s">
        <v>706</v>
      </c>
      <c r="AN435" s="20" t="s">
        <v>1812</v>
      </c>
      <c r="AO435" s="20" t="s">
        <v>3046</v>
      </c>
      <c r="AP435" s="20" t="s">
        <v>628</v>
      </c>
      <c r="AQ435" s="20">
        <v>10</v>
      </c>
      <c r="AR435" s="20">
        <v>12</v>
      </c>
      <c r="AS435" s="20" t="s">
        <v>592</v>
      </c>
    </row>
    <row r="436" spans="2:45" ht="15.75" customHeight="1" x14ac:dyDescent="0.2">
      <c r="B436" s="20" t="s">
        <v>1141</v>
      </c>
      <c r="C436" s="20" t="s">
        <v>224</v>
      </c>
      <c r="D436" s="20" t="s">
        <v>399</v>
      </c>
      <c r="E436" s="20" t="s">
        <v>966</v>
      </c>
      <c r="F436" s="20" t="s">
        <v>835</v>
      </c>
      <c r="G436" s="20">
        <v>5</v>
      </c>
      <c r="H436" s="20">
        <v>5</v>
      </c>
      <c r="I436" s="20" t="s">
        <v>592</v>
      </c>
      <c r="K436" s="20" t="s">
        <v>1147</v>
      </c>
      <c r="L436" s="20" t="s">
        <v>225</v>
      </c>
      <c r="M436" s="20" t="s">
        <v>774</v>
      </c>
      <c r="N436" s="20" t="s">
        <v>381</v>
      </c>
      <c r="O436" s="20" t="s">
        <v>628</v>
      </c>
      <c r="P436" s="20">
        <v>10</v>
      </c>
      <c r="Q436" s="20">
        <v>7</v>
      </c>
      <c r="R436" s="20" t="s">
        <v>592</v>
      </c>
      <c r="T436" s="20" t="s">
        <v>1141</v>
      </c>
      <c r="U436" s="20" t="s">
        <v>787</v>
      </c>
      <c r="V436" s="20" t="s">
        <v>767</v>
      </c>
      <c r="W436" s="20" t="s">
        <v>2303</v>
      </c>
      <c r="X436" s="20" t="s">
        <v>835</v>
      </c>
      <c r="Y436" s="20">
        <v>5</v>
      </c>
      <c r="Z436" s="20">
        <v>1</v>
      </c>
      <c r="AA436" s="20" t="s">
        <v>593</v>
      </c>
      <c r="AC436" s="20" t="s">
        <v>1141</v>
      </c>
      <c r="AD436" s="20" t="s">
        <v>218</v>
      </c>
      <c r="AE436" s="20" t="s">
        <v>2459</v>
      </c>
      <c r="AF436" s="20" t="s">
        <v>2138</v>
      </c>
      <c r="AG436" s="20" t="s">
        <v>628</v>
      </c>
      <c r="AH436" s="20">
        <v>10</v>
      </c>
      <c r="AI436" s="20">
        <v>2</v>
      </c>
      <c r="AJ436" s="20" t="s">
        <v>593</v>
      </c>
      <c r="AL436" s="20" t="s">
        <v>1143</v>
      </c>
      <c r="AM436" s="20" t="s">
        <v>706</v>
      </c>
      <c r="AN436" s="20" t="s">
        <v>403</v>
      </c>
      <c r="AO436" s="20" t="s">
        <v>3047</v>
      </c>
      <c r="AP436" s="20" t="s">
        <v>628</v>
      </c>
      <c r="AQ436" s="20">
        <v>10</v>
      </c>
      <c r="AR436" s="20">
        <v>12</v>
      </c>
      <c r="AS436" s="20" t="s">
        <v>592</v>
      </c>
    </row>
    <row r="437" spans="2:45" ht="15.75" customHeight="1" x14ac:dyDescent="0.2">
      <c r="B437" s="20" t="s">
        <v>1144</v>
      </c>
      <c r="C437" s="20" t="s">
        <v>707</v>
      </c>
      <c r="D437" s="20" t="s">
        <v>490</v>
      </c>
      <c r="E437" s="20" t="s">
        <v>984</v>
      </c>
      <c r="F437" s="20" t="s">
        <v>628</v>
      </c>
      <c r="G437" s="20">
        <v>10</v>
      </c>
      <c r="H437" s="20">
        <v>13</v>
      </c>
      <c r="I437" s="20" t="s">
        <v>592</v>
      </c>
      <c r="K437" s="20" t="s">
        <v>1147</v>
      </c>
      <c r="L437" s="20" t="s">
        <v>225</v>
      </c>
      <c r="M437" s="20" t="s">
        <v>1838</v>
      </c>
      <c r="N437" s="20" t="s">
        <v>381</v>
      </c>
      <c r="O437" s="20" t="s">
        <v>628</v>
      </c>
      <c r="P437" s="20">
        <v>10</v>
      </c>
      <c r="Q437" s="20">
        <v>1</v>
      </c>
      <c r="R437" s="20" t="s">
        <v>592</v>
      </c>
      <c r="T437" s="20" t="s">
        <v>1158</v>
      </c>
      <c r="U437" s="20" t="s">
        <v>928</v>
      </c>
      <c r="V437" s="20" t="s">
        <v>2493</v>
      </c>
      <c r="W437" s="20" t="s">
        <v>2304</v>
      </c>
      <c r="X437" s="20" t="s">
        <v>835</v>
      </c>
      <c r="Y437" s="20">
        <v>5</v>
      </c>
      <c r="Z437" s="20">
        <v>1</v>
      </c>
      <c r="AA437" s="20" t="s">
        <v>593</v>
      </c>
      <c r="AC437" s="20" t="s">
        <v>640</v>
      </c>
      <c r="AD437" s="20" t="s">
        <v>191</v>
      </c>
      <c r="AE437" s="20" t="s">
        <v>378</v>
      </c>
      <c r="AF437" s="20" t="s">
        <v>1843</v>
      </c>
      <c r="AG437" s="20" t="s">
        <v>628</v>
      </c>
      <c r="AH437" s="20">
        <v>10</v>
      </c>
      <c r="AI437" s="20">
        <v>2</v>
      </c>
      <c r="AJ437" s="20" t="s">
        <v>593</v>
      </c>
      <c r="AL437" s="20" t="s">
        <v>1143</v>
      </c>
      <c r="AM437" s="20" t="s">
        <v>706</v>
      </c>
      <c r="AN437" s="20" t="s">
        <v>2511</v>
      </c>
      <c r="AO437" s="20" t="s">
        <v>3048</v>
      </c>
      <c r="AP437" s="20" t="s">
        <v>628</v>
      </c>
      <c r="AQ437" s="20">
        <v>10</v>
      </c>
      <c r="AR437" s="20">
        <v>12</v>
      </c>
      <c r="AS437" s="20" t="s">
        <v>592</v>
      </c>
    </row>
    <row r="438" spans="2:45" ht="15.75" customHeight="1" x14ac:dyDescent="0.2">
      <c r="B438" s="20" t="s">
        <v>1144</v>
      </c>
      <c r="C438" s="20" t="s">
        <v>707</v>
      </c>
      <c r="D438" s="20" t="s">
        <v>490</v>
      </c>
      <c r="E438" s="20" t="s">
        <v>1028</v>
      </c>
      <c r="F438" s="20" t="s">
        <v>628</v>
      </c>
      <c r="G438" s="20">
        <v>10</v>
      </c>
      <c r="H438" s="20">
        <v>1</v>
      </c>
      <c r="I438" s="20" t="s">
        <v>592</v>
      </c>
      <c r="K438" s="20" t="s">
        <v>1147</v>
      </c>
      <c r="L438" s="20" t="s">
        <v>225</v>
      </c>
      <c r="M438" s="20" t="s">
        <v>1839</v>
      </c>
      <c r="N438" s="20" t="s">
        <v>1840</v>
      </c>
      <c r="O438" s="20" t="s">
        <v>835</v>
      </c>
      <c r="P438" s="20">
        <v>5</v>
      </c>
      <c r="Q438" s="20">
        <v>2</v>
      </c>
      <c r="R438" s="20" t="s">
        <v>593</v>
      </c>
      <c r="T438" s="20" t="s">
        <v>1162</v>
      </c>
      <c r="U438" s="20" t="s">
        <v>352</v>
      </c>
      <c r="V438" s="20" t="s">
        <v>894</v>
      </c>
      <c r="W438" s="20" t="s">
        <v>1931</v>
      </c>
      <c r="X438" s="20" t="s">
        <v>835</v>
      </c>
      <c r="Y438" s="20">
        <v>5</v>
      </c>
      <c r="Z438" s="20">
        <v>5</v>
      </c>
      <c r="AA438" s="20" t="s">
        <v>592</v>
      </c>
      <c r="AC438" s="20" t="s">
        <v>1143</v>
      </c>
      <c r="AD438" s="20" t="s">
        <v>689</v>
      </c>
      <c r="AE438" s="20" t="s">
        <v>406</v>
      </c>
      <c r="AF438" s="20" t="s">
        <v>2718</v>
      </c>
      <c r="AG438" s="20" t="s">
        <v>628</v>
      </c>
      <c r="AH438" s="20">
        <v>10</v>
      </c>
      <c r="AI438" s="20">
        <v>1</v>
      </c>
      <c r="AJ438" s="20" t="s">
        <v>593</v>
      </c>
      <c r="AL438" s="20" t="s">
        <v>1143</v>
      </c>
      <c r="AM438" s="20" t="s">
        <v>706</v>
      </c>
      <c r="AN438" s="20" t="s">
        <v>2511</v>
      </c>
      <c r="AO438" s="20" t="s">
        <v>3049</v>
      </c>
      <c r="AP438" s="20" t="s">
        <v>628</v>
      </c>
      <c r="AQ438" s="20">
        <v>10</v>
      </c>
      <c r="AR438" s="20">
        <v>17</v>
      </c>
      <c r="AS438" s="20" t="s">
        <v>592</v>
      </c>
    </row>
    <row r="439" spans="2:45" ht="15.75" customHeight="1" x14ac:dyDescent="0.2">
      <c r="B439" s="20" t="s">
        <v>1162</v>
      </c>
      <c r="C439" s="20" t="s">
        <v>230</v>
      </c>
      <c r="D439" s="20" t="s">
        <v>413</v>
      </c>
      <c r="E439" s="20" t="s">
        <v>1381</v>
      </c>
      <c r="F439" s="20" t="s">
        <v>628</v>
      </c>
      <c r="G439" s="20">
        <v>10</v>
      </c>
      <c r="H439" s="20">
        <v>2</v>
      </c>
      <c r="I439" s="20" t="s">
        <v>593</v>
      </c>
      <c r="K439" s="20" t="s">
        <v>640</v>
      </c>
      <c r="L439" s="20" t="s">
        <v>191</v>
      </c>
      <c r="M439" s="20" t="s">
        <v>1841</v>
      </c>
      <c r="N439" s="20" t="s">
        <v>1842</v>
      </c>
      <c r="O439" s="20" t="s">
        <v>835</v>
      </c>
      <c r="P439" s="20">
        <v>5</v>
      </c>
      <c r="Q439" s="20">
        <v>2</v>
      </c>
      <c r="R439" s="20" t="s">
        <v>593</v>
      </c>
      <c r="T439" s="20" t="s">
        <v>1158</v>
      </c>
      <c r="U439" s="20" t="s">
        <v>726</v>
      </c>
      <c r="V439" s="20" t="s">
        <v>1731</v>
      </c>
      <c r="W439" s="20" t="s">
        <v>2305</v>
      </c>
      <c r="X439" s="20" t="s">
        <v>835</v>
      </c>
      <c r="Y439" s="20">
        <v>5</v>
      </c>
      <c r="Z439" s="20">
        <v>5</v>
      </c>
      <c r="AA439" s="20" t="s">
        <v>592</v>
      </c>
      <c r="AC439" s="20" t="s">
        <v>1163</v>
      </c>
      <c r="AD439" s="20" t="s">
        <v>837</v>
      </c>
      <c r="AE439" s="20" t="s">
        <v>358</v>
      </c>
      <c r="AF439" s="20" t="s">
        <v>2600</v>
      </c>
      <c r="AG439" s="20" t="s">
        <v>628</v>
      </c>
      <c r="AH439" s="20">
        <v>10</v>
      </c>
      <c r="AI439" s="20">
        <v>1</v>
      </c>
      <c r="AJ439" s="20" t="s">
        <v>593</v>
      </c>
      <c r="AL439" s="20" t="s">
        <v>1143</v>
      </c>
      <c r="AM439" s="20" t="s">
        <v>706</v>
      </c>
      <c r="AN439" s="20" t="s">
        <v>605</v>
      </c>
      <c r="AO439" s="20" t="s">
        <v>2665</v>
      </c>
      <c r="AP439" s="20" t="s">
        <v>628</v>
      </c>
      <c r="AQ439" s="20">
        <v>10</v>
      </c>
      <c r="AR439" s="20">
        <v>50</v>
      </c>
      <c r="AS439" s="20" t="s">
        <v>592</v>
      </c>
    </row>
    <row r="440" spans="2:45" ht="15.75" customHeight="1" x14ac:dyDescent="0.2">
      <c r="B440" s="20" t="s">
        <v>1162</v>
      </c>
      <c r="C440" s="20" t="s">
        <v>230</v>
      </c>
      <c r="D440" s="20" t="s">
        <v>418</v>
      </c>
      <c r="E440" s="20" t="s">
        <v>1382</v>
      </c>
      <c r="F440" s="20" t="s">
        <v>628</v>
      </c>
      <c r="G440" s="20">
        <v>10</v>
      </c>
      <c r="H440" s="20">
        <v>5</v>
      </c>
      <c r="I440" s="20" t="s">
        <v>593</v>
      </c>
      <c r="K440" s="20" t="s">
        <v>640</v>
      </c>
      <c r="L440" s="20" t="s">
        <v>191</v>
      </c>
      <c r="M440" s="20" t="s">
        <v>1843</v>
      </c>
      <c r="N440" s="20" t="s">
        <v>378</v>
      </c>
      <c r="O440" s="20" t="s">
        <v>835</v>
      </c>
      <c r="P440" s="20">
        <v>5</v>
      </c>
      <c r="Q440" s="20">
        <v>6</v>
      </c>
      <c r="R440" s="20" t="s">
        <v>592</v>
      </c>
      <c r="T440" s="20" t="s">
        <v>1147</v>
      </c>
      <c r="U440" s="20" t="s">
        <v>20</v>
      </c>
      <c r="V440" s="20" t="s">
        <v>1829</v>
      </c>
      <c r="W440" s="20" t="s">
        <v>1828</v>
      </c>
      <c r="X440" s="20" t="s">
        <v>835</v>
      </c>
      <c r="Y440" s="20">
        <v>5</v>
      </c>
      <c r="Z440" s="20">
        <v>8</v>
      </c>
      <c r="AA440" s="20" t="s">
        <v>592</v>
      </c>
      <c r="AC440" s="20" t="s">
        <v>1169</v>
      </c>
      <c r="AD440" s="20" t="s">
        <v>19</v>
      </c>
      <c r="AE440" s="20" t="s">
        <v>500</v>
      </c>
      <c r="AF440" s="20" t="s">
        <v>2348</v>
      </c>
      <c r="AG440" s="20" t="s">
        <v>628</v>
      </c>
      <c r="AH440" s="20">
        <v>10</v>
      </c>
      <c r="AI440" s="20">
        <v>8</v>
      </c>
      <c r="AJ440" s="20" t="s">
        <v>592</v>
      </c>
      <c r="AL440" s="20" t="s">
        <v>1143</v>
      </c>
      <c r="AM440" s="20" t="s">
        <v>706</v>
      </c>
      <c r="AN440" s="20" t="s">
        <v>2076</v>
      </c>
      <c r="AO440" s="20" t="s">
        <v>3050</v>
      </c>
      <c r="AP440" s="20" t="s">
        <v>628</v>
      </c>
      <c r="AQ440" s="20">
        <v>10</v>
      </c>
      <c r="AR440" s="20">
        <v>14</v>
      </c>
      <c r="AS440" s="20" t="s">
        <v>592</v>
      </c>
    </row>
    <row r="441" spans="2:45" ht="15.75" customHeight="1" x14ac:dyDescent="0.2">
      <c r="B441" s="20" t="s">
        <v>640</v>
      </c>
      <c r="C441" s="20" t="s">
        <v>248</v>
      </c>
      <c r="D441" s="20" t="s">
        <v>580</v>
      </c>
      <c r="E441" s="20" t="s">
        <v>1005</v>
      </c>
      <c r="F441" s="20" t="s">
        <v>628</v>
      </c>
      <c r="G441" s="20">
        <v>10</v>
      </c>
      <c r="H441" s="20">
        <v>9</v>
      </c>
      <c r="I441" s="20" t="s">
        <v>592</v>
      </c>
      <c r="K441" s="20" t="s">
        <v>640</v>
      </c>
      <c r="L441" s="20" t="s">
        <v>31</v>
      </c>
      <c r="M441" s="20" t="s">
        <v>1844</v>
      </c>
      <c r="N441" s="20" t="s">
        <v>434</v>
      </c>
      <c r="O441" s="20" t="s">
        <v>835</v>
      </c>
      <c r="P441" s="20">
        <v>5</v>
      </c>
      <c r="Q441" s="20">
        <v>5</v>
      </c>
      <c r="R441" s="20" t="s">
        <v>592</v>
      </c>
      <c r="T441" s="20" t="s">
        <v>1147</v>
      </c>
      <c r="U441" s="20" t="s">
        <v>20</v>
      </c>
      <c r="V441" s="20" t="s">
        <v>871</v>
      </c>
      <c r="W441" s="20" t="s">
        <v>872</v>
      </c>
      <c r="X441" s="20" t="s">
        <v>835</v>
      </c>
      <c r="Y441" s="20">
        <v>5</v>
      </c>
      <c r="Z441" s="20">
        <v>5</v>
      </c>
      <c r="AA441" s="20" t="s">
        <v>592</v>
      </c>
      <c r="AC441" s="20" t="s">
        <v>1169</v>
      </c>
      <c r="AD441" s="20" t="s">
        <v>671</v>
      </c>
      <c r="AE441" s="20" t="s">
        <v>710</v>
      </c>
      <c r="AF441" s="20" t="s">
        <v>975</v>
      </c>
      <c r="AG441" s="20" t="s">
        <v>628</v>
      </c>
      <c r="AH441" s="20">
        <v>10</v>
      </c>
      <c r="AI441" s="20">
        <v>4</v>
      </c>
      <c r="AJ441" s="20" t="s">
        <v>593</v>
      </c>
      <c r="AL441" s="20" t="s">
        <v>1143</v>
      </c>
      <c r="AM441" s="20" t="s">
        <v>706</v>
      </c>
      <c r="AN441" s="20" t="s">
        <v>2076</v>
      </c>
      <c r="AO441" s="20" t="s">
        <v>2075</v>
      </c>
      <c r="AP441" s="20" t="s">
        <v>628</v>
      </c>
      <c r="AQ441" s="20">
        <v>10</v>
      </c>
      <c r="AR441" s="20">
        <v>6</v>
      </c>
      <c r="AS441" s="20" t="s">
        <v>592</v>
      </c>
    </row>
    <row r="442" spans="2:45" ht="15.75" customHeight="1" x14ac:dyDescent="0.2">
      <c r="B442" s="20" t="s">
        <v>640</v>
      </c>
      <c r="C442" s="20" t="s">
        <v>248</v>
      </c>
      <c r="D442" s="20" t="s">
        <v>580</v>
      </c>
      <c r="E442" s="20" t="s">
        <v>1084</v>
      </c>
      <c r="F442" s="20" t="s">
        <v>628</v>
      </c>
      <c r="G442" s="20">
        <v>10</v>
      </c>
      <c r="H442" s="20">
        <v>1</v>
      </c>
      <c r="I442" s="20" t="s">
        <v>592</v>
      </c>
      <c r="K442" s="20" t="s">
        <v>1141</v>
      </c>
      <c r="L442" s="20" t="s">
        <v>780</v>
      </c>
      <c r="M442" s="20" t="s">
        <v>1845</v>
      </c>
      <c r="N442" s="20" t="s">
        <v>1846</v>
      </c>
      <c r="O442" s="20" t="s">
        <v>628</v>
      </c>
      <c r="P442" s="20">
        <v>10</v>
      </c>
      <c r="Q442" s="20">
        <v>6</v>
      </c>
      <c r="R442" s="20" t="s">
        <v>592</v>
      </c>
      <c r="T442" s="20" t="s">
        <v>1158</v>
      </c>
      <c r="U442" s="20" t="s">
        <v>72</v>
      </c>
      <c r="V442" s="20" t="s">
        <v>709</v>
      </c>
      <c r="W442" s="20" t="s">
        <v>2306</v>
      </c>
      <c r="X442" s="20" t="s">
        <v>835</v>
      </c>
      <c r="Y442" s="20">
        <v>5</v>
      </c>
      <c r="Z442" s="20">
        <v>6</v>
      </c>
      <c r="AA442" s="20" t="s">
        <v>592</v>
      </c>
      <c r="AC442" s="20" t="s">
        <v>2099</v>
      </c>
      <c r="AD442" s="20" t="s">
        <v>2144</v>
      </c>
      <c r="AE442" s="20" t="s">
        <v>2526</v>
      </c>
      <c r="AF442" s="20" t="s">
        <v>2719</v>
      </c>
      <c r="AG442" s="20" t="s">
        <v>835</v>
      </c>
      <c r="AH442" s="20">
        <v>5</v>
      </c>
      <c r="AI442" s="20">
        <v>9</v>
      </c>
      <c r="AJ442" s="20" t="s">
        <v>592</v>
      </c>
      <c r="AL442" s="20" t="s">
        <v>1143</v>
      </c>
      <c r="AM442" s="20" t="s">
        <v>706</v>
      </c>
      <c r="AN442" s="20" t="s">
        <v>2830</v>
      </c>
      <c r="AO442" s="20" t="s">
        <v>3051</v>
      </c>
      <c r="AP442" s="20" t="s">
        <v>628</v>
      </c>
      <c r="AQ442" s="20">
        <v>10</v>
      </c>
      <c r="AR442" s="20">
        <v>8</v>
      </c>
      <c r="AS442" s="20" t="s">
        <v>592</v>
      </c>
    </row>
    <row r="443" spans="2:45" ht="15.75" customHeight="1" x14ac:dyDescent="0.2">
      <c r="B443" s="20" t="s">
        <v>1169</v>
      </c>
      <c r="C443" s="20" t="s">
        <v>333</v>
      </c>
      <c r="D443" s="20" t="s">
        <v>760</v>
      </c>
      <c r="E443" s="20" t="s">
        <v>1383</v>
      </c>
      <c r="F443" s="20" t="s">
        <v>628</v>
      </c>
      <c r="G443" s="20">
        <v>10</v>
      </c>
      <c r="H443" s="20">
        <v>7</v>
      </c>
      <c r="I443" s="20" t="s">
        <v>592</v>
      </c>
      <c r="K443" s="20" t="s">
        <v>1141</v>
      </c>
      <c r="L443" s="20" t="s">
        <v>780</v>
      </c>
      <c r="M443" s="20" t="s">
        <v>1847</v>
      </c>
      <c r="N443" s="20" t="s">
        <v>1846</v>
      </c>
      <c r="O443" s="20" t="s">
        <v>628</v>
      </c>
      <c r="P443" s="20">
        <v>10</v>
      </c>
      <c r="Q443" s="20">
        <v>2</v>
      </c>
      <c r="R443" s="20" t="s">
        <v>592</v>
      </c>
      <c r="T443" s="20" t="s">
        <v>2099</v>
      </c>
      <c r="U443" s="20" t="s">
        <v>2112</v>
      </c>
      <c r="V443" s="20" t="s">
        <v>2454</v>
      </c>
      <c r="W443" s="20" t="s">
        <v>2307</v>
      </c>
      <c r="X443" s="20" t="s">
        <v>835</v>
      </c>
      <c r="Y443" s="20">
        <v>5</v>
      </c>
      <c r="Z443" s="20">
        <v>5</v>
      </c>
      <c r="AA443" s="20" t="s">
        <v>592</v>
      </c>
      <c r="AC443" s="20" t="s">
        <v>1163</v>
      </c>
      <c r="AD443" s="20" t="s">
        <v>2091</v>
      </c>
      <c r="AE443" s="20" t="s">
        <v>2529</v>
      </c>
      <c r="AF443" s="20" t="s">
        <v>2720</v>
      </c>
      <c r="AG443" s="20" t="s">
        <v>628</v>
      </c>
      <c r="AH443" s="20">
        <v>10</v>
      </c>
      <c r="AI443" s="20">
        <v>5</v>
      </c>
      <c r="AJ443" s="20" t="s">
        <v>593</v>
      </c>
      <c r="AL443" s="20" t="s">
        <v>1143</v>
      </c>
      <c r="AM443" s="20" t="s">
        <v>61</v>
      </c>
      <c r="AN443" s="20" t="s">
        <v>525</v>
      </c>
      <c r="AO443" s="20" t="s">
        <v>1576</v>
      </c>
      <c r="AP443" s="20" t="s">
        <v>628</v>
      </c>
      <c r="AQ443" s="20">
        <v>10</v>
      </c>
      <c r="AR443" s="20">
        <v>16</v>
      </c>
      <c r="AS443" s="20" t="s">
        <v>592</v>
      </c>
    </row>
    <row r="444" spans="2:45" ht="15.75" customHeight="1" x14ac:dyDescent="0.2">
      <c r="B444" s="20" t="s">
        <v>1169</v>
      </c>
      <c r="C444" s="20" t="s">
        <v>333</v>
      </c>
      <c r="D444" s="20" t="s">
        <v>760</v>
      </c>
      <c r="E444" s="20" t="s">
        <v>1384</v>
      </c>
      <c r="F444" s="20" t="s">
        <v>628</v>
      </c>
      <c r="G444" s="20">
        <v>10</v>
      </c>
      <c r="H444" s="20">
        <v>2</v>
      </c>
      <c r="I444" s="20" t="s">
        <v>592</v>
      </c>
      <c r="K444" s="20" t="s">
        <v>1141</v>
      </c>
      <c r="L444" s="20" t="s">
        <v>787</v>
      </c>
      <c r="M444" s="20" t="s">
        <v>1020</v>
      </c>
      <c r="N444" s="20" t="s">
        <v>385</v>
      </c>
      <c r="O444" s="20" t="s">
        <v>835</v>
      </c>
      <c r="P444" s="20">
        <v>5</v>
      </c>
      <c r="Q444" s="20">
        <v>6</v>
      </c>
      <c r="R444" s="20" t="s">
        <v>592</v>
      </c>
      <c r="T444" s="20" t="s">
        <v>1162</v>
      </c>
      <c r="U444" s="20" t="s">
        <v>240</v>
      </c>
      <c r="V444" s="20" t="s">
        <v>365</v>
      </c>
      <c r="W444" s="20" t="s">
        <v>1783</v>
      </c>
      <c r="X444" s="20" t="s">
        <v>835</v>
      </c>
      <c r="Y444" s="20">
        <v>5</v>
      </c>
      <c r="Z444" s="20">
        <v>6</v>
      </c>
      <c r="AA444" s="20" t="s">
        <v>592</v>
      </c>
      <c r="AC444" s="20" t="s">
        <v>2099</v>
      </c>
      <c r="AD444" s="20" t="s">
        <v>2112</v>
      </c>
      <c r="AE444" s="20" t="s">
        <v>2527</v>
      </c>
      <c r="AF444" s="20" t="s">
        <v>2721</v>
      </c>
      <c r="AG444" s="20" t="s">
        <v>835</v>
      </c>
      <c r="AH444" s="20">
        <v>5</v>
      </c>
      <c r="AI444" s="20">
        <v>6</v>
      </c>
      <c r="AJ444" s="20" t="s">
        <v>592</v>
      </c>
      <c r="AL444" s="20" t="s">
        <v>1143</v>
      </c>
      <c r="AM444" s="20" t="s">
        <v>61</v>
      </c>
      <c r="AN444" s="20" t="s">
        <v>525</v>
      </c>
      <c r="AO444" s="20" t="s">
        <v>3052</v>
      </c>
      <c r="AP444" s="20" t="s">
        <v>628</v>
      </c>
      <c r="AQ444" s="20">
        <v>10</v>
      </c>
      <c r="AR444" s="20">
        <v>20</v>
      </c>
      <c r="AS444" s="20" t="s">
        <v>592</v>
      </c>
    </row>
    <row r="445" spans="2:45" ht="15.75" customHeight="1" x14ac:dyDescent="0.2">
      <c r="B445" s="20" t="s">
        <v>1144</v>
      </c>
      <c r="C445" s="20" t="s">
        <v>194</v>
      </c>
      <c r="D445" s="20" t="s">
        <v>442</v>
      </c>
      <c r="E445" s="20" t="s">
        <v>979</v>
      </c>
      <c r="F445" s="20" t="s">
        <v>835</v>
      </c>
      <c r="G445" s="20">
        <v>5</v>
      </c>
      <c r="H445" s="20">
        <v>8</v>
      </c>
      <c r="I445" s="20" t="s">
        <v>592</v>
      </c>
      <c r="K445" s="20" t="s">
        <v>1144</v>
      </c>
      <c r="L445" s="20" t="s">
        <v>194</v>
      </c>
      <c r="M445" s="20" t="s">
        <v>1848</v>
      </c>
      <c r="N445" s="20" t="s">
        <v>1849</v>
      </c>
      <c r="O445" s="20" t="s">
        <v>628</v>
      </c>
      <c r="P445" s="20">
        <v>10</v>
      </c>
      <c r="Q445" s="20">
        <v>6</v>
      </c>
      <c r="R445" s="20" t="s">
        <v>592</v>
      </c>
      <c r="T445" s="20" t="s">
        <v>1162</v>
      </c>
      <c r="U445" s="20" t="s">
        <v>352</v>
      </c>
      <c r="V445" s="20" t="s">
        <v>1469</v>
      </c>
      <c r="W445" s="20" t="s">
        <v>2308</v>
      </c>
      <c r="X445" s="20" t="s">
        <v>835</v>
      </c>
      <c r="Y445" s="20">
        <v>5</v>
      </c>
      <c r="Z445" s="20">
        <v>5</v>
      </c>
      <c r="AA445" s="20" t="s">
        <v>592</v>
      </c>
      <c r="AC445" s="20" t="s">
        <v>1149</v>
      </c>
      <c r="AD445" s="20" t="s">
        <v>1150</v>
      </c>
      <c r="AE445" s="20" t="s">
        <v>893</v>
      </c>
      <c r="AF445" s="20" t="s">
        <v>1389</v>
      </c>
      <c r="AG445" s="20" t="s">
        <v>628</v>
      </c>
      <c r="AH445" s="20">
        <v>10</v>
      </c>
      <c r="AI445" s="20">
        <v>4</v>
      </c>
      <c r="AJ445" s="20" t="s">
        <v>593</v>
      </c>
      <c r="AL445" s="20" t="s">
        <v>1143</v>
      </c>
      <c r="AM445" s="20" t="s">
        <v>61</v>
      </c>
      <c r="AN445" s="20" t="s">
        <v>617</v>
      </c>
      <c r="AO445" s="20" t="s">
        <v>3053</v>
      </c>
      <c r="AP445" s="20" t="s">
        <v>628</v>
      </c>
      <c r="AQ445" s="20">
        <v>10</v>
      </c>
      <c r="AR445" s="20">
        <v>5</v>
      </c>
      <c r="AS445" s="20" t="s">
        <v>593</v>
      </c>
    </row>
    <row r="446" spans="2:45" ht="15.75" customHeight="1" x14ac:dyDescent="0.2">
      <c r="B446" s="20" t="s">
        <v>1163</v>
      </c>
      <c r="C446" s="20" t="s">
        <v>57</v>
      </c>
      <c r="D446" s="20" t="s">
        <v>361</v>
      </c>
      <c r="E446" s="20" t="s">
        <v>1309</v>
      </c>
      <c r="F446" s="20" t="s">
        <v>628</v>
      </c>
      <c r="G446" s="20">
        <v>10</v>
      </c>
      <c r="H446" s="20">
        <v>6</v>
      </c>
      <c r="I446" s="20" t="s">
        <v>593</v>
      </c>
      <c r="K446" s="20" t="s">
        <v>1144</v>
      </c>
      <c r="L446" s="20" t="s">
        <v>194</v>
      </c>
      <c r="M446" s="20" t="s">
        <v>1850</v>
      </c>
      <c r="N446" s="20" t="s">
        <v>1849</v>
      </c>
      <c r="O446" s="20" t="s">
        <v>628</v>
      </c>
      <c r="P446" s="20">
        <v>10</v>
      </c>
      <c r="Q446" s="20">
        <v>2</v>
      </c>
      <c r="R446" s="20" t="s">
        <v>592</v>
      </c>
      <c r="T446" s="20" t="s">
        <v>1169</v>
      </c>
      <c r="U446" s="20" t="s">
        <v>19</v>
      </c>
      <c r="V446" s="20" t="s">
        <v>2494</v>
      </c>
      <c r="W446" s="20" t="s">
        <v>2309</v>
      </c>
      <c r="X446" s="20" t="s">
        <v>628</v>
      </c>
      <c r="Y446" s="20">
        <v>10</v>
      </c>
      <c r="Z446" s="20">
        <v>9</v>
      </c>
      <c r="AA446" s="20" t="s">
        <v>592</v>
      </c>
      <c r="AC446" s="20" t="s">
        <v>1161</v>
      </c>
      <c r="AD446" s="20" t="s">
        <v>41</v>
      </c>
      <c r="AE446" s="20" t="s">
        <v>536</v>
      </c>
      <c r="AF446" s="20" t="s">
        <v>2603</v>
      </c>
      <c r="AG446" s="20" t="s">
        <v>628</v>
      </c>
      <c r="AH446" s="20">
        <v>10</v>
      </c>
      <c r="AI446" s="20">
        <v>5</v>
      </c>
      <c r="AJ446" s="20" t="s">
        <v>593</v>
      </c>
      <c r="AL446" s="20" t="s">
        <v>1143</v>
      </c>
      <c r="AM446" s="20" t="s">
        <v>61</v>
      </c>
      <c r="AN446" s="20" t="s">
        <v>405</v>
      </c>
      <c r="AO446" s="20" t="s">
        <v>3054</v>
      </c>
      <c r="AP446" s="20" t="s">
        <v>628</v>
      </c>
      <c r="AQ446" s="20">
        <v>10</v>
      </c>
      <c r="AR446" s="20">
        <v>16</v>
      </c>
      <c r="AS446" s="20" t="s">
        <v>592</v>
      </c>
    </row>
    <row r="447" spans="2:45" ht="15.75" customHeight="1" x14ac:dyDescent="0.2">
      <c r="B447" s="20" t="s">
        <v>646</v>
      </c>
      <c r="C447" s="20" t="s">
        <v>1109</v>
      </c>
      <c r="D447" s="20" t="s">
        <v>957</v>
      </c>
      <c r="E447" s="20" t="s">
        <v>1385</v>
      </c>
      <c r="F447" s="20" t="s">
        <v>628</v>
      </c>
      <c r="G447" s="20">
        <v>10</v>
      </c>
      <c r="H447" s="20">
        <v>10</v>
      </c>
      <c r="I447" s="20" t="s">
        <v>592</v>
      </c>
      <c r="K447" s="20" t="s">
        <v>1169</v>
      </c>
      <c r="L447" s="20" t="s">
        <v>216</v>
      </c>
      <c r="M447" s="20" t="s">
        <v>1851</v>
      </c>
      <c r="N447" s="20" t="s">
        <v>1852</v>
      </c>
      <c r="O447" s="20" t="s">
        <v>628</v>
      </c>
      <c r="P447" s="20">
        <v>10</v>
      </c>
      <c r="Q447" s="20">
        <v>5</v>
      </c>
      <c r="R447" s="20" t="s">
        <v>593</v>
      </c>
      <c r="T447" s="20" t="s">
        <v>1147</v>
      </c>
      <c r="U447" s="20" t="s">
        <v>222</v>
      </c>
      <c r="V447" s="20" t="s">
        <v>553</v>
      </c>
      <c r="W447" s="20" t="s">
        <v>2310</v>
      </c>
      <c r="X447" s="20" t="s">
        <v>835</v>
      </c>
      <c r="Y447" s="20">
        <v>5</v>
      </c>
      <c r="Z447" s="20">
        <v>5</v>
      </c>
      <c r="AA447" s="20" t="s">
        <v>592</v>
      </c>
      <c r="AC447" s="20" t="s">
        <v>1144</v>
      </c>
      <c r="AD447" s="20" t="s">
        <v>1145</v>
      </c>
      <c r="AE447" s="20" t="s">
        <v>1525</v>
      </c>
      <c r="AF447" s="20" t="s">
        <v>2722</v>
      </c>
      <c r="AG447" s="20" t="s">
        <v>628</v>
      </c>
      <c r="AH447" s="20">
        <v>10</v>
      </c>
      <c r="AI447" s="20">
        <v>6</v>
      </c>
      <c r="AJ447" s="20" t="s">
        <v>593</v>
      </c>
      <c r="AL447" s="20" t="s">
        <v>1143</v>
      </c>
      <c r="AM447" s="20" t="s">
        <v>61</v>
      </c>
      <c r="AN447" s="20" t="s">
        <v>2547</v>
      </c>
      <c r="AO447" s="20" t="s">
        <v>2667</v>
      </c>
      <c r="AP447" s="20" t="s">
        <v>628</v>
      </c>
      <c r="AQ447" s="20">
        <v>10</v>
      </c>
      <c r="AR447" s="20">
        <v>5</v>
      </c>
      <c r="AS447" s="20" t="s">
        <v>593</v>
      </c>
    </row>
    <row r="448" spans="2:45" ht="15.75" customHeight="1" x14ac:dyDescent="0.2">
      <c r="B448" s="20" t="s">
        <v>1155</v>
      </c>
      <c r="C448" s="20" t="s">
        <v>657</v>
      </c>
      <c r="D448" s="20" t="s">
        <v>482</v>
      </c>
      <c r="E448" s="20" t="s">
        <v>1386</v>
      </c>
      <c r="F448" s="20" t="s">
        <v>628</v>
      </c>
      <c r="G448" s="20">
        <v>10</v>
      </c>
      <c r="H448" s="20">
        <v>7</v>
      </c>
      <c r="I448" s="20" t="s">
        <v>592</v>
      </c>
      <c r="K448" s="20" t="s">
        <v>1169</v>
      </c>
      <c r="L448" s="20" t="s">
        <v>216</v>
      </c>
      <c r="M448" s="20" t="s">
        <v>1853</v>
      </c>
      <c r="N448" s="20" t="s">
        <v>1854</v>
      </c>
      <c r="O448" s="20" t="s">
        <v>628</v>
      </c>
      <c r="P448" s="20">
        <v>10</v>
      </c>
      <c r="Q448" s="20">
        <v>1</v>
      </c>
      <c r="R448" s="20" t="s">
        <v>593</v>
      </c>
      <c r="T448" s="20" t="s">
        <v>1147</v>
      </c>
      <c r="U448" s="20" t="s">
        <v>244</v>
      </c>
      <c r="V448" s="20" t="s">
        <v>2495</v>
      </c>
      <c r="W448" s="20" t="s">
        <v>2311</v>
      </c>
      <c r="X448" s="20" t="s">
        <v>835</v>
      </c>
      <c r="Y448" s="20">
        <v>5</v>
      </c>
      <c r="Z448" s="20">
        <v>5</v>
      </c>
      <c r="AA448" s="20" t="s">
        <v>592</v>
      </c>
      <c r="AC448" s="20" t="s">
        <v>1154</v>
      </c>
      <c r="AD448" s="20" t="s">
        <v>217</v>
      </c>
      <c r="AE448" s="20" t="s">
        <v>2045</v>
      </c>
      <c r="AF448" s="20" t="s">
        <v>2044</v>
      </c>
      <c r="AG448" s="20" t="s">
        <v>835</v>
      </c>
      <c r="AH448" s="20">
        <v>5</v>
      </c>
      <c r="AI448" s="20">
        <v>2</v>
      </c>
      <c r="AJ448" s="20" t="s">
        <v>593</v>
      </c>
      <c r="AL448" s="20" t="s">
        <v>1143</v>
      </c>
      <c r="AM448" s="20" t="s">
        <v>706</v>
      </c>
      <c r="AN448" s="20" t="s">
        <v>2511</v>
      </c>
      <c r="AO448" s="20" t="s">
        <v>2429</v>
      </c>
      <c r="AP448" s="20" t="s">
        <v>628</v>
      </c>
      <c r="AQ448" s="20">
        <v>10</v>
      </c>
      <c r="AR448" s="20">
        <v>10</v>
      </c>
      <c r="AS448" s="20" t="s">
        <v>592</v>
      </c>
    </row>
    <row r="449" spans="2:45" ht="15.75" customHeight="1" x14ac:dyDescent="0.2">
      <c r="B449" s="20" t="s">
        <v>1155</v>
      </c>
      <c r="C449" s="20" t="s">
        <v>657</v>
      </c>
      <c r="D449" s="20" t="s">
        <v>482</v>
      </c>
      <c r="E449" s="20" t="s">
        <v>1387</v>
      </c>
      <c r="F449" s="20" t="s">
        <v>628</v>
      </c>
      <c r="G449" s="20">
        <v>10</v>
      </c>
      <c r="H449" s="20">
        <v>1</v>
      </c>
      <c r="I449" s="20" t="s">
        <v>592</v>
      </c>
      <c r="K449" s="20" t="s">
        <v>1169</v>
      </c>
      <c r="L449" s="20" t="s">
        <v>701</v>
      </c>
      <c r="M449" s="20" t="s">
        <v>967</v>
      </c>
      <c r="N449" s="20" t="s">
        <v>681</v>
      </c>
      <c r="O449" s="20" t="s">
        <v>628</v>
      </c>
      <c r="P449" s="20">
        <v>10</v>
      </c>
      <c r="Q449" s="20">
        <v>9</v>
      </c>
      <c r="R449" s="20" t="s">
        <v>592</v>
      </c>
      <c r="T449" s="20" t="s">
        <v>1141</v>
      </c>
      <c r="U449" s="20" t="s">
        <v>224</v>
      </c>
      <c r="V449" s="20" t="s">
        <v>1798</v>
      </c>
      <c r="W449" s="20" t="s">
        <v>2312</v>
      </c>
      <c r="X449" s="20" t="s">
        <v>835</v>
      </c>
      <c r="Y449" s="20">
        <v>5</v>
      </c>
      <c r="Z449" s="20">
        <v>5</v>
      </c>
      <c r="AA449" s="20" t="s">
        <v>592</v>
      </c>
      <c r="AC449" s="20" t="s">
        <v>1154</v>
      </c>
      <c r="AD449" s="20" t="s">
        <v>217</v>
      </c>
      <c r="AE449" s="20" t="s">
        <v>1622</v>
      </c>
      <c r="AF449" s="20" t="s">
        <v>2265</v>
      </c>
      <c r="AG449" s="20" t="s">
        <v>628</v>
      </c>
      <c r="AH449" s="20">
        <v>10</v>
      </c>
      <c r="AI449" s="20">
        <v>1</v>
      </c>
      <c r="AJ449" s="20" t="s">
        <v>593</v>
      </c>
      <c r="AL449" s="20" t="s">
        <v>1143</v>
      </c>
      <c r="AM449" s="20" t="s">
        <v>689</v>
      </c>
      <c r="AN449" s="20" t="s">
        <v>2831</v>
      </c>
      <c r="AO449" s="20" t="s">
        <v>3055</v>
      </c>
      <c r="AP449" s="20" t="s">
        <v>628</v>
      </c>
      <c r="AQ449" s="20">
        <v>10</v>
      </c>
      <c r="AR449" s="20">
        <v>3</v>
      </c>
      <c r="AS449" s="20" t="s">
        <v>593</v>
      </c>
    </row>
    <row r="450" spans="2:45" ht="15.75" customHeight="1" x14ac:dyDescent="0.2">
      <c r="B450" s="20" t="s">
        <v>1149</v>
      </c>
      <c r="C450" s="20" t="s">
        <v>63</v>
      </c>
      <c r="D450" s="20" t="s">
        <v>473</v>
      </c>
      <c r="E450" s="20" t="s">
        <v>1000</v>
      </c>
      <c r="F450" s="20" t="s">
        <v>628</v>
      </c>
      <c r="G450" s="20">
        <v>10</v>
      </c>
      <c r="H450" s="20">
        <v>2</v>
      </c>
      <c r="I450" s="20" t="s">
        <v>593</v>
      </c>
      <c r="K450" s="20" t="s">
        <v>1169</v>
      </c>
      <c r="L450" s="20" t="s">
        <v>671</v>
      </c>
      <c r="M450" s="20" t="s">
        <v>1855</v>
      </c>
      <c r="N450" s="20" t="s">
        <v>710</v>
      </c>
      <c r="O450" s="20" t="s">
        <v>628</v>
      </c>
      <c r="P450" s="20">
        <v>10</v>
      </c>
      <c r="Q450" s="20">
        <v>1</v>
      </c>
      <c r="R450" s="20" t="s">
        <v>593</v>
      </c>
      <c r="T450" s="20" t="s">
        <v>1144</v>
      </c>
      <c r="U450" s="20" t="s">
        <v>313</v>
      </c>
      <c r="V450" s="20" t="s">
        <v>1814</v>
      </c>
      <c r="W450" s="20" t="s">
        <v>1813</v>
      </c>
      <c r="X450" s="20" t="s">
        <v>835</v>
      </c>
      <c r="Y450" s="20">
        <v>5</v>
      </c>
      <c r="Z450" s="20">
        <v>5</v>
      </c>
      <c r="AA450" s="20" t="s">
        <v>592</v>
      </c>
      <c r="AC450" s="20" t="s">
        <v>2099</v>
      </c>
      <c r="AD450" s="20" t="s">
        <v>2109</v>
      </c>
      <c r="AE450" s="20" t="s">
        <v>2545</v>
      </c>
      <c r="AF450" s="20" t="s">
        <v>2723</v>
      </c>
      <c r="AG450" s="20" t="s">
        <v>835</v>
      </c>
      <c r="AH450" s="20">
        <v>5</v>
      </c>
      <c r="AI450" s="20">
        <v>11</v>
      </c>
      <c r="AJ450" s="20" t="s">
        <v>592</v>
      </c>
      <c r="AL450" s="20" t="s">
        <v>1143</v>
      </c>
      <c r="AM450" s="20" t="s">
        <v>61</v>
      </c>
      <c r="AN450" s="20" t="s">
        <v>526</v>
      </c>
      <c r="AO450" s="20" t="s">
        <v>588</v>
      </c>
      <c r="AP450" s="20" t="s">
        <v>628</v>
      </c>
      <c r="AQ450" s="20">
        <v>10</v>
      </c>
      <c r="AR450" s="20">
        <v>26</v>
      </c>
      <c r="AS450" s="20" t="s">
        <v>592</v>
      </c>
    </row>
    <row r="451" spans="2:45" ht="15.75" customHeight="1" x14ac:dyDescent="0.2">
      <c r="B451" s="20" t="s">
        <v>1149</v>
      </c>
      <c r="C451" s="20" t="s">
        <v>63</v>
      </c>
      <c r="D451" s="20" t="s">
        <v>477</v>
      </c>
      <c r="E451" s="20" t="s">
        <v>684</v>
      </c>
      <c r="F451" s="20" t="s">
        <v>628</v>
      </c>
      <c r="G451" s="20">
        <v>10</v>
      </c>
      <c r="H451" s="20">
        <v>2</v>
      </c>
      <c r="I451" s="20" t="s">
        <v>593</v>
      </c>
      <c r="K451" s="20" t="s">
        <v>1169</v>
      </c>
      <c r="L451" s="20" t="s">
        <v>19</v>
      </c>
      <c r="M451" s="20" t="s">
        <v>1856</v>
      </c>
      <c r="N451" s="20" t="s">
        <v>1857</v>
      </c>
      <c r="O451" s="20" t="s">
        <v>628</v>
      </c>
      <c r="P451" s="20">
        <v>10</v>
      </c>
      <c r="Q451" s="20">
        <v>8</v>
      </c>
      <c r="R451" s="20" t="s">
        <v>592</v>
      </c>
      <c r="T451" s="20" t="s">
        <v>1144</v>
      </c>
      <c r="U451" s="20" t="s">
        <v>313</v>
      </c>
      <c r="V451" s="20" t="s">
        <v>529</v>
      </c>
      <c r="W451" s="20" t="s">
        <v>2026</v>
      </c>
      <c r="X451" s="20" t="s">
        <v>835</v>
      </c>
      <c r="Y451" s="20">
        <v>5</v>
      </c>
      <c r="Z451" s="20">
        <v>6</v>
      </c>
      <c r="AA451" s="20" t="s">
        <v>592</v>
      </c>
      <c r="AC451" s="20" t="s">
        <v>646</v>
      </c>
      <c r="AD451" s="20" t="s">
        <v>246</v>
      </c>
      <c r="AE451" s="20" t="s">
        <v>1770</v>
      </c>
      <c r="AF451" s="20" t="s">
        <v>2724</v>
      </c>
      <c r="AG451" s="20" t="s">
        <v>835</v>
      </c>
      <c r="AH451" s="20">
        <v>5</v>
      </c>
      <c r="AI451" s="20">
        <v>1</v>
      </c>
      <c r="AJ451" s="20" t="s">
        <v>593</v>
      </c>
      <c r="AL451" s="20" t="s">
        <v>1143</v>
      </c>
      <c r="AM451" s="20" t="s">
        <v>61</v>
      </c>
      <c r="AN451" s="20" t="s">
        <v>526</v>
      </c>
      <c r="AO451" s="20" t="s">
        <v>3056</v>
      </c>
      <c r="AP451" s="20" t="s">
        <v>628</v>
      </c>
      <c r="AQ451" s="20">
        <v>10</v>
      </c>
      <c r="AR451" s="20">
        <v>1</v>
      </c>
      <c r="AS451" s="20" t="s">
        <v>593</v>
      </c>
    </row>
    <row r="452" spans="2:45" ht="15.75" customHeight="1" x14ac:dyDescent="0.2">
      <c r="B452" s="20" t="s">
        <v>1149</v>
      </c>
      <c r="C452" s="20" t="s">
        <v>63</v>
      </c>
      <c r="D452" s="20" t="s">
        <v>880</v>
      </c>
      <c r="E452" s="20" t="s">
        <v>906</v>
      </c>
      <c r="F452" s="20" t="s">
        <v>628</v>
      </c>
      <c r="G452" s="20">
        <v>10</v>
      </c>
      <c r="H452" s="20">
        <v>3</v>
      </c>
      <c r="I452" s="20" t="s">
        <v>593</v>
      </c>
      <c r="K452" s="20" t="s">
        <v>1169</v>
      </c>
      <c r="L452" s="20" t="s">
        <v>19</v>
      </c>
      <c r="M452" s="20" t="s">
        <v>826</v>
      </c>
      <c r="N452" s="20" t="s">
        <v>499</v>
      </c>
      <c r="O452" s="20" t="s">
        <v>628</v>
      </c>
      <c r="P452" s="20">
        <v>10</v>
      </c>
      <c r="Q452" s="20">
        <v>8</v>
      </c>
      <c r="R452" s="20" t="s">
        <v>592</v>
      </c>
      <c r="T452" s="20" t="s">
        <v>1161</v>
      </c>
      <c r="U452" s="20" t="s">
        <v>1432</v>
      </c>
      <c r="V452" s="20" t="s">
        <v>511</v>
      </c>
      <c r="W452" s="20" t="s">
        <v>2313</v>
      </c>
      <c r="X452" s="20" t="s">
        <v>835</v>
      </c>
      <c r="Y452" s="20">
        <v>5</v>
      </c>
      <c r="Z452" s="20">
        <v>5</v>
      </c>
      <c r="AA452" s="20" t="s">
        <v>592</v>
      </c>
      <c r="AC452" s="20" t="s">
        <v>646</v>
      </c>
      <c r="AD452" s="20" t="s">
        <v>25</v>
      </c>
      <c r="AE452" s="20" t="s">
        <v>1968</v>
      </c>
      <c r="AF452" s="20" t="s">
        <v>2725</v>
      </c>
      <c r="AG452" s="20" t="s">
        <v>628</v>
      </c>
      <c r="AH452" s="20">
        <v>10</v>
      </c>
      <c r="AI452" s="20">
        <v>3</v>
      </c>
      <c r="AJ452" s="20" t="s">
        <v>593</v>
      </c>
      <c r="AL452" s="20" t="s">
        <v>1143</v>
      </c>
      <c r="AM452" s="20" t="s">
        <v>61</v>
      </c>
      <c r="AN452" s="20" t="s">
        <v>616</v>
      </c>
      <c r="AO452" s="20" t="s">
        <v>819</v>
      </c>
      <c r="AP452" s="20" t="s">
        <v>628</v>
      </c>
      <c r="AQ452" s="20">
        <v>10</v>
      </c>
      <c r="AR452" s="20">
        <v>3</v>
      </c>
      <c r="AS452" s="20" t="s">
        <v>593</v>
      </c>
    </row>
    <row r="453" spans="2:45" ht="15.75" customHeight="1" x14ac:dyDescent="0.2">
      <c r="B453" s="20" t="s">
        <v>1149</v>
      </c>
      <c r="C453" s="20" t="s">
        <v>63</v>
      </c>
      <c r="D453" s="20" t="s">
        <v>472</v>
      </c>
      <c r="E453" s="20" t="s">
        <v>742</v>
      </c>
      <c r="F453" s="20" t="s">
        <v>628</v>
      </c>
      <c r="G453" s="20">
        <v>10</v>
      </c>
      <c r="H453" s="20">
        <v>8</v>
      </c>
      <c r="I453" s="20" t="s">
        <v>592</v>
      </c>
      <c r="K453" s="20" t="s">
        <v>1147</v>
      </c>
      <c r="L453" s="20" t="s">
        <v>222</v>
      </c>
      <c r="M453" s="20" t="s">
        <v>1035</v>
      </c>
      <c r="N453" s="20" t="s">
        <v>552</v>
      </c>
      <c r="O453" s="20" t="s">
        <v>628</v>
      </c>
      <c r="P453" s="20">
        <v>10</v>
      </c>
      <c r="Q453" s="20">
        <v>8</v>
      </c>
      <c r="R453" s="20" t="s">
        <v>592</v>
      </c>
      <c r="T453" s="20" t="s">
        <v>1161</v>
      </c>
      <c r="U453" s="20" t="s">
        <v>1432</v>
      </c>
      <c r="V453" s="20" t="s">
        <v>2471</v>
      </c>
      <c r="W453" s="20" t="s">
        <v>2314</v>
      </c>
      <c r="X453" s="20" t="s">
        <v>835</v>
      </c>
      <c r="Y453" s="20">
        <v>5</v>
      </c>
      <c r="Z453" s="20">
        <v>5</v>
      </c>
      <c r="AA453" s="20" t="s">
        <v>592</v>
      </c>
      <c r="AC453" s="20" t="s">
        <v>2099</v>
      </c>
      <c r="AD453" s="20" t="s">
        <v>350</v>
      </c>
      <c r="AE453" s="20" t="s">
        <v>2558</v>
      </c>
      <c r="AF453" s="20" t="s">
        <v>2726</v>
      </c>
      <c r="AG453" s="20" t="s">
        <v>835</v>
      </c>
      <c r="AH453" s="20">
        <v>5</v>
      </c>
      <c r="AI453" s="20">
        <v>13</v>
      </c>
      <c r="AJ453" s="20" t="s">
        <v>592</v>
      </c>
      <c r="AL453" s="20" t="s">
        <v>1143</v>
      </c>
      <c r="AM453" s="20" t="s">
        <v>61</v>
      </c>
      <c r="AN453" s="20" t="s">
        <v>604</v>
      </c>
      <c r="AO453" s="20" t="s">
        <v>3057</v>
      </c>
      <c r="AP453" s="20" t="s">
        <v>628</v>
      </c>
      <c r="AQ453" s="20">
        <v>10</v>
      </c>
      <c r="AR453" s="20">
        <v>2</v>
      </c>
      <c r="AS453" s="20" t="s">
        <v>593</v>
      </c>
    </row>
    <row r="454" spans="2:45" ht="15.75" customHeight="1" x14ac:dyDescent="0.2">
      <c r="B454" s="20" t="s">
        <v>1149</v>
      </c>
      <c r="C454" s="20" t="s">
        <v>1150</v>
      </c>
      <c r="D454" s="20" t="s">
        <v>479</v>
      </c>
      <c r="E454" s="20" t="s">
        <v>1388</v>
      </c>
      <c r="F454" s="20" t="s">
        <v>628</v>
      </c>
      <c r="G454" s="20">
        <v>10</v>
      </c>
      <c r="H454" s="20">
        <v>8</v>
      </c>
      <c r="I454" s="20" t="s">
        <v>592</v>
      </c>
      <c r="K454" s="20" t="s">
        <v>1147</v>
      </c>
      <c r="L454" s="20" t="s">
        <v>222</v>
      </c>
      <c r="M454" s="20" t="s">
        <v>1858</v>
      </c>
      <c r="N454" s="20" t="s">
        <v>1859</v>
      </c>
      <c r="O454" s="20" t="s">
        <v>628</v>
      </c>
      <c r="P454" s="20">
        <v>10</v>
      </c>
      <c r="Q454" s="20">
        <v>1</v>
      </c>
      <c r="R454" s="20" t="s">
        <v>593</v>
      </c>
      <c r="T454" s="20" t="s">
        <v>646</v>
      </c>
      <c r="U454" s="20" t="s">
        <v>303</v>
      </c>
      <c r="V454" s="20" t="s">
        <v>426</v>
      </c>
      <c r="W454" s="20" t="s">
        <v>2137</v>
      </c>
      <c r="X454" s="20" t="s">
        <v>628</v>
      </c>
      <c r="Y454" s="20">
        <v>10</v>
      </c>
      <c r="Z454" s="20">
        <v>1</v>
      </c>
      <c r="AA454" s="20" t="s">
        <v>593</v>
      </c>
      <c r="AC454" s="20" t="s">
        <v>2099</v>
      </c>
      <c r="AD454" s="20" t="s">
        <v>350</v>
      </c>
      <c r="AE454" s="20" t="s">
        <v>2528</v>
      </c>
      <c r="AF454" s="20" t="s">
        <v>2727</v>
      </c>
      <c r="AG454" s="20" t="s">
        <v>835</v>
      </c>
      <c r="AH454" s="20">
        <v>5</v>
      </c>
      <c r="AI454" s="20">
        <v>1</v>
      </c>
      <c r="AJ454" s="20" t="s">
        <v>592</v>
      </c>
      <c r="AL454" s="20" t="s">
        <v>1143</v>
      </c>
      <c r="AM454" s="20" t="s">
        <v>61</v>
      </c>
      <c r="AN454" s="20" t="s">
        <v>616</v>
      </c>
      <c r="AO454" s="20" t="s">
        <v>1920</v>
      </c>
      <c r="AP454" s="20" t="s">
        <v>835</v>
      </c>
      <c r="AQ454" s="20">
        <v>5</v>
      </c>
      <c r="AR454" s="20">
        <v>5</v>
      </c>
      <c r="AS454" s="20" t="s">
        <v>592</v>
      </c>
    </row>
    <row r="455" spans="2:45" ht="15.75" customHeight="1" x14ac:dyDescent="0.2">
      <c r="B455" s="20" t="s">
        <v>1149</v>
      </c>
      <c r="C455" s="20" t="s">
        <v>1150</v>
      </c>
      <c r="D455" s="20" t="s">
        <v>893</v>
      </c>
      <c r="E455" s="20" t="s">
        <v>1389</v>
      </c>
      <c r="F455" s="20" t="s">
        <v>628</v>
      </c>
      <c r="G455" s="20">
        <v>10</v>
      </c>
      <c r="H455" s="20">
        <v>8</v>
      </c>
      <c r="I455" s="20" t="s">
        <v>592</v>
      </c>
      <c r="K455" s="20" t="s">
        <v>1169</v>
      </c>
      <c r="L455" s="20" t="s">
        <v>671</v>
      </c>
      <c r="M455" s="20" t="s">
        <v>1123</v>
      </c>
      <c r="N455" s="20" t="s">
        <v>608</v>
      </c>
      <c r="O455" s="20" t="s">
        <v>628</v>
      </c>
      <c r="P455" s="20">
        <v>10</v>
      </c>
      <c r="Q455" s="20">
        <v>2</v>
      </c>
      <c r="R455" s="20" t="s">
        <v>592</v>
      </c>
      <c r="T455" s="20" t="s">
        <v>1144</v>
      </c>
      <c r="U455" s="20" t="s">
        <v>707</v>
      </c>
      <c r="V455" s="20" t="s">
        <v>846</v>
      </c>
      <c r="W455" s="20" t="s">
        <v>2149</v>
      </c>
      <c r="X455" s="20" t="s">
        <v>628</v>
      </c>
      <c r="Y455" s="20">
        <v>10</v>
      </c>
      <c r="Z455" s="20">
        <v>9</v>
      </c>
      <c r="AA455" s="20" t="s">
        <v>592</v>
      </c>
      <c r="AC455" s="20" t="s">
        <v>646</v>
      </c>
      <c r="AD455" s="20" t="s">
        <v>285</v>
      </c>
      <c r="AE455" s="20" t="s">
        <v>462</v>
      </c>
      <c r="AF455" s="20" t="s">
        <v>822</v>
      </c>
      <c r="AG455" s="20" t="s">
        <v>628</v>
      </c>
      <c r="AH455" s="20">
        <v>10</v>
      </c>
      <c r="AI455" s="20">
        <v>4</v>
      </c>
      <c r="AJ455" s="20" t="s">
        <v>593</v>
      </c>
      <c r="AL455" s="20" t="s">
        <v>1143</v>
      </c>
      <c r="AM455" s="20" t="s">
        <v>689</v>
      </c>
      <c r="AN455" s="20" t="s">
        <v>527</v>
      </c>
      <c r="AO455" s="20" t="s">
        <v>3058</v>
      </c>
      <c r="AP455" s="20" t="s">
        <v>628</v>
      </c>
      <c r="AQ455" s="20">
        <v>10</v>
      </c>
      <c r="AR455" s="20">
        <v>11</v>
      </c>
      <c r="AS455" s="20" t="s">
        <v>592</v>
      </c>
    </row>
    <row r="456" spans="2:45" ht="15.75" customHeight="1" x14ac:dyDescent="0.2">
      <c r="B456" s="20" t="s">
        <v>1144</v>
      </c>
      <c r="C456" s="20" t="s">
        <v>1145</v>
      </c>
      <c r="D456" s="20" t="s">
        <v>497</v>
      </c>
      <c r="E456" s="20" t="s">
        <v>1390</v>
      </c>
      <c r="F456" s="20" t="s">
        <v>628</v>
      </c>
      <c r="G456" s="20">
        <v>10</v>
      </c>
      <c r="H456" s="20">
        <v>5</v>
      </c>
      <c r="I456" s="20" t="s">
        <v>592</v>
      </c>
      <c r="K456" s="20" t="s">
        <v>1169</v>
      </c>
      <c r="L456" s="20" t="s">
        <v>671</v>
      </c>
      <c r="M456" s="20" t="s">
        <v>1122</v>
      </c>
      <c r="N456" s="20" t="s">
        <v>608</v>
      </c>
      <c r="O456" s="20" t="s">
        <v>628</v>
      </c>
      <c r="P456" s="20">
        <v>10</v>
      </c>
      <c r="Q456" s="20">
        <v>7</v>
      </c>
      <c r="R456" s="20" t="s">
        <v>592</v>
      </c>
      <c r="T456" s="20" t="s">
        <v>1144</v>
      </c>
      <c r="U456" s="20" t="s">
        <v>23</v>
      </c>
      <c r="V456" s="20" t="s">
        <v>543</v>
      </c>
      <c r="W456" s="20" t="s">
        <v>1369</v>
      </c>
      <c r="X456" s="20" t="s">
        <v>628</v>
      </c>
      <c r="Y456" s="20">
        <v>10</v>
      </c>
      <c r="Z456" s="20">
        <v>8</v>
      </c>
      <c r="AA456" s="20" t="s">
        <v>592</v>
      </c>
      <c r="AC456" s="20" t="s">
        <v>1163</v>
      </c>
      <c r="AD456" s="20" t="s">
        <v>837</v>
      </c>
      <c r="AE456" s="20" t="s">
        <v>555</v>
      </c>
      <c r="AF456" s="20" t="s">
        <v>2728</v>
      </c>
      <c r="AG456" s="20" t="s">
        <v>628</v>
      </c>
      <c r="AH456" s="20">
        <v>10</v>
      </c>
      <c r="AI456" s="20">
        <v>1</v>
      </c>
      <c r="AJ456" s="20" t="s">
        <v>593</v>
      </c>
      <c r="AL456" s="20" t="s">
        <v>1143</v>
      </c>
      <c r="AM456" s="20" t="s">
        <v>706</v>
      </c>
      <c r="AN456" s="20" t="s">
        <v>2509</v>
      </c>
      <c r="AO456" s="20" t="s">
        <v>2664</v>
      </c>
      <c r="AP456" s="20" t="s">
        <v>628</v>
      </c>
      <c r="AQ456" s="20">
        <v>10</v>
      </c>
      <c r="AR456" s="20">
        <v>12</v>
      </c>
      <c r="AS456" s="20" t="s">
        <v>592</v>
      </c>
    </row>
    <row r="457" spans="2:45" ht="15.75" customHeight="1" x14ac:dyDescent="0.2">
      <c r="B457" s="20" t="s">
        <v>1144</v>
      </c>
      <c r="C457" s="20" t="s">
        <v>1145</v>
      </c>
      <c r="D457" s="20" t="s">
        <v>497</v>
      </c>
      <c r="E457" s="20" t="s">
        <v>1391</v>
      </c>
      <c r="F457" s="20" t="s">
        <v>628</v>
      </c>
      <c r="G457" s="20">
        <v>10</v>
      </c>
      <c r="H457" s="20">
        <v>3</v>
      </c>
      <c r="I457" s="20" t="s">
        <v>592</v>
      </c>
      <c r="K457" s="20" t="s">
        <v>1161</v>
      </c>
      <c r="L457" s="20" t="s">
        <v>659</v>
      </c>
      <c r="M457" s="20" t="s">
        <v>1860</v>
      </c>
      <c r="N457" s="20" t="s">
        <v>389</v>
      </c>
      <c r="O457" s="20" t="s">
        <v>628</v>
      </c>
      <c r="P457" s="20">
        <v>10</v>
      </c>
      <c r="Q457" s="20">
        <v>3</v>
      </c>
      <c r="R457" s="20" t="s">
        <v>593</v>
      </c>
      <c r="T457" s="20" t="s">
        <v>640</v>
      </c>
      <c r="U457" s="20" t="s">
        <v>756</v>
      </c>
      <c r="V457" s="20" t="s">
        <v>1593</v>
      </c>
      <c r="W457" s="20" t="s">
        <v>2315</v>
      </c>
      <c r="X457" s="20" t="s">
        <v>835</v>
      </c>
      <c r="Y457" s="20">
        <v>5</v>
      </c>
      <c r="Z457" s="20">
        <v>1</v>
      </c>
      <c r="AA457" s="20" t="s">
        <v>593</v>
      </c>
      <c r="AC457" s="20" t="s">
        <v>646</v>
      </c>
      <c r="AD457" s="20" t="s">
        <v>303</v>
      </c>
      <c r="AE457" s="20" t="s">
        <v>426</v>
      </c>
      <c r="AF457" s="20" t="s">
        <v>2137</v>
      </c>
      <c r="AG457" s="20" t="s">
        <v>628</v>
      </c>
      <c r="AH457" s="20">
        <v>10</v>
      </c>
      <c r="AI457" s="20">
        <v>1</v>
      </c>
      <c r="AJ457" s="20" t="s">
        <v>593</v>
      </c>
      <c r="AL457" s="20" t="s">
        <v>1143</v>
      </c>
      <c r="AM457" s="20" t="s">
        <v>61</v>
      </c>
      <c r="AN457" s="20" t="s">
        <v>2488</v>
      </c>
      <c r="AO457" s="20" t="s">
        <v>2671</v>
      </c>
      <c r="AP457" s="20" t="s">
        <v>835</v>
      </c>
      <c r="AQ457" s="20">
        <v>5</v>
      </c>
      <c r="AR457" s="20">
        <v>11</v>
      </c>
      <c r="AS457" s="20" t="s">
        <v>592</v>
      </c>
    </row>
    <row r="458" spans="2:45" ht="15.75" customHeight="1" x14ac:dyDescent="0.2">
      <c r="B458" s="20" t="s">
        <v>1163</v>
      </c>
      <c r="C458" s="20" t="s">
        <v>1165</v>
      </c>
      <c r="D458" s="20" t="s">
        <v>360</v>
      </c>
      <c r="E458" s="20" t="s">
        <v>1392</v>
      </c>
      <c r="F458" s="20" t="s">
        <v>835</v>
      </c>
      <c r="G458" s="20">
        <v>5</v>
      </c>
      <c r="H458" s="20">
        <v>2</v>
      </c>
      <c r="I458" s="20" t="s">
        <v>593</v>
      </c>
      <c r="K458" s="20" t="s">
        <v>1149</v>
      </c>
      <c r="L458" s="20" t="s">
        <v>301</v>
      </c>
      <c r="M458" s="20" t="s">
        <v>1197</v>
      </c>
      <c r="N458" s="20" t="s">
        <v>501</v>
      </c>
      <c r="O458" s="20" t="s">
        <v>628</v>
      </c>
      <c r="P458" s="20">
        <v>10</v>
      </c>
      <c r="Q458" s="20">
        <v>8</v>
      </c>
      <c r="R458" s="20" t="s">
        <v>592</v>
      </c>
      <c r="T458" s="20" t="s">
        <v>1144</v>
      </c>
      <c r="U458" s="20" t="s">
        <v>23</v>
      </c>
      <c r="V458" s="20" t="s">
        <v>544</v>
      </c>
      <c r="W458" s="20" t="s">
        <v>589</v>
      </c>
      <c r="X458" s="20" t="s">
        <v>835</v>
      </c>
      <c r="Y458" s="20">
        <v>5</v>
      </c>
      <c r="Z458" s="20">
        <v>5</v>
      </c>
      <c r="AA458" s="20" t="s">
        <v>592</v>
      </c>
      <c r="AC458" s="20" t="s">
        <v>1161</v>
      </c>
      <c r="AD458" s="20" t="s">
        <v>2520</v>
      </c>
      <c r="AE458" s="20" t="s">
        <v>454</v>
      </c>
      <c r="AF458" s="20" t="s">
        <v>2729</v>
      </c>
      <c r="AG458" s="20" t="s">
        <v>835</v>
      </c>
      <c r="AH458" s="20">
        <v>5</v>
      </c>
      <c r="AI458" s="20">
        <v>6</v>
      </c>
      <c r="AJ458" s="20" t="s">
        <v>592</v>
      </c>
      <c r="AL458" s="20" t="s">
        <v>1143</v>
      </c>
      <c r="AM458" s="20" t="s">
        <v>61</v>
      </c>
      <c r="AN458" s="20" t="s">
        <v>526</v>
      </c>
      <c r="AO458" s="20" t="s">
        <v>588</v>
      </c>
      <c r="AP458" s="20" t="s">
        <v>628</v>
      </c>
      <c r="AQ458" s="20">
        <v>10</v>
      </c>
      <c r="AR458" s="20">
        <v>14</v>
      </c>
      <c r="AS458" s="20" t="s">
        <v>592</v>
      </c>
    </row>
    <row r="459" spans="2:45" ht="15.75" customHeight="1" x14ac:dyDescent="0.2">
      <c r="B459" s="20" t="s">
        <v>1163</v>
      </c>
      <c r="C459" s="20" t="s">
        <v>1165</v>
      </c>
      <c r="D459" s="20" t="s">
        <v>504</v>
      </c>
      <c r="E459" s="20" t="s">
        <v>1393</v>
      </c>
      <c r="F459" s="20" t="s">
        <v>835</v>
      </c>
      <c r="G459" s="20">
        <v>5</v>
      </c>
      <c r="H459" s="20">
        <v>6</v>
      </c>
      <c r="I459" s="20" t="s">
        <v>592</v>
      </c>
      <c r="K459" s="20" t="s">
        <v>1149</v>
      </c>
      <c r="L459" s="20" t="s">
        <v>806</v>
      </c>
      <c r="M459" s="20" t="s">
        <v>977</v>
      </c>
      <c r="N459" s="20" t="s">
        <v>469</v>
      </c>
      <c r="O459" s="20" t="s">
        <v>628</v>
      </c>
      <c r="P459" s="20">
        <v>10</v>
      </c>
      <c r="Q459" s="20">
        <v>13</v>
      </c>
      <c r="R459" s="20" t="s">
        <v>592</v>
      </c>
      <c r="T459" s="20" t="s">
        <v>1144</v>
      </c>
      <c r="U459" s="20" t="s">
        <v>249</v>
      </c>
      <c r="V459" s="20" t="s">
        <v>436</v>
      </c>
      <c r="W459" s="20" t="s">
        <v>1516</v>
      </c>
      <c r="X459" s="20" t="s">
        <v>628</v>
      </c>
      <c r="Y459" s="20">
        <v>10</v>
      </c>
      <c r="Z459" s="20">
        <v>10</v>
      </c>
      <c r="AA459" s="20" t="s">
        <v>592</v>
      </c>
      <c r="AC459" s="20" t="s">
        <v>1144</v>
      </c>
      <c r="AD459" s="20" t="s">
        <v>249</v>
      </c>
      <c r="AE459" s="20" t="s">
        <v>622</v>
      </c>
      <c r="AF459" s="20" t="s">
        <v>1003</v>
      </c>
      <c r="AG459" s="20" t="s">
        <v>835</v>
      </c>
      <c r="AH459" s="20">
        <v>5</v>
      </c>
      <c r="AI459" s="20">
        <v>5</v>
      </c>
      <c r="AJ459" s="20" t="s">
        <v>592</v>
      </c>
      <c r="AL459" s="20" t="s">
        <v>646</v>
      </c>
      <c r="AM459" s="20" t="s">
        <v>209</v>
      </c>
      <c r="AN459" s="20" t="s">
        <v>1714</v>
      </c>
      <c r="AO459" s="20" t="s">
        <v>1713</v>
      </c>
      <c r="AP459" s="20" t="s">
        <v>835</v>
      </c>
      <c r="AQ459" s="20">
        <v>5</v>
      </c>
      <c r="AR459" s="20">
        <v>6</v>
      </c>
      <c r="AS459" s="20" t="s">
        <v>592</v>
      </c>
    </row>
    <row r="460" spans="2:45" ht="15.75" customHeight="1" x14ac:dyDescent="0.2">
      <c r="B460" s="20" t="s">
        <v>646</v>
      </c>
      <c r="C460" s="20" t="s">
        <v>25</v>
      </c>
      <c r="D460" s="20" t="s">
        <v>373</v>
      </c>
      <c r="E460" s="20" t="s">
        <v>1199</v>
      </c>
      <c r="F460" s="20" t="s">
        <v>628</v>
      </c>
      <c r="G460" s="20">
        <v>10</v>
      </c>
      <c r="H460" s="20">
        <v>7</v>
      </c>
      <c r="I460" s="20" t="s">
        <v>592</v>
      </c>
      <c r="K460" s="20" t="s">
        <v>1149</v>
      </c>
      <c r="L460" s="20" t="s">
        <v>301</v>
      </c>
      <c r="M460" s="20" t="s">
        <v>1301</v>
      </c>
      <c r="N460" s="20" t="s">
        <v>503</v>
      </c>
      <c r="O460" s="20" t="s">
        <v>835</v>
      </c>
      <c r="P460" s="20">
        <v>5</v>
      </c>
      <c r="Q460" s="20">
        <v>5</v>
      </c>
      <c r="R460" s="20" t="s">
        <v>592</v>
      </c>
      <c r="T460" s="20" t="s">
        <v>1144</v>
      </c>
      <c r="U460" s="20" t="s">
        <v>249</v>
      </c>
      <c r="V460" s="20" t="s">
        <v>436</v>
      </c>
      <c r="W460" s="20" t="s">
        <v>2316</v>
      </c>
      <c r="X460" s="20" t="s">
        <v>628</v>
      </c>
      <c r="Y460" s="20">
        <v>10</v>
      </c>
      <c r="Z460" s="20">
        <v>1</v>
      </c>
      <c r="AA460" s="20" t="s">
        <v>592</v>
      </c>
      <c r="AC460" s="20" t="s">
        <v>1162</v>
      </c>
      <c r="AD460" s="20" t="s">
        <v>352</v>
      </c>
      <c r="AE460" s="20" t="s">
        <v>2538</v>
      </c>
      <c r="AF460" s="20" t="s">
        <v>2730</v>
      </c>
      <c r="AG460" s="20" t="s">
        <v>628</v>
      </c>
      <c r="AH460" s="20">
        <v>10</v>
      </c>
      <c r="AI460" s="20">
        <v>2</v>
      </c>
      <c r="AJ460" s="20" t="s">
        <v>593</v>
      </c>
      <c r="AL460" s="20" t="s">
        <v>646</v>
      </c>
      <c r="AM460" s="20" t="s">
        <v>298</v>
      </c>
      <c r="AN460" s="20" t="s">
        <v>424</v>
      </c>
      <c r="AO460" s="20" t="s">
        <v>2069</v>
      </c>
      <c r="AP460" s="20" t="s">
        <v>628</v>
      </c>
      <c r="AQ460" s="20">
        <v>10</v>
      </c>
      <c r="AR460" s="20">
        <v>107</v>
      </c>
      <c r="AS460" s="20" t="s">
        <v>592</v>
      </c>
    </row>
    <row r="461" spans="2:45" ht="15.75" customHeight="1" x14ac:dyDescent="0.2">
      <c r="B461" s="20" t="s">
        <v>646</v>
      </c>
      <c r="C461" s="20" t="s">
        <v>25</v>
      </c>
      <c r="D461" s="20" t="s">
        <v>373</v>
      </c>
      <c r="E461" s="20" t="s">
        <v>1200</v>
      </c>
      <c r="F461" s="20" t="s">
        <v>628</v>
      </c>
      <c r="G461" s="20">
        <v>10</v>
      </c>
      <c r="H461" s="20">
        <v>1</v>
      </c>
      <c r="I461" s="20" t="s">
        <v>592</v>
      </c>
      <c r="K461" s="20" t="s">
        <v>1149</v>
      </c>
      <c r="L461" s="20" t="s">
        <v>1150</v>
      </c>
      <c r="M461" s="20" t="s">
        <v>1389</v>
      </c>
      <c r="N461" s="20" t="s">
        <v>893</v>
      </c>
      <c r="O461" s="20" t="s">
        <v>835</v>
      </c>
      <c r="P461" s="20">
        <v>5</v>
      </c>
      <c r="Q461" s="20">
        <v>3</v>
      </c>
      <c r="R461" s="20" t="s">
        <v>593</v>
      </c>
      <c r="T461" s="20" t="s">
        <v>1158</v>
      </c>
      <c r="U461" s="20" t="s">
        <v>925</v>
      </c>
      <c r="V461" s="20" t="s">
        <v>533</v>
      </c>
      <c r="W461" s="20" t="s">
        <v>779</v>
      </c>
      <c r="X461" s="20" t="s">
        <v>835</v>
      </c>
      <c r="Y461" s="20">
        <v>5</v>
      </c>
      <c r="Z461" s="20">
        <v>5</v>
      </c>
      <c r="AA461" s="20" t="s">
        <v>592</v>
      </c>
      <c r="AC461" s="20" t="s">
        <v>1147</v>
      </c>
      <c r="AD461" s="20" t="s">
        <v>70</v>
      </c>
      <c r="AE461" s="20" t="s">
        <v>1473</v>
      </c>
      <c r="AF461" s="20" t="s">
        <v>2731</v>
      </c>
      <c r="AG461" s="20" t="s">
        <v>628</v>
      </c>
      <c r="AH461" s="20">
        <v>10</v>
      </c>
      <c r="AI461" s="20">
        <v>5</v>
      </c>
      <c r="AJ461" s="20" t="s">
        <v>593</v>
      </c>
      <c r="AL461" s="20" t="s">
        <v>646</v>
      </c>
      <c r="AM461" s="20" t="s">
        <v>298</v>
      </c>
      <c r="AN461" s="20" t="s">
        <v>370</v>
      </c>
      <c r="AO461" s="20" t="s">
        <v>775</v>
      </c>
      <c r="AP461" s="20" t="s">
        <v>628</v>
      </c>
      <c r="AQ461" s="20">
        <v>10</v>
      </c>
      <c r="AR461" s="20">
        <v>17</v>
      </c>
      <c r="AS461" s="20" t="s">
        <v>592</v>
      </c>
    </row>
    <row r="462" spans="2:45" ht="15.75" customHeight="1" x14ac:dyDescent="0.2">
      <c r="B462" s="20" t="s">
        <v>1144</v>
      </c>
      <c r="C462" s="20" t="s">
        <v>804</v>
      </c>
      <c r="D462" s="20" t="s">
        <v>958</v>
      </c>
      <c r="E462" s="20" t="s">
        <v>1394</v>
      </c>
      <c r="F462" s="20" t="s">
        <v>628</v>
      </c>
      <c r="G462" s="20">
        <v>10</v>
      </c>
      <c r="H462" s="20">
        <v>9</v>
      </c>
      <c r="I462" s="20" t="s">
        <v>592</v>
      </c>
      <c r="K462" s="20" t="s">
        <v>1149</v>
      </c>
      <c r="L462" s="20" t="s">
        <v>1150</v>
      </c>
      <c r="M462" s="20" t="s">
        <v>1402</v>
      </c>
      <c r="N462" s="20" t="s">
        <v>478</v>
      </c>
      <c r="O462" s="20" t="s">
        <v>835</v>
      </c>
      <c r="P462" s="20">
        <v>5</v>
      </c>
      <c r="Q462" s="20">
        <v>1</v>
      </c>
      <c r="R462" s="20" t="s">
        <v>593</v>
      </c>
      <c r="T462" s="20" t="s">
        <v>1147</v>
      </c>
      <c r="U462" s="20" t="s">
        <v>244</v>
      </c>
      <c r="V462" s="20" t="s">
        <v>1682</v>
      </c>
      <c r="W462" s="20" t="s">
        <v>1681</v>
      </c>
      <c r="X462" s="20" t="s">
        <v>835</v>
      </c>
      <c r="Y462" s="20">
        <v>5</v>
      </c>
      <c r="Z462" s="20">
        <v>5</v>
      </c>
      <c r="AA462" s="20" t="s">
        <v>592</v>
      </c>
      <c r="AC462" s="20" t="s">
        <v>1141</v>
      </c>
      <c r="AD462" s="20" t="s">
        <v>780</v>
      </c>
      <c r="AE462" s="20" t="s">
        <v>1846</v>
      </c>
      <c r="AF462" s="20" t="s">
        <v>2732</v>
      </c>
      <c r="AG462" s="20" t="s">
        <v>628</v>
      </c>
      <c r="AH462" s="20">
        <v>10</v>
      </c>
      <c r="AI462" s="20">
        <v>1</v>
      </c>
      <c r="AJ462" s="20" t="s">
        <v>593</v>
      </c>
      <c r="AL462" s="20" t="s">
        <v>646</v>
      </c>
      <c r="AM462" s="20" t="s">
        <v>298</v>
      </c>
      <c r="AN462" s="20" t="s">
        <v>424</v>
      </c>
      <c r="AO462" s="20" t="s">
        <v>3059</v>
      </c>
      <c r="AP462" s="20" t="s">
        <v>628</v>
      </c>
      <c r="AQ462" s="20">
        <v>10</v>
      </c>
      <c r="AR462" s="20">
        <v>16</v>
      </c>
      <c r="AS462" s="20" t="s">
        <v>592</v>
      </c>
    </row>
    <row r="463" spans="2:45" ht="15.75" customHeight="1" x14ac:dyDescent="0.2">
      <c r="B463" s="20" t="s">
        <v>1163</v>
      </c>
      <c r="C463" s="20" t="s">
        <v>837</v>
      </c>
      <c r="D463" s="20" t="s">
        <v>786</v>
      </c>
      <c r="E463" s="20" t="s">
        <v>1395</v>
      </c>
      <c r="F463" s="20" t="s">
        <v>628</v>
      </c>
      <c r="G463" s="20">
        <v>10</v>
      </c>
      <c r="H463" s="20">
        <v>3</v>
      </c>
      <c r="I463" s="20" t="s">
        <v>593</v>
      </c>
      <c r="K463" s="20" t="s">
        <v>1149</v>
      </c>
      <c r="L463" s="20" t="s">
        <v>806</v>
      </c>
      <c r="M463" s="20" t="s">
        <v>1133</v>
      </c>
      <c r="N463" s="20" t="s">
        <v>502</v>
      </c>
      <c r="O463" s="20" t="s">
        <v>835</v>
      </c>
      <c r="P463" s="20">
        <v>5</v>
      </c>
      <c r="Q463" s="20">
        <v>6</v>
      </c>
      <c r="R463" s="20" t="s">
        <v>592</v>
      </c>
      <c r="T463" s="20" t="s">
        <v>2099</v>
      </c>
      <c r="U463" s="20" t="s">
        <v>2144</v>
      </c>
      <c r="V463" s="20" t="s">
        <v>2460</v>
      </c>
      <c r="W463" s="20" t="s">
        <v>2317</v>
      </c>
      <c r="X463" s="20" t="s">
        <v>2514</v>
      </c>
      <c r="Y463" s="20">
        <v>3</v>
      </c>
      <c r="Z463" s="20">
        <v>8</v>
      </c>
      <c r="AA463" s="20" t="s">
        <v>592</v>
      </c>
      <c r="AC463" s="20" t="s">
        <v>1161</v>
      </c>
      <c r="AD463" s="20" t="s">
        <v>2520</v>
      </c>
      <c r="AE463" s="20" t="s">
        <v>2461</v>
      </c>
      <c r="AF463" s="20" t="s">
        <v>2733</v>
      </c>
      <c r="AG463" s="20" t="s">
        <v>835</v>
      </c>
      <c r="AH463" s="20">
        <v>5</v>
      </c>
      <c r="AI463" s="20">
        <v>9</v>
      </c>
      <c r="AJ463" s="20" t="s">
        <v>592</v>
      </c>
      <c r="AL463" s="20" t="s">
        <v>646</v>
      </c>
      <c r="AM463" s="20" t="s">
        <v>298</v>
      </c>
      <c r="AN463" s="20" t="s">
        <v>374</v>
      </c>
      <c r="AO463" s="20" t="s">
        <v>2629</v>
      </c>
      <c r="AP463" s="20" t="s">
        <v>628</v>
      </c>
      <c r="AQ463" s="20">
        <v>10</v>
      </c>
      <c r="AR463" s="20">
        <v>16</v>
      </c>
      <c r="AS463" s="20" t="s">
        <v>592</v>
      </c>
    </row>
    <row r="464" spans="2:45" ht="15.75" customHeight="1" x14ac:dyDescent="0.2">
      <c r="B464" s="20" t="s">
        <v>1154</v>
      </c>
      <c r="C464" s="20" t="s">
        <v>217</v>
      </c>
      <c r="D464" s="20" t="s">
        <v>579</v>
      </c>
      <c r="E464" s="20" t="s">
        <v>1068</v>
      </c>
      <c r="F464" s="20" t="s">
        <v>835</v>
      </c>
      <c r="G464" s="20">
        <v>5</v>
      </c>
      <c r="H464" s="20">
        <v>1</v>
      </c>
      <c r="I464" s="20" t="s">
        <v>593</v>
      </c>
      <c r="K464" s="20" t="s">
        <v>1149</v>
      </c>
      <c r="L464" s="20" t="s">
        <v>63</v>
      </c>
      <c r="M464" s="20" t="s">
        <v>906</v>
      </c>
      <c r="N464" s="20" t="s">
        <v>880</v>
      </c>
      <c r="O464" s="20" t="s">
        <v>835</v>
      </c>
      <c r="P464" s="20">
        <v>5</v>
      </c>
      <c r="Q464" s="20">
        <v>6</v>
      </c>
      <c r="R464" s="20" t="s">
        <v>592</v>
      </c>
      <c r="T464" s="20" t="s">
        <v>1144</v>
      </c>
      <c r="U464" s="20" t="s">
        <v>804</v>
      </c>
      <c r="V464" s="20" t="s">
        <v>559</v>
      </c>
      <c r="W464" s="20" t="s">
        <v>2213</v>
      </c>
      <c r="X464" s="20" t="s">
        <v>628</v>
      </c>
      <c r="Y464" s="20">
        <v>10</v>
      </c>
      <c r="Z464" s="20">
        <v>10</v>
      </c>
      <c r="AA464" s="20" t="s">
        <v>592</v>
      </c>
      <c r="AC464" s="20" t="s">
        <v>1169</v>
      </c>
      <c r="AD464" s="20" t="s">
        <v>216</v>
      </c>
      <c r="AE464" s="20" t="s">
        <v>1899</v>
      </c>
      <c r="AF464" s="20" t="s">
        <v>1898</v>
      </c>
      <c r="AG464" s="20" t="s">
        <v>628</v>
      </c>
      <c r="AH464" s="20">
        <v>10</v>
      </c>
      <c r="AI464" s="20">
        <v>8</v>
      </c>
      <c r="AJ464" s="20" t="s">
        <v>592</v>
      </c>
      <c r="AL464" s="20" t="s">
        <v>646</v>
      </c>
      <c r="AM464" s="20" t="s">
        <v>298</v>
      </c>
      <c r="AN464" s="20" t="s">
        <v>2832</v>
      </c>
      <c r="AO464" s="20" t="s">
        <v>3060</v>
      </c>
      <c r="AP464" s="20" t="s">
        <v>628</v>
      </c>
      <c r="AQ464" s="20">
        <v>10</v>
      </c>
      <c r="AR464" s="20">
        <v>19</v>
      </c>
      <c r="AS464" s="20" t="s">
        <v>592</v>
      </c>
    </row>
    <row r="465" spans="2:45" ht="15.75" customHeight="1" x14ac:dyDescent="0.2">
      <c r="B465" s="20" t="s">
        <v>1154</v>
      </c>
      <c r="C465" s="20" t="s">
        <v>217</v>
      </c>
      <c r="D465" s="20" t="s">
        <v>579</v>
      </c>
      <c r="E465" s="20" t="s">
        <v>881</v>
      </c>
      <c r="F465" s="20" t="s">
        <v>835</v>
      </c>
      <c r="G465" s="20">
        <v>5</v>
      </c>
      <c r="H465" s="20">
        <v>1</v>
      </c>
      <c r="I465" s="20" t="s">
        <v>593</v>
      </c>
      <c r="K465" s="20" t="s">
        <v>1149</v>
      </c>
      <c r="L465" s="20" t="s">
        <v>63</v>
      </c>
      <c r="M465" s="20" t="s">
        <v>1066</v>
      </c>
      <c r="N465" s="20" t="s">
        <v>880</v>
      </c>
      <c r="O465" s="20" t="s">
        <v>835</v>
      </c>
      <c r="P465" s="20">
        <v>5</v>
      </c>
      <c r="Q465" s="20">
        <v>1</v>
      </c>
      <c r="R465" s="20" t="s">
        <v>592</v>
      </c>
      <c r="T465" s="20" t="s">
        <v>1163</v>
      </c>
      <c r="U465" s="20" t="s">
        <v>1165</v>
      </c>
      <c r="V465" s="20" t="s">
        <v>504</v>
      </c>
      <c r="W465" s="20" t="s">
        <v>1262</v>
      </c>
      <c r="X465" s="20" t="s">
        <v>835</v>
      </c>
      <c r="Y465" s="20">
        <v>5</v>
      </c>
      <c r="Z465" s="20">
        <v>5</v>
      </c>
      <c r="AA465" s="20" t="s">
        <v>592</v>
      </c>
      <c r="AC465" s="20" t="s">
        <v>1163</v>
      </c>
      <c r="AD465" s="20" t="s">
        <v>207</v>
      </c>
      <c r="AE465" s="20" t="s">
        <v>1496</v>
      </c>
      <c r="AF465" s="20" t="s">
        <v>1495</v>
      </c>
      <c r="AG465" s="20" t="s">
        <v>628</v>
      </c>
      <c r="AH465" s="20">
        <v>10</v>
      </c>
      <c r="AI465" s="20">
        <v>2</v>
      </c>
      <c r="AJ465" s="20" t="s">
        <v>593</v>
      </c>
      <c r="AL465" s="20" t="s">
        <v>646</v>
      </c>
      <c r="AM465" s="20" t="s">
        <v>298</v>
      </c>
      <c r="AN465" s="20" t="s">
        <v>1810</v>
      </c>
      <c r="AO465" s="20" t="s">
        <v>2627</v>
      </c>
      <c r="AP465" s="20" t="s">
        <v>628</v>
      </c>
      <c r="AQ465" s="20">
        <v>10</v>
      </c>
      <c r="AR465" s="20">
        <v>25</v>
      </c>
      <c r="AS465" s="20" t="s">
        <v>592</v>
      </c>
    </row>
    <row r="466" spans="2:45" ht="15.75" customHeight="1" x14ac:dyDescent="0.2">
      <c r="B466" s="20" t="s">
        <v>1154</v>
      </c>
      <c r="C466" s="20" t="s">
        <v>217</v>
      </c>
      <c r="D466" s="20" t="s">
        <v>625</v>
      </c>
      <c r="E466" s="20" t="s">
        <v>1036</v>
      </c>
      <c r="F466" s="20" t="s">
        <v>835</v>
      </c>
      <c r="G466" s="20">
        <v>5</v>
      </c>
      <c r="H466" s="20">
        <v>2</v>
      </c>
      <c r="I466" s="20" t="s">
        <v>593</v>
      </c>
      <c r="K466" s="20" t="s">
        <v>1149</v>
      </c>
      <c r="L466" s="20" t="s">
        <v>63</v>
      </c>
      <c r="M466" s="20" t="s">
        <v>1549</v>
      </c>
      <c r="N466" s="20" t="s">
        <v>472</v>
      </c>
      <c r="O466" s="20" t="s">
        <v>835</v>
      </c>
      <c r="P466" s="20">
        <v>5</v>
      </c>
      <c r="Q466" s="20">
        <v>5</v>
      </c>
      <c r="R466" s="20" t="s">
        <v>592</v>
      </c>
      <c r="T466" s="20" t="s">
        <v>2099</v>
      </c>
      <c r="U466" s="20" t="s">
        <v>2103</v>
      </c>
      <c r="V466" s="20" t="s">
        <v>2451</v>
      </c>
      <c r="W466" s="20" t="s">
        <v>2318</v>
      </c>
      <c r="X466" s="20" t="s">
        <v>835</v>
      </c>
      <c r="Y466" s="20">
        <v>5</v>
      </c>
      <c r="Z466" s="20">
        <v>8</v>
      </c>
      <c r="AA466" s="20" t="s">
        <v>592</v>
      </c>
      <c r="AC466" s="20" t="s">
        <v>1141</v>
      </c>
      <c r="AD466" s="20" t="s">
        <v>780</v>
      </c>
      <c r="AE466" s="20" t="s">
        <v>398</v>
      </c>
      <c r="AF466" s="20" t="s">
        <v>1287</v>
      </c>
      <c r="AG466" s="20" t="s">
        <v>628</v>
      </c>
      <c r="AH466" s="20">
        <v>10</v>
      </c>
      <c r="AI466" s="20">
        <v>1</v>
      </c>
      <c r="AJ466" s="20" t="s">
        <v>593</v>
      </c>
      <c r="AL466" s="20" t="s">
        <v>646</v>
      </c>
      <c r="AM466" s="20" t="s">
        <v>298</v>
      </c>
      <c r="AN466" s="20" t="s">
        <v>1810</v>
      </c>
      <c r="AO466" s="20" t="s">
        <v>1809</v>
      </c>
      <c r="AP466" s="20" t="s">
        <v>628</v>
      </c>
      <c r="AQ466" s="20">
        <v>10</v>
      </c>
      <c r="AR466" s="20">
        <v>7</v>
      </c>
      <c r="AS466" s="20" t="s">
        <v>592</v>
      </c>
    </row>
    <row r="467" spans="2:45" ht="15.75" customHeight="1" x14ac:dyDescent="0.2">
      <c r="B467" s="20" t="s">
        <v>1154</v>
      </c>
      <c r="C467" s="20" t="s">
        <v>307</v>
      </c>
      <c r="D467" s="20" t="s">
        <v>514</v>
      </c>
      <c r="E467" s="20" t="s">
        <v>723</v>
      </c>
      <c r="F467" s="20" t="s">
        <v>628</v>
      </c>
      <c r="G467" s="20">
        <v>10</v>
      </c>
      <c r="H467" s="20">
        <v>8</v>
      </c>
      <c r="I467" s="20" t="s">
        <v>592</v>
      </c>
      <c r="K467" s="20" t="s">
        <v>1154</v>
      </c>
      <c r="L467" s="20" t="s">
        <v>1152</v>
      </c>
      <c r="M467" s="20" t="s">
        <v>1264</v>
      </c>
      <c r="N467" s="20" t="s">
        <v>516</v>
      </c>
      <c r="O467" s="20" t="s">
        <v>628</v>
      </c>
      <c r="P467" s="20">
        <v>10</v>
      </c>
      <c r="Q467" s="20">
        <v>6</v>
      </c>
      <c r="R467" s="20" t="s">
        <v>592</v>
      </c>
      <c r="T467" s="20" t="s">
        <v>1161</v>
      </c>
      <c r="U467" s="20" t="s">
        <v>1432</v>
      </c>
      <c r="V467" s="20" t="s">
        <v>2012</v>
      </c>
      <c r="W467" s="20" t="s">
        <v>2226</v>
      </c>
      <c r="X467" s="20" t="s">
        <v>835</v>
      </c>
      <c r="Y467" s="20">
        <v>5</v>
      </c>
      <c r="Z467" s="20">
        <v>5</v>
      </c>
      <c r="AA467" s="20" t="s">
        <v>592</v>
      </c>
      <c r="AC467" s="20" t="s">
        <v>1149</v>
      </c>
      <c r="AD467" s="20" t="s">
        <v>63</v>
      </c>
      <c r="AE467" s="20" t="s">
        <v>880</v>
      </c>
      <c r="AF467" s="20" t="s">
        <v>906</v>
      </c>
      <c r="AG467" s="20" t="s">
        <v>628</v>
      </c>
      <c r="AH467" s="20">
        <v>10</v>
      </c>
      <c r="AI467" s="20">
        <v>7</v>
      </c>
      <c r="AJ467" s="20" t="s">
        <v>593</v>
      </c>
      <c r="AL467" s="20" t="s">
        <v>646</v>
      </c>
      <c r="AM467" s="20" t="s">
        <v>334</v>
      </c>
      <c r="AN467" s="20" t="s">
        <v>581</v>
      </c>
      <c r="AO467" s="20" t="s">
        <v>3061</v>
      </c>
      <c r="AP467" s="20" t="s">
        <v>628</v>
      </c>
      <c r="AQ467" s="20">
        <v>10</v>
      </c>
      <c r="AR467" s="20">
        <v>6</v>
      </c>
      <c r="AS467" s="20" t="s">
        <v>592</v>
      </c>
    </row>
    <row r="468" spans="2:45" ht="15.75" customHeight="1" x14ac:dyDescent="0.2">
      <c r="B468" s="20" t="s">
        <v>1154</v>
      </c>
      <c r="C468" s="20" t="s">
        <v>307</v>
      </c>
      <c r="D468" s="20" t="s">
        <v>514</v>
      </c>
      <c r="E468" s="20" t="s">
        <v>1396</v>
      </c>
      <c r="F468" s="20" t="s">
        <v>628</v>
      </c>
      <c r="G468" s="20">
        <v>10</v>
      </c>
      <c r="H468" s="20">
        <v>1</v>
      </c>
      <c r="I468" s="20" t="s">
        <v>592</v>
      </c>
      <c r="K468" s="20" t="s">
        <v>1154</v>
      </c>
      <c r="L468" s="20" t="s">
        <v>1152</v>
      </c>
      <c r="M468" s="20" t="s">
        <v>1266</v>
      </c>
      <c r="N468" s="20" t="s">
        <v>516</v>
      </c>
      <c r="O468" s="20" t="s">
        <v>628</v>
      </c>
      <c r="P468" s="20">
        <v>10</v>
      </c>
      <c r="Q468" s="20">
        <v>2</v>
      </c>
      <c r="R468" s="20" t="s">
        <v>592</v>
      </c>
      <c r="T468" s="20" t="s">
        <v>640</v>
      </c>
      <c r="U468" s="20" t="s">
        <v>248</v>
      </c>
      <c r="V468" s="20" t="s">
        <v>961</v>
      </c>
      <c r="W468" s="20" t="s">
        <v>1594</v>
      </c>
      <c r="X468" s="20" t="s">
        <v>835</v>
      </c>
      <c r="Y468" s="20">
        <v>5</v>
      </c>
      <c r="Z468" s="20">
        <v>7</v>
      </c>
      <c r="AA468" s="20" t="s">
        <v>592</v>
      </c>
      <c r="AC468" s="20" t="s">
        <v>1158</v>
      </c>
      <c r="AD468" s="20" t="s">
        <v>925</v>
      </c>
      <c r="AE468" s="20" t="s">
        <v>534</v>
      </c>
      <c r="AF468" s="20" t="s">
        <v>914</v>
      </c>
      <c r="AG468" s="20" t="s">
        <v>628</v>
      </c>
      <c r="AH468" s="20">
        <v>10</v>
      </c>
      <c r="AI468" s="20">
        <v>1</v>
      </c>
      <c r="AJ468" s="20" t="s">
        <v>593</v>
      </c>
      <c r="AL468" s="20" t="s">
        <v>646</v>
      </c>
      <c r="AM468" s="20" t="s">
        <v>334</v>
      </c>
      <c r="AN468" s="20" t="s">
        <v>581</v>
      </c>
      <c r="AO468" s="20" t="s">
        <v>721</v>
      </c>
      <c r="AP468" s="20" t="s">
        <v>628</v>
      </c>
      <c r="AQ468" s="20">
        <v>10</v>
      </c>
      <c r="AR468" s="20">
        <v>59</v>
      </c>
      <c r="AS468" s="20" t="s">
        <v>592</v>
      </c>
    </row>
    <row r="469" spans="2:45" ht="15.75" customHeight="1" x14ac:dyDescent="0.2">
      <c r="B469" s="20" t="s">
        <v>1154</v>
      </c>
      <c r="C469" s="20" t="s">
        <v>307</v>
      </c>
      <c r="D469" s="20" t="s">
        <v>567</v>
      </c>
      <c r="E469" s="20" t="s">
        <v>865</v>
      </c>
      <c r="F469" s="20" t="s">
        <v>628</v>
      </c>
      <c r="G469" s="20">
        <v>10</v>
      </c>
      <c r="H469" s="20">
        <v>2</v>
      </c>
      <c r="I469" s="20" t="s">
        <v>593</v>
      </c>
      <c r="K469" s="20" t="s">
        <v>1154</v>
      </c>
      <c r="L469" s="20" t="s">
        <v>1152</v>
      </c>
      <c r="M469" s="20" t="s">
        <v>1861</v>
      </c>
      <c r="N469" s="20" t="s">
        <v>1862</v>
      </c>
      <c r="O469" s="20" t="s">
        <v>628</v>
      </c>
      <c r="P469" s="20">
        <v>10</v>
      </c>
      <c r="Q469" s="20">
        <v>3</v>
      </c>
      <c r="R469" s="20" t="s">
        <v>593</v>
      </c>
      <c r="T469" s="20" t="s">
        <v>1163</v>
      </c>
      <c r="U469" s="20" t="s">
        <v>2091</v>
      </c>
      <c r="V469" s="20" t="s">
        <v>2496</v>
      </c>
      <c r="W469" s="20" t="s">
        <v>2319</v>
      </c>
      <c r="X469" s="20" t="s">
        <v>628</v>
      </c>
      <c r="Y469" s="20">
        <v>10</v>
      </c>
      <c r="Z469" s="20">
        <v>8</v>
      </c>
      <c r="AA469" s="20" t="s">
        <v>592</v>
      </c>
      <c r="AC469" s="20" t="s">
        <v>1147</v>
      </c>
      <c r="AD469" s="20" t="s">
        <v>244</v>
      </c>
      <c r="AE469" s="20" t="s">
        <v>421</v>
      </c>
      <c r="AF469" s="20" t="s">
        <v>2734</v>
      </c>
      <c r="AG469" s="20" t="s">
        <v>835</v>
      </c>
      <c r="AH469" s="20">
        <v>5</v>
      </c>
      <c r="AI469" s="20">
        <v>3</v>
      </c>
      <c r="AJ469" s="20" t="s">
        <v>593</v>
      </c>
      <c r="AL469" s="20" t="s">
        <v>646</v>
      </c>
      <c r="AM469" s="20" t="s">
        <v>334</v>
      </c>
      <c r="AN469" s="20" t="s">
        <v>1772</v>
      </c>
      <c r="AO469" s="20" t="s">
        <v>2343</v>
      </c>
      <c r="AP469" s="20" t="s">
        <v>628</v>
      </c>
      <c r="AQ469" s="20">
        <v>10</v>
      </c>
      <c r="AR469" s="20">
        <v>63</v>
      </c>
      <c r="AS469" s="20" t="s">
        <v>592</v>
      </c>
    </row>
    <row r="470" spans="2:45" ht="15.75" customHeight="1" x14ac:dyDescent="0.2">
      <c r="B470" s="20" t="s">
        <v>1154</v>
      </c>
      <c r="C470" s="20" t="s">
        <v>335</v>
      </c>
      <c r="D470" s="20" t="s">
        <v>711</v>
      </c>
      <c r="E470" s="20" t="s">
        <v>824</v>
      </c>
      <c r="F470" s="20" t="s">
        <v>628</v>
      </c>
      <c r="G470" s="20">
        <v>10</v>
      </c>
      <c r="H470" s="20">
        <v>8</v>
      </c>
      <c r="I470" s="20" t="s">
        <v>592</v>
      </c>
      <c r="K470" s="20" t="s">
        <v>1154</v>
      </c>
      <c r="L470" s="20" t="s">
        <v>1152</v>
      </c>
      <c r="M470" s="20" t="s">
        <v>1863</v>
      </c>
      <c r="N470" s="20" t="s">
        <v>1864</v>
      </c>
      <c r="O470" s="20" t="s">
        <v>628</v>
      </c>
      <c r="P470" s="20">
        <v>10</v>
      </c>
      <c r="Q470" s="20">
        <v>2</v>
      </c>
      <c r="R470" s="20" t="s">
        <v>593</v>
      </c>
      <c r="T470" s="20" t="s">
        <v>2099</v>
      </c>
      <c r="U470" s="20" t="s">
        <v>2109</v>
      </c>
      <c r="V470" s="20" t="s">
        <v>2453</v>
      </c>
      <c r="W470" s="20" t="s">
        <v>2320</v>
      </c>
      <c r="X470" s="20" t="s">
        <v>835</v>
      </c>
      <c r="Y470" s="20">
        <v>5</v>
      </c>
      <c r="Z470" s="20">
        <v>5</v>
      </c>
      <c r="AA470" s="20" t="s">
        <v>592</v>
      </c>
      <c r="AC470" s="20" t="s">
        <v>2099</v>
      </c>
      <c r="AD470" s="20" t="s">
        <v>2112</v>
      </c>
      <c r="AE470" s="20" t="s">
        <v>2527</v>
      </c>
      <c r="AF470" s="20" t="s">
        <v>2735</v>
      </c>
      <c r="AG470" s="20" t="s">
        <v>835</v>
      </c>
      <c r="AH470" s="20">
        <v>5</v>
      </c>
      <c r="AI470" s="20">
        <v>5</v>
      </c>
      <c r="AJ470" s="20" t="s">
        <v>592</v>
      </c>
      <c r="AL470" s="20" t="s">
        <v>646</v>
      </c>
      <c r="AM470" s="20" t="s">
        <v>334</v>
      </c>
      <c r="AN470" s="20" t="s">
        <v>1772</v>
      </c>
      <c r="AO470" s="20" t="s">
        <v>3062</v>
      </c>
      <c r="AP470" s="20" t="s">
        <v>628</v>
      </c>
      <c r="AQ470" s="20">
        <v>10</v>
      </c>
      <c r="AR470" s="20">
        <v>8</v>
      </c>
      <c r="AS470" s="20" t="s">
        <v>592</v>
      </c>
    </row>
    <row r="471" spans="2:45" ht="15.75" customHeight="1" x14ac:dyDescent="0.2">
      <c r="B471" s="20" t="s">
        <v>1154</v>
      </c>
      <c r="C471" s="20" t="s">
        <v>335</v>
      </c>
      <c r="D471" s="20" t="s">
        <v>548</v>
      </c>
      <c r="E471" s="20" t="s">
        <v>1397</v>
      </c>
      <c r="F471" s="20" t="s">
        <v>628</v>
      </c>
      <c r="G471" s="20">
        <v>10</v>
      </c>
      <c r="H471" s="20">
        <v>4</v>
      </c>
      <c r="I471" s="20" t="s">
        <v>593</v>
      </c>
      <c r="K471" s="20" t="s">
        <v>1154</v>
      </c>
      <c r="L471" s="20" t="s">
        <v>1152</v>
      </c>
      <c r="M471" s="20" t="s">
        <v>1865</v>
      </c>
      <c r="N471" s="20" t="s">
        <v>1864</v>
      </c>
      <c r="O471" s="20" t="s">
        <v>628</v>
      </c>
      <c r="P471" s="20">
        <v>10</v>
      </c>
      <c r="Q471" s="20">
        <v>1</v>
      </c>
      <c r="R471" s="20" t="s">
        <v>593</v>
      </c>
      <c r="T471" s="20" t="s">
        <v>1144</v>
      </c>
      <c r="U471" s="20" t="s">
        <v>249</v>
      </c>
      <c r="V471" s="20" t="s">
        <v>563</v>
      </c>
      <c r="W471" s="20" t="s">
        <v>2321</v>
      </c>
      <c r="X471" s="20" t="s">
        <v>835</v>
      </c>
      <c r="Y471" s="20">
        <v>5</v>
      </c>
      <c r="Z471" s="20">
        <v>5</v>
      </c>
      <c r="AA471" s="20" t="s">
        <v>592</v>
      </c>
      <c r="AC471" s="20" t="s">
        <v>2099</v>
      </c>
      <c r="AD471" s="20" t="s">
        <v>2106</v>
      </c>
      <c r="AE471" s="20" t="s">
        <v>2531</v>
      </c>
      <c r="AF471" s="20" t="s">
        <v>2736</v>
      </c>
      <c r="AG471" s="20" t="s">
        <v>835</v>
      </c>
      <c r="AH471" s="20">
        <v>5</v>
      </c>
      <c r="AI471" s="20">
        <v>5</v>
      </c>
      <c r="AJ471" s="20" t="s">
        <v>592</v>
      </c>
      <c r="AL471" s="20" t="s">
        <v>646</v>
      </c>
      <c r="AM471" s="20" t="s">
        <v>334</v>
      </c>
      <c r="AN471" s="20" t="s">
        <v>1545</v>
      </c>
      <c r="AO471" s="20" t="s">
        <v>1544</v>
      </c>
      <c r="AP471" s="20" t="s">
        <v>628</v>
      </c>
      <c r="AQ471" s="20">
        <v>10</v>
      </c>
      <c r="AR471" s="20">
        <v>74</v>
      </c>
      <c r="AS471" s="20" t="s">
        <v>592</v>
      </c>
    </row>
    <row r="472" spans="2:45" ht="15.75" customHeight="1" x14ac:dyDescent="0.2">
      <c r="B472" s="20" t="s">
        <v>1154</v>
      </c>
      <c r="C472" s="20" t="s">
        <v>1152</v>
      </c>
      <c r="D472" s="20" t="s">
        <v>574</v>
      </c>
      <c r="E472" s="20" t="s">
        <v>1398</v>
      </c>
      <c r="F472" s="20" t="s">
        <v>628</v>
      </c>
      <c r="G472" s="20">
        <v>10</v>
      </c>
      <c r="H472" s="20">
        <v>7</v>
      </c>
      <c r="I472" s="20" t="s">
        <v>592</v>
      </c>
      <c r="K472" s="20" t="s">
        <v>1154</v>
      </c>
      <c r="L472" s="20" t="s">
        <v>307</v>
      </c>
      <c r="M472" s="20" t="s">
        <v>763</v>
      </c>
      <c r="N472" s="20" t="s">
        <v>565</v>
      </c>
      <c r="O472" s="20" t="s">
        <v>628</v>
      </c>
      <c r="P472" s="20">
        <v>10</v>
      </c>
      <c r="Q472" s="20">
        <v>6</v>
      </c>
      <c r="R472" s="20" t="s">
        <v>593</v>
      </c>
      <c r="T472" s="20" t="s">
        <v>1162</v>
      </c>
      <c r="U472" s="20" t="s">
        <v>240</v>
      </c>
      <c r="V472" s="20" t="s">
        <v>2497</v>
      </c>
      <c r="W472" s="20" t="s">
        <v>2322</v>
      </c>
      <c r="X472" s="20" t="s">
        <v>835</v>
      </c>
      <c r="Y472" s="20">
        <v>5</v>
      </c>
      <c r="Z472" s="20">
        <v>1</v>
      </c>
      <c r="AA472" s="20" t="s">
        <v>593</v>
      </c>
      <c r="AC472" s="20" t="s">
        <v>1144</v>
      </c>
      <c r="AD472" s="20" t="s">
        <v>249</v>
      </c>
      <c r="AE472" s="20" t="s">
        <v>563</v>
      </c>
      <c r="AF472" s="20" t="s">
        <v>2321</v>
      </c>
      <c r="AG472" s="20" t="s">
        <v>835</v>
      </c>
      <c r="AH472" s="20">
        <v>5</v>
      </c>
      <c r="AI472" s="20">
        <v>7</v>
      </c>
      <c r="AJ472" s="20" t="s">
        <v>592</v>
      </c>
      <c r="AL472" s="20" t="s">
        <v>646</v>
      </c>
      <c r="AM472" s="20" t="s">
        <v>334</v>
      </c>
      <c r="AN472" s="20" t="s">
        <v>508</v>
      </c>
      <c r="AO472" s="20" t="s">
        <v>3063</v>
      </c>
      <c r="AP472" s="20" t="s">
        <v>628</v>
      </c>
      <c r="AQ472" s="20">
        <v>10</v>
      </c>
      <c r="AR472" s="20">
        <v>36</v>
      </c>
      <c r="AS472" s="20" t="s">
        <v>592</v>
      </c>
    </row>
    <row r="473" spans="2:45" ht="15.75" customHeight="1" x14ac:dyDescent="0.2">
      <c r="B473" s="20" t="s">
        <v>1154</v>
      </c>
      <c r="C473" s="20" t="s">
        <v>1152</v>
      </c>
      <c r="D473" s="20" t="s">
        <v>574</v>
      </c>
      <c r="E473" s="20" t="s">
        <v>1399</v>
      </c>
      <c r="F473" s="20" t="s">
        <v>628</v>
      </c>
      <c r="G473" s="20">
        <v>10</v>
      </c>
      <c r="H473" s="20">
        <v>1</v>
      </c>
      <c r="I473" s="20" t="s">
        <v>592</v>
      </c>
      <c r="K473" s="20" t="s">
        <v>1154</v>
      </c>
      <c r="L473" s="20" t="s">
        <v>1152</v>
      </c>
      <c r="M473" s="20" t="s">
        <v>1866</v>
      </c>
      <c r="N473" s="20" t="s">
        <v>1867</v>
      </c>
      <c r="O473" s="20" t="s">
        <v>628</v>
      </c>
      <c r="P473" s="20">
        <v>10</v>
      </c>
      <c r="Q473" s="20">
        <v>1</v>
      </c>
      <c r="R473" s="20" t="s">
        <v>593</v>
      </c>
      <c r="T473" s="20" t="s">
        <v>646</v>
      </c>
      <c r="U473" s="20" t="s">
        <v>285</v>
      </c>
      <c r="V473" s="20" t="s">
        <v>458</v>
      </c>
      <c r="W473" s="20" t="s">
        <v>1902</v>
      </c>
      <c r="X473" s="20" t="s">
        <v>835</v>
      </c>
      <c r="Y473" s="20">
        <v>5</v>
      </c>
      <c r="Z473" s="20">
        <v>1</v>
      </c>
      <c r="AA473" s="20" t="s">
        <v>593</v>
      </c>
      <c r="AC473" s="20" t="s">
        <v>1144</v>
      </c>
      <c r="AD473" s="20" t="s">
        <v>707</v>
      </c>
      <c r="AE473" s="20" t="s">
        <v>1955</v>
      </c>
      <c r="AF473" s="20" t="s">
        <v>1954</v>
      </c>
      <c r="AG473" s="20" t="s">
        <v>835</v>
      </c>
      <c r="AH473" s="20">
        <v>5</v>
      </c>
      <c r="AI473" s="20">
        <v>6</v>
      </c>
      <c r="AJ473" s="20" t="s">
        <v>592</v>
      </c>
      <c r="AL473" s="20" t="s">
        <v>646</v>
      </c>
      <c r="AM473" s="20" t="s">
        <v>334</v>
      </c>
      <c r="AN473" s="20" t="s">
        <v>508</v>
      </c>
      <c r="AO473" s="20" t="s">
        <v>2179</v>
      </c>
      <c r="AP473" s="20" t="s">
        <v>628</v>
      </c>
      <c r="AQ473" s="20">
        <v>10</v>
      </c>
      <c r="AR473" s="20">
        <v>9</v>
      </c>
      <c r="AS473" s="20" t="s">
        <v>592</v>
      </c>
    </row>
    <row r="474" spans="2:45" ht="15.75" customHeight="1" x14ac:dyDescent="0.2">
      <c r="B474" s="20" t="s">
        <v>646</v>
      </c>
      <c r="C474" s="20" t="s">
        <v>285</v>
      </c>
      <c r="D474" s="20" t="s">
        <v>877</v>
      </c>
      <c r="E474" s="20" t="s">
        <v>1026</v>
      </c>
      <c r="F474" s="20" t="s">
        <v>835</v>
      </c>
      <c r="G474" s="20">
        <v>5</v>
      </c>
      <c r="H474" s="20">
        <v>5</v>
      </c>
      <c r="I474" s="20" t="s">
        <v>592</v>
      </c>
      <c r="K474" s="20" t="s">
        <v>1154</v>
      </c>
      <c r="L474" s="20" t="s">
        <v>335</v>
      </c>
      <c r="M474" s="20" t="s">
        <v>1411</v>
      </c>
      <c r="N474" s="20" t="s">
        <v>474</v>
      </c>
      <c r="O474" s="20" t="s">
        <v>835</v>
      </c>
      <c r="P474" s="20">
        <v>5</v>
      </c>
      <c r="Q474" s="20">
        <v>4</v>
      </c>
      <c r="R474" s="20" t="s">
        <v>593</v>
      </c>
      <c r="T474" s="20" t="s">
        <v>646</v>
      </c>
      <c r="U474" s="20" t="s">
        <v>209</v>
      </c>
      <c r="V474" s="20" t="s">
        <v>410</v>
      </c>
      <c r="W474" s="20" t="s">
        <v>2323</v>
      </c>
      <c r="X474" s="20" t="s">
        <v>835</v>
      </c>
      <c r="Y474" s="20">
        <v>5</v>
      </c>
      <c r="Z474" s="20">
        <v>5</v>
      </c>
      <c r="AA474" s="20" t="s">
        <v>592</v>
      </c>
      <c r="AC474" s="20" t="s">
        <v>1161</v>
      </c>
      <c r="AD474" s="20" t="s">
        <v>117</v>
      </c>
      <c r="AE474" s="20" t="s">
        <v>541</v>
      </c>
      <c r="AF474" s="20" t="s">
        <v>2201</v>
      </c>
      <c r="AG474" s="20" t="s">
        <v>835</v>
      </c>
      <c r="AH474" s="20">
        <v>5</v>
      </c>
      <c r="AI474" s="20">
        <v>2</v>
      </c>
      <c r="AJ474" s="20" t="s">
        <v>593</v>
      </c>
      <c r="AL474" s="20" t="s">
        <v>646</v>
      </c>
      <c r="AM474" s="20" t="s">
        <v>334</v>
      </c>
      <c r="AN474" s="20" t="s">
        <v>522</v>
      </c>
      <c r="AO474" s="20" t="s">
        <v>2344</v>
      </c>
      <c r="AP474" s="20" t="s">
        <v>628</v>
      </c>
      <c r="AQ474" s="20">
        <v>10</v>
      </c>
      <c r="AR474" s="20">
        <v>8</v>
      </c>
      <c r="AS474" s="20" t="s">
        <v>592</v>
      </c>
    </row>
    <row r="475" spans="2:45" ht="15.75" customHeight="1" x14ac:dyDescent="0.2">
      <c r="B475" s="20" t="s">
        <v>646</v>
      </c>
      <c r="C475" s="20" t="s">
        <v>285</v>
      </c>
      <c r="D475" s="20" t="s">
        <v>425</v>
      </c>
      <c r="E475" s="20" t="s">
        <v>823</v>
      </c>
      <c r="F475" s="20" t="s">
        <v>628</v>
      </c>
      <c r="G475" s="20">
        <v>10</v>
      </c>
      <c r="H475" s="20">
        <v>3</v>
      </c>
      <c r="I475" s="20" t="s">
        <v>593</v>
      </c>
      <c r="K475" s="20" t="s">
        <v>1154</v>
      </c>
      <c r="L475" s="20" t="s">
        <v>335</v>
      </c>
      <c r="M475" s="20" t="s">
        <v>1868</v>
      </c>
      <c r="N475" s="20" t="s">
        <v>548</v>
      </c>
      <c r="O475" s="20" t="s">
        <v>835</v>
      </c>
      <c r="P475" s="20">
        <v>5</v>
      </c>
      <c r="Q475" s="20">
        <v>2</v>
      </c>
      <c r="R475" s="20" t="s">
        <v>593</v>
      </c>
      <c r="T475" s="20" t="s">
        <v>1161</v>
      </c>
      <c r="U475" s="20" t="s">
        <v>765</v>
      </c>
      <c r="V475" s="20" t="s">
        <v>463</v>
      </c>
      <c r="W475" s="20" t="s">
        <v>1684</v>
      </c>
      <c r="X475" s="20" t="s">
        <v>835</v>
      </c>
      <c r="Y475" s="20">
        <v>5</v>
      </c>
      <c r="Z475" s="20">
        <v>7</v>
      </c>
      <c r="AA475" s="20" t="s">
        <v>592</v>
      </c>
      <c r="AC475" s="20" t="s">
        <v>1161</v>
      </c>
      <c r="AD475" s="20" t="s">
        <v>117</v>
      </c>
      <c r="AE475" s="20" t="s">
        <v>1518</v>
      </c>
      <c r="AF475" s="20" t="s">
        <v>2737</v>
      </c>
      <c r="AG475" s="20" t="s">
        <v>835</v>
      </c>
      <c r="AH475" s="20">
        <v>5</v>
      </c>
      <c r="AI475" s="20">
        <v>1</v>
      </c>
      <c r="AJ475" s="20" t="s">
        <v>593</v>
      </c>
      <c r="AL475" s="20" t="s">
        <v>646</v>
      </c>
      <c r="AM475" s="20" t="s">
        <v>334</v>
      </c>
      <c r="AN475" s="20" t="s">
        <v>2833</v>
      </c>
      <c r="AO475" s="20" t="s">
        <v>3064</v>
      </c>
      <c r="AP475" s="20" t="s">
        <v>835</v>
      </c>
      <c r="AQ475" s="20">
        <v>5</v>
      </c>
      <c r="AR475" s="20">
        <v>1</v>
      </c>
      <c r="AS475" s="20" t="s">
        <v>593</v>
      </c>
    </row>
    <row r="476" spans="2:45" ht="15.75" customHeight="1" x14ac:dyDescent="0.2">
      <c r="B476" s="20" t="s">
        <v>646</v>
      </c>
      <c r="C476" s="20" t="s">
        <v>285</v>
      </c>
      <c r="D476" s="20" t="s">
        <v>459</v>
      </c>
      <c r="E476" s="20" t="s">
        <v>983</v>
      </c>
      <c r="F476" s="20" t="s">
        <v>835</v>
      </c>
      <c r="G476" s="20">
        <v>5</v>
      </c>
      <c r="H476" s="20">
        <v>5</v>
      </c>
      <c r="I476" s="20" t="s">
        <v>592</v>
      </c>
      <c r="K476" s="20" t="s">
        <v>1154</v>
      </c>
      <c r="L476" s="20" t="s">
        <v>335</v>
      </c>
      <c r="M476" s="20" t="s">
        <v>1500</v>
      </c>
      <c r="N476" s="20" t="s">
        <v>1501</v>
      </c>
      <c r="O476" s="20" t="s">
        <v>835</v>
      </c>
      <c r="P476" s="20">
        <v>5</v>
      </c>
      <c r="Q476" s="20">
        <v>5</v>
      </c>
      <c r="R476" s="20" t="s">
        <v>592</v>
      </c>
      <c r="T476" s="20" t="s">
        <v>1163</v>
      </c>
      <c r="U476" s="20" t="s">
        <v>57</v>
      </c>
      <c r="V476" s="20" t="s">
        <v>361</v>
      </c>
      <c r="W476" s="20" t="s">
        <v>1497</v>
      </c>
      <c r="X476" s="20" t="s">
        <v>835</v>
      </c>
      <c r="Y476" s="20">
        <v>5</v>
      </c>
      <c r="Z476" s="20">
        <v>1</v>
      </c>
      <c r="AA476" s="20" t="s">
        <v>593</v>
      </c>
      <c r="AC476" s="20" t="s">
        <v>1161</v>
      </c>
      <c r="AD476" s="20" t="s">
        <v>117</v>
      </c>
      <c r="AE476" s="20" t="s">
        <v>1907</v>
      </c>
      <c r="AF476" s="20" t="s">
        <v>1906</v>
      </c>
      <c r="AG476" s="20" t="s">
        <v>835</v>
      </c>
      <c r="AH476" s="20">
        <v>5</v>
      </c>
      <c r="AI476" s="20">
        <v>1</v>
      </c>
      <c r="AJ476" s="20" t="s">
        <v>593</v>
      </c>
      <c r="AL476" s="20" t="s">
        <v>646</v>
      </c>
      <c r="AM476" s="20" t="s">
        <v>334</v>
      </c>
      <c r="AN476" s="20" t="s">
        <v>486</v>
      </c>
      <c r="AO476" s="20" t="s">
        <v>796</v>
      </c>
      <c r="AP476" s="20" t="s">
        <v>628</v>
      </c>
      <c r="AQ476" s="20">
        <v>10</v>
      </c>
      <c r="AR476" s="20">
        <v>38</v>
      </c>
      <c r="AS476" s="20" t="s">
        <v>592</v>
      </c>
    </row>
    <row r="477" spans="2:45" ht="15.75" customHeight="1" x14ac:dyDescent="0.2">
      <c r="B477" s="20" t="s">
        <v>646</v>
      </c>
      <c r="C477" s="20" t="s">
        <v>334</v>
      </c>
      <c r="D477" s="20" t="s">
        <v>581</v>
      </c>
      <c r="E477" s="20" t="s">
        <v>721</v>
      </c>
      <c r="F477" s="20" t="s">
        <v>628</v>
      </c>
      <c r="G477" s="20">
        <v>10</v>
      </c>
      <c r="H477" s="20">
        <v>8</v>
      </c>
      <c r="I477" s="20" t="s">
        <v>592</v>
      </c>
      <c r="K477" s="20" t="s">
        <v>1154</v>
      </c>
      <c r="L477" s="20" t="s">
        <v>335</v>
      </c>
      <c r="M477" s="20" t="s">
        <v>985</v>
      </c>
      <c r="N477" s="20" t="s">
        <v>566</v>
      </c>
      <c r="O477" s="20" t="s">
        <v>835</v>
      </c>
      <c r="P477" s="20">
        <v>5</v>
      </c>
      <c r="Q477" s="20">
        <v>2</v>
      </c>
      <c r="R477" s="20" t="s">
        <v>593</v>
      </c>
      <c r="T477" s="20" t="s">
        <v>1141</v>
      </c>
      <c r="U477" s="20" t="s">
        <v>224</v>
      </c>
      <c r="V477" s="20" t="s">
        <v>388</v>
      </c>
      <c r="W477" s="20" t="s">
        <v>1119</v>
      </c>
      <c r="X477" s="20" t="s">
        <v>835</v>
      </c>
      <c r="Y477" s="20">
        <v>5</v>
      </c>
      <c r="Z477" s="20">
        <v>2</v>
      </c>
      <c r="AA477" s="20" t="s">
        <v>593</v>
      </c>
      <c r="AC477" s="20" t="s">
        <v>1141</v>
      </c>
      <c r="AD477" s="20" t="s">
        <v>218</v>
      </c>
      <c r="AE477" s="20" t="s">
        <v>492</v>
      </c>
      <c r="AF477" s="20" t="s">
        <v>2438</v>
      </c>
      <c r="AG477" s="20" t="s">
        <v>835</v>
      </c>
      <c r="AH477" s="20">
        <v>5</v>
      </c>
      <c r="AI477" s="20">
        <v>5</v>
      </c>
      <c r="AJ477" s="20" t="s">
        <v>592</v>
      </c>
      <c r="AL477" s="20" t="s">
        <v>646</v>
      </c>
      <c r="AM477" s="20" t="s">
        <v>246</v>
      </c>
      <c r="AN477" s="20" t="s">
        <v>523</v>
      </c>
      <c r="AO477" s="20" t="s">
        <v>1971</v>
      </c>
      <c r="AP477" s="20" t="s">
        <v>628</v>
      </c>
      <c r="AQ477" s="20">
        <v>10</v>
      </c>
      <c r="AR477" s="20">
        <v>50</v>
      </c>
      <c r="AS477" s="20" t="s">
        <v>592</v>
      </c>
    </row>
    <row r="478" spans="2:45" ht="15.75" customHeight="1" x14ac:dyDescent="0.2">
      <c r="B478" s="20" t="s">
        <v>646</v>
      </c>
      <c r="C478" s="20" t="s">
        <v>285</v>
      </c>
      <c r="D478" s="20" t="s">
        <v>458</v>
      </c>
      <c r="E478" s="20" t="s">
        <v>795</v>
      </c>
      <c r="F478" s="20" t="s">
        <v>628</v>
      </c>
      <c r="G478" s="20">
        <v>10</v>
      </c>
      <c r="H478" s="20">
        <v>8</v>
      </c>
      <c r="I478" s="20" t="s">
        <v>592</v>
      </c>
      <c r="K478" s="20" t="s">
        <v>1154</v>
      </c>
      <c r="L478" s="20" t="s">
        <v>217</v>
      </c>
      <c r="M478" s="20" t="s">
        <v>1869</v>
      </c>
      <c r="N478" s="20" t="s">
        <v>577</v>
      </c>
      <c r="O478" s="20" t="s">
        <v>835</v>
      </c>
      <c r="P478" s="20">
        <v>5</v>
      </c>
      <c r="Q478" s="20">
        <v>4</v>
      </c>
      <c r="R478" s="20" t="s">
        <v>593</v>
      </c>
      <c r="T478" s="20" t="s">
        <v>1144</v>
      </c>
      <c r="U478" s="20" t="s">
        <v>707</v>
      </c>
      <c r="V478" s="20" t="s">
        <v>2498</v>
      </c>
      <c r="W478" s="20" t="s">
        <v>2324</v>
      </c>
      <c r="X478" s="20" t="s">
        <v>835</v>
      </c>
      <c r="Y478" s="20">
        <v>5</v>
      </c>
      <c r="Z478" s="20">
        <v>5</v>
      </c>
      <c r="AA478" s="20" t="s">
        <v>592</v>
      </c>
      <c r="AC478" s="20" t="s">
        <v>1154</v>
      </c>
      <c r="AD478" s="20" t="s">
        <v>307</v>
      </c>
      <c r="AE478" s="20" t="s">
        <v>565</v>
      </c>
      <c r="AF478" s="20" t="s">
        <v>2133</v>
      </c>
      <c r="AG478" s="20" t="s">
        <v>835</v>
      </c>
      <c r="AH478" s="20">
        <v>5</v>
      </c>
      <c r="AI478" s="20">
        <v>4</v>
      </c>
      <c r="AJ478" s="20" t="s">
        <v>593</v>
      </c>
      <c r="AL478" s="20" t="s">
        <v>646</v>
      </c>
      <c r="AM478" s="20" t="s">
        <v>246</v>
      </c>
      <c r="AN478" s="20" t="s">
        <v>523</v>
      </c>
      <c r="AO478" s="20" t="s">
        <v>903</v>
      </c>
      <c r="AP478" s="20" t="s">
        <v>628</v>
      </c>
      <c r="AQ478" s="20">
        <v>10</v>
      </c>
      <c r="AR478" s="20">
        <v>6</v>
      </c>
      <c r="AS478" s="20" t="s">
        <v>592</v>
      </c>
    </row>
    <row r="479" spans="2:45" ht="15.75" customHeight="1" x14ac:dyDescent="0.2">
      <c r="B479" s="20" t="s">
        <v>646</v>
      </c>
      <c r="C479" s="20" t="s">
        <v>303</v>
      </c>
      <c r="D479" s="20" t="s">
        <v>429</v>
      </c>
      <c r="E479" s="20" t="s">
        <v>1400</v>
      </c>
      <c r="F479" s="20" t="s">
        <v>628</v>
      </c>
      <c r="G479" s="20">
        <v>10</v>
      </c>
      <c r="H479" s="20">
        <v>8</v>
      </c>
      <c r="I479" s="20" t="s">
        <v>592</v>
      </c>
      <c r="K479" s="20" t="s">
        <v>1154</v>
      </c>
      <c r="L479" s="20" t="s">
        <v>217</v>
      </c>
      <c r="M479" s="20" t="s">
        <v>1477</v>
      </c>
      <c r="N479" s="20" t="s">
        <v>578</v>
      </c>
      <c r="O479" s="20" t="s">
        <v>835</v>
      </c>
      <c r="P479" s="20">
        <v>5</v>
      </c>
      <c r="Q479" s="20">
        <v>2</v>
      </c>
      <c r="R479" s="20" t="s">
        <v>593</v>
      </c>
      <c r="T479" s="20" t="s">
        <v>1144</v>
      </c>
      <c r="U479" s="20" t="s">
        <v>707</v>
      </c>
      <c r="V479" s="20" t="s">
        <v>956</v>
      </c>
      <c r="W479" s="20" t="s">
        <v>2166</v>
      </c>
      <c r="X479" s="20" t="s">
        <v>835</v>
      </c>
      <c r="Y479" s="20">
        <v>5</v>
      </c>
      <c r="Z479" s="20">
        <v>6</v>
      </c>
      <c r="AA479" s="20" t="s">
        <v>592</v>
      </c>
      <c r="AC479" s="20" t="s">
        <v>2099</v>
      </c>
      <c r="AD479" s="20" t="s">
        <v>2144</v>
      </c>
      <c r="AE479" s="20" t="s">
        <v>2526</v>
      </c>
      <c r="AF479" s="20" t="s">
        <v>2738</v>
      </c>
      <c r="AG479" s="20" t="s">
        <v>835</v>
      </c>
      <c r="AH479" s="20">
        <v>5</v>
      </c>
      <c r="AI479" s="20">
        <v>10</v>
      </c>
      <c r="AJ479" s="20" t="s">
        <v>592</v>
      </c>
      <c r="AL479" s="20" t="s">
        <v>646</v>
      </c>
      <c r="AM479" s="20" t="s">
        <v>246</v>
      </c>
      <c r="AN479" s="20" t="s">
        <v>1770</v>
      </c>
      <c r="AO479" s="20" t="s">
        <v>2724</v>
      </c>
      <c r="AP479" s="20" t="s">
        <v>628</v>
      </c>
      <c r="AQ479" s="20">
        <v>10</v>
      </c>
      <c r="AR479" s="20">
        <v>36</v>
      </c>
      <c r="AS479" s="20" t="s">
        <v>592</v>
      </c>
    </row>
    <row r="480" spans="2:45" ht="15.75" customHeight="1" x14ac:dyDescent="0.2">
      <c r="B480" s="20" t="s">
        <v>1147</v>
      </c>
      <c r="C480" s="20" t="s">
        <v>699</v>
      </c>
      <c r="D480" s="20" t="s">
        <v>489</v>
      </c>
      <c r="E480" s="20" t="s">
        <v>1282</v>
      </c>
      <c r="F480" s="20" t="s">
        <v>628</v>
      </c>
      <c r="G480" s="20">
        <v>10</v>
      </c>
      <c r="H480" s="20">
        <v>16</v>
      </c>
      <c r="I480" s="20" t="s">
        <v>592</v>
      </c>
      <c r="K480" s="20" t="s">
        <v>1154</v>
      </c>
      <c r="L480" s="20" t="s">
        <v>1152</v>
      </c>
      <c r="M480" s="20" t="s">
        <v>1502</v>
      </c>
      <c r="N480" s="20" t="s">
        <v>520</v>
      </c>
      <c r="O480" s="20" t="s">
        <v>835</v>
      </c>
      <c r="P480" s="20">
        <v>5</v>
      </c>
      <c r="Q480" s="20">
        <v>6</v>
      </c>
      <c r="R480" s="20" t="s">
        <v>592</v>
      </c>
      <c r="T480" s="20" t="s">
        <v>1162</v>
      </c>
      <c r="U480" s="20" t="s">
        <v>240</v>
      </c>
      <c r="V480" s="20" t="s">
        <v>1638</v>
      </c>
      <c r="W480" s="20" t="s">
        <v>2325</v>
      </c>
      <c r="X480" s="20" t="s">
        <v>628</v>
      </c>
      <c r="Y480" s="20">
        <v>10</v>
      </c>
      <c r="Z480" s="20">
        <v>9</v>
      </c>
      <c r="AA480" s="20" t="s">
        <v>592</v>
      </c>
      <c r="AC480" s="20" t="s">
        <v>1144</v>
      </c>
      <c r="AD480" s="20" t="s">
        <v>249</v>
      </c>
      <c r="AE480" s="20" t="s">
        <v>562</v>
      </c>
      <c r="AF480" s="20" t="s">
        <v>1994</v>
      </c>
      <c r="AG480" s="20" t="s">
        <v>835</v>
      </c>
      <c r="AH480" s="20">
        <v>5</v>
      </c>
      <c r="AI480" s="20">
        <v>6</v>
      </c>
      <c r="AJ480" s="20" t="s">
        <v>592</v>
      </c>
      <c r="AL480" s="20" t="s">
        <v>646</v>
      </c>
      <c r="AM480" s="20" t="s">
        <v>246</v>
      </c>
      <c r="AN480" s="20" t="s">
        <v>368</v>
      </c>
      <c r="AO480" s="20" t="s">
        <v>3065</v>
      </c>
      <c r="AP480" s="20" t="s">
        <v>628</v>
      </c>
      <c r="AQ480" s="20">
        <v>10</v>
      </c>
      <c r="AR480" s="20">
        <v>5</v>
      </c>
      <c r="AS480" s="20" t="s">
        <v>592</v>
      </c>
    </row>
    <row r="481" spans="2:45" ht="15.75" customHeight="1" x14ac:dyDescent="0.2">
      <c r="B481" s="20" t="s">
        <v>1154</v>
      </c>
      <c r="C481" s="20" t="s">
        <v>217</v>
      </c>
      <c r="D481" s="20" t="s">
        <v>576</v>
      </c>
      <c r="E481" s="20" t="s">
        <v>743</v>
      </c>
      <c r="F481" s="20" t="s">
        <v>835</v>
      </c>
      <c r="G481" s="20">
        <v>5</v>
      </c>
      <c r="H481" s="20">
        <v>3</v>
      </c>
      <c r="I481" s="20" t="s">
        <v>593</v>
      </c>
      <c r="K481" s="20" t="s">
        <v>1154</v>
      </c>
      <c r="L481" s="20" t="s">
        <v>217</v>
      </c>
      <c r="M481" s="20" t="s">
        <v>1870</v>
      </c>
      <c r="N481" s="20" t="s">
        <v>1871</v>
      </c>
      <c r="O481" s="20" t="s">
        <v>835</v>
      </c>
      <c r="P481" s="20">
        <v>5</v>
      </c>
      <c r="Q481" s="20">
        <v>1</v>
      </c>
      <c r="R481" s="20" t="s">
        <v>593</v>
      </c>
      <c r="T481" s="20" t="s">
        <v>1147</v>
      </c>
      <c r="U481" s="20" t="s">
        <v>222</v>
      </c>
      <c r="V481" s="20" t="s">
        <v>1957</v>
      </c>
      <c r="W481" s="20" t="s">
        <v>1956</v>
      </c>
      <c r="X481" s="20" t="s">
        <v>628</v>
      </c>
      <c r="Y481" s="20">
        <v>10</v>
      </c>
      <c r="Z481" s="20">
        <v>8</v>
      </c>
      <c r="AA481" s="20" t="s">
        <v>592</v>
      </c>
      <c r="AC481" s="20" t="s">
        <v>2099</v>
      </c>
      <c r="AD481" s="20" t="s">
        <v>2112</v>
      </c>
      <c r="AE481" s="20" t="s">
        <v>2527</v>
      </c>
      <c r="AF481" s="20" t="s">
        <v>2653</v>
      </c>
      <c r="AG481" s="20" t="s">
        <v>2514</v>
      </c>
      <c r="AH481" s="20">
        <v>3</v>
      </c>
      <c r="AI481" s="20">
        <v>6</v>
      </c>
      <c r="AJ481" s="20" t="s">
        <v>592</v>
      </c>
      <c r="AL481" s="20" t="s">
        <v>646</v>
      </c>
      <c r="AM481" s="20" t="s">
        <v>246</v>
      </c>
      <c r="AN481" s="20" t="s">
        <v>368</v>
      </c>
      <c r="AO481" s="20" t="s">
        <v>995</v>
      </c>
      <c r="AP481" s="20" t="s">
        <v>628</v>
      </c>
      <c r="AQ481" s="20">
        <v>10</v>
      </c>
      <c r="AR481" s="20">
        <v>45</v>
      </c>
      <c r="AS481" s="20" t="s">
        <v>592</v>
      </c>
    </row>
    <row r="482" spans="2:45" ht="15.75" customHeight="1" x14ac:dyDescent="0.2">
      <c r="B482" s="20" t="s">
        <v>1144</v>
      </c>
      <c r="C482" s="20" t="s">
        <v>804</v>
      </c>
      <c r="D482" s="20" t="s">
        <v>559</v>
      </c>
      <c r="E482" s="20" t="s">
        <v>989</v>
      </c>
      <c r="F482" s="20" t="s">
        <v>628</v>
      </c>
      <c r="G482" s="20">
        <v>10</v>
      </c>
      <c r="H482" s="20">
        <v>8</v>
      </c>
      <c r="I482" s="20" t="s">
        <v>592</v>
      </c>
      <c r="K482" s="20" t="s">
        <v>1154</v>
      </c>
      <c r="L482" s="20" t="s">
        <v>307</v>
      </c>
      <c r="M482" s="20" t="s">
        <v>1335</v>
      </c>
      <c r="N482" s="20" t="s">
        <v>549</v>
      </c>
      <c r="O482" s="20" t="s">
        <v>835</v>
      </c>
      <c r="P482" s="20">
        <v>5</v>
      </c>
      <c r="Q482" s="20">
        <v>1</v>
      </c>
      <c r="R482" s="20" t="s">
        <v>593</v>
      </c>
      <c r="T482" s="20" t="s">
        <v>2099</v>
      </c>
      <c r="U482" s="20" t="s">
        <v>2106</v>
      </c>
      <c r="V482" s="20" t="s">
        <v>2452</v>
      </c>
      <c r="W482" s="20" t="s">
        <v>2326</v>
      </c>
      <c r="X482" s="20" t="s">
        <v>835</v>
      </c>
      <c r="Y482" s="20">
        <v>5</v>
      </c>
      <c r="Z482" s="20">
        <v>4</v>
      </c>
      <c r="AA482" s="20" t="s">
        <v>592</v>
      </c>
      <c r="AC482" s="20" t="s">
        <v>2099</v>
      </c>
      <c r="AD482" s="20" t="s">
        <v>2106</v>
      </c>
      <c r="AE482" s="20" t="s">
        <v>2531</v>
      </c>
      <c r="AF482" s="20" t="s">
        <v>2654</v>
      </c>
      <c r="AG482" s="20" t="s">
        <v>2514</v>
      </c>
      <c r="AH482" s="20">
        <v>3</v>
      </c>
      <c r="AI482" s="20">
        <v>6</v>
      </c>
      <c r="AJ482" s="20" t="s">
        <v>592</v>
      </c>
      <c r="AL482" s="20" t="s">
        <v>646</v>
      </c>
      <c r="AM482" s="20" t="s">
        <v>246</v>
      </c>
      <c r="AN482" s="20" t="s">
        <v>2834</v>
      </c>
      <c r="AO482" s="20" t="s">
        <v>3066</v>
      </c>
      <c r="AP482" s="20" t="s">
        <v>628</v>
      </c>
      <c r="AQ482" s="20">
        <v>10</v>
      </c>
      <c r="AR482" s="20">
        <v>22</v>
      </c>
      <c r="AS482" s="20" t="s">
        <v>592</v>
      </c>
    </row>
    <row r="483" spans="2:45" ht="15.75" customHeight="1" x14ac:dyDescent="0.2">
      <c r="B483" s="20" t="s">
        <v>646</v>
      </c>
      <c r="C483" s="20" t="s">
        <v>298</v>
      </c>
      <c r="D483" s="20" t="s">
        <v>424</v>
      </c>
      <c r="E483" s="20" t="s">
        <v>1259</v>
      </c>
      <c r="F483" s="20" t="s">
        <v>628</v>
      </c>
      <c r="G483" s="20">
        <v>10</v>
      </c>
      <c r="H483" s="20">
        <v>5</v>
      </c>
      <c r="I483" s="20" t="s">
        <v>593</v>
      </c>
      <c r="K483" s="20" t="s">
        <v>1154</v>
      </c>
      <c r="L483" s="20" t="s">
        <v>307</v>
      </c>
      <c r="M483" s="20" t="s">
        <v>723</v>
      </c>
      <c r="N483" s="20" t="s">
        <v>514</v>
      </c>
      <c r="O483" s="20" t="s">
        <v>835</v>
      </c>
      <c r="P483" s="20">
        <v>5</v>
      </c>
      <c r="Q483" s="20">
        <v>6</v>
      </c>
      <c r="R483" s="20" t="s">
        <v>592</v>
      </c>
      <c r="T483" s="20" t="s">
        <v>2099</v>
      </c>
      <c r="U483" s="20" t="s">
        <v>2106</v>
      </c>
      <c r="V483" s="20" t="s">
        <v>2452</v>
      </c>
      <c r="W483" s="20" t="s">
        <v>2327</v>
      </c>
      <c r="X483" s="20" t="s">
        <v>835</v>
      </c>
      <c r="Y483" s="20">
        <v>5</v>
      </c>
      <c r="Z483" s="20">
        <v>1</v>
      </c>
      <c r="AA483" s="20" t="s">
        <v>592</v>
      </c>
      <c r="AC483" s="20" t="s">
        <v>2099</v>
      </c>
      <c r="AD483" s="20" t="s">
        <v>2144</v>
      </c>
      <c r="AE483" s="20" t="s">
        <v>2526</v>
      </c>
      <c r="AF483" s="20" t="s">
        <v>2652</v>
      </c>
      <c r="AG483" s="20" t="s">
        <v>2514</v>
      </c>
      <c r="AH483" s="20">
        <v>3</v>
      </c>
      <c r="AI483" s="20">
        <v>21</v>
      </c>
      <c r="AJ483" s="20" t="s">
        <v>592</v>
      </c>
      <c r="AL483" s="20" t="s">
        <v>646</v>
      </c>
      <c r="AM483" s="20" t="s">
        <v>246</v>
      </c>
      <c r="AN483" s="20" t="s">
        <v>1802</v>
      </c>
      <c r="AO483" s="20" t="s">
        <v>1801</v>
      </c>
      <c r="AP483" s="20" t="s">
        <v>628</v>
      </c>
      <c r="AQ483" s="20">
        <v>10</v>
      </c>
      <c r="AR483" s="20">
        <v>22</v>
      </c>
      <c r="AS483" s="20" t="s">
        <v>592</v>
      </c>
    </row>
    <row r="484" spans="2:45" ht="15.75" customHeight="1" x14ac:dyDescent="0.2">
      <c r="B484" s="20" t="s">
        <v>1149</v>
      </c>
      <c r="C484" s="20" t="s">
        <v>806</v>
      </c>
      <c r="D484" s="20" t="s">
        <v>502</v>
      </c>
      <c r="E484" s="20" t="s">
        <v>1133</v>
      </c>
      <c r="F484" s="20" t="s">
        <v>835</v>
      </c>
      <c r="G484" s="20">
        <v>5</v>
      </c>
      <c r="H484" s="20">
        <v>5</v>
      </c>
      <c r="I484" s="20" t="s">
        <v>592</v>
      </c>
      <c r="K484" s="20" t="s">
        <v>1154</v>
      </c>
      <c r="L484" s="20" t="s">
        <v>307</v>
      </c>
      <c r="M484" s="20" t="s">
        <v>1872</v>
      </c>
      <c r="N484" s="20" t="s">
        <v>515</v>
      </c>
      <c r="O484" s="20" t="s">
        <v>835</v>
      </c>
      <c r="P484" s="20">
        <v>5</v>
      </c>
      <c r="Q484" s="20">
        <v>2</v>
      </c>
      <c r="R484" s="20" t="s">
        <v>593</v>
      </c>
      <c r="T484" s="20" t="s">
        <v>1169</v>
      </c>
      <c r="U484" s="20" t="s">
        <v>671</v>
      </c>
      <c r="V484" s="20" t="s">
        <v>2499</v>
      </c>
      <c r="W484" s="20" t="s">
        <v>2328</v>
      </c>
      <c r="X484" s="20" t="s">
        <v>628</v>
      </c>
      <c r="Y484" s="20">
        <v>10</v>
      </c>
      <c r="Z484" s="20">
        <v>8</v>
      </c>
      <c r="AA484" s="20" t="s">
        <v>592</v>
      </c>
      <c r="AC484" s="20" t="s">
        <v>1147</v>
      </c>
      <c r="AD484" s="20" t="s">
        <v>222</v>
      </c>
      <c r="AE484" s="20" t="s">
        <v>551</v>
      </c>
      <c r="AF484" s="20" t="s">
        <v>1361</v>
      </c>
      <c r="AG484" s="20" t="s">
        <v>835</v>
      </c>
      <c r="AH484" s="20">
        <v>5</v>
      </c>
      <c r="AI484" s="20">
        <v>5</v>
      </c>
      <c r="AJ484" s="20" t="s">
        <v>592</v>
      </c>
      <c r="AL484" s="20" t="s">
        <v>646</v>
      </c>
      <c r="AM484" s="20" t="s">
        <v>246</v>
      </c>
      <c r="AN484" s="20" t="s">
        <v>1802</v>
      </c>
      <c r="AO484" s="20" t="s">
        <v>3067</v>
      </c>
      <c r="AP484" s="20" t="s">
        <v>628</v>
      </c>
      <c r="AQ484" s="20">
        <v>10</v>
      </c>
      <c r="AR484" s="20">
        <v>6</v>
      </c>
      <c r="AS484" s="20" t="s">
        <v>592</v>
      </c>
    </row>
    <row r="485" spans="2:45" ht="15.75" customHeight="1" x14ac:dyDescent="0.2">
      <c r="B485" s="20" t="s">
        <v>1161</v>
      </c>
      <c r="C485" s="20" t="s">
        <v>41</v>
      </c>
      <c r="D485" s="20" t="s">
        <v>540</v>
      </c>
      <c r="E485" s="20" t="s">
        <v>859</v>
      </c>
      <c r="F485" s="20" t="s">
        <v>628</v>
      </c>
      <c r="G485" s="20">
        <v>10</v>
      </c>
      <c r="H485" s="20">
        <v>3</v>
      </c>
      <c r="I485" s="20" t="s">
        <v>593</v>
      </c>
      <c r="K485" s="20" t="s">
        <v>1154</v>
      </c>
      <c r="L485" s="20" t="s">
        <v>307</v>
      </c>
      <c r="M485" s="20" t="s">
        <v>1873</v>
      </c>
      <c r="N485" s="20" t="s">
        <v>1574</v>
      </c>
      <c r="O485" s="20" t="s">
        <v>835</v>
      </c>
      <c r="P485" s="20">
        <v>5</v>
      </c>
      <c r="Q485" s="20">
        <v>3</v>
      </c>
      <c r="R485" s="20" t="s">
        <v>593</v>
      </c>
      <c r="T485" s="20" t="s">
        <v>1163</v>
      </c>
      <c r="U485" s="20" t="s">
        <v>221</v>
      </c>
      <c r="V485" s="20" t="s">
        <v>556</v>
      </c>
      <c r="W485" s="20" t="s">
        <v>2329</v>
      </c>
      <c r="X485" s="20" t="s">
        <v>835</v>
      </c>
      <c r="Y485" s="20">
        <v>5</v>
      </c>
      <c r="Z485" s="20">
        <v>5</v>
      </c>
      <c r="AA485" s="20" t="s">
        <v>592</v>
      </c>
      <c r="AC485" s="20" t="s">
        <v>1144</v>
      </c>
      <c r="AD485" s="20" t="s">
        <v>707</v>
      </c>
      <c r="AE485" s="20" t="s">
        <v>854</v>
      </c>
      <c r="AF485" s="20" t="s">
        <v>2739</v>
      </c>
      <c r="AG485" s="20" t="s">
        <v>835</v>
      </c>
      <c r="AH485" s="20">
        <v>5</v>
      </c>
      <c r="AI485" s="20">
        <v>5</v>
      </c>
      <c r="AJ485" s="20" t="s">
        <v>592</v>
      </c>
      <c r="AL485" s="20" t="s">
        <v>646</v>
      </c>
      <c r="AM485" s="20" t="s">
        <v>246</v>
      </c>
      <c r="AN485" s="20" t="s">
        <v>2835</v>
      </c>
      <c r="AO485" s="20" t="s">
        <v>3068</v>
      </c>
      <c r="AP485" s="20" t="s">
        <v>628</v>
      </c>
      <c r="AQ485" s="20">
        <v>10</v>
      </c>
      <c r="AR485" s="20">
        <v>8</v>
      </c>
      <c r="AS485" s="20" t="s">
        <v>592</v>
      </c>
    </row>
    <row r="486" spans="2:45" ht="15.75" customHeight="1" x14ac:dyDescent="0.2">
      <c r="B486" s="20" t="s">
        <v>1161</v>
      </c>
      <c r="C486" s="20" t="s">
        <v>41</v>
      </c>
      <c r="D486" s="20" t="s">
        <v>536</v>
      </c>
      <c r="E486" s="20" t="s">
        <v>1241</v>
      </c>
      <c r="F486" s="20" t="s">
        <v>628</v>
      </c>
      <c r="G486" s="20">
        <v>10</v>
      </c>
      <c r="H486" s="20">
        <v>1</v>
      </c>
      <c r="I486" s="20" t="s">
        <v>593</v>
      </c>
      <c r="K486" s="20" t="s">
        <v>1154</v>
      </c>
      <c r="L486" s="20" t="s">
        <v>307</v>
      </c>
      <c r="M486" s="20" t="s">
        <v>1004</v>
      </c>
      <c r="N486" s="20" t="s">
        <v>515</v>
      </c>
      <c r="O486" s="20" t="s">
        <v>835</v>
      </c>
      <c r="P486" s="20">
        <v>5</v>
      </c>
      <c r="Q486" s="20">
        <v>1</v>
      </c>
      <c r="R486" s="20" t="s">
        <v>593</v>
      </c>
      <c r="T486" s="20" t="s">
        <v>1154</v>
      </c>
      <c r="U486" s="20" t="s">
        <v>335</v>
      </c>
      <c r="V486" s="20" t="s">
        <v>475</v>
      </c>
      <c r="W486" s="20" t="s">
        <v>1454</v>
      </c>
      <c r="X486" s="20" t="s">
        <v>835</v>
      </c>
      <c r="Y486" s="20">
        <v>5</v>
      </c>
      <c r="Z486" s="20">
        <v>1</v>
      </c>
      <c r="AA486" s="20" t="s">
        <v>593</v>
      </c>
      <c r="AC486" s="20" t="s">
        <v>2099</v>
      </c>
      <c r="AD486" s="20" t="s">
        <v>2106</v>
      </c>
      <c r="AE486" s="20" t="s">
        <v>2531</v>
      </c>
      <c r="AF486" s="20" t="s">
        <v>2193</v>
      </c>
      <c r="AG486" s="20" t="s">
        <v>835</v>
      </c>
      <c r="AH486" s="20">
        <v>5</v>
      </c>
      <c r="AI486" s="20">
        <v>6</v>
      </c>
      <c r="AJ486" s="20" t="s">
        <v>592</v>
      </c>
      <c r="AL486" s="20" t="s">
        <v>646</v>
      </c>
      <c r="AM486" s="20" t="s">
        <v>25</v>
      </c>
      <c r="AN486" s="20" t="s">
        <v>373</v>
      </c>
      <c r="AO486" s="20" t="s">
        <v>2269</v>
      </c>
      <c r="AP486" s="20" t="s">
        <v>628</v>
      </c>
      <c r="AQ486" s="20">
        <v>10</v>
      </c>
      <c r="AR486" s="20">
        <v>51</v>
      </c>
      <c r="AS486" s="20" t="s">
        <v>592</v>
      </c>
    </row>
    <row r="487" spans="2:45" ht="15.75" customHeight="1" x14ac:dyDescent="0.2">
      <c r="B487" s="20" t="s">
        <v>1161</v>
      </c>
      <c r="C487" s="20" t="s">
        <v>41</v>
      </c>
      <c r="D487" s="20" t="s">
        <v>539</v>
      </c>
      <c r="E487" s="20" t="s">
        <v>997</v>
      </c>
      <c r="F487" s="20" t="s">
        <v>628</v>
      </c>
      <c r="G487" s="20">
        <v>10</v>
      </c>
      <c r="H487" s="20">
        <v>4</v>
      </c>
      <c r="I487" s="20" t="s">
        <v>593</v>
      </c>
      <c r="K487" s="20" t="s">
        <v>1158</v>
      </c>
      <c r="L487" s="20" t="s">
        <v>1040</v>
      </c>
      <c r="M487" s="20" t="s">
        <v>1874</v>
      </c>
      <c r="N487" s="20" t="s">
        <v>1875</v>
      </c>
      <c r="O487" s="20" t="s">
        <v>835</v>
      </c>
      <c r="P487" s="20">
        <v>5</v>
      </c>
      <c r="Q487" s="20">
        <v>3</v>
      </c>
      <c r="R487" s="20" t="s">
        <v>593</v>
      </c>
      <c r="T487" s="20" t="s">
        <v>1155</v>
      </c>
      <c r="U487" s="20" t="s">
        <v>657</v>
      </c>
      <c r="V487" s="20" t="s">
        <v>483</v>
      </c>
      <c r="W487" s="20" t="s">
        <v>1630</v>
      </c>
      <c r="X487" s="20" t="s">
        <v>835</v>
      </c>
      <c r="Y487" s="20">
        <v>5</v>
      </c>
      <c r="Z487" s="20">
        <v>5</v>
      </c>
      <c r="AA487" s="20" t="s">
        <v>592</v>
      </c>
      <c r="AC487" s="20" t="s">
        <v>1147</v>
      </c>
      <c r="AD487" s="20" t="s">
        <v>699</v>
      </c>
      <c r="AE487" s="20" t="s">
        <v>448</v>
      </c>
      <c r="AF487" s="20" t="s">
        <v>2337</v>
      </c>
      <c r="AG487" s="20" t="s">
        <v>835</v>
      </c>
      <c r="AH487" s="20">
        <v>5</v>
      </c>
      <c r="AI487" s="20">
        <v>6</v>
      </c>
      <c r="AJ487" s="20" t="s">
        <v>592</v>
      </c>
      <c r="AL487" s="20" t="s">
        <v>646</v>
      </c>
      <c r="AM487" s="20" t="s">
        <v>209</v>
      </c>
      <c r="AN487" s="20" t="s">
        <v>460</v>
      </c>
      <c r="AO487" s="20" t="s">
        <v>970</v>
      </c>
      <c r="AP487" s="20" t="s">
        <v>628</v>
      </c>
      <c r="AQ487" s="20">
        <v>10</v>
      </c>
      <c r="AR487" s="20">
        <v>23</v>
      </c>
      <c r="AS487" s="20" t="s">
        <v>592</v>
      </c>
    </row>
    <row r="488" spans="2:45" ht="15.75" customHeight="1" x14ac:dyDescent="0.2">
      <c r="B488" s="20" t="s">
        <v>1154</v>
      </c>
      <c r="C488" s="20" t="s">
        <v>1152</v>
      </c>
      <c r="D488" s="20" t="s">
        <v>715</v>
      </c>
      <c r="E488" s="20" t="s">
        <v>1401</v>
      </c>
      <c r="F488" s="20" t="s">
        <v>628</v>
      </c>
      <c r="G488" s="20">
        <v>10</v>
      </c>
      <c r="H488" s="20">
        <v>4</v>
      </c>
      <c r="I488" s="20" t="s">
        <v>593</v>
      </c>
      <c r="K488" s="20" t="s">
        <v>1147</v>
      </c>
      <c r="L488" s="20" t="s">
        <v>222</v>
      </c>
      <c r="M488" s="20" t="s">
        <v>1619</v>
      </c>
      <c r="N488" s="20" t="s">
        <v>1620</v>
      </c>
      <c r="O488" s="20" t="s">
        <v>628</v>
      </c>
      <c r="P488" s="20">
        <v>10</v>
      </c>
      <c r="Q488" s="20">
        <v>7</v>
      </c>
      <c r="R488" s="20" t="s">
        <v>592</v>
      </c>
      <c r="T488" s="20" t="s">
        <v>1161</v>
      </c>
      <c r="U488" s="20" t="s">
        <v>1432</v>
      </c>
      <c r="V488" s="20" t="s">
        <v>464</v>
      </c>
      <c r="W488" s="20" t="s">
        <v>2330</v>
      </c>
      <c r="X488" s="20" t="s">
        <v>835</v>
      </c>
      <c r="Y488" s="20">
        <v>5</v>
      </c>
      <c r="Z488" s="20">
        <v>5</v>
      </c>
      <c r="AA488" s="20" t="s">
        <v>592</v>
      </c>
      <c r="AC488" s="20" t="s">
        <v>1144</v>
      </c>
      <c r="AD488" s="20" t="s">
        <v>313</v>
      </c>
      <c r="AE488" s="20" t="s">
        <v>528</v>
      </c>
      <c r="AF488" s="20" t="s">
        <v>998</v>
      </c>
      <c r="AG488" s="20" t="s">
        <v>628</v>
      </c>
      <c r="AH488" s="20">
        <v>10</v>
      </c>
      <c r="AI488" s="20">
        <v>7</v>
      </c>
      <c r="AJ488" s="20" t="s">
        <v>592</v>
      </c>
      <c r="AL488" s="20" t="s">
        <v>646</v>
      </c>
      <c r="AM488" s="20" t="s">
        <v>209</v>
      </c>
      <c r="AN488" s="20" t="s">
        <v>460</v>
      </c>
      <c r="AO488" s="20" t="s">
        <v>3069</v>
      </c>
      <c r="AP488" s="20" t="s">
        <v>628</v>
      </c>
      <c r="AQ488" s="20">
        <v>10</v>
      </c>
      <c r="AR488" s="20">
        <v>13</v>
      </c>
      <c r="AS488" s="20" t="s">
        <v>592</v>
      </c>
    </row>
    <row r="489" spans="2:45" ht="15.75" customHeight="1" x14ac:dyDescent="0.2">
      <c r="B489" s="20" t="s">
        <v>646</v>
      </c>
      <c r="C489" s="20" t="s">
        <v>285</v>
      </c>
      <c r="D489" s="20" t="s">
        <v>457</v>
      </c>
      <c r="E489" s="20" t="s">
        <v>902</v>
      </c>
      <c r="F489" s="20" t="s">
        <v>835</v>
      </c>
      <c r="G489" s="20">
        <v>5</v>
      </c>
      <c r="H489" s="20">
        <v>12</v>
      </c>
      <c r="I489" s="20" t="s">
        <v>592</v>
      </c>
      <c r="K489" s="20" t="s">
        <v>1147</v>
      </c>
      <c r="L489" s="20" t="s">
        <v>222</v>
      </c>
      <c r="M489" s="20" t="s">
        <v>1876</v>
      </c>
      <c r="N489" s="20" t="s">
        <v>1620</v>
      </c>
      <c r="O489" s="20" t="s">
        <v>628</v>
      </c>
      <c r="P489" s="20">
        <v>10</v>
      </c>
      <c r="Q489" s="20">
        <v>1</v>
      </c>
      <c r="R489" s="20" t="s">
        <v>592</v>
      </c>
      <c r="T489" s="20" t="s">
        <v>1141</v>
      </c>
      <c r="U489" s="20" t="s">
        <v>780</v>
      </c>
      <c r="V489" s="20" t="s">
        <v>1648</v>
      </c>
      <c r="W489" s="20" t="s">
        <v>2240</v>
      </c>
      <c r="X489" s="20" t="s">
        <v>835</v>
      </c>
      <c r="Y489" s="20">
        <v>5</v>
      </c>
      <c r="Z489" s="20">
        <v>6</v>
      </c>
      <c r="AA489" s="20" t="s">
        <v>592</v>
      </c>
      <c r="AC489" s="20" t="s">
        <v>1144</v>
      </c>
      <c r="AD489" s="20" t="s">
        <v>313</v>
      </c>
      <c r="AE489" s="20" t="s">
        <v>528</v>
      </c>
      <c r="AF489" s="20" t="s">
        <v>1033</v>
      </c>
      <c r="AG489" s="20" t="s">
        <v>628</v>
      </c>
      <c r="AH489" s="20">
        <v>10</v>
      </c>
      <c r="AI489" s="20">
        <v>1</v>
      </c>
      <c r="AJ489" s="20" t="s">
        <v>592</v>
      </c>
      <c r="AL489" s="20" t="s">
        <v>646</v>
      </c>
      <c r="AM489" s="20" t="s">
        <v>25</v>
      </c>
      <c r="AN489" s="20" t="s">
        <v>373</v>
      </c>
      <c r="AO489" s="20" t="s">
        <v>3070</v>
      </c>
      <c r="AP489" s="20" t="s">
        <v>628</v>
      </c>
      <c r="AQ489" s="20">
        <v>10</v>
      </c>
      <c r="AR489" s="20">
        <v>20</v>
      </c>
      <c r="AS489" s="20" t="s">
        <v>592</v>
      </c>
    </row>
    <row r="490" spans="2:45" ht="15.75" customHeight="1" x14ac:dyDescent="0.2">
      <c r="B490" s="20" t="s">
        <v>1149</v>
      </c>
      <c r="C490" s="20" t="s">
        <v>1150</v>
      </c>
      <c r="D490" s="20" t="s">
        <v>478</v>
      </c>
      <c r="E490" s="20" t="s">
        <v>1402</v>
      </c>
      <c r="F490" s="20" t="s">
        <v>835</v>
      </c>
      <c r="G490" s="20">
        <v>5</v>
      </c>
      <c r="H490" s="20">
        <v>5</v>
      </c>
      <c r="I490" s="20" t="s">
        <v>592</v>
      </c>
      <c r="K490" s="20" t="s">
        <v>1158</v>
      </c>
      <c r="L490" s="20" t="s">
        <v>1073</v>
      </c>
      <c r="M490" s="20" t="s">
        <v>1523</v>
      </c>
      <c r="N490" s="20" t="s">
        <v>895</v>
      </c>
      <c r="O490" s="20" t="s">
        <v>835</v>
      </c>
      <c r="P490" s="20">
        <v>5</v>
      </c>
      <c r="Q490" s="20">
        <v>1</v>
      </c>
      <c r="R490" s="20" t="s">
        <v>593</v>
      </c>
      <c r="T490" s="20" t="s">
        <v>2099</v>
      </c>
      <c r="U490" s="20" t="s">
        <v>350</v>
      </c>
      <c r="V490" s="20" t="s">
        <v>2456</v>
      </c>
      <c r="W490" s="20" t="s">
        <v>2121</v>
      </c>
      <c r="X490" s="20" t="s">
        <v>835</v>
      </c>
      <c r="Y490" s="20">
        <v>5</v>
      </c>
      <c r="Z490" s="20">
        <v>5</v>
      </c>
      <c r="AA490" s="20" t="s">
        <v>592</v>
      </c>
      <c r="AC490" s="20" t="s">
        <v>1154</v>
      </c>
      <c r="AD490" s="20" t="s">
        <v>307</v>
      </c>
      <c r="AE490" s="20" t="s">
        <v>549</v>
      </c>
      <c r="AF490" s="20" t="s">
        <v>1335</v>
      </c>
      <c r="AG490" s="20" t="s">
        <v>835</v>
      </c>
      <c r="AH490" s="20">
        <v>5</v>
      </c>
      <c r="AI490" s="20">
        <v>2</v>
      </c>
      <c r="AJ490" s="20" t="s">
        <v>593</v>
      </c>
      <c r="AL490" s="20" t="s">
        <v>646</v>
      </c>
      <c r="AM490" s="20" t="s">
        <v>209</v>
      </c>
      <c r="AN490" s="20" t="s">
        <v>730</v>
      </c>
      <c r="AO490" s="20" t="s">
        <v>3071</v>
      </c>
      <c r="AP490" s="20" t="s">
        <v>628</v>
      </c>
      <c r="AQ490" s="20">
        <v>10</v>
      </c>
      <c r="AR490" s="20">
        <v>22</v>
      </c>
      <c r="AS490" s="20" t="s">
        <v>592</v>
      </c>
    </row>
    <row r="491" spans="2:45" ht="15.75" customHeight="1" x14ac:dyDescent="0.2">
      <c r="B491" s="20" t="s">
        <v>1149</v>
      </c>
      <c r="C491" s="20" t="s">
        <v>1150</v>
      </c>
      <c r="D491" s="20" t="s">
        <v>476</v>
      </c>
      <c r="E491" s="20" t="s">
        <v>1403</v>
      </c>
      <c r="F491" s="20" t="s">
        <v>628</v>
      </c>
      <c r="G491" s="20">
        <v>10</v>
      </c>
      <c r="H491" s="20">
        <v>5</v>
      </c>
      <c r="I491" s="20" t="s">
        <v>593</v>
      </c>
      <c r="K491" s="20" t="s">
        <v>1141</v>
      </c>
      <c r="L491" s="20" t="s">
        <v>787</v>
      </c>
      <c r="M491" s="20" t="s">
        <v>1877</v>
      </c>
      <c r="N491" s="20" t="s">
        <v>397</v>
      </c>
      <c r="O491" s="20" t="s">
        <v>835</v>
      </c>
      <c r="P491" s="20">
        <v>5</v>
      </c>
      <c r="Q491" s="20">
        <v>1</v>
      </c>
      <c r="R491" s="20" t="s">
        <v>593</v>
      </c>
      <c r="T491" s="20" t="s">
        <v>640</v>
      </c>
      <c r="U491" s="20" t="s">
        <v>31</v>
      </c>
      <c r="V491" s="20" t="s">
        <v>396</v>
      </c>
      <c r="W491" s="20" t="s">
        <v>2331</v>
      </c>
      <c r="X491" s="20" t="s">
        <v>835</v>
      </c>
      <c r="Y491" s="20">
        <v>5</v>
      </c>
      <c r="Z491" s="20">
        <v>5</v>
      </c>
      <c r="AA491" s="20" t="s">
        <v>592</v>
      </c>
      <c r="AC491" s="20" t="s">
        <v>1144</v>
      </c>
      <c r="AD491" s="20" t="s">
        <v>194</v>
      </c>
      <c r="AE491" s="20" t="s">
        <v>438</v>
      </c>
      <c r="AF491" s="20" t="s">
        <v>2583</v>
      </c>
      <c r="AG491" s="20" t="s">
        <v>835</v>
      </c>
      <c r="AH491" s="20">
        <v>5</v>
      </c>
      <c r="AI491" s="20">
        <v>7</v>
      </c>
      <c r="AJ491" s="20" t="s">
        <v>592</v>
      </c>
      <c r="AL491" s="20" t="s">
        <v>646</v>
      </c>
      <c r="AM491" s="20" t="s">
        <v>25</v>
      </c>
      <c r="AN491" s="20" t="s">
        <v>882</v>
      </c>
      <c r="AO491" s="20" t="s">
        <v>883</v>
      </c>
      <c r="AP491" s="20" t="s">
        <v>628</v>
      </c>
      <c r="AQ491" s="20">
        <v>10</v>
      </c>
      <c r="AR491" s="20">
        <v>13</v>
      </c>
      <c r="AS491" s="20" t="s">
        <v>592</v>
      </c>
    </row>
    <row r="492" spans="2:45" ht="15.75" customHeight="1" x14ac:dyDescent="0.2">
      <c r="B492" s="20" t="s">
        <v>1147</v>
      </c>
      <c r="C492" s="20" t="s">
        <v>699</v>
      </c>
      <c r="D492" s="20" t="s">
        <v>447</v>
      </c>
      <c r="E492" s="20" t="s">
        <v>1404</v>
      </c>
      <c r="F492" s="20" t="s">
        <v>628</v>
      </c>
      <c r="G492" s="20">
        <v>10</v>
      </c>
      <c r="H492" s="20">
        <v>15</v>
      </c>
      <c r="I492" s="20" t="s">
        <v>592</v>
      </c>
      <c r="K492" s="20" t="s">
        <v>1158</v>
      </c>
      <c r="L492" s="20" t="s">
        <v>925</v>
      </c>
      <c r="M492" s="20" t="s">
        <v>1878</v>
      </c>
      <c r="N492" s="20" t="s">
        <v>614</v>
      </c>
      <c r="O492" s="20" t="s">
        <v>835</v>
      </c>
      <c r="P492" s="20">
        <v>5</v>
      </c>
      <c r="Q492" s="20">
        <v>1</v>
      </c>
      <c r="R492" s="20" t="s">
        <v>593</v>
      </c>
      <c r="T492" s="20" t="s">
        <v>1169</v>
      </c>
      <c r="U492" s="20" t="s">
        <v>216</v>
      </c>
      <c r="V492" s="20" t="s">
        <v>680</v>
      </c>
      <c r="W492" s="20" t="s">
        <v>738</v>
      </c>
      <c r="X492" s="20" t="s">
        <v>628</v>
      </c>
      <c r="Y492" s="20">
        <v>10</v>
      </c>
      <c r="Z492" s="20">
        <v>8</v>
      </c>
      <c r="AA492" s="20" t="s">
        <v>592</v>
      </c>
      <c r="AC492" s="20" t="s">
        <v>1144</v>
      </c>
      <c r="AD492" s="20" t="s">
        <v>194</v>
      </c>
      <c r="AE492" s="20" t="s">
        <v>438</v>
      </c>
      <c r="AF492" s="20" t="s">
        <v>2740</v>
      </c>
      <c r="AG492" s="20" t="s">
        <v>835</v>
      </c>
      <c r="AH492" s="20">
        <v>5</v>
      </c>
      <c r="AI492" s="20">
        <v>1</v>
      </c>
      <c r="AJ492" s="20" t="s">
        <v>592</v>
      </c>
      <c r="AL492" s="20" t="s">
        <v>646</v>
      </c>
      <c r="AM492" s="20" t="s">
        <v>209</v>
      </c>
      <c r="AN492" s="20" t="s">
        <v>410</v>
      </c>
      <c r="AO492" s="20" t="s">
        <v>3072</v>
      </c>
      <c r="AP492" s="20" t="s">
        <v>628</v>
      </c>
      <c r="AQ492" s="20">
        <v>10</v>
      </c>
      <c r="AR492" s="20">
        <v>23</v>
      </c>
      <c r="AS492" s="20" t="s">
        <v>592</v>
      </c>
    </row>
    <row r="493" spans="2:45" ht="15.75" customHeight="1" x14ac:dyDescent="0.2">
      <c r="B493" s="20" t="s">
        <v>1147</v>
      </c>
      <c r="C493" s="20" t="s">
        <v>699</v>
      </c>
      <c r="D493" s="20" t="s">
        <v>613</v>
      </c>
      <c r="E493" s="20" t="s">
        <v>1405</v>
      </c>
      <c r="F493" s="20" t="s">
        <v>628</v>
      </c>
      <c r="G493" s="20">
        <v>10</v>
      </c>
      <c r="H493" s="20">
        <v>8</v>
      </c>
      <c r="I493" s="20" t="s">
        <v>592</v>
      </c>
      <c r="K493" s="20" t="s">
        <v>646</v>
      </c>
      <c r="L493" s="20" t="s">
        <v>246</v>
      </c>
      <c r="M493" s="20" t="s">
        <v>1879</v>
      </c>
      <c r="N493" s="20" t="s">
        <v>1880</v>
      </c>
      <c r="O493" s="20" t="s">
        <v>835</v>
      </c>
      <c r="P493" s="20">
        <v>5</v>
      </c>
      <c r="Q493" s="20">
        <v>2</v>
      </c>
      <c r="R493" s="20" t="s">
        <v>593</v>
      </c>
      <c r="T493" s="20" t="s">
        <v>646</v>
      </c>
      <c r="U493" s="20" t="s">
        <v>298</v>
      </c>
      <c r="V493" s="20" t="s">
        <v>370</v>
      </c>
      <c r="W493" s="20" t="s">
        <v>2068</v>
      </c>
      <c r="X493" s="20" t="s">
        <v>835</v>
      </c>
      <c r="Y493" s="20">
        <v>5</v>
      </c>
      <c r="Z493" s="20">
        <v>2</v>
      </c>
      <c r="AA493" s="20" t="s">
        <v>593</v>
      </c>
      <c r="AC493" s="20" t="s">
        <v>1144</v>
      </c>
      <c r="AD493" s="20" t="s">
        <v>194</v>
      </c>
      <c r="AE493" s="20" t="s">
        <v>561</v>
      </c>
      <c r="AF493" s="20" t="s">
        <v>1230</v>
      </c>
      <c r="AG493" s="20" t="s">
        <v>835</v>
      </c>
      <c r="AH493" s="20">
        <v>5</v>
      </c>
      <c r="AI493" s="20">
        <v>9</v>
      </c>
      <c r="AJ493" s="20" t="s">
        <v>592</v>
      </c>
      <c r="AL493" s="20" t="s">
        <v>646</v>
      </c>
      <c r="AM493" s="20" t="s">
        <v>209</v>
      </c>
      <c r="AN493" s="20" t="s">
        <v>410</v>
      </c>
      <c r="AO493" s="20" t="s">
        <v>1712</v>
      </c>
      <c r="AP493" s="20" t="s">
        <v>628</v>
      </c>
      <c r="AQ493" s="20">
        <v>10</v>
      </c>
      <c r="AR493" s="20">
        <v>42</v>
      </c>
      <c r="AS493" s="20" t="s">
        <v>592</v>
      </c>
    </row>
    <row r="494" spans="2:45" ht="15.75" customHeight="1" x14ac:dyDescent="0.2">
      <c r="B494" s="20" t="s">
        <v>1147</v>
      </c>
      <c r="C494" s="20" t="s">
        <v>699</v>
      </c>
      <c r="D494" s="20" t="s">
        <v>613</v>
      </c>
      <c r="E494" s="20" t="s">
        <v>1406</v>
      </c>
      <c r="F494" s="20" t="s">
        <v>628</v>
      </c>
      <c r="G494" s="20">
        <v>10</v>
      </c>
      <c r="H494" s="20">
        <v>3</v>
      </c>
      <c r="I494" s="20" t="s">
        <v>592</v>
      </c>
      <c r="K494" s="20" t="s">
        <v>646</v>
      </c>
      <c r="L494" s="20" t="s">
        <v>334</v>
      </c>
      <c r="M494" s="20" t="s">
        <v>1598</v>
      </c>
      <c r="N494" s="20" t="s">
        <v>522</v>
      </c>
      <c r="O494" s="20" t="s">
        <v>835</v>
      </c>
      <c r="P494" s="20">
        <v>5</v>
      </c>
      <c r="Q494" s="20">
        <v>2</v>
      </c>
      <c r="R494" s="20" t="s">
        <v>593</v>
      </c>
      <c r="T494" s="20" t="s">
        <v>646</v>
      </c>
      <c r="U494" s="20" t="s">
        <v>298</v>
      </c>
      <c r="V494" s="20" t="s">
        <v>424</v>
      </c>
      <c r="W494" s="20" t="s">
        <v>2181</v>
      </c>
      <c r="X494" s="20" t="s">
        <v>835</v>
      </c>
      <c r="Y494" s="20">
        <v>5</v>
      </c>
      <c r="Z494" s="20">
        <v>2</v>
      </c>
      <c r="AA494" s="20" t="s">
        <v>593</v>
      </c>
      <c r="AC494" s="20" t="s">
        <v>1147</v>
      </c>
      <c r="AD494" s="20" t="s">
        <v>225</v>
      </c>
      <c r="AE494" s="20" t="s">
        <v>383</v>
      </c>
      <c r="AF494" s="20" t="s">
        <v>1253</v>
      </c>
      <c r="AG494" s="20" t="s">
        <v>835</v>
      </c>
      <c r="AH494" s="20">
        <v>5</v>
      </c>
      <c r="AI494" s="20">
        <v>5</v>
      </c>
      <c r="AJ494" s="20" t="s">
        <v>592</v>
      </c>
      <c r="AL494" s="20" t="s">
        <v>646</v>
      </c>
      <c r="AM494" s="20" t="s">
        <v>209</v>
      </c>
      <c r="AN494" s="20" t="s">
        <v>410</v>
      </c>
      <c r="AO494" s="20" t="s">
        <v>2323</v>
      </c>
      <c r="AP494" s="20" t="s">
        <v>628</v>
      </c>
      <c r="AQ494" s="20">
        <v>10</v>
      </c>
      <c r="AR494" s="20">
        <v>10</v>
      </c>
      <c r="AS494" s="20" t="s">
        <v>592</v>
      </c>
    </row>
    <row r="495" spans="2:45" ht="15.75" customHeight="1" x14ac:dyDescent="0.2">
      <c r="B495" s="20" t="s">
        <v>1158</v>
      </c>
      <c r="C495" s="20" t="s">
        <v>1073</v>
      </c>
      <c r="D495" s="20" t="s">
        <v>895</v>
      </c>
      <c r="E495" s="20" t="s">
        <v>1081</v>
      </c>
      <c r="F495" s="20" t="s">
        <v>835</v>
      </c>
      <c r="G495" s="20">
        <v>5</v>
      </c>
      <c r="H495" s="20">
        <v>4</v>
      </c>
      <c r="I495" s="20" t="s">
        <v>593</v>
      </c>
      <c r="K495" s="20" t="s">
        <v>640</v>
      </c>
      <c r="L495" s="20" t="s">
        <v>31</v>
      </c>
      <c r="M495" s="20" t="s">
        <v>1881</v>
      </c>
      <c r="N495" s="20" t="s">
        <v>1882</v>
      </c>
      <c r="O495" s="20" t="s">
        <v>835</v>
      </c>
      <c r="P495" s="20">
        <v>5</v>
      </c>
      <c r="Q495" s="20">
        <v>5</v>
      </c>
      <c r="R495" s="20" t="s">
        <v>592</v>
      </c>
      <c r="T495" s="20" t="s">
        <v>2099</v>
      </c>
      <c r="U495" s="20" t="s">
        <v>2117</v>
      </c>
      <c r="V495" s="20" t="s">
        <v>2455</v>
      </c>
      <c r="W495" s="20" t="s">
        <v>2332</v>
      </c>
      <c r="X495" s="20" t="s">
        <v>835</v>
      </c>
      <c r="Y495" s="20">
        <v>5</v>
      </c>
      <c r="Z495" s="20">
        <v>3</v>
      </c>
      <c r="AA495" s="20" t="s">
        <v>592</v>
      </c>
      <c r="AC495" s="20" t="s">
        <v>1155</v>
      </c>
      <c r="AD495" s="20" t="s">
        <v>286</v>
      </c>
      <c r="AE495" s="20" t="s">
        <v>376</v>
      </c>
      <c r="AF495" s="20" t="s">
        <v>583</v>
      </c>
      <c r="AG495" s="20" t="s">
        <v>835</v>
      </c>
      <c r="AH495" s="20">
        <v>5</v>
      </c>
      <c r="AI495" s="20">
        <v>5</v>
      </c>
      <c r="AJ495" s="20" t="s">
        <v>592</v>
      </c>
      <c r="AL495" s="20" t="s">
        <v>646</v>
      </c>
      <c r="AM495" s="20" t="s">
        <v>209</v>
      </c>
      <c r="AN495" s="20" t="s">
        <v>411</v>
      </c>
      <c r="AO495" s="20" t="s">
        <v>1536</v>
      </c>
      <c r="AP495" s="20" t="s">
        <v>628</v>
      </c>
      <c r="AQ495" s="20">
        <v>10</v>
      </c>
      <c r="AR495" s="20">
        <v>34</v>
      </c>
      <c r="AS495" s="20" t="s">
        <v>592</v>
      </c>
    </row>
    <row r="496" spans="2:45" ht="15.75" customHeight="1" x14ac:dyDescent="0.2">
      <c r="B496" s="20" t="s">
        <v>1158</v>
      </c>
      <c r="C496" s="20" t="s">
        <v>1073</v>
      </c>
      <c r="D496" s="20" t="s">
        <v>867</v>
      </c>
      <c r="E496" s="20" t="s">
        <v>1278</v>
      </c>
      <c r="F496" s="20" t="s">
        <v>835</v>
      </c>
      <c r="G496" s="20">
        <v>5</v>
      </c>
      <c r="H496" s="20">
        <v>3</v>
      </c>
      <c r="I496" s="20" t="s">
        <v>593</v>
      </c>
      <c r="K496" s="20" t="s">
        <v>640</v>
      </c>
      <c r="L496" s="20" t="s">
        <v>31</v>
      </c>
      <c r="M496" s="20" t="s">
        <v>716</v>
      </c>
      <c r="N496" s="20" t="s">
        <v>432</v>
      </c>
      <c r="O496" s="20" t="s">
        <v>835</v>
      </c>
      <c r="P496" s="20">
        <v>5</v>
      </c>
      <c r="Q496" s="20">
        <v>5</v>
      </c>
      <c r="R496" s="20" t="s">
        <v>592</v>
      </c>
      <c r="T496" s="20" t="s">
        <v>2099</v>
      </c>
      <c r="U496" s="20" t="s">
        <v>2117</v>
      </c>
      <c r="V496" s="20" t="s">
        <v>2455</v>
      </c>
      <c r="W496" s="20" t="s">
        <v>2333</v>
      </c>
      <c r="X496" s="20" t="s">
        <v>835</v>
      </c>
      <c r="Y496" s="20">
        <v>5</v>
      </c>
      <c r="Z496" s="20">
        <v>2</v>
      </c>
      <c r="AA496" s="20" t="s">
        <v>592</v>
      </c>
      <c r="AC496" s="20" t="s">
        <v>1163</v>
      </c>
      <c r="AD496" s="20" t="s">
        <v>299</v>
      </c>
      <c r="AE496" s="20" t="s">
        <v>1671</v>
      </c>
      <c r="AF496" s="20" t="s">
        <v>2352</v>
      </c>
      <c r="AG496" s="20" t="s">
        <v>835</v>
      </c>
      <c r="AH496" s="20">
        <v>5</v>
      </c>
      <c r="AI496" s="20">
        <v>2</v>
      </c>
      <c r="AJ496" s="20" t="s">
        <v>593</v>
      </c>
      <c r="AL496" s="20" t="s">
        <v>646</v>
      </c>
      <c r="AM496" s="20" t="s">
        <v>25</v>
      </c>
      <c r="AN496" s="20" t="s">
        <v>1968</v>
      </c>
      <c r="AO496" s="20" t="s">
        <v>2725</v>
      </c>
      <c r="AP496" s="20" t="s">
        <v>628</v>
      </c>
      <c r="AQ496" s="20">
        <v>10</v>
      </c>
      <c r="AR496" s="20">
        <v>10</v>
      </c>
      <c r="AS496" s="20" t="s">
        <v>592</v>
      </c>
    </row>
    <row r="497" spans="2:45" ht="15.75" customHeight="1" x14ac:dyDescent="0.2">
      <c r="B497" s="20" t="s">
        <v>1158</v>
      </c>
      <c r="C497" s="20" t="s">
        <v>928</v>
      </c>
      <c r="D497" s="20" t="s">
        <v>888</v>
      </c>
      <c r="E497" s="20" t="s">
        <v>1407</v>
      </c>
      <c r="F497" s="20" t="s">
        <v>835</v>
      </c>
      <c r="G497" s="20">
        <v>5</v>
      </c>
      <c r="H497" s="20">
        <v>2</v>
      </c>
      <c r="I497" s="20" t="s">
        <v>593</v>
      </c>
      <c r="K497" s="20" t="s">
        <v>640</v>
      </c>
      <c r="L497" s="20" t="s">
        <v>705</v>
      </c>
      <c r="M497" s="20" t="s">
        <v>1883</v>
      </c>
      <c r="N497" s="20" t="s">
        <v>379</v>
      </c>
      <c r="O497" s="20" t="s">
        <v>835</v>
      </c>
      <c r="P497" s="20">
        <v>5</v>
      </c>
      <c r="Q497" s="20">
        <v>5</v>
      </c>
      <c r="R497" s="20" t="s">
        <v>592</v>
      </c>
      <c r="T497" s="20" t="s">
        <v>1144</v>
      </c>
      <c r="U497" s="20" t="s">
        <v>707</v>
      </c>
      <c r="V497" s="20" t="s">
        <v>490</v>
      </c>
      <c r="W497" s="20" t="s">
        <v>1471</v>
      </c>
      <c r="X497" s="20" t="s">
        <v>835</v>
      </c>
      <c r="Y497" s="20">
        <v>5</v>
      </c>
      <c r="Z497" s="20">
        <v>5</v>
      </c>
      <c r="AA497" s="20" t="s">
        <v>592</v>
      </c>
      <c r="AC497" s="20" t="s">
        <v>1144</v>
      </c>
      <c r="AD497" s="20" t="s">
        <v>1145</v>
      </c>
      <c r="AE497" s="20" t="s">
        <v>2559</v>
      </c>
      <c r="AF497" s="20" t="s">
        <v>2741</v>
      </c>
      <c r="AG497" s="20" t="s">
        <v>835</v>
      </c>
      <c r="AH497" s="20">
        <v>5</v>
      </c>
      <c r="AI497" s="20">
        <v>5</v>
      </c>
      <c r="AJ497" s="20" t="s">
        <v>592</v>
      </c>
      <c r="AL497" s="20" t="s">
        <v>646</v>
      </c>
      <c r="AM497" s="20" t="s">
        <v>25</v>
      </c>
      <c r="AN497" s="20" t="s">
        <v>1968</v>
      </c>
      <c r="AO497" s="20" t="s">
        <v>3073</v>
      </c>
      <c r="AP497" s="20" t="s">
        <v>628</v>
      </c>
      <c r="AQ497" s="20">
        <v>10</v>
      </c>
      <c r="AR497" s="20">
        <v>28</v>
      </c>
      <c r="AS497" s="20" t="s">
        <v>592</v>
      </c>
    </row>
    <row r="498" spans="2:45" ht="15.75" customHeight="1" x14ac:dyDescent="0.2">
      <c r="B498" s="20" t="s">
        <v>1158</v>
      </c>
      <c r="C498" s="20" t="s">
        <v>291</v>
      </c>
      <c r="D498" s="20" t="s">
        <v>495</v>
      </c>
      <c r="E498" s="20" t="s">
        <v>1408</v>
      </c>
      <c r="F498" s="20" t="s">
        <v>835</v>
      </c>
      <c r="G498" s="20">
        <v>5</v>
      </c>
      <c r="H498" s="20">
        <v>4</v>
      </c>
      <c r="I498" s="20" t="s">
        <v>593</v>
      </c>
      <c r="K498" s="20" t="s">
        <v>1143</v>
      </c>
      <c r="L498" s="20" t="s">
        <v>61</v>
      </c>
      <c r="M498" s="20" t="s">
        <v>1424</v>
      </c>
      <c r="N498" s="20" t="s">
        <v>405</v>
      </c>
      <c r="O498" s="20" t="s">
        <v>835</v>
      </c>
      <c r="P498" s="20">
        <v>5</v>
      </c>
      <c r="Q498" s="20">
        <v>5</v>
      </c>
      <c r="R498" s="20" t="s">
        <v>592</v>
      </c>
      <c r="T498" s="20" t="s">
        <v>646</v>
      </c>
      <c r="U498" s="20" t="s">
        <v>246</v>
      </c>
      <c r="V498" s="20" t="s">
        <v>523</v>
      </c>
      <c r="W498" s="20" t="s">
        <v>2334</v>
      </c>
      <c r="X498" s="20" t="s">
        <v>835</v>
      </c>
      <c r="Y498" s="20">
        <v>5</v>
      </c>
      <c r="Z498" s="20">
        <v>5</v>
      </c>
      <c r="AA498" s="20" t="s">
        <v>592</v>
      </c>
      <c r="AC498" s="20" t="s">
        <v>646</v>
      </c>
      <c r="AD498" s="20" t="s">
        <v>303</v>
      </c>
      <c r="AE498" s="20" t="s">
        <v>429</v>
      </c>
      <c r="AF498" s="20" t="s">
        <v>2742</v>
      </c>
      <c r="AG498" s="20" t="s">
        <v>835</v>
      </c>
      <c r="AH498" s="20">
        <v>5</v>
      </c>
      <c r="AI498" s="20">
        <v>1</v>
      </c>
      <c r="AJ498" s="20" t="s">
        <v>593</v>
      </c>
      <c r="AL498" s="20" t="s">
        <v>646</v>
      </c>
      <c r="AM498" s="20" t="s">
        <v>209</v>
      </c>
      <c r="AN498" s="20" t="s">
        <v>411</v>
      </c>
      <c r="AO498" s="20" t="s">
        <v>2025</v>
      </c>
      <c r="AP498" s="20" t="s">
        <v>628</v>
      </c>
      <c r="AQ498" s="20">
        <v>10</v>
      </c>
      <c r="AR498" s="20">
        <v>46</v>
      </c>
      <c r="AS498" s="20" t="s">
        <v>592</v>
      </c>
    </row>
    <row r="499" spans="2:45" ht="15.75" customHeight="1" x14ac:dyDescent="0.2">
      <c r="B499" s="20" t="s">
        <v>1158</v>
      </c>
      <c r="C499" s="20" t="s">
        <v>726</v>
      </c>
      <c r="D499" s="20" t="s">
        <v>855</v>
      </c>
      <c r="E499" s="20" t="s">
        <v>856</v>
      </c>
      <c r="F499" s="20" t="s">
        <v>835</v>
      </c>
      <c r="G499" s="20">
        <v>5</v>
      </c>
      <c r="H499" s="20">
        <v>4</v>
      </c>
      <c r="I499" s="20" t="s">
        <v>593</v>
      </c>
      <c r="K499" s="20" t="s">
        <v>1158</v>
      </c>
      <c r="L499" s="20" t="s">
        <v>291</v>
      </c>
      <c r="M499" s="20" t="s">
        <v>1884</v>
      </c>
      <c r="N499" s="20" t="s">
        <v>1885</v>
      </c>
      <c r="O499" s="20" t="s">
        <v>835</v>
      </c>
      <c r="P499" s="20">
        <v>5</v>
      </c>
      <c r="Q499" s="20">
        <v>2</v>
      </c>
      <c r="R499" s="20" t="s">
        <v>593</v>
      </c>
      <c r="T499" s="20" t="s">
        <v>1144</v>
      </c>
      <c r="U499" s="20" t="s">
        <v>23</v>
      </c>
      <c r="V499" s="20" t="s">
        <v>1823</v>
      </c>
      <c r="W499" s="20" t="s">
        <v>2004</v>
      </c>
      <c r="X499" s="20" t="s">
        <v>835</v>
      </c>
      <c r="Y499" s="20">
        <v>5</v>
      </c>
      <c r="Z499" s="20">
        <v>5</v>
      </c>
      <c r="AA499" s="20" t="s">
        <v>592</v>
      </c>
      <c r="AC499" s="20" t="s">
        <v>646</v>
      </c>
      <c r="AD499" s="20" t="s">
        <v>334</v>
      </c>
      <c r="AE499" s="20" t="s">
        <v>509</v>
      </c>
      <c r="AF499" s="20" t="s">
        <v>2347</v>
      </c>
      <c r="AG499" s="20" t="s">
        <v>835</v>
      </c>
      <c r="AH499" s="20">
        <v>5</v>
      </c>
      <c r="AI499" s="20">
        <v>1</v>
      </c>
      <c r="AJ499" s="20" t="s">
        <v>593</v>
      </c>
      <c r="AL499" s="20" t="s">
        <v>646</v>
      </c>
      <c r="AM499" s="20" t="s">
        <v>209</v>
      </c>
      <c r="AN499" s="20" t="s">
        <v>1699</v>
      </c>
      <c r="AO499" s="20" t="s">
        <v>3074</v>
      </c>
      <c r="AP499" s="20" t="s">
        <v>628</v>
      </c>
      <c r="AQ499" s="20">
        <v>10</v>
      </c>
      <c r="AR499" s="20">
        <v>5</v>
      </c>
      <c r="AS499" s="20" t="s">
        <v>592</v>
      </c>
    </row>
    <row r="500" spans="2:45" ht="15.75" customHeight="1" x14ac:dyDescent="0.2">
      <c r="B500" s="20" t="s">
        <v>1158</v>
      </c>
      <c r="C500" s="20" t="s">
        <v>1040</v>
      </c>
      <c r="D500" s="20" t="s">
        <v>954</v>
      </c>
      <c r="E500" s="20" t="s">
        <v>1409</v>
      </c>
      <c r="F500" s="20" t="s">
        <v>835</v>
      </c>
      <c r="G500" s="20">
        <v>5</v>
      </c>
      <c r="H500" s="20">
        <v>2</v>
      </c>
      <c r="I500" s="20" t="s">
        <v>593</v>
      </c>
      <c r="K500" s="20" t="s">
        <v>640</v>
      </c>
      <c r="L500" s="20" t="s">
        <v>31</v>
      </c>
      <c r="M500" s="20" t="s">
        <v>1886</v>
      </c>
      <c r="N500" s="20" t="s">
        <v>571</v>
      </c>
      <c r="O500" s="20" t="s">
        <v>835</v>
      </c>
      <c r="P500" s="20">
        <v>5</v>
      </c>
      <c r="Q500" s="20">
        <v>9</v>
      </c>
      <c r="R500" s="20" t="s">
        <v>592</v>
      </c>
      <c r="T500" s="20" t="s">
        <v>1163</v>
      </c>
      <c r="U500" s="20" t="s">
        <v>299</v>
      </c>
      <c r="V500" s="20" t="s">
        <v>1569</v>
      </c>
      <c r="W500" s="20" t="s">
        <v>2335</v>
      </c>
      <c r="X500" s="20" t="s">
        <v>628</v>
      </c>
      <c r="Y500" s="20">
        <v>10</v>
      </c>
      <c r="Z500" s="20">
        <v>7</v>
      </c>
      <c r="AA500" s="20" t="s">
        <v>592</v>
      </c>
      <c r="AC500" s="20" t="s">
        <v>1155</v>
      </c>
      <c r="AD500" s="20" t="s">
        <v>657</v>
      </c>
      <c r="AE500" s="20" t="s">
        <v>483</v>
      </c>
      <c r="AF500" s="20" t="s">
        <v>1630</v>
      </c>
      <c r="AG500" s="20" t="s">
        <v>835</v>
      </c>
      <c r="AH500" s="20">
        <v>5</v>
      </c>
      <c r="AI500" s="20">
        <v>7</v>
      </c>
      <c r="AJ500" s="20" t="s">
        <v>592</v>
      </c>
      <c r="AL500" s="20" t="s">
        <v>646</v>
      </c>
      <c r="AM500" s="20" t="s">
        <v>25</v>
      </c>
      <c r="AN500" s="20" t="s">
        <v>2539</v>
      </c>
      <c r="AO500" s="20" t="s">
        <v>3075</v>
      </c>
      <c r="AP500" s="20" t="s">
        <v>628</v>
      </c>
      <c r="AQ500" s="20">
        <v>10</v>
      </c>
      <c r="AR500" s="20">
        <v>11</v>
      </c>
      <c r="AS500" s="20" t="s">
        <v>592</v>
      </c>
    </row>
    <row r="501" spans="2:45" ht="15.75" customHeight="1" x14ac:dyDescent="0.2">
      <c r="B501" s="20" t="s">
        <v>1158</v>
      </c>
      <c r="C501" s="20" t="s">
        <v>1040</v>
      </c>
      <c r="D501" s="20" t="s">
        <v>611</v>
      </c>
      <c r="E501" s="20" t="s">
        <v>1410</v>
      </c>
      <c r="F501" s="20" t="s">
        <v>835</v>
      </c>
      <c r="G501" s="20">
        <v>5</v>
      </c>
      <c r="H501" s="20">
        <v>5</v>
      </c>
      <c r="I501" s="20" t="s">
        <v>592</v>
      </c>
      <c r="K501" s="20" t="s">
        <v>1161</v>
      </c>
      <c r="L501" s="20" t="s">
        <v>41</v>
      </c>
      <c r="M501" s="20" t="s">
        <v>859</v>
      </c>
      <c r="N501" s="20" t="s">
        <v>540</v>
      </c>
      <c r="O501" s="20" t="s">
        <v>628</v>
      </c>
      <c r="P501" s="20">
        <v>10</v>
      </c>
      <c r="Q501" s="20">
        <v>2</v>
      </c>
      <c r="R501" s="20" t="s">
        <v>593</v>
      </c>
      <c r="T501" s="20" t="s">
        <v>1163</v>
      </c>
      <c r="U501" s="20" t="s">
        <v>299</v>
      </c>
      <c r="V501" s="20" t="s">
        <v>1569</v>
      </c>
      <c r="W501" s="20" t="s">
        <v>2336</v>
      </c>
      <c r="X501" s="20" t="s">
        <v>628</v>
      </c>
      <c r="Y501" s="20">
        <v>10</v>
      </c>
      <c r="Z501" s="20">
        <v>1</v>
      </c>
      <c r="AA501" s="20" t="s">
        <v>592</v>
      </c>
      <c r="AC501" s="20" t="s">
        <v>1158</v>
      </c>
      <c r="AD501" s="20" t="s">
        <v>925</v>
      </c>
      <c r="AE501" s="20" t="s">
        <v>532</v>
      </c>
      <c r="AF501" s="20" t="s">
        <v>1729</v>
      </c>
      <c r="AG501" s="20" t="s">
        <v>835</v>
      </c>
      <c r="AH501" s="20">
        <v>5</v>
      </c>
      <c r="AI501" s="20">
        <v>3</v>
      </c>
      <c r="AJ501" s="20" t="s">
        <v>593</v>
      </c>
      <c r="AL501" s="20" t="s">
        <v>646</v>
      </c>
      <c r="AM501" s="20" t="s">
        <v>25</v>
      </c>
      <c r="AN501" s="20" t="s">
        <v>1968</v>
      </c>
      <c r="AO501" s="20" t="s">
        <v>3076</v>
      </c>
      <c r="AP501" s="20" t="s">
        <v>628</v>
      </c>
      <c r="AQ501" s="20">
        <v>10</v>
      </c>
      <c r="AR501" s="20">
        <v>5</v>
      </c>
      <c r="AS501" s="20" t="s">
        <v>592</v>
      </c>
    </row>
    <row r="502" spans="2:45" ht="15.75" customHeight="1" x14ac:dyDescent="0.2">
      <c r="B502" s="20" t="s">
        <v>1158</v>
      </c>
      <c r="C502" s="20" t="s">
        <v>72</v>
      </c>
      <c r="D502" s="20" t="s">
        <v>634</v>
      </c>
      <c r="E502" s="20" t="s">
        <v>1317</v>
      </c>
      <c r="F502" s="20" t="s">
        <v>835</v>
      </c>
      <c r="G502" s="20">
        <v>5</v>
      </c>
      <c r="H502" s="20">
        <v>3</v>
      </c>
      <c r="I502" s="20" t="s">
        <v>593</v>
      </c>
      <c r="K502" s="20" t="s">
        <v>1169</v>
      </c>
      <c r="L502" s="20" t="s">
        <v>333</v>
      </c>
      <c r="M502" s="20" t="s">
        <v>1579</v>
      </c>
      <c r="N502" s="20" t="s">
        <v>453</v>
      </c>
      <c r="O502" s="20" t="s">
        <v>628</v>
      </c>
      <c r="P502" s="20">
        <v>10</v>
      </c>
      <c r="Q502" s="20">
        <v>5</v>
      </c>
      <c r="R502" s="20" t="s">
        <v>593</v>
      </c>
      <c r="T502" s="20" t="s">
        <v>1147</v>
      </c>
      <c r="U502" s="20" t="s">
        <v>699</v>
      </c>
      <c r="V502" s="20" t="s">
        <v>448</v>
      </c>
      <c r="W502" s="20" t="s">
        <v>2337</v>
      </c>
      <c r="X502" s="20" t="s">
        <v>628</v>
      </c>
      <c r="Y502" s="20">
        <v>10</v>
      </c>
      <c r="Z502" s="20">
        <v>1</v>
      </c>
      <c r="AA502" s="20" t="s">
        <v>593</v>
      </c>
      <c r="AC502" s="20" t="s">
        <v>1158</v>
      </c>
      <c r="AD502" s="20" t="s">
        <v>1040</v>
      </c>
      <c r="AE502" s="20" t="s">
        <v>954</v>
      </c>
      <c r="AF502" s="20" t="s">
        <v>1709</v>
      </c>
      <c r="AG502" s="20" t="s">
        <v>835</v>
      </c>
      <c r="AH502" s="20">
        <v>5</v>
      </c>
      <c r="AI502" s="20">
        <v>1</v>
      </c>
      <c r="AJ502" s="20" t="s">
        <v>593</v>
      </c>
      <c r="AL502" s="20" t="s">
        <v>646</v>
      </c>
      <c r="AM502" s="20" t="s">
        <v>25</v>
      </c>
      <c r="AN502" s="20" t="s">
        <v>371</v>
      </c>
      <c r="AO502" s="20" t="s">
        <v>1541</v>
      </c>
      <c r="AP502" s="20" t="s">
        <v>628</v>
      </c>
      <c r="AQ502" s="20">
        <v>10</v>
      </c>
      <c r="AR502" s="20">
        <v>8</v>
      </c>
      <c r="AS502" s="20" t="s">
        <v>592</v>
      </c>
    </row>
    <row r="503" spans="2:45" ht="15.75" customHeight="1" x14ac:dyDescent="0.2">
      <c r="B503" s="20" t="s">
        <v>1143</v>
      </c>
      <c r="C503" s="20" t="s">
        <v>689</v>
      </c>
      <c r="D503" s="20" t="s">
        <v>406</v>
      </c>
      <c r="E503" s="20" t="s">
        <v>734</v>
      </c>
      <c r="F503" s="20" t="s">
        <v>835</v>
      </c>
      <c r="G503" s="20">
        <v>5</v>
      </c>
      <c r="H503" s="20">
        <v>3</v>
      </c>
      <c r="I503" s="20" t="s">
        <v>593</v>
      </c>
      <c r="K503" s="20" t="s">
        <v>640</v>
      </c>
      <c r="L503" s="20" t="s">
        <v>756</v>
      </c>
      <c r="M503" s="20" t="s">
        <v>1887</v>
      </c>
      <c r="N503" s="20" t="s">
        <v>430</v>
      </c>
      <c r="O503" s="20" t="s">
        <v>835</v>
      </c>
      <c r="P503" s="20">
        <v>5</v>
      </c>
      <c r="Q503" s="20">
        <v>5</v>
      </c>
      <c r="R503" s="20" t="s">
        <v>592</v>
      </c>
      <c r="T503" s="20" t="s">
        <v>1147</v>
      </c>
      <c r="U503" s="20" t="s">
        <v>225</v>
      </c>
      <c r="V503" s="20" t="s">
        <v>1840</v>
      </c>
      <c r="W503" s="20" t="s">
        <v>1839</v>
      </c>
      <c r="X503" s="20" t="s">
        <v>835</v>
      </c>
      <c r="Y503" s="20">
        <v>5</v>
      </c>
      <c r="Z503" s="20">
        <v>5</v>
      </c>
      <c r="AA503" s="20" t="s">
        <v>592</v>
      </c>
      <c r="AC503" s="20" t="s">
        <v>1158</v>
      </c>
      <c r="AD503" s="20" t="s">
        <v>291</v>
      </c>
      <c r="AE503" s="20" t="s">
        <v>2506</v>
      </c>
      <c r="AF503" s="20" t="s">
        <v>2394</v>
      </c>
      <c r="AG503" s="20" t="s">
        <v>835</v>
      </c>
      <c r="AH503" s="20">
        <v>5</v>
      </c>
      <c r="AI503" s="20">
        <v>5</v>
      </c>
      <c r="AJ503" s="20" t="s">
        <v>592</v>
      </c>
      <c r="AL503" s="20" t="s">
        <v>646</v>
      </c>
      <c r="AM503" s="20" t="s">
        <v>285</v>
      </c>
      <c r="AN503" s="20" t="s">
        <v>1480</v>
      </c>
      <c r="AO503" s="20" t="s">
        <v>1896</v>
      </c>
      <c r="AP503" s="20" t="s">
        <v>628</v>
      </c>
      <c r="AQ503" s="20">
        <v>10</v>
      </c>
      <c r="AR503" s="20">
        <v>46</v>
      </c>
      <c r="AS503" s="20" t="s">
        <v>592</v>
      </c>
    </row>
    <row r="504" spans="2:45" ht="15.75" customHeight="1" x14ac:dyDescent="0.2">
      <c r="B504" s="20" t="s">
        <v>1143</v>
      </c>
      <c r="C504" s="20" t="s">
        <v>706</v>
      </c>
      <c r="D504" s="20" t="s">
        <v>605</v>
      </c>
      <c r="E504" s="20" t="s">
        <v>870</v>
      </c>
      <c r="F504" s="20" t="s">
        <v>628</v>
      </c>
      <c r="G504" s="20">
        <v>10</v>
      </c>
      <c r="H504" s="20">
        <v>6</v>
      </c>
      <c r="I504" s="20" t="s">
        <v>593</v>
      </c>
      <c r="K504" s="20" t="s">
        <v>1163</v>
      </c>
      <c r="L504" s="20" t="s">
        <v>837</v>
      </c>
      <c r="M504" s="20" t="s">
        <v>1888</v>
      </c>
      <c r="N504" s="20" t="s">
        <v>407</v>
      </c>
      <c r="O504" s="20" t="s">
        <v>835</v>
      </c>
      <c r="P504" s="20">
        <v>5</v>
      </c>
      <c r="Q504" s="20">
        <v>3</v>
      </c>
      <c r="R504" s="20" t="s">
        <v>593</v>
      </c>
      <c r="T504" s="20" t="s">
        <v>1144</v>
      </c>
      <c r="U504" s="20" t="s">
        <v>249</v>
      </c>
      <c r="V504" s="20" t="s">
        <v>622</v>
      </c>
      <c r="W504" s="20" t="s">
        <v>1003</v>
      </c>
      <c r="X504" s="20" t="s">
        <v>835</v>
      </c>
      <c r="Y504" s="20">
        <v>5</v>
      </c>
      <c r="Z504" s="20">
        <v>5</v>
      </c>
      <c r="AA504" s="20" t="s">
        <v>592</v>
      </c>
      <c r="AC504" s="20" t="s">
        <v>1144</v>
      </c>
      <c r="AD504" s="20" t="s">
        <v>249</v>
      </c>
      <c r="AE504" s="20" t="s">
        <v>436</v>
      </c>
      <c r="AF504" s="20" t="s">
        <v>1002</v>
      </c>
      <c r="AG504" s="20" t="s">
        <v>835</v>
      </c>
      <c r="AH504" s="20">
        <v>5</v>
      </c>
      <c r="AI504" s="20">
        <v>6</v>
      </c>
      <c r="AJ504" s="20" t="s">
        <v>592</v>
      </c>
      <c r="AL504" s="20" t="s">
        <v>646</v>
      </c>
      <c r="AM504" s="20" t="s">
        <v>25</v>
      </c>
      <c r="AN504" s="20" t="s">
        <v>2836</v>
      </c>
      <c r="AO504" s="20" t="s">
        <v>3077</v>
      </c>
      <c r="AP504" s="20" t="s">
        <v>628</v>
      </c>
      <c r="AQ504" s="20">
        <v>10</v>
      </c>
      <c r="AR504" s="20">
        <v>8</v>
      </c>
      <c r="AS504" s="20" t="s">
        <v>592</v>
      </c>
    </row>
    <row r="505" spans="2:45" ht="15.75" customHeight="1" x14ac:dyDescent="0.2">
      <c r="B505" s="20" t="s">
        <v>1143</v>
      </c>
      <c r="C505" s="20" t="s">
        <v>689</v>
      </c>
      <c r="D505" s="20" t="s">
        <v>618</v>
      </c>
      <c r="E505" s="20" t="s">
        <v>1053</v>
      </c>
      <c r="F505" s="20" t="s">
        <v>835</v>
      </c>
      <c r="G505" s="20">
        <v>5</v>
      </c>
      <c r="H505" s="20">
        <v>1</v>
      </c>
      <c r="I505" s="20" t="s">
        <v>593</v>
      </c>
      <c r="K505" s="20" t="s">
        <v>1163</v>
      </c>
      <c r="L505" s="20" t="s">
        <v>207</v>
      </c>
      <c r="M505" s="20" t="s">
        <v>1565</v>
      </c>
      <c r="N505" s="20" t="s">
        <v>1566</v>
      </c>
      <c r="O505" s="20" t="s">
        <v>835</v>
      </c>
      <c r="P505" s="20">
        <v>5</v>
      </c>
      <c r="Q505" s="20">
        <v>8</v>
      </c>
      <c r="R505" s="20" t="s">
        <v>592</v>
      </c>
      <c r="T505" s="20" t="s">
        <v>1147</v>
      </c>
      <c r="U505" s="20" t="s">
        <v>225</v>
      </c>
      <c r="V505" s="20" t="s">
        <v>1917</v>
      </c>
      <c r="W505" s="20" t="s">
        <v>1916</v>
      </c>
      <c r="X505" s="20" t="s">
        <v>835</v>
      </c>
      <c r="Y505" s="20">
        <v>5</v>
      </c>
      <c r="Z505" s="20">
        <v>7</v>
      </c>
      <c r="AA505" s="20" t="s">
        <v>592</v>
      </c>
      <c r="AC505" s="20" t="s">
        <v>1149</v>
      </c>
      <c r="AD505" s="20" t="s">
        <v>301</v>
      </c>
      <c r="AE505" s="20" t="s">
        <v>2032</v>
      </c>
      <c r="AF505" s="20" t="s">
        <v>2031</v>
      </c>
      <c r="AG505" s="20" t="s">
        <v>835</v>
      </c>
      <c r="AH505" s="20">
        <v>5</v>
      </c>
      <c r="AI505" s="20">
        <v>1</v>
      </c>
      <c r="AJ505" s="20" t="s">
        <v>593</v>
      </c>
      <c r="AL505" s="20" t="s">
        <v>646</v>
      </c>
      <c r="AM505" s="20" t="s">
        <v>285</v>
      </c>
      <c r="AN505" s="20" t="s">
        <v>877</v>
      </c>
      <c r="AO505" s="20" t="s">
        <v>1026</v>
      </c>
      <c r="AP505" s="20" t="s">
        <v>628</v>
      </c>
      <c r="AQ505" s="20">
        <v>10</v>
      </c>
      <c r="AR505" s="20">
        <v>47</v>
      </c>
      <c r="AS505" s="20" t="s">
        <v>592</v>
      </c>
    </row>
    <row r="506" spans="2:45" ht="15.75" customHeight="1" x14ac:dyDescent="0.2">
      <c r="B506" s="20" t="s">
        <v>1154</v>
      </c>
      <c r="C506" s="20" t="s">
        <v>335</v>
      </c>
      <c r="D506" s="20" t="s">
        <v>566</v>
      </c>
      <c r="E506" s="20" t="s">
        <v>985</v>
      </c>
      <c r="F506" s="20" t="s">
        <v>835</v>
      </c>
      <c r="G506" s="20">
        <v>5</v>
      </c>
      <c r="H506" s="20">
        <v>1</v>
      </c>
      <c r="I506" s="20" t="s">
        <v>593</v>
      </c>
      <c r="K506" s="20" t="s">
        <v>1163</v>
      </c>
      <c r="L506" s="20" t="s">
        <v>837</v>
      </c>
      <c r="M506" s="20" t="s">
        <v>1889</v>
      </c>
      <c r="N506" s="20" t="s">
        <v>358</v>
      </c>
      <c r="O506" s="20" t="s">
        <v>835</v>
      </c>
      <c r="P506" s="20">
        <v>5</v>
      </c>
      <c r="Q506" s="20">
        <v>2</v>
      </c>
      <c r="R506" s="20" t="s">
        <v>593</v>
      </c>
      <c r="T506" s="20" t="s">
        <v>1155</v>
      </c>
      <c r="U506" s="20" t="s">
        <v>1156</v>
      </c>
      <c r="V506" s="20" t="s">
        <v>1835</v>
      </c>
      <c r="W506" s="20" t="s">
        <v>2338</v>
      </c>
      <c r="X506" s="20" t="s">
        <v>835</v>
      </c>
      <c r="Y506" s="20">
        <v>5</v>
      </c>
      <c r="Z506" s="20">
        <v>9</v>
      </c>
      <c r="AA506" s="20" t="s">
        <v>592</v>
      </c>
      <c r="AC506" s="20" t="s">
        <v>1149</v>
      </c>
      <c r="AD506" s="20" t="s">
        <v>301</v>
      </c>
      <c r="AE506" s="20" t="s">
        <v>2030</v>
      </c>
      <c r="AF506" s="20" t="s">
        <v>2395</v>
      </c>
      <c r="AG506" s="20" t="s">
        <v>835</v>
      </c>
      <c r="AH506" s="20">
        <v>5</v>
      </c>
      <c r="AI506" s="20">
        <v>3</v>
      </c>
      <c r="AJ506" s="20" t="s">
        <v>593</v>
      </c>
      <c r="AL506" s="20" t="s">
        <v>646</v>
      </c>
      <c r="AM506" s="20" t="s">
        <v>285</v>
      </c>
      <c r="AN506" s="20" t="s">
        <v>461</v>
      </c>
      <c r="AO506" s="20" t="s">
        <v>2750</v>
      </c>
      <c r="AP506" s="20" t="s">
        <v>628</v>
      </c>
      <c r="AQ506" s="20">
        <v>10</v>
      </c>
      <c r="AR506" s="20">
        <v>77</v>
      </c>
      <c r="AS506" s="20" t="s">
        <v>592</v>
      </c>
    </row>
    <row r="507" spans="2:45" ht="15.75" customHeight="1" x14ac:dyDescent="0.2">
      <c r="B507" s="20" t="s">
        <v>1154</v>
      </c>
      <c r="C507" s="20" t="s">
        <v>335</v>
      </c>
      <c r="D507" s="20" t="s">
        <v>623</v>
      </c>
      <c r="E507" s="20" t="s">
        <v>683</v>
      </c>
      <c r="F507" s="20" t="s">
        <v>835</v>
      </c>
      <c r="G507" s="20">
        <v>5</v>
      </c>
      <c r="H507" s="20">
        <v>1</v>
      </c>
      <c r="I507" s="20" t="s">
        <v>593</v>
      </c>
      <c r="K507" s="20" t="s">
        <v>1163</v>
      </c>
      <c r="L507" s="20" t="s">
        <v>837</v>
      </c>
      <c r="M507" s="20" t="s">
        <v>1890</v>
      </c>
      <c r="N507" s="20" t="s">
        <v>1891</v>
      </c>
      <c r="O507" s="20" t="s">
        <v>835</v>
      </c>
      <c r="P507" s="20">
        <v>5</v>
      </c>
      <c r="Q507" s="20">
        <v>2</v>
      </c>
      <c r="R507" s="20" t="s">
        <v>593</v>
      </c>
      <c r="T507" s="20" t="s">
        <v>1149</v>
      </c>
      <c r="U507" s="20" t="s">
        <v>301</v>
      </c>
      <c r="V507" s="20" t="s">
        <v>503</v>
      </c>
      <c r="W507" s="20" t="s">
        <v>2028</v>
      </c>
      <c r="X507" s="20" t="s">
        <v>835</v>
      </c>
      <c r="Y507" s="20">
        <v>5</v>
      </c>
      <c r="Z507" s="20">
        <v>6</v>
      </c>
      <c r="AA507" s="20" t="s">
        <v>592</v>
      </c>
      <c r="AC507" s="20" t="s">
        <v>1149</v>
      </c>
      <c r="AD507" s="20" t="s">
        <v>301</v>
      </c>
      <c r="AE507" s="20" t="s">
        <v>2477</v>
      </c>
      <c r="AF507" s="20" t="s">
        <v>2231</v>
      </c>
      <c r="AG507" s="20" t="s">
        <v>835</v>
      </c>
      <c r="AH507" s="20">
        <v>5</v>
      </c>
      <c r="AI507" s="20">
        <v>2</v>
      </c>
      <c r="AJ507" s="20" t="s">
        <v>593</v>
      </c>
      <c r="AL507" s="20" t="s">
        <v>646</v>
      </c>
      <c r="AM507" s="20" t="s">
        <v>285</v>
      </c>
      <c r="AN507" s="20" t="s">
        <v>458</v>
      </c>
      <c r="AO507" s="20" t="s">
        <v>3078</v>
      </c>
      <c r="AP507" s="20" t="s">
        <v>628</v>
      </c>
      <c r="AQ507" s="20">
        <v>10</v>
      </c>
      <c r="AR507" s="20">
        <v>65</v>
      </c>
      <c r="AS507" s="20" t="s">
        <v>592</v>
      </c>
    </row>
    <row r="508" spans="2:45" ht="15.75" customHeight="1" x14ac:dyDescent="0.2">
      <c r="B508" s="20" t="s">
        <v>1154</v>
      </c>
      <c r="C508" s="20" t="s">
        <v>335</v>
      </c>
      <c r="D508" s="20" t="s">
        <v>474</v>
      </c>
      <c r="E508" s="20" t="s">
        <v>1411</v>
      </c>
      <c r="F508" s="20" t="s">
        <v>835</v>
      </c>
      <c r="G508" s="20">
        <v>5</v>
      </c>
      <c r="H508" s="20">
        <v>2</v>
      </c>
      <c r="I508" s="20" t="s">
        <v>593</v>
      </c>
      <c r="K508" s="20" t="s">
        <v>1163</v>
      </c>
      <c r="L508" s="20" t="s">
        <v>837</v>
      </c>
      <c r="M508" s="20" t="s">
        <v>1892</v>
      </c>
      <c r="N508" s="20" t="s">
        <v>555</v>
      </c>
      <c r="O508" s="20" t="s">
        <v>835</v>
      </c>
      <c r="P508" s="20">
        <v>5</v>
      </c>
      <c r="Q508" s="20">
        <v>1</v>
      </c>
      <c r="R508" s="20" t="s">
        <v>593</v>
      </c>
      <c r="T508" s="20" t="s">
        <v>1149</v>
      </c>
      <c r="U508" s="20" t="s">
        <v>1150</v>
      </c>
      <c r="V508" s="20" t="s">
        <v>893</v>
      </c>
      <c r="W508" s="20" t="s">
        <v>1389</v>
      </c>
      <c r="X508" s="20" t="s">
        <v>835</v>
      </c>
      <c r="Y508" s="20">
        <v>5</v>
      </c>
      <c r="Z508" s="20">
        <v>6</v>
      </c>
      <c r="AA508" s="20" t="s">
        <v>592</v>
      </c>
      <c r="AC508" s="20" t="s">
        <v>1149</v>
      </c>
      <c r="AD508" s="20" t="s">
        <v>301</v>
      </c>
      <c r="AE508" s="20" t="s">
        <v>501</v>
      </c>
      <c r="AF508" s="20" t="s">
        <v>2689</v>
      </c>
      <c r="AG508" s="20" t="s">
        <v>835</v>
      </c>
      <c r="AH508" s="20">
        <v>5</v>
      </c>
      <c r="AI508" s="20">
        <v>3</v>
      </c>
      <c r="AJ508" s="20" t="s">
        <v>593</v>
      </c>
      <c r="AL508" s="20" t="s">
        <v>646</v>
      </c>
      <c r="AM508" s="20" t="s">
        <v>334</v>
      </c>
      <c r="AN508" s="20" t="s">
        <v>507</v>
      </c>
      <c r="AO508" s="20" t="s">
        <v>1062</v>
      </c>
      <c r="AP508" s="20" t="s">
        <v>628</v>
      </c>
      <c r="AQ508" s="20">
        <v>10</v>
      </c>
      <c r="AR508" s="20">
        <v>12</v>
      </c>
      <c r="AS508" s="20" t="s">
        <v>592</v>
      </c>
    </row>
    <row r="509" spans="2:45" ht="15.75" customHeight="1" x14ac:dyDescent="0.2">
      <c r="B509" s="20" t="s">
        <v>1143</v>
      </c>
      <c r="C509" s="20" t="s">
        <v>61</v>
      </c>
      <c r="D509" s="20" t="s">
        <v>603</v>
      </c>
      <c r="E509" s="20" t="s">
        <v>996</v>
      </c>
      <c r="F509" s="20" t="s">
        <v>835</v>
      </c>
      <c r="G509" s="20">
        <v>5</v>
      </c>
      <c r="H509" s="20">
        <v>2</v>
      </c>
      <c r="I509" s="20" t="s">
        <v>593</v>
      </c>
      <c r="K509" s="20" t="s">
        <v>1163</v>
      </c>
      <c r="L509" s="20" t="s">
        <v>207</v>
      </c>
      <c r="M509" s="20" t="s">
        <v>1893</v>
      </c>
      <c r="N509" s="20" t="s">
        <v>1894</v>
      </c>
      <c r="O509" s="20" t="s">
        <v>835</v>
      </c>
      <c r="P509" s="20">
        <v>5</v>
      </c>
      <c r="Q509" s="20">
        <v>1</v>
      </c>
      <c r="R509" s="20" t="s">
        <v>593</v>
      </c>
      <c r="T509" s="20" t="s">
        <v>1147</v>
      </c>
      <c r="U509" s="20" t="s">
        <v>222</v>
      </c>
      <c r="V509" s="20" t="s">
        <v>552</v>
      </c>
      <c r="W509" s="20" t="s">
        <v>1035</v>
      </c>
      <c r="X509" s="20" t="s">
        <v>835</v>
      </c>
      <c r="Y509" s="20">
        <v>5</v>
      </c>
      <c r="Z509" s="20">
        <v>2</v>
      </c>
      <c r="AA509" s="20" t="s">
        <v>593</v>
      </c>
      <c r="AC509" s="20" t="s">
        <v>640</v>
      </c>
      <c r="AD509" s="20" t="s">
        <v>31</v>
      </c>
      <c r="AE509" s="20" t="s">
        <v>394</v>
      </c>
      <c r="AF509" s="20" t="s">
        <v>2130</v>
      </c>
      <c r="AG509" s="20" t="s">
        <v>835</v>
      </c>
      <c r="AH509" s="20">
        <v>5</v>
      </c>
      <c r="AI509" s="20">
        <v>5</v>
      </c>
      <c r="AJ509" s="20" t="s">
        <v>592</v>
      </c>
      <c r="AL509" s="20" t="s">
        <v>646</v>
      </c>
      <c r="AM509" s="20" t="s">
        <v>285</v>
      </c>
      <c r="AN509" s="20" t="s">
        <v>458</v>
      </c>
      <c r="AO509" s="20" t="s">
        <v>3079</v>
      </c>
      <c r="AP509" s="20" t="s">
        <v>628</v>
      </c>
      <c r="AQ509" s="20">
        <v>10</v>
      </c>
      <c r="AR509" s="20">
        <v>1</v>
      </c>
      <c r="AS509" s="20" t="s">
        <v>592</v>
      </c>
    </row>
    <row r="510" spans="2:45" ht="15.75" customHeight="1" x14ac:dyDescent="0.2">
      <c r="B510" s="20" t="s">
        <v>640</v>
      </c>
      <c r="C510" s="20" t="s">
        <v>31</v>
      </c>
      <c r="D510" s="20" t="s">
        <v>394</v>
      </c>
      <c r="E510" s="20" t="s">
        <v>717</v>
      </c>
      <c r="F510" s="20" t="s">
        <v>835</v>
      </c>
      <c r="G510" s="20">
        <v>5</v>
      </c>
      <c r="H510" s="20">
        <v>1</v>
      </c>
      <c r="I510" s="20" t="s">
        <v>593</v>
      </c>
      <c r="K510" s="20" t="s">
        <v>1163</v>
      </c>
      <c r="L510" s="20" t="s">
        <v>207</v>
      </c>
      <c r="M510" s="20" t="s">
        <v>904</v>
      </c>
      <c r="N510" s="20" t="s">
        <v>363</v>
      </c>
      <c r="O510" s="20" t="s">
        <v>835</v>
      </c>
      <c r="P510" s="20">
        <v>5</v>
      </c>
      <c r="Q510" s="20">
        <v>3</v>
      </c>
      <c r="R510" s="20" t="s">
        <v>593</v>
      </c>
      <c r="T510" s="20" t="s">
        <v>1155</v>
      </c>
      <c r="U510" s="20" t="s">
        <v>286</v>
      </c>
      <c r="V510" s="20" t="s">
        <v>1832</v>
      </c>
      <c r="W510" s="20" t="s">
        <v>1831</v>
      </c>
      <c r="X510" s="20" t="s">
        <v>835</v>
      </c>
      <c r="Y510" s="20">
        <v>5</v>
      </c>
      <c r="Z510" s="20">
        <v>2</v>
      </c>
      <c r="AA510" s="20" t="s">
        <v>593</v>
      </c>
      <c r="AC510" s="20" t="s">
        <v>1161</v>
      </c>
      <c r="AD510" s="20" t="s">
        <v>765</v>
      </c>
      <c r="AE510" s="20" t="s">
        <v>1750</v>
      </c>
      <c r="AF510" s="20" t="s">
        <v>2204</v>
      </c>
      <c r="AG510" s="20" t="s">
        <v>835</v>
      </c>
      <c r="AH510" s="20">
        <v>5</v>
      </c>
      <c r="AI510" s="20">
        <v>5</v>
      </c>
      <c r="AJ510" s="20" t="s">
        <v>592</v>
      </c>
      <c r="AL510" s="20" t="s">
        <v>646</v>
      </c>
      <c r="AM510" s="20" t="s">
        <v>209</v>
      </c>
      <c r="AN510" s="20" t="s">
        <v>886</v>
      </c>
      <c r="AO510" s="20" t="s">
        <v>3080</v>
      </c>
      <c r="AP510" s="20" t="s">
        <v>628</v>
      </c>
      <c r="AQ510" s="20">
        <v>10</v>
      </c>
      <c r="AR510" s="20">
        <v>17</v>
      </c>
      <c r="AS510" s="20" t="s">
        <v>592</v>
      </c>
    </row>
    <row r="511" spans="2:45" ht="15.75" customHeight="1" x14ac:dyDescent="0.2">
      <c r="B511" s="20" t="s">
        <v>646</v>
      </c>
      <c r="C511" s="20" t="s">
        <v>334</v>
      </c>
      <c r="D511" s="20" t="s">
        <v>486</v>
      </c>
      <c r="E511" s="20" t="s">
        <v>796</v>
      </c>
      <c r="F511" s="20" t="s">
        <v>835</v>
      </c>
      <c r="G511" s="20">
        <v>5</v>
      </c>
      <c r="H511" s="20">
        <v>7</v>
      </c>
      <c r="I511" s="20" t="s">
        <v>592</v>
      </c>
      <c r="K511" s="20" t="s">
        <v>1163</v>
      </c>
      <c r="L511" s="20" t="s">
        <v>1165</v>
      </c>
      <c r="M511" s="20" t="s">
        <v>1392</v>
      </c>
      <c r="N511" s="20" t="s">
        <v>360</v>
      </c>
      <c r="O511" s="20" t="s">
        <v>835</v>
      </c>
      <c r="P511" s="20">
        <v>5</v>
      </c>
      <c r="Q511" s="20">
        <v>5</v>
      </c>
      <c r="R511" s="20" t="s">
        <v>592</v>
      </c>
      <c r="T511" s="20" t="s">
        <v>2099</v>
      </c>
      <c r="U511" s="20" t="s">
        <v>2109</v>
      </c>
      <c r="V511" s="20" t="s">
        <v>2453</v>
      </c>
      <c r="W511" s="20" t="s">
        <v>2339</v>
      </c>
      <c r="X511" s="20" t="s">
        <v>835</v>
      </c>
      <c r="Y511" s="20">
        <v>5</v>
      </c>
      <c r="Z511" s="20">
        <v>6</v>
      </c>
      <c r="AA511" s="20" t="s">
        <v>592</v>
      </c>
      <c r="AC511" s="20" t="s">
        <v>1163</v>
      </c>
      <c r="AD511" s="20" t="s">
        <v>221</v>
      </c>
      <c r="AE511" s="20" t="s">
        <v>556</v>
      </c>
      <c r="AF511" s="20" t="s">
        <v>1943</v>
      </c>
      <c r="AG511" s="20" t="s">
        <v>628</v>
      </c>
      <c r="AH511" s="20">
        <v>10</v>
      </c>
      <c r="AI511" s="20">
        <v>3</v>
      </c>
      <c r="AJ511" s="20" t="s">
        <v>593</v>
      </c>
      <c r="AL511" s="20" t="s">
        <v>646</v>
      </c>
      <c r="AM511" s="20" t="s">
        <v>285</v>
      </c>
      <c r="AN511" s="20" t="s">
        <v>425</v>
      </c>
      <c r="AO511" s="20" t="s">
        <v>2636</v>
      </c>
      <c r="AP511" s="20" t="s">
        <v>628</v>
      </c>
      <c r="AQ511" s="20">
        <v>10</v>
      </c>
      <c r="AR511" s="20">
        <v>51</v>
      </c>
      <c r="AS511" s="20" t="s">
        <v>592</v>
      </c>
    </row>
    <row r="512" spans="2:45" ht="15.75" customHeight="1" x14ac:dyDescent="0.2">
      <c r="B512" s="20" t="s">
        <v>646</v>
      </c>
      <c r="C512" s="20" t="s">
        <v>298</v>
      </c>
      <c r="D512" s="20" t="s">
        <v>370</v>
      </c>
      <c r="E512" s="20" t="s">
        <v>775</v>
      </c>
      <c r="F512" s="20" t="s">
        <v>628</v>
      </c>
      <c r="G512" s="20">
        <v>10</v>
      </c>
      <c r="H512" s="20">
        <v>3</v>
      </c>
      <c r="I512" s="20" t="s">
        <v>593</v>
      </c>
      <c r="K512" s="20" t="s">
        <v>1163</v>
      </c>
      <c r="L512" s="20" t="s">
        <v>57</v>
      </c>
      <c r="M512" s="20" t="s">
        <v>1493</v>
      </c>
      <c r="N512" s="20" t="s">
        <v>506</v>
      </c>
      <c r="O512" s="20" t="s">
        <v>835</v>
      </c>
      <c r="P512" s="20">
        <v>5</v>
      </c>
      <c r="Q512" s="20">
        <v>1</v>
      </c>
      <c r="R512" s="20" t="s">
        <v>593</v>
      </c>
      <c r="T512" s="20" t="s">
        <v>2099</v>
      </c>
      <c r="U512" s="20" t="s">
        <v>2106</v>
      </c>
      <c r="V512" s="20" t="s">
        <v>2452</v>
      </c>
      <c r="W512" s="20" t="s">
        <v>2229</v>
      </c>
      <c r="X512" s="20" t="s">
        <v>2514</v>
      </c>
      <c r="Y512" s="20">
        <v>3</v>
      </c>
      <c r="Z512" s="20">
        <v>1</v>
      </c>
      <c r="AA512" s="20" t="s">
        <v>593</v>
      </c>
      <c r="AC512" s="20" t="s">
        <v>1144</v>
      </c>
      <c r="AD512" s="20" t="s">
        <v>249</v>
      </c>
      <c r="AE512" s="20" t="s">
        <v>491</v>
      </c>
      <c r="AF512" s="20" t="s">
        <v>1444</v>
      </c>
      <c r="AG512" s="20" t="s">
        <v>835</v>
      </c>
      <c r="AH512" s="20">
        <v>5</v>
      </c>
      <c r="AI512" s="20">
        <v>4</v>
      </c>
      <c r="AJ512" s="20" t="s">
        <v>592</v>
      </c>
      <c r="AL512" s="20" t="s">
        <v>646</v>
      </c>
      <c r="AM512" s="20" t="s">
        <v>209</v>
      </c>
      <c r="AN512" s="20" t="s">
        <v>2837</v>
      </c>
      <c r="AO512" s="20" t="s">
        <v>3081</v>
      </c>
      <c r="AP512" s="20" t="s">
        <v>628</v>
      </c>
      <c r="AQ512" s="20">
        <v>10</v>
      </c>
      <c r="AR512" s="20">
        <v>21</v>
      </c>
      <c r="AS512" s="20" t="s">
        <v>592</v>
      </c>
    </row>
    <row r="513" spans="2:45" ht="15.75" customHeight="1" x14ac:dyDescent="0.2">
      <c r="B513" s="20" t="s">
        <v>1158</v>
      </c>
      <c r="C513" s="20" t="s">
        <v>925</v>
      </c>
      <c r="D513" s="20" t="s">
        <v>532</v>
      </c>
      <c r="E513" s="20" t="s">
        <v>798</v>
      </c>
      <c r="F513" s="20" t="s">
        <v>835</v>
      </c>
      <c r="G513" s="20">
        <v>5</v>
      </c>
      <c r="H513" s="20">
        <v>5</v>
      </c>
      <c r="I513" s="20" t="s">
        <v>592</v>
      </c>
      <c r="K513" s="20" t="s">
        <v>1163</v>
      </c>
      <c r="L513" s="20" t="s">
        <v>57</v>
      </c>
      <c r="M513" s="20" t="s">
        <v>1895</v>
      </c>
      <c r="N513" s="20" t="s">
        <v>359</v>
      </c>
      <c r="O513" s="20" t="s">
        <v>628</v>
      </c>
      <c r="P513" s="20">
        <v>10</v>
      </c>
      <c r="Q513" s="20">
        <v>9</v>
      </c>
      <c r="R513" s="20" t="s">
        <v>592</v>
      </c>
      <c r="T513" s="20" t="s">
        <v>1144</v>
      </c>
      <c r="U513" s="20" t="s">
        <v>313</v>
      </c>
      <c r="V513" s="20" t="s">
        <v>439</v>
      </c>
      <c r="W513" s="20" t="s">
        <v>2340</v>
      </c>
      <c r="X513" s="20" t="s">
        <v>835</v>
      </c>
      <c r="Y513" s="20">
        <v>5</v>
      </c>
      <c r="Z513" s="20">
        <v>6</v>
      </c>
      <c r="AA513" s="20" t="s">
        <v>592</v>
      </c>
      <c r="AC513" s="20" t="s">
        <v>1144</v>
      </c>
      <c r="AD513" s="20" t="s">
        <v>249</v>
      </c>
      <c r="AE513" s="20" t="s">
        <v>491</v>
      </c>
      <c r="AF513" s="20" t="s">
        <v>1445</v>
      </c>
      <c r="AG513" s="20" t="s">
        <v>835</v>
      </c>
      <c r="AH513" s="20">
        <v>5</v>
      </c>
      <c r="AI513" s="20">
        <v>1</v>
      </c>
      <c r="AJ513" s="20" t="s">
        <v>592</v>
      </c>
      <c r="AL513" s="20" t="s">
        <v>646</v>
      </c>
      <c r="AM513" s="20" t="s">
        <v>209</v>
      </c>
      <c r="AN513" s="20" t="s">
        <v>886</v>
      </c>
      <c r="AO513" s="20" t="s">
        <v>900</v>
      </c>
      <c r="AP513" s="20" t="s">
        <v>628</v>
      </c>
      <c r="AQ513" s="20">
        <v>10</v>
      </c>
      <c r="AR513" s="20">
        <v>66</v>
      </c>
      <c r="AS513" s="20" t="s">
        <v>592</v>
      </c>
    </row>
    <row r="514" spans="2:45" ht="15.75" customHeight="1" x14ac:dyDescent="0.2">
      <c r="B514" s="20" t="s">
        <v>1144</v>
      </c>
      <c r="C514" s="20" t="s">
        <v>249</v>
      </c>
      <c r="D514" s="20" t="s">
        <v>436</v>
      </c>
      <c r="E514" s="20" t="s">
        <v>1002</v>
      </c>
      <c r="F514" s="20" t="s">
        <v>835</v>
      </c>
      <c r="G514" s="20">
        <v>5</v>
      </c>
      <c r="H514" s="20">
        <v>5</v>
      </c>
      <c r="I514" s="20" t="s">
        <v>592</v>
      </c>
      <c r="K514" s="20" t="s">
        <v>646</v>
      </c>
      <c r="L514" s="20" t="s">
        <v>285</v>
      </c>
      <c r="M514" s="20" t="s">
        <v>1896</v>
      </c>
      <c r="N514" s="20" t="s">
        <v>1480</v>
      </c>
      <c r="O514" s="20" t="s">
        <v>835</v>
      </c>
      <c r="P514" s="20">
        <v>5</v>
      </c>
      <c r="Q514" s="20">
        <v>5</v>
      </c>
      <c r="R514" s="20" t="s">
        <v>592</v>
      </c>
      <c r="T514" s="20" t="s">
        <v>1144</v>
      </c>
      <c r="U514" s="20" t="s">
        <v>313</v>
      </c>
      <c r="V514" s="20" t="s">
        <v>439</v>
      </c>
      <c r="W514" s="20" t="s">
        <v>2341</v>
      </c>
      <c r="X514" s="20" t="s">
        <v>835</v>
      </c>
      <c r="Y514" s="20">
        <v>5</v>
      </c>
      <c r="Z514" s="20">
        <v>1</v>
      </c>
      <c r="AA514" s="20" t="s">
        <v>592</v>
      </c>
      <c r="AC514" s="20" t="s">
        <v>1144</v>
      </c>
      <c r="AD514" s="20" t="s">
        <v>707</v>
      </c>
      <c r="AE514" s="20" t="s">
        <v>1992</v>
      </c>
      <c r="AF514" s="20" t="s">
        <v>1991</v>
      </c>
      <c r="AG514" s="20" t="s">
        <v>835</v>
      </c>
      <c r="AH514" s="20">
        <v>5</v>
      </c>
      <c r="AI514" s="20">
        <v>5</v>
      </c>
      <c r="AJ514" s="20" t="s">
        <v>592</v>
      </c>
      <c r="AL514" s="20" t="s">
        <v>646</v>
      </c>
      <c r="AM514" s="20" t="s">
        <v>285</v>
      </c>
      <c r="AN514" s="20" t="s">
        <v>2838</v>
      </c>
      <c r="AO514" s="20" t="s">
        <v>3082</v>
      </c>
      <c r="AP514" s="20" t="s">
        <v>835</v>
      </c>
      <c r="AQ514" s="20">
        <v>5</v>
      </c>
      <c r="AR514" s="20">
        <v>1</v>
      </c>
      <c r="AS514" s="20" t="s">
        <v>593</v>
      </c>
    </row>
    <row r="515" spans="2:45" ht="15.75" customHeight="1" x14ac:dyDescent="0.2">
      <c r="B515" s="20" t="s">
        <v>1163</v>
      </c>
      <c r="C515" s="20" t="s">
        <v>207</v>
      </c>
      <c r="D515" s="20" t="s">
        <v>600</v>
      </c>
      <c r="E515" s="20" t="s">
        <v>863</v>
      </c>
      <c r="F515" s="20" t="s">
        <v>628</v>
      </c>
      <c r="G515" s="20">
        <v>10</v>
      </c>
      <c r="H515" s="20">
        <v>9</v>
      </c>
      <c r="I515" s="20" t="s">
        <v>592</v>
      </c>
      <c r="K515" s="20" t="s">
        <v>646</v>
      </c>
      <c r="L515" s="20" t="s">
        <v>285</v>
      </c>
      <c r="M515" s="20" t="s">
        <v>1897</v>
      </c>
      <c r="N515" s="20" t="s">
        <v>1480</v>
      </c>
      <c r="O515" s="20" t="s">
        <v>835</v>
      </c>
      <c r="P515" s="20">
        <v>5</v>
      </c>
      <c r="Q515" s="20">
        <v>1</v>
      </c>
      <c r="R515" s="20" t="s">
        <v>592</v>
      </c>
      <c r="T515" s="20" t="s">
        <v>1158</v>
      </c>
      <c r="U515" s="20" t="s">
        <v>72</v>
      </c>
      <c r="V515" s="20" t="s">
        <v>1777</v>
      </c>
      <c r="W515" s="20" t="s">
        <v>1776</v>
      </c>
      <c r="X515" s="20" t="s">
        <v>835</v>
      </c>
      <c r="Y515" s="20">
        <v>5</v>
      </c>
      <c r="Z515" s="20">
        <v>5</v>
      </c>
      <c r="AA515" s="20" t="s">
        <v>592</v>
      </c>
      <c r="AC515" s="20" t="s">
        <v>1144</v>
      </c>
      <c r="AD515" s="20" t="s">
        <v>313</v>
      </c>
      <c r="AE515" s="20" t="s">
        <v>530</v>
      </c>
      <c r="AF515" s="20" t="s">
        <v>999</v>
      </c>
      <c r="AG515" s="20" t="s">
        <v>835</v>
      </c>
      <c r="AH515" s="20">
        <v>5</v>
      </c>
      <c r="AI515" s="20">
        <v>5</v>
      </c>
      <c r="AJ515" s="20" t="s">
        <v>592</v>
      </c>
      <c r="AL515" s="20" t="s">
        <v>646</v>
      </c>
      <c r="AM515" s="20" t="s">
        <v>209</v>
      </c>
      <c r="AN515" s="20" t="s">
        <v>1515</v>
      </c>
      <c r="AO515" s="20" t="s">
        <v>3083</v>
      </c>
      <c r="AP515" s="20" t="s">
        <v>628</v>
      </c>
      <c r="AQ515" s="20">
        <v>10</v>
      </c>
      <c r="AR515" s="20">
        <v>14</v>
      </c>
      <c r="AS515" s="20" t="s">
        <v>592</v>
      </c>
    </row>
    <row r="516" spans="2:45" ht="15.75" customHeight="1" x14ac:dyDescent="0.2">
      <c r="B516" s="20" t="s">
        <v>1147</v>
      </c>
      <c r="C516" s="20" t="s">
        <v>29</v>
      </c>
      <c r="D516" s="20" t="s">
        <v>420</v>
      </c>
      <c r="E516" s="20" t="s">
        <v>820</v>
      </c>
      <c r="F516" s="20" t="s">
        <v>628</v>
      </c>
      <c r="G516" s="20">
        <v>10</v>
      </c>
      <c r="H516" s="20">
        <v>2</v>
      </c>
      <c r="I516" s="20" t="s">
        <v>593</v>
      </c>
      <c r="K516" s="20" t="s">
        <v>1169</v>
      </c>
      <c r="L516" s="20" t="s">
        <v>216</v>
      </c>
      <c r="M516" s="20" t="s">
        <v>1898</v>
      </c>
      <c r="N516" s="20" t="s">
        <v>1899</v>
      </c>
      <c r="O516" s="20" t="s">
        <v>628</v>
      </c>
      <c r="P516" s="20">
        <v>10</v>
      </c>
      <c r="Q516" s="20">
        <v>8</v>
      </c>
      <c r="R516" s="20" t="s">
        <v>592</v>
      </c>
      <c r="T516" s="20" t="s">
        <v>1163</v>
      </c>
      <c r="U516" s="20" t="s">
        <v>207</v>
      </c>
      <c r="V516" s="20" t="s">
        <v>1612</v>
      </c>
      <c r="W516" s="20" t="s">
        <v>2169</v>
      </c>
      <c r="X516" s="20" t="s">
        <v>835</v>
      </c>
      <c r="Y516" s="20">
        <v>5</v>
      </c>
      <c r="Z516" s="20">
        <v>8</v>
      </c>
      <c r="AA516" s="20" t="s">
        <v>592</v>
      </c>
      <c r="AC516" s="20" t="s">
        <v>2099</v>
      </c>
      <c r="AD516" s="20" t="s">
        <v>2117</v>
      </c>
      <c r="AE516" s="20" t="s">
        <v>2530</v>
      </c>
      <c r="AF516" s="20" t="s">
        <v>2743</v>
      </c>
      <c r="AG516" s="20" t="s">
        <v>835</v>
      </c>
      <c r="AH516" s="20">
        <v>5</v>
      </c>
      <c r="AI516" s="20">
        <v>3</v>
      </c>
      <c r="AJ516" s="20" t="s">
        <v>592</v>
      </c>
      <c r="AL516" s="20" t="s">
        <v>646</v>
      </c>
      <c r="AM516" s="20" t="s">
        <v>209</v>
      </c>
      <c r="AN516" s="20" t="s">
        <v>1515</v>
      </c>
      <c r="AO516" s="20" t="s">
        <v>2244</v>
      </c>
      <c r="AP516" s="20" t="s">
        <v>628</v>
      </c>
      <c r="AQ516" s="20">
        <v>10</v>
      </c>
      <c r="AR516" s="20">
        <v>54</v>
      </c>
      <c r="AS516" s="20" t="s">
        <v>592</v>
      </c>
    </row>
    <row r="517" spans="2:45" ht="15.75" customHeight="1" x14ac:dyDescent="0.2">
      <c r="B517" s="20" t="s">
        <v>640</v>
      </c>
      <c r="C517" s="20" t="s">
        <v>31</v>
      </c>
      <c r="D517" s="20" t="s">
        <v>602</v>
      </c>
      <c r="E517" s="20" t="s">
        <v>1412</v>
      </c>
      <c r="F517" s="20" t="s">
        <v>835</v>
      </c>
      <c r="G517" s="20">
        <v>5</v>
      </c>
      <c r="H517" s="20">
        <v>6</v>
      </c>
      <c r="I517" s="20" t="s">
        <v>592</v>
      </c>
      <c r="K517" s="20" t="s">
        <v>1155</v>
      </c>
      <c r="L517" s="20" t="s">
        <v>657</v>
      </c>
      <c r="M517" s="20" t="s">
        <v>1553</v>
      </c>
      <c r="N517" s="20" t="s">
        <v>484</v>
      </c>
      <c r="O517" s="20" t="s">
        <v>835</v>
      </c>
      <c r="P517" s="20">
        <v>5</v>
      </c>
      <c r="Q517" s="20">
        <v>1</v>
      </c>
      <c r="R517" s="20" t="s">
        <v>593</v>
      </c>
      <c r="T517" s="20" t="s">
        <v>1161</v>
      </c>
      <c r="U517" s="20" t="s">
        <v>41</v>
      </c>
      <c r="V517" s="20" t="s">
        <v>540</v>
      </c>
      <c r="W517" s="20" t="s">
        <v>2342</v>
      </c>
      <c r="X517" s="20" t="s">
        <v>628</v>
      </c>
      <c r="Y517" s="20">
        <v>10</v>
      </c>
      <c r="Z517" s="20">
        <v>11</v>
      </c>
      <c r="AA517" s="20" t="s">
        <v>592</v>
      </c>
      <c r="AC517" s="20" t="s">
        <v>2099</v>
      </c>
      <c r="AD517" s="20" t="s">
        <v>2117</v>
      </c>
      <c r="AE517" s="20" t="s">
        <v>2530</v>
      </c>
      <c r="AF517" s="20" t="s">
        <v>2243</v>
      </c>
      <c r="AG517" s="20" t="s">
        <v>835</v>
      </c>
      <c r="AH517" s="20">
        <v>5</v>
      </c>
      <c r="AI517" s="20">
        <v>4</v>
      </c>
      <c r="AJ517" s="20" t="s">
        <v>592</v>
      </c>
      <c r="AL517" s="20" t="s">
        <v>646</v>
      </c>
      <c r="AM517" s="20" t="s">
        <v>303</v>
      </c>
      <c r="AN517" s="20" t="s">
        <v>2839</v>
      </c>
      <c r="AO517" s="20" t="s">
        <v>3084</v>
      </c>
      <c r="AP517" s="20" t="s">
        <v>835</v>
      </c>
      <c r="AQ517" s="20">
        <v>5</v>
      </c>
      <c r="AR517" s="20">
        <v>6</v>
      </c>
      <c r="AS517" s="20" t="s">
        <v>592</v>
      </c>
    </row>
    <row r="518" spans="2:45" ht="15.75" customHeight="1" x14ac:dyDescent="0.2">
      <c r="B518" s="20" t="s">
        <v>1162</v>
      </c>
      <c r="C518" s="20" t="s">
        <v>240</v>
      </c>
      <c r="D518" s="20" t="s">
        <v>365</v>
      </c>
      <c r="E518" s="20" t="s">
        <v>912</v>
      </c>
      <c r="F518" s="20" t="s">
        <v>628</v>
      </c>
      <c r="G518" s="20">
        <v>10</v>
      </c>
      <c r="H518" s="20">
        <v>5</v>
      </c>
      <c r="I518" s="20" t="s">
        <v>593</v>
      </c>
      <c r="K518" s="20" t="s">
        <v>1155</v>
      </c>
      <c r="L518" s="20" t="s">
        <v>657</v>
      </c>
      <c r="M518" s="20" t="s">
        <v>1900</v>
      </c>
      <c r="N518" s="20" t="s">
        <v>1901</v>
      </c>
      <c r="O518" s="20" t="s">
        <v>835</v>
      </c>
      <c r="P518" s="20">
        <v>5</v>
      </c>
      <c r="Q518" s="20">
        <v>1</v>
      </c>
      <c r="R518" s="20" t="s">
        <v>593</v>
      </c>
      <c r="T518" s="20" t="s">
        <v>646</v>
      </c>
      <c r="U518" s="20" t="s">
        <v>334</v>
      </c>
      <c r="V518" s="20" t="s">
        <v>508</v>
      </c>
      <c r="W518" s="20" t="s">
        <v>2179</v>
      </c>
      <c r="X518" s="20" t="s">
        <v>835</v>
      </c>
      <c r="Y518" s="20">
        <v>5</v>
      </c>
      <c r="Z518" s="20">
        <v>5</v>
      </c>
      <c r="AA518" s="20" t="s">
        <v>592</v>
      </c>
      <c r="AC518" s="20" t="s">
        <v>2099</v>
      </c>
      <c r="AD518" s="20" t="s">
        <v>2109</v>
      </c>
      <c r="AE518" s="20" t="s">
        <v>2545</v>
      </c>
      <c r="AF518" s="20" t="s">
        <v>2672</v>
      </c>
      <c r="AG518" s="20" t="s">
        <v>2514</v>
      </c>
      <c r="AH518" s="20">
        <v>3</v>
      </c>
      <c r="AI518" s="20">
        <v>5</v>
      </c>
      <c r="AJ518" s="20" t="s">
        <v>592</v>
      </c>
      <c r="AL518" s="20" t="s">
        <v>646</v>
      </c>
      <c r="AM518" s="20" t="s">
        <v>303</v>
      </c>
      <c r="AN518" s="20" t="s">
        <v>2840</v>
      </c>
      <c r="AO518" s="20" t="s">
        <v>3085</v>
      </c>
      <c r="AP518" s="20" t="s">
        <v>628</v>
      </c>
      <c r="AQ518" s="20">
        <v>10</v>
      </c>
      <c r="AR518" s="20">
        <v>21</v>
      </c>
      <c r="AS518" s="20" t="s">
        <v>592</v>
      </c>
    </row>
    <row r="519" spans="2:45" ht="15.75" customHeight="1" x14ac:dyDescent="0.2">
      <c r="B519" s="20" t="s">
        <v>640</v>
      </c>
      <c r="C519" s="20" t="s">
        <v>756</v>
      </c>
      <c r="D519" s="20" t="s">
        <v>433</v>
      </c>
      <c r="E519" s="20" t="s">
        <v>1413</v>
      </c>
      <c r="F519" s="20" t="s">
        <v>835</v>
      </c>
      <c r="G519" s="20">
        <v>5</v>
      </c>
      <c r="H519" s="20">
        <v>1</v>
      </c>
      <c r="I519" s="20" t="s">
        <v>592</v>
      </c>
      <c r="K519" s="20" t="s">
        <v>646</v>
      </c>
      <c r="L519" s="20" t="s">
        <v>285</v>
      </c>
      <c r="M519" s="20" t="s">
        <v>1902</v>
      </c>
      <c r="N519" s="20" t="s">
        <v>458</v>
      </c>
      <c r="O519" s="20" t="s">
        <v>835</v>
      </c>
      <c r="P519" s="20">
        <v>5</v>
      </c>
      <c r="Q519" s="20">
        <v>9</v>
      </c>
      <c r="R519" s="20" t="s">
        <v>592</v>
      </c>
      <c r="T519" s="20" t="s">
        <v>646</v>
      </c>
      <c r="U519" s="20" t="s">
        <v>334</v>
      </c>
      <c r="V519" s="20" t="s">
        <v>1772</v>
      </c>
      <c r="W519" s="20" t="s">
        <v>2343</v>
      </c>
      <c r="X519" s="20" t="s">
        <v>835</v>
      </c>
      <c r="Y519" s="20">
        <v>5</v>
      </c>
      <c r="Z519" s="20">
        <v>1</v>
      </c>
      <c r="AA519" s="20" t="s">
        <v>593</v>
      </c>
      <c r="AC519" s="20" t="s">
        <v>2099</v>
      </c>
      <c r="AD519" s="20" t="s">
        <v>2117</v>
      </c>
      <c r="AE519" s="20" t="s">
        <v>2530</v>
      </c>
      <c r="AF519" s="20" t="s">
        <v>2656</v>
      </c>
      <c r="AG519" s="20" t="s">
        <v>2514</v>
      </c>
      <c r="AH519" s="20">
        <v>3</v>
      </c>
      <c r="AI519" s="20">
        <v>2</v>
      </c>
      <c r="AJ519" s="20" t="s">
        <v>593</v>
      </c>
      <c r="AL519" s="20" t="s">
        <v>646</v>
      </c>
      <c r="AM519" s="20" t="s">
        <v>209</v>
      </c>
      <c r="AN519" s="20" t="s">
        <v>1714</v>
      </c>
      <c r="AO519" s="20" t="s">
        <v>1990</v>
      </c>
      <c r="AP519" s="20" t="s">
        <v>628</v>
      </c>
      <c r="AQ519" s="20">
        <v>10</v>
      </c>
      <c r="AR519" s="20">
        <v>44</v>
      </c>
      <c r="AS519" s="20" t="s">
        <v>592</v>
      </c>
    </row>
    <row r="520" spans="2:45" ht="15.75" customHeight="1" x14ac:dyDescent="0.2">
      <c r="B520" s="20" t="s">
        <v>640</v>
      </c>
      <c r="C520" s="20" t="s">
        <v>756</v>
      </c>
      <c r="D520" s="20" t="s">
        <v>433</v>
      </c>
      <c r="E520" s="20" t="s">
        <v>1414</v>
      </c>
      <c r="F520" s="20" t="s">
        <v>835</v>
      </c>
      <c r="G520" s="20">
        <v>5</v>
      </c>
      <c r="H520" s="20">
        <v>5</v>
      </c>
      <c r="I520" s="20" t="s">
        <v>592</v>
      </c>
      <c r="K520" s="20" t="s">
        <v>646</v>
      </c>
      <c r="L520" s="20" t="s">
        <v>303</v>
      </c>
      <c r="M520" s="20" t="s">
        <v>636</v>
      </c>
      <c r="N520" s="20" t="s">
        <v>409</v>
      </c>
      <c r="O520" s="20" t="s">
        <v>835</v>
      </c>
      <c r="P520" s="20">
        <v>5</v>
      </c>
      <c r="Q520" s="20">
        <v>5</v>
      </c>
      <c r="R520" s="20" t="s">
        <v>592</v>
      </c>
      <c r="T520" s="20" t="s">
        <v>646</v>
      </c>
      <c r="U520" s="20" t="s">
        <v>334</v>
      </c>
      <c r="V520" s="20" t="s">
        <v>522</v>
      </c>
      <c r="W520" s="20" t="s">
        <v>2344</v>
      </c>
      <c r="X520" s="20" t="s">
        <v>835</v>
      </c>
      <c r="Y520" s="20">
        <v>5</v>
      </c>
      <c r="Z520" s="20">
        <v>5</v>
      </c>
      <c r="AA520" s="20" t="s">
        <v>592</v>
      </c>
      <c r="AC520" s="20" t="s">
        <v>1149</v>
      </c>
      <c r="AD520" s="20" t="s">
        <v>806</v>
      </c>
      <c r="AE520" s="20" t="s">
        <v>468</v>
      </c>
      <c r="AF520" s="20" t="s">
        <v>2052</v>
      </c>
      <c r="AG520" s="20" t="s">
        <v>835</v>
      </c>
      <c r="AH520" s="20">
        <v>5</v>
      </c>
      <c r="AI520" s="20">
        <v>7</v>
      </c>
      <c r="AJ520" s="20" t="s">
        <v>592</v>
      </c>
      <c r="AL520" s="20" t="s">
        <v>646</v>
      </c>
      <c r="AM520" s="20" t="s">
        <v>303</v>
      </c>
      <c r="AN520" s="20" t="s">
        <v>2841</v>
      </c>
      <c r="AO520" s="20" t="s">
        <v>3086</v>
      </c>
      <c r="AP520" s="20" t="s">
        <v>628</v>
      </c>
      <c r="AQ520" s="20">
        <v>10</v>
      </c>
      <c r="AR520" s="20">
        <v>32</v>
      </c>
      <c r="AS520" s="20" t="s">
        <v>592</v>
      </c>
    </row>
    <row r="521" spans="2:45" ht="15.75" customHeight="1" x14ac:dyDescent="0.2">
      <c r="B521" s="20" t="s">
        <v>640</v>
      </c>
      <c r="C521" s="20" t="s">
        <v>191</v>
      </c>
      <c r="D521" s="20" t="s">
        <v>570</v>
      </c>
      <c r="E521" s="20" t="s">
        <v>1415</v>
      </c>
      <c r="F521" s="20" t="s">
        <v>835</v>
      </c>
      <c r="G521" s="20">
        <v>5</v>
      </c>
      <c r="H521" s="20">
        <v>5</v>
      </c>
      <c r="I521" s="20" t="s">
        <v>592</v>
      </c>
      <c r="K521" s="20" t="s">
        <v>646</v>
      </c>
      <c r="L521" s="20" t="s">
        <v>303</v>
      </c>
      <c r="M521" s="20" t="s">
        <v>1903</v>
      </c>
      <c r="N521" s="20" t="s">
        <v>1904</v>
      </c>
      <c r="O521" s="20" t="s">
        <v>835</v>
      </c>
      <c r="P521" s="20">
        <v>5</v>
      </c>
      <c r="Q521" s="20">
        <v>5</v>
      </c>
      <c r="R521" s="20" t="s">
        <v>592</v>
      </c>
      <c r="T521" s="20" t="s">
        <v>646</v>
      </c>
      <c r="U521" s="20" t="s">
        <v>25</v>
      </c>
      <c r="V521" s="20" t="s">
        <v>521</v>
      </c>
      <c r="W521" s="20" t="s">
        <v>2345</v>
      </c>
      <c r="X521" s="20" t="s">
        <v>835</v>
      </c>
      <c r="Y521" s="20">
        <v>5</v>
      </c>
      <c r="Z521" s="20">
        <v>1</v>
      </c>
      <c r="AA521" s="20" t="s">
        <v>593</v>
      </c>
      <c r="AC521" s="20" t="s">
        <v>1149</v>
      </c>
      <c r="AD521" s="20" t="s">
        <v>1150</v>
      </c>
      <c r="AE521" s="20" t="s">
        <v>476</v>
      </c>
      <c r="AF521" s="20" t="s">
        <v>2264</v>
      </c>
      <c r="AG521" s="20" t="s">
        <v>835</v>
      </c>
      <c r="AH521" s="20">
        <v>5</v>
      </c>
      <c r="AI521" s="20">
        <v>2</v>
      </c>
      <c r="AJ521" s="20" t="s">
        <v>593</v>
      </c>
      <c r="AL521" s="20" t="s">
        <v>646</v>
      </c>
      <c r="AM521" s="20" t="s">
        <v>303</v>
      </c>
      <c r="AN521" s="20" t="s">
        <v>2841</v>
      </c>
      <c r="AO521" s="20" t="s">
        <v>3087</v>
      </c>
      <c r="AP521" s="20" t="s">
        <v>628</v>
      </c>
      <c r="AQ521" s="20">
        <v>10</v>
      </c>
      <c r="AR521" s="20">
        <v>10</v>
      </c>
      <c r="AS521" s="20" t="s">
        <v>592</v>
      </c>
    </row>
    <row r="522" spans="2:45" ht="15.75" customHeight="1" x14ac:dyDescent="0.2">
      <c r="B522" s="20" t="s">
        <v>640</v>
      </c>
      <c r="C522" s="20" t="s">
        <v>191</v>
      </c>
      <c r="D522" s="20" t="s">
        <v>573</v>
      </c>
      <c r="E522" s="20" t="s">
        <v>793</v>
      </c>
      <c r="F522" s="20" t="s">
        <v>628</v>
      </c>
      <c r="G522" s="20">
        <v>10</v>
      </c>
      <c r="H522" s="20">
        <v>8</v>
      </c>
      <c r="I522" s="20" t="s">
        <v>592</v>
      </c>
      <c r="K522" s="20" t="s">
        <v>646</v>
      </c>
      <c r="L522" s="20" t="s">
        <v>303</v>
      </c>
      <c r="M522" s="20" t="s">
        <v>1905</v>
      </c>
      <c r="N522" s="20" t="s">
        <v>428</v>
      </c>
      <c r="O522" s="20" t="s">
        <v>835</v>
      </c>
      <c r="P522" s="20">
        <v>5</v>
      </c>
      <c r="Q522" s="20">
        <v>2</v>
      </c>
      <c r="R522" s="20" t="s">
        <v>593</v>
      </c>
      <c r="T522" s="20" t="s">
        <v>646</v>
      </c>
      <c r="U522" s="20" t="s">
        <v>1109</v>
      </c>
      <c r="V522" s="20" t="s">
        <v>367</v>
      </c>
      <c r="W522" s="20" t="s">
        <v>1734</v>
      </c>
      <c r="X522" s="20" t="s">
        <v>835</v>
      </c>
      <c r="Y522" s="20">
        <v>5</v>
      </c>
      <c r="Z522" s="20">
        <v>5</v>
      </c>
      <c r="AA522" s="20" t="s">
        <v>592</v>
      </c>
      <c r="AC522" s="20" t="s">
        <v>1149</v>
      </c>
      <c r="AD522" s="20" t="s">
        <v>1150</v>
      </c>
      <c r="AE522" s="20" t="s">
        <v>479</v>
      </c>
      <c r="AF522" s="20" t="s">
        <v>2418</v>
      </c>
      <c r="AG522" s="20" t="s">
        <v>835</v>
      </c>
      <c r="AH522" s="20">
        <v>5</v>
      </c>
      <c r="AI522" s="20">
        <v>1</v>
      </c>
      <c r="AJ522" s="20" t="s">
        <v>593</v>
      </c>
      <c r="AL522" s="20" t="s">
        <v>646</v>
      </c>
      <c r="AM522" s="20" t="s">
        <v>303</v>
      </c>
      <c r="AN522" s="20" t="s">
        <v>428</v>
      </c>
      <c r="AO522" s="20" t="s">
        <v>890</v>
      </c>
      <c r="AP522" s="20" t="s">
        <v>628</v>
      </c>
      <c r="AQ522" s="20">
        <v>10</v>
      </c>
      <c r="AR522" s="20">
        <v>99</v>
      </c>
      <c r="AS522" s="20" t="s">
        <v>592</v>
      </c>
    </row>
    <row r="523" spans="2:45" ht="15.75" customHeight="1" x14ac:dyDescent="0.2">
      <c r="B523" s="20" t="s">
        <v>640</v>
      </c>
      <c r="C523" s="20" t="s">
        <v>191</v>
      </c>
      <c r="D523" s="20" t="s">
        <v>572</v>
      </c>
      <c r="E523" s="20" t="s">
        <v>769</v>
      </c>
      <c r="F523" s="20" t="s">
        <v>628</v>
      </c>
      <c r="G523" s="20">
        <v>10</v>
      </c>
      <c r="H523" s="20">
        <v>4</v>
      </c>
      <c r="I523" s="20" t="s">
        <v>593</v>
      </c>
      <c r="K523" s="20" t="s">
        <v>1161</v>
      </c>
      <c r="L523" s="20" t="s">
        <v>117</v>
      </c>
      <c r="M523" s="20" t="s">
        <v>1906</v>
      </c>
      <c r="N523" s="20" t="s">
        <v>1907</v>
      </c>
      <c r="O523" s="20" t="s">
        <v>835</v>
      </c>
      <c r="P523" s="20">
        <v>5</v>
      </c>
      <c r="Q523" s="20">
        <v>1</v>
      </c>
      <c r="R523" s="20" t="s">
        <v>593</v>
      </c>
      <c r="T523" s="20" t="s">
        <v>1147</v>
      </c>
      <c r="U523" s="20" t="s">
        <v>222</v>
      </c>
      <c r="V523" s="20" t="s">
        <v>1959</v>
      </c>
      <c r="W523" s="20" t="s">
        <v>2346</v>
      </c>
      <c r="X523" s="20" t="s">
        <v>835</v>
      </c>
      <c r="Y523" s="20">
        <v>5</v>
      </c>
      <c r="Z523" s="20">
        <v>5</v>
      </c>
      <c r="AA523" s="20" t="s">
        <v>592</v>
      </c>
      <c r="AC523" s="20" t="s">
        <v>1149</v>
      </c>
      <c r="AD523" s="20" t="s">
        <v>301</v>
      </c>
      <c r="AE523" s="20" t="s">
        <v>1464</v>
      </c>
      <c r="AF523" s="20" t="s">
        <v>2688</v>
      </c>
      <c r="AG523" s="20" t="s">
        <v>835</v>
      </c>
      <c r="AH523" s="20">
        <v>5</v>
      </c>
      <c r="AI523" s="20">
        <v>2</v>
      </c>
      <c r="AJ523" s="20" t="s">
        <v>593</v>
      </c>
      <c r="AL523" s="20" t="s">
        <v>646</v>
      </c>
      <c r="AM523" s="20" t="s">
        <v>303</v>
      </c>
      <c r="AN523" s="20" t="s">
        <v>409</v>
      </c>
      <c r="AO523" s="20" t="s">
        <v>3088</v>
      </c>
      <c r="AP523" s="20" t="s">
        <v>628</v>
      </c>
      <c r="AQ523" s="20">
        <v>10</v>
      </c>
      <c r="AR523" s="20">
        <v>45</v>
      </c>
      <c r="AS523" s="20" t="s">
        <v>592</v>
      </c>
    </row>
    <row r="524" spans="2:45" ht="15.75" customHeight="1" x14ac:dyDescent="0.2">
      <c r="B524" s="20" t="s">
        <v>1155</v>
      </c>
      <c r="C524" s="20" t="s">
        <v>1156</v>
      </c>
      <c r="D524" s="20" t="s">
        <v>517</v>
      </c>
      <c r="E524" s="20" t="s">
        <v>1416</v>
      </c>
      <c r="F524" s="20" t="s">
        <v>628</v>
      </c>
      <c r="G524" s="20">
        <v>10</v>
      </c>
      <c r="H524" s="20">
        <v>8</v>
      </c>
      <c r="I524" s="20" t="s">
        <v>592</v>
      </c>
      <c r="K524" s="20" t="s">
        <v>1144</v>
      </c>
      <c r="L524" s="20" t="s">
        <v>249</v>
      </c>
      <c r="M524" s="20" t="s">
        <v>1908</v>
      </c>
      <c r="N524" s="20" t="s">
        <v>1909</v>
      </c>
      <c r="O524" s="20" t="s">
        <v>628</v>
      </c>
      <c r="P524" s="20">
        <v>10</v>
      </c>
      <c r="Q524" s="20">
        <v>4</v>
      </c>
      <c r="R524" s="20" t="s">
        <v>592</v>
      </c>
      <c r="T524" s="20" t="s">
        <v>1154</v>
      </c>
      <c r="U524" s="20" t="s">
        <v>217</v>
      </c>
      <c r="V524" s="20" t="s">
        <v>1557</v>
      </c>
      <c r="W524" s="20" t="s">
        <v>2242</v>
      </c>
      <c r="X524" s="20" t="s">
        <v>835</v>
      </c>
      <c r="Y524" s="20">
        <v>5</v>
      </c>
      <c r="Z524" s="20">
        <v>7</v>
      </c>
      <c r="AA524" s="20" t="s">
        <v>592</v>
      </c>
      <c r="AC524" s="20" t="s">
        <v>1149</v>
      </c>
      <c r="AD524" s="20" t="s">
        <v>301</v>
      </c>
      <c r="AE524" s="20" t="s">
        <v>1633</v>
      </c>
      <c r="AF524" s="20" t="s">
        <v>1632</v>
      </c>
      <c r="AG524" s="20" t="s">
        <v>835</v>
      </c>
      <c r="AH524" s="20">
        <v>5</v>
      </c>
      <c r="AI524" s="20">
        <v>3</v>
      </c>
      <c r="AJ524" s="20" t="s">
        <v>593</v>
      </c>
      <c r="AL524" s="20" t="s">
        <v>646</v>
      </c>
      <c r="AM524" s="20" t="s">
        <v>303</v>
      </c>
      <c r="AN524" s="20" t="s">
        <v>1774</v>
      </c>
      <c r="AO524" s="20" t="s">
        <v>3089</v>
      </c>
      <c r="AP524" s="20" t="s">
        <v>628</v>
      </c>
      <c r="AQ524" s="20">
        <v>10</v>
      </c>
      <c r="AR524" s="20">
        <v>56</v>
      </c>
      <c r="AS524" s="20" t="s">
        <v>592</v>
      </c>
    </row>
    <row r="525" spans="2:45" ht="15.75" customHeight="1" x14ac:dyDescent="0.2">
      <c r="B525" s="20" t="s">
        <v>640</v>
      </c>
      <c r="C525" s="20" t="s">
        <v>191</v>
      </c>
      <c r="D525" s="20" t="s">
        <v>569</v>
      </c>
      <c r="E525" s="20" t="s">
        <v>783</v>
      </c>
      <c r="F525" s="20" t="s">
        <v>835</v>
      </c>
      <c r="G525" s="20">
        <v>5</v>
      </c>
      <c r="H525" s="20">
        <v>1</v>
      </c>
      <c r="I525" s="20" t="s">
        <v>593</v>
      </c>
      <c r="K525" s="20" t="s">
        <v>1144</v>
      </c>
      <c r="L525" s="20" t="s">
        <v>249</v>
      </c>
      <c r="M525" s="20" t="s">
        <v>1910</v>
      </c>
      <c r="N525" s="20" t="s">
        <v>1909</v>
      </c>
      <c r="O525" s="20" t="s">
        <v>628</v>
      </c>
      <c r="P525" s="20">
        <v>10</v>
      </c>
      <c r="Q525" s="20">
        <v>4</v>
      </c>
      <c r="R525" s="20" t="s">
        <v>592</v>
      </c>
      <c r="T525" s="20" t="s">
        <v>646</v>
      </c>
      <c r="U525" s="20" t="s">
        <v>334</v>
      </c>
      <c r="V525" s="20" t="s">
        <v>509</v>
      </c>
      <c r="W525" s="20" t="s">
        <v>2347</v>
      </c>
      <c r="X525" s="20" t="s">
        <v>835</v>
      </c>
      <c r="Y525" s="20">
        <v>5</v>
      </c>
      <c r="Z525" s="20">
        <v>5</v>
      </c>
      <c r="AA525" s="20" t="s">
        <v>592</v>
      </c>
      <c r="AC525" s="20" t="s">
        <v>1154</v>
      </c>
      <c r="AD525" s="20" t="s">
        <v>335</v>
      </c>
      <c r="AE525" s="20" t="s">
        <v>711</v>
      </c>
      <c r="AF525" s="20" t="s">
        <v>2049</v>
      </c>
      <c r="AG525" s="20" t="s">
        <v>835</v>
      </c>
      <c r="AH525" s="20">
        <v>5</v>
      </c>
      <c r="AI525" s="20">
        <v>2</v>
      </c>
      <c r="AJ525" s="20" t="s">
        <v>593</v>
      </c>
      <c r="AL525" s="20" t="s">
        <v>646</v>
      </c>
      <c r="AM525" s="20" t="s">
        <v>303</v>
      </c>
      <c r="AN525" s="20" t="s">
        <v>1774</v>
      </c>
      <c r="AO525" s="20" t="s">
        <v>2037</v>
      </c>
      <c r="AP525" s="20" t="s">
        <v>628</v>
      </c>
      <c r="AQ525" s="20">
        <v>10</v>
      </c>
      <c r="AR525" s="20">
        <v>23</v>
      </c>
      <c r="AS525" s="20" t="s">
        <v>592</v>
      </c>
    </row>
    <row r="526" spans="2:45" ht="15.75" customHeight="1" x14ac:dyDescent="0.2">
      <c r="B526" s="20" t="s">
        <v>1141</v>
      </c>
      <c r="C526" s="20" t="s">
        <v>780</v>
      </c>
      <c r="D526" s="20" t="s">
        <v>398</v>
      </c>
      <c r="E526" s="20" t="s">
        <v>1287</v>
      </c>
      <c r="F526" s="20" t="s">
        <v>628</v>
      </c>
      <c r="G526" s="20">
        <v>10</v>
      </c>
      <c r="H526" s="20">
        <v>10</v>
      </c>
      <c r="I526" s="20" t="s">
        <v>592</v>
      </c>
      <c r="K526" s="20" t="s">
        <v>1161</v>
      </c>
      <c r="L526" s="20" t="s">
        <v>1432</v>
      </c>
      <c r="M526" s="20" t="s">
        <v>1911</v>
      </c>
      <c r="N526" s="20" t="s">
        <v>1912</v>
      </c>
      <c r="O526" s="20" t="s">
        <v>628</v>
      </c>
      <c r="P526" s="20">
        <v>10</v>
      </c>
      <c r="Q526" s="20">
        <v>6</v>
      </c>
      <c r="R526" s="20" t="s">
        <v>593</v>
      </c>
      <c r="T526" s="20" t="s">
        <v>1169</v>
      </c>
      <c r="U526" s="20" t="s">
        <v>19</v>
      </c>
      <c r="V526" s="20" t="s">
        <v>500</v>
      </c>
      <c r="W526" s="20" t="s">
        <v>2348</v>
      </c>
      <c r="X526" s="20" t="s">
        <v>628</v>
      </c>
      <c r="Y526" s="20">
        <v>10</v>
      </c>
      <c r="Z526" s="20">
        <v>9</v>
      </c>
      <c r="AA526" s="20" t="s">
        <v>592</v>
      </c>
      <c r="AC526" s="20" t="s">
        <v>1154</v>
      </c>
      <c r="AD526" s="20" t="s">
        <v>335</v>
      </c>
      <c r="AE526" s="20" t="s">
        <v>474</v>
      </c>
      <c r="AF526" s="20" t="s">
        <v>1455</v>
      </c>
      <c r="AG526" s="20" t="s">
        <v>835</v>
      </c>
      <c r="AH526" s="20">
        <v>5</v>
      </c>
      <c r="AI526" s="20">
        <v>1</v>
      </c>
      <c r="AJ526" s="20" t="s">
        <v>593</v>
      </c>
      <c r="AL526" s="20" t="s">
        <v>646</v>
      </c>
      <c r="AM526" s="20" t="s">
        <v>209</v>
      </c>
      <c r="AN526" s="20" t="s">
        <v>2842</v>
      </c>
      <c r="AO526" s="20" t="s">
        <v>3090</v>
      </c>
      <c r="AP526" s="20" t="s">
        <v>628</v>
      </c>
      <c r="AQ526" s="20">
        <v>10</v>
      </c>
      <c r="AR526" s="20">
        <v>27</v>
      </c>
      <c r="AS526" s="20" t="s">
        <v>592</v>
      </c>
    </row>
    <row r="527" spans="2:45" ht="15.75" customHeight="1" x14ac:dyDescent="0.2">
      <c r="B527" s="20" t="s">
        <v>1143</v>
      </c>
      <c r="C527" s="20" t="s">
        <v>61</v>
      </c>
      <c r="D527" s="20" t="s">
        <v>616</v>
      </c>
      <c r="E527" s="20" t="s">
        <v>819</v>
      </c>
      <c r="F527" s="20" t="s">
        <v>835</v>
      </c>
      <c r="G527" s="20">
        <v>5</v>
      </c>
      <c r="H527" s="20">
        <v>1</v>
      </c>
      <c r="I527" s="20" t="s">
        <v>593</v>
      </c>
      <c r="K527" s="20" t="s">
        <v>1158</v>
      </c>
      <c r="L527" s="20" t="s">
        <v>72</v>
      </c>
      <c r="M527" s="20" t="s">
        <v>1913</v>
      </c>
      <c r="N527" s="20" t="s">
        <v>1914</v>
      </c>
      <c r="O527" s="20" t="s">
        <v>835</v>
      </c>
      <c r="P527" s="20">
        <v>5</v>
      </c>
      <c r="Q527" s="20">
        <v>2</v>
      </c>
      <c r="R527" s="20" t="s">
        <v>593</v>
      </c>
      <c r="T527" s="20" t="s">
        <v>1162</v>
      </c>
      <c r="U527" s="20" t="s">
        <v>230</v>
      </c>
      <c r="V527" s="20" t="s">
        <v>415</v>
      </c>
      <c r="W527" s="20" t="s">
        <v>2349</v>
      </c>
      <c r="X527" s="20" t="s">
        <v>835</v>
      </c>
      <c r="Y527" s="20">
        <v>5</v>
      </c>
      <c r="Z527" s="20">
        <v>6</v>
      </c>
      <c r="AA527" s="20" t="s">
        <v>592</v>
      </c>
      <c r="AC527" s="20" t="s">
        <v>1154</v>
      </c>
      <c r="AD527" s="20" t="s">
        <v>335</v>
      </c>
      <c r="AE527" s="20" t="s">
        <v>550</v>
      </c>
      <c r="AF527" s="20" t="s">
        <v>720</v>
      </c>
      <c r="AG527" s="20" t="s">
        <v>835</v>
      </c>
      <c r="AH527" s="20">
        <v>5</v>
      </c>
      <c r="AI527" s="20">
        <v>1</v>
      </c>
      <c r="AJ527" s="20" t="s">
        <v>593</v>
      </c>
      <c r="AL527" s="20" t="s">
        <v>646</v>
      </c>
      <c r="AM527" s="20" t="s">
        <v>209</v>
      </c>
      <c r="AN527" s="20" t="s">
        <v>2842</v>
      </c>
      <c r="AO527" s="20" t="s">
        <v>3091</v>
      </c>
      <c r="AP527" s="20" t="s">
        <v>628</v>
      </c>
      <c r="AQ527" s="20">
        <v>10</v>
      </c>
      <c r="AR527" s="20">
        <v>6</v>
      </c>
      <c r="AS527" s="20" t="s">
        <v>592</v>
      </c>
    </row>
    <row r="528" spans="2:45" ht="15.75" customHeight="1" x14ac:dyDescent="0.2">
      <c r="B528" s="20" t="s">
        <v>1147</v>
      </c>
      <c r="C528" s="20" t="s">
        <v>29</v>
      </c>
      <c r="D528" s="20" t="s">
        <v>419</v>
      </c>
      <c r="E528" s="20" t="s">
        <v>776</v>
      </c>
      <c r="F528" s="20" t="s">
        <v>628</v>
      </c>
      <c r="G528" s="20">
        <v>10</v>
      </c>
      <c r="H528" s="20">
        <v>8</v>
      </c>
      <c r="I528" s="20" t="s">
        <v>592</v>
      </c>
      <c r="K528" s="20" t="s">
        <v>1158</v>
      </c>
      <c r="L528" s="20" t="s">
        <v>72</v>
      </c>
      <c r="M528" s="20" t="s">
        <v>1915</v>
      </c>
      <c r="N528" s="20" t="s">
        <v>1914</v>
      </c>
      <c r="O528" s="20" t="s">
        <v>835</v>
      </c>
      <c r="P528" s="20">
        <v>5</v>
      </c>
      <c r="Q528" s="20">
        <v>1</v>
      </c>
      <c r="R528" s="20" t="s">
        <v>593</v>
      </c>
      <c r="T528" s="20" t="s">
        <v>1162</v>
      </c>
      <c r="U528" s="20" t="s">
        <v>240</v>
      </c>
      <c r="V528" s="20" t="s">
        <v>2500</v>
      </c>
      <c r="W528" s="20" t="s">
        <v>2350</v>
      </c>
      <c r="X528" s="20" t="s">
        <v>835</v>
      </c>
      <c r="Y528" s="20">
        <v>5</v>
      </c>
      <c r="Z528" s="20">
        <v>3</v>
      </c>
      <c r="AA528" s="20" t="s">
        <v>593</v>
      </c>
      <c r="AC528" s="20" t="s">
        <v>1154</v>
      </c>
      <c r="AD528" s="20" t="s">
        <v>335</v>
      </c>
      <c r="AE528" s="20" t="s">
        <v>575</v>
      </c>
      <c r="AF528" s="20" t="s">
        <v>1029</v>
      </c>
      <c r="AG528" s="20" t="s">
        <v>835</v>
      </c>
      <c r="AH528" s="20">
        <v>5</v>
      </c>
      <c r="AI528" s="20">
        <v>1</v>
      </c>
      <c r="AJ528" s="20" t="s">
        <v>593</v>
      </c>
      <c r="AL528" s="20" t="s">
        <v>646</v>
      </c>
      <c r="AM528" s="20" t="s">
        <v>1109</v>
      </c>
      <c r="AN528" s="20" t="s">
        <v>1736</v>
      </c>
      <c r="AO528" s="20" t="s">
        <v>2620</v>
      </c>
      <c r="AP528" s="20" t="s">
        <v>628</v>
      </c>
      <c r="AQ528" s="20">
        <v>10</v>
      </c>
      <c r="AR528" s="20">
        <v>70</v>
      </c>
      <c r="AS528" s="20" t="s">
        <v>592</v>
      </c>
    </row>
    <row r="529" spans="2:45" ht="15.75" customHeight="1" x14ac:dyDescent="0.2">
      <c r="B529" s="20" t="s">
        <v>646</v>
      </c>
      <c r="C529" s="20" t="s">
        <v>1109</v>
      </c>
      <c r="D529" s="20" t="s">
        <v>369</v>
      </c>
      <c r="E529" s="20" t="s">
        <v>1417</v>
      </c>
      <c r="F529" s="20" t="s">
        <v>628</v>
      </c>
      <c r="G529" s="20">
        <v>10</v>
      </c>
      <c r="H529" s="20">
        <v>11</v>
      </c>
      <c r="I529" s="20" t="s">
        <v>592</v>
      </c>
      <c r="K529" s="20" t="s">
        <v>1147</v>
      </c>
      <c r="L529" s="20" t="s">
        <v>225</v>
      </c>
      <c r="M529" s="20" t="s">
        <v>1916</v>
      </c>
      <c r="N529" s="20" t="s">
        <v>1917</v>
      </c>
      <c r="O529" s="20" t="s">
        <v>835</v>
      </c>
      <c r="P529" s="20">
        <v>5</v>
      </c>
      <c r="Q529" s="20">
        <v>5</v>
      </c>
      <c r="R529" s="20" t="s">
        <v>592</v>
      </c>
      <c r="T529" s="20" t="s">
        <v>1162</v>
      </c>
      <c r="U529" s="20" t="s">
        <v>352</v>
      </c>
      <c r="V529" s="20" t="s">
        <v>1933</v>
      </c>
      <c r="W529" s="20" t="s">
        <v>1932</v>
      </c>
      <c r="X529" s="20" t="s">
        <v>628</v>
      </c>
      <c r="Y529" s="20">
        <v>10</v>
      </c>
      <c r="Z529" s="20">
        <v>8</v>
      </c>
      <c r="AA529" s="20" t="s">
        <v>592</v>
      </c>
      <c r="AC529" s="20" t="s">
        <v>2099</v>
      </c>
      <c r="AD529" s="20" t="s">
        <v>350</v>
      </c>
      <c r="AE529" s="20" t="s">
        <v>2558</v>
      </c>
      <c r="AF529" s="20" t="s">
        <v>2669</v>
      </c>
      <c r="AG529" s="20" t="s">
        <v>2514</v>
      </c>
      <c r="AH529" s="20">
        <v>3</v>
      </c>
      <c r="AI529" s="20">
        <v>9</v>
      </c>
      <c r="AJ529" s="20" t="s">
        <v>592</v>
      </c>
      <c r="AL529" s="20" t="s">
        <v>646</v>
      </c>
      <c r="AM529" s="20" t="s">
        <v>1109</v>
      </c>
      <c r="AN529" s="20" t="s">
        <v>367</v>
      </c>
      <c r="AO529" s="20" t="s">
        <v>1734</v>
      </c>
      <c r="AP529" s="20" t="s">
        <v>628</v>
      </c>
      <c r="AQ529" s="20">
        <v>10</v>
      </c>
      <c r="AR529" s="20">
        <v>59</v>
      </c>
      <c r="AS529" s="20" t="s">
        <v>592</v>
      </c>
    </row>
    <row r="530" spans="2:45" ht="15.75" customHeight="1" x14ac:dyDescent="0.2">
      <c r="B530" s="20" t="s">
        <v>1144</v>
      </c>
      <c r="C530" s="20" t="s">
        <v>23</v>
      </c>
      <c r="D530" s="20" t="s">
        <v>544</v>
      </c>
      <c r="E530" s="20" t="s">
        <v>589</v>
      </c>
      <c r="F530" s="20" t="s">
        <v>628</v>
      </c>
      <c r="G530" s="20">
        <v>10</v>
      </c>
      <c r="H530" s="20">
        <v>8</v>
      </c>
      <c r="I530" s="20" t="s">
        <v>592</v>
      </c>
      <c r="K530" s="20" t="s">
        <v>1144</v>
      </c>
      <c r="L530" s="20" t="s">
        <v>249</v>
      </c>
      <c r="M530" s="20" t="s">
        <v>1918</v>
      </c>
      <c r="N530" s="20" t="s">
        <v>622</v>
      </c>
      <c r="O530" s="20" t="s">
        <v>835</v>
      </c>
      <c r="P530" s="20">
        <v>5</v>
      </c>
      <c r="Q530" s="20">
        <v>5</v>
      </c>
      <c r="R530" s="20" t="s">
        <v>592</v>
      </c>
      <c r="T530" s="20" t="s">
        <v>2099</v>
      </c>
      <c r="U530" s="20" t="s">
        <v>2144</v>
      </c>
      <c r="V530" s="20" t="s">
        <v>2460</v>
      </c>
      <c r="W530" s="20" t="s">
        <v>2351</v>
      </c>
      <c r="X530" s="20" t="s">
        <v>835</v>
      </c>
      <c r="Y530" s="20">
        <v>5</v>
      </c>
      <c r="Z530" s="20">
        <v>5</v>
      </c>
      <c r="AA530" s="20" t="s">
        <v>592</v>
      </c>
      <c r="AC530" s="20" t="s">
        <v>2099</v>
      </c>
      <c r="AD530" s="20" t="s">
        <v>2103</v>
      </c>
      <c r="AE530" s="20" t="s">
        <v>2533</v>
      </c>
      <c r="AF530" s="20" t="s">
        <v>2581</v>
      </c>
      <c r="AG530" s="20" t="s">
        <v>2514</v>
      </c>
      <c r="AH530" s="20">
        <v>3</v>
      </c>
      <c r="AI530" s="20">
        <v>11</v>
      </c>
      <c r="AJ530" s="20" t="s">
        <v>592</v>
      </c>
      <c r="AL530" s="20" t="s">
        <v>646</v>
      </c>
      <c r="AM530" s="20" t="s">
        <v>303</v>
      </c>
      <c r="AN530" s="20" t="s">
        <v>427</v>
      </c>
      <c r="AO530" s="20" t="s">
        <v>2624</v>
      </c>
      <c r="AP530" s="20" t="s">
        <v>628</v>
      </c>
      <c r="AQ530" s="20">
        <v>10</v>
      </c>
      <c r="AR530" s="20">
        <v>36</v>
      </c>
      <c r="AS530" s="20" t="s">
        <v>592</v>
      </c>
    </row>
    <row r="531" spans="2:45" ht="15.75" customHeight="1" x14ac:dyDescent="0.2">
      <c r="B531" s="20" t="s">
        <v>1144</v>
      </c>
      <c r="C531" s="20" t="s">
        <v>23</v>
      </c>
      <c r="D531" s="20" t="s">
        <v>544</v>
      </c>
      <c r="E531" s="20" t="s">
        <v>745</v>
      </c>
      <c r="F531" s="20" t="s">
        <v>628</v>
      </c>
      <c r="G531" s="20">
        <v>10</v>
      </c>
      <c r="H531" s="20">
        <v>1</v>
      </c>
      <c r="I531" s="20" t="s">
        <v>592</v>
      </c>
      <c r="K531" s="20" t="s">
        <v>640</v>
      </c>
      <c r="L531" s="20" t="s">
        <v>756</v>
      </c>
      <c r="M531" s="20" t="s">
        <v>1530</v>
      </c>
      <c r="N531" s="20" t="s">
        <v>1531</v>
      </c>
      <c r="O531" s="20" t="s">
        <v>835</v>
      </c>
      <c r="P531" s="20">
        <v>5</v>
      </c>
      <c r="Q531" s="20">
        <v>5</v>
      </c>
      <c r="R531" s="20" t="s">
        <v>592</v>
      </c>
      <c r="T531" s="20" t="s">
        <v>1147</v>
      </c>
      <c r="U531" s="20" t="s">
        <v>244</v>
      </c>
      <c r="V531" s="20" t="s">
        <v>609</v>
      </c>
      <c r="W531" s="20" t="s">
        <v>1284</v>
      </c>
      <c r="X531" s="20" t="s">
        <v>835</v>
      </c>
      <c r="Y531" s="20">
        <v>5</v>
      </c>
      <c r="Z531" s="20">
        <v>2</v>
      </c>
      <c r="AA531" s="20" t="s">
        <v>593</v>
      </c>
      <c r="AC531" s="20" t="s">
        <v>2099</v>
      </c>
      <c r="AD531" s="20" t="s">
        <v>2112</v>
      </c>
      <c r="AE531" s="20" t="s">
        <v>2527</v>
      </c>
      <c r="AF531" s="20" t="s">
        <v>2744</v>
      </c>
      <c r="AG531" s="20" t="s">
        <v>835</v>
      </c>
      <c r="AH531" s="20">
        <v>5</v>
      </c>
      <c r="AI531" s="20">
        <v>5</v>
      </c>
      <c r="AJ531" s="20" t="s">
        <v>592</v>
      </c>
      <c r="AL531" s="20" t="s">
        <v>646</v>
      </c>
      <c r="AM531" s="20" t="s">
        <v>303</v>
      </c>
      <c r="AN531" s="20" t="s">
        <v>429</v>
      </c>
      <c r="AO531" s="20" t="s">
        <v>2742</v>
      </c>
      <c r="AP531" s="20" t="s">
        <v>628</v>
      </c>
      <c r="AQ531" s="20">
        <v>10</v>
      </c>
      <c r="AR531" s="20">
        <v>55</v>
      </c>
      <c r="AS531" s="20" t="s">
        <v>592</v>
      </c>
    </row>
    <row r="532" spans="2:45" ht="15.75" customHeight="1" x14ac:dyDescent="0.2">
      <c r="B532" s="20" t="s">
        <v>1161</v>
      </c>
      <c r="C532" s="20" t="s">
        <v>659</v>
      </c>
      <c r="D532" s="20" t="s">
        <v>601</v>
      </c>
      <c r="E532" s="20" t="s">
        <v>1022</v>
      </c>
      <c r="F532" s="20" t="s">
        <v>835</v>
      </c>
      <c r="G532" s="20">
        <v>5</v>
      </c>
      <c r="H532" s="20">
        <v>3</v>
      </c>
      <c r="I532" s="20" t="s">
        <v>593</v>
      </c>
      <c r="K532" s="20" t="s">
        <v>1144</v>
      </c>
      <c r="L532" s="20" t="s">
        <v>249</v>
      </c>
      <c r="M532" s="20" t="s">
        <v>1919</v>
      </c>
      <c r="N532" s="20" t="s">
        <v>436</v>
      </c>
      <c r="O532" s="20" t="s">
        <v>628</v>
      </c>
      <c r="P532" s="20">
        <v>10</v>
      </c>
      <c r="Q532" s="20">
        <v>13</v>
      </c>
      <c r="R532" s="20" t="s">
        <v>592</v>
      </c>
      <c r="T532" s="20" t="s">
        <v>1163</v>
      </c>
      <c r="U532" s="20" t="s">
        <v>299</v>
      </c>
      <c r="V532" s="20" t="s">
        <v>1671</v>
      </c>
      <c r="W532" s="20" t="s">
        <v>2352</v>
      </c>
      <c r="X532" s="20" t="s">
        <v>628</v>
      </c>
      <c r="Y532" s="20">
        <v>10</v>
      </c>
      <c r="Z532" s="20">
        <v>4</v>
      </c>
      <c r="AA532" s="20" t="s">
        <v>593</v>
      </c>
      <c r="AC532" s="20" t="s">
        <v>1141</v>
      </c>
      <c r="AD532" s="20" t="s">
        <v>780</v>
      </c>
      <c r="AE532" s="20" t="s">
        <v>2560</v>
      </c>
      <c r="AF532" s="20" t="s">
        <v>2745</v>
      </c>
      <c r="AG532" s="20" t="s">
        <v>835</v>
      </c>
      <c r="AH532" s="20">
        <v>5</v>
      </c>
      <c r="AI532" s="20">
        <v>2</v>
      </c>
      <c r="AJ532" s="20" t="s">
        <v>593</v>
      </c>
      <c r="AL532" s="20" t="s">
        <v>646</v>
      </c>
      <c r="AM532" s="20" t="s">
        <v>303</v>
      </c>
      <c r="AN532" s="20" t="s">
        <v>426</v>
      </c>
      <c r="AO532" s="20" t="s">
        <v>2137</v>
      </c>
      <c r="AP532" s="20" t="s">
        <v>628</v>
      </c>
      <c r="AQ532" s="20">
        <v>10</v>
      </c>
      <c r="AR532" s="20">
        <v>44</v>
      </c>
      <c r="AS532" s="20" t="s">
        <v>592</v>
      </c>
    </row>
    <row r="533" spans="2:45" ht="15.75" customHeight="1" x14ac:dyDescent="0.2">
      <c r="B533" s="20" t="s">
        <v>1161</v>
      </c>
      <c r="C533" s="20" t="s">
        <v>765</v>
      </c>
      <c r="D533" s="20" t="s">
        <v>858</v>
      </c>
      <c r="E533" s="20" t="s">
        <v>1135</v>
      </c>
      <c r="F533" s="20" t="s">
        <v>628</v>
      </c>
      <c r="G533" s="20">
        <v>10</v>
      </c>
      <c r="H533" s="20">
        <v>4</v>
      </c>
      <c r="I533" s="20" t="s">
        <v>593</v>
      </c>
      <c r="K533" s="20" t="s">
        <v>1143</v>
      </c>
      <c r="L533" s="20" t="s">
        <v>61</v>
      </c>
      <c r="M533" s="20" t="s">
        <v>722</v>
      </c>
      <c r="N533" s="20" t="s">
        <v>604</v>
      </c>
      <c r="O533" s="20" t="s">
        <v>835</v>
      </c>
      <c r="P533" s="20">
        <v>5</v>
      </c>
      <c r="Q533" s="20">
        <v>5</v>
      </c>
      <c r="R533" s="20" t="s">
        <v>592</v>
      </c>
      <c r="T533" s="20" t="s">
        <v>2099</v>
      </c>
      <c r="U533" s="20" t="s">
        <v>2109</v>
      </c>
      <c r="V533" s="20" t="s">
        <v>2453</v>
      </c>
      <c r="W533" s="20" t="s">
        <v>2353</v>
      </c>
      <c r="X533" s="20" t="s">
        <v>2514</v>
      </c>
      <c r="Y533" s="20">
        <v>3</v>
      </c>
      <c r="Z533" s="20">
        <v>2</v>
      </c>
      <c r="AA533" s="20" t="s">
        <v>593</v>
      </c>
      <c r="AC533" s="20" t="s">
        <v>646</v>
      </c>
      <c r="AD533" s="20" t="s">
        <v>1109</v>
      </c>
      <c r="AE533" s="20" t="s">
        <v>957</v>
      </c>
      <c r="AF533" s="20" t="s">
        <v>2746</v>
      </c>
      <c r="AG533" s="20" t="s">
        <v>835</v>
      </c>
      <c r="AH533" s="20">
        <v>5</v>
      </c>
      <c r="AI533" s="20">
        <v>1</v>
      </c>
      <c r="AJ533" s="20" t="s">
        <v>593</v>
      </c>
      <c r="AL533" s="20" t="s">
        <v>646</v>
      </c>
      <c r="AM533" s="20" t="s">
        <v>303</v>
      </c>
      <c r="AN533" s="20" t="s">
        <v>426</v>
      </c>
      <c r="AO533" s="20" t="s">
        <v>3092</v>
      </c>
      <c r="AP533" s="20" t="s">
        <v>628</v>
      </c>
      <c r="AQ533" s="20">
        <v>10</v>
      </c>
      <c r="AR533" s="20">
        <v>10</v>
      </c>
      <c r="AS533" s="20" t="s">
        <v>592</v>
      </c>
    </row>
    <row r="534" spans="2:45" ht="15.75" customHeight="1" x14ac:dyDescent="0.2">
      <c r="B534" s="20" t="s">
        <v>1161</v>
      </c>
      <c r="C534" s="20" t="s">
        <v>1041</v>
      </c>
      <c r="D534" s="20" t="s">
        <v>464</v>
      </c>
      <c r="E534" s="20" t="s">
        <v>1050</v>
      </c>
      <c r="F534" s="20" t="s">
        <v>628</v>
      </c>
      <c r="G534" s="20">
        <v>10</v>
      </c>
      <c r="H534" s="20">
        <v>5</v>
      </c>
      <c r="I534" s="20" t="s">
        <v>593</v>
      </c>
      <c r="K534" s="20" t="s">
        <v>1143</v>
      </c>
      <c r="L534" s="20" t="s">
        <v>61</v>
      </c>
      <c r="M534" s="20" t="s">
        <v>1920</v>
      </c>
      <c r="N534" s="20" t="s">
        <v>616</v>
      </c>
      <c r="O534" s="20" t="s">
        <v>835</v>
      </c>
      <c r="P534" s="20">
        <v>5</v>
      </c>
      <c r="Q534" s="20">
        <v>2</v>
      </c>
      <c r="R534" s="20" t="s">
        <v>593</v>
      </c>
      <c r="T534" s="20" t="s">
        <v>2099</v>
      </c>
      <c r="U534" s="20" t="s">
        <v>2112</v>
      </c>
      <c r="V534" s="20" t="s">
        <v>2454</v>
      </c>
      <c r="W534" s="20" t="s">
        <v>2354</v>
      </c>
      <c r="X534" s="20" t="s">
        <v>835</v>
      </c>
      <c r="Y534" s="20">
        <v>5</v>
      </c>
      <c r="Z534" s="20">
        <v>5</v>
      </c>
      <c r="AA534" s="20" t="s">
        <v>592</v>
      </c>
      <c r="AC534" s="20" t="s">
        <v>1147</v>
      </c>
      <c r="AD534" s="20" t="s">
        <v>29</v>
      </c>
      <c r="AE534" s="20" t="s">
        <v>2465</v>
      </c>
      <c r="AF534" s="20" t="s">
        <v>2167</v>
      </c>
      <c r="AG534" s="20" t="s">
        <v>835</v>
      </c>
      <c r="AH534" s="20">
        <v>5</v>
      </c>
      <c r="AI534" s="20">
        <v>1</v>
      </c>
      <c r="AJ534" s="20" t="s">
        <v>593</v>
      </c>
      <c r="AL534" s="20" t="s">
        <v>646</v>
      </c>
      <c r="AM534" s="20" t="s">
        <v>303</v>
      </c>
      <c r="AN534" s="20" t="s">
        <v>1904</v>
      </c>
      <c r="AO534" s="20" t="s">
        <v>2183</v>
      </c>
      <c r="AP534" s="20" t="s">
        <v>628</v>
      </c>
      <c r="AQ534" s="20">
        <v>10</v>
      </c>
      <c r="AR534" s="20">
        <v>47</v>
      </c>
      <c r="AS534" s="20" t="s">
        <v>592</v>
      </c>
    </row>
    <row r="535" spans="2:45" ht="15.75" customHeight="1" x14ac:dyDescent="0.2">
      <c r="B535" s="20" t="s">
        <v>1161</v>
      </c>
      <c r="C535" s="20" t="s">
        <v>1041</v>
      </c>
      <c r="D535" s="20" t="s">
        <v>464</v>
      </c>
      <c r="E535" s="20" t="s">
        <v>1088</v>
      </c>
      <c r="F535" s="20" t="s">
        <v>628</v>
      </c>
      <c r="G535" s="20">
        <v>10</v>
      </c>
      <c r="H535" s="20">
        <v>1</v>
      </c>
      <c r="I535" s="20" t="s">
        <v>593</v>
      </c>
      <c r="K535" s="20" t="s">
        <v>1144</v>
      </c>
      <c r="L535" s="20" t="s">
        <v>804</v>
      </c>
      <c r="M535" s="20" t="s">
        <v>830</v>
      </c>
      <c r="N535" s="20" t="s">
        <v>546</v>
      </c>
      <c r="O535" s="20" t="s">
        <v>628</v>
      </c>
      <c r="P535" s="20">
        <v>10</v>
      </c>
      <c r="Q535" s="20">
        <v>7</v>
      </c>
      <c r="R535" s="20" t="s">
        <v>592</v>
      </c>
      <c r="T535" s="20" t="s">
        <v>1154</v>
      </c>
      <c r="U535" s="20" t="s">
        <v>1152</v>
      </c>
      <c r="V535" s="20" t="s">
        <v>574</v>
      </c>
      <c r="W535" s="20" t="s">
        <v>1398</v>
      </c>
      <c r="X535" s="20" t="s">
        <v>835</v>
      </c>
      <c r="Y535" s="20">
        <v>5</v>
      </c>
      <c r="Z535" s="20">
        <v>4</v>
      </c>
      <c r="AA535" s="20" t="s">
        <v>593</v>
      </c>
      <c r="AC535" s="20" t="s">
        <v>1163</v>
      </c>
      <c r="AD535" s="20" t="s">
        <v>57</v>
      </c>
      <c r="AE535" s="20" t="s">
        <v>2082</v>
      </c>
      <c r="AF535" s="20" t="s">
        <v>2081</v>
      </c>
      <c r="AG535" s="20" t="s">
        <v>835</v>
      </c>
      <c r="AH535" s="20">
        <v>5</v>
      </c>
      <c r="AI535" s="20">
        <v>2</v>
      </c>
      <c r="AJ535" s="20" t="s">
        <v>593</v>
      </c>
      <c r="AL535" s="20" t="s">
        <v>646</v>
      </c>
      <c r="AM535" s="20" t="s">
        <v>209</v>
      </c>
      <c r="AN535" s="20" t="s">
        <v>2843</v>
      </c>
      <c r="AO535" s="20" t="s">
        <v>3093</v>
      </c>
      <c r="AP535" s="20" t="s">
        <v>628</v>
      </c>
      <c r="AQ535" s="20">
        <v>10</v>
      </c>
      <c r="AR535" s="20">
        <v>52</v>
      </c>
      <c r="AS535" s="20" t="s">
        <v>592</v>
      </c>
    </row>
    <row r="536" spans="2:45" ht="15.75" customHeight="1" x14ac:dyDescent="0.2">
      <c r="B536" s="20" t="s">
        <v>1161</v>
      </c>
      <c r="C536" s="20" t="s">
        <v>1041</v>
      </c>
      <c r="D536" s="20" t="s">
        <v>959</v>
      </c>
      <c r="E536" s="20" t="s">
        <v>1126</v>
      </c>
      <c r="F536" s="20" t="s">
        <v>628</v>
      </c>
      <c r="G536" s="20">
        <v>10</v>
      </c>
      <c r="H536" s="20">
        <v>2</v>
      </c>
      <c r="I536" s="20" t="s">
        <v>593</v>
      </c>
      <c r="K536" s="20" t="s">
        <v>1144</v>
      </c>
      <c r="L536" s="20" t="s">
        <v>804</v>
      </c>
      <c r="M536" s="20" t="s">
        <v>1030</v>
      </c>
      <c r="N536" s="20" t="s">
        <v>546</v>
      </c>
      <c r="O536" s="20" t="s">
        <v>628</v>
      </c>
      <c r="P536" s="20">
        <v>10</v>
      </c>
      <c r="Q536" s="20">
        <v>1</v>
      </c>
      <c r="R536" s="20" t="s">
        <v>592</v>
      </c>
      <c r="T536" s="20" t="s">
        <v>1149</v>
      </c>
      <c r="U536" s="20" t="s">
        <v>806</v>
      </c>
      <c r="V536" s="20" t="s">
        <v>469</v>
      </c>
      <c r="W536" s="20" t="s">
        <v>977</v>
      </c>
      <c r="X536" s="20" t="s">
        <v>835</v>
      </c>
      <c r="Y536" s="20">
        <v>5</v>
      </c>
      <c r="Z536" s="20">
        <v>5</v>
      </c>
      <c r="AA536" s="20" t="s">
        <v>592</v>
      </c>
      <c r="AC536" s="20" t="s">
        <v>1163</v>
      </c>
      <c r="AD536" s="20" t="s">
        <v>57</v>
      </c>
      <c r="AE536" s="20" t="s">
        <v>359</v>
      </c>
      <c r="AF536" s="20" t="s">
        <v>1113</v>
      </c>
      <c r="AG536" s="20" t="s">
        <v>835</v>
      </c>
      <c r="AH536" s="20">
        <v>5</v>
      </c>
      <c r="AI536" s="20">
        <v>2</v>
      </c>
      <c r="AJ536" s="20" t="s">
        <v>593</v>
      </c>
      <c r="AL536" s="20" t="s">
        <v>646</v>
      </c>
      <c r="AM536" s="20" t="s">
        <v>209</v>
      </c>
      <c r="AN536" s="20" t="s">
        <v>1699</v>
      </c>
      <c r="AO536" s="20" t="s">
        <v>1698</v>
      </c>
      <c r="AP536" s="20" t="s">
        <v>628</v>
      </c>
      <c r="AQ536" s="20">
        <v>10</v>
      </c>
      <c r="AR536" s="20">
        <v>16</v>
      </c>
      <c r="AS536" s="20" t="s">
        <v>592</v>
      </c>
    </row>
    <row r="537" spans="2:45" ht="15.75" customHeight="1" x14ac:dyDescent="0.2">
      <c r="B537" s="20" t="s">
        <v>1158</v>
      </c>
      <c r="C537" s="20" t="s">
        <v>925</v>
      </c>
      <c r="D537" s="20" t="s">
        <v>533</v>
      </c>
      <c r="E537" s="20" t="s">
        <v>1418</v>
      </c>
      <c r="F537" s="20" t="s">
        <v>835</v>
      </c>
      <c r="G537" s="20">
        <v>5</v>
      </c>
      <c r="H537" s="20">
        <v>6</v>
      </c>
      <c r="I537" s="20" t="s">
        <v>592</v>
      </c>
      <c r="K537" s="20" t="s">
        <v>1144</v>
      </c>
      <c r="L537" s="20" t="s">
        <v>23</v>
      </c>
      <c r="M537" s="20" t="s">
        <v>1117</v>
      </c>
      <c r="N537" s="20" t="s">
        <v>558</v>
      </c>
      <c r="O537" s="20" t="s">
        <v>835</v>
      </c>
      <c r="P537" s="20">
        <v>5</v>
      </c>
      <c r="Q537" s="20">
        <v>2</v>
      </c>
      <c r="R537" s="20" t="s">
        <v>593</v>
      </c>
      <c r="T537" s="20" t="s">
        <v>2099</v>
      </c>
      <c r="U537" s="20" t="s">
        <v>2103</v>
      </c>
      <c r="V537" s="20" t="s">
        <v>2451</v>
      </c>
      <c r="W537" s="20" t="s">
        <v>2220</v>
      </c>
      <c r="X537" s="20" t="s">
        <v>2514</v>
      </c>
      <c r="Y537" s="20">
        <v>3</v>
      </c>
      <c r="Z537" s="20">
        <v>3</v>
      </c>
      <c r="AA537" s="20" t="s">
        <v>592</v>
      </c>
      <c r="AC537" s="20" t="s">
        <v>1163</v>
      </c>
      <c r="AD537" s="20" t="s">
        <v>207</v>
      </c>
      <c r="AE537" s="20" t="s">
        <v>1615</v>
      </c>
      <c r="AF537" s="20" t="s">
        <v>1614</v>
      </c>
      <c r="AG537" s="20" t="s">
        <v>835</v>
      </c>
      <c r="AH537" s="20">
        <v>5</v>
      </c>
      <c r="AI537" s="20">
        <v>4</v>
      </c>
      <c r="AJ537" s="20" t="s">
        <v>593</v>
      </c>
      <c r="AL537" s="20" t="s">
        <v>646</v>
      </c>
      <c r="AM537" s="20" t="s">
        <v>1109</v>
      </c>
      <c r="AN537" s="20" t="s">
        <v>1738</v>
      </c>
      <c r="AO537" s="20" t="s">
        <v>3094</v>
      </c>
      <c r="AP537" s="20" t="s">
        <v>628</v>
      </c>
      <c r="AQ537" s="20">
        <v>10</v>
      </c>
      <c r="AR537" s="20">
        <v>8</v>
      </c>
      <c r="AS537" s="20" t="s">
        <v>592</v>
      </c>
    </row>
    <row r="538" spans="2:45" ht="15.75" customHeight="1" x14ac:dyDescent="0.2">
      <c r="B538" s="20" t="s">
        <v>1169</v>
      </c>
      <c r="C538" s="20" t="s">
        <v>216</v>
      </c>
      <c r="D538" s="20" t="s">
        <v>680</v>
      </c>
      <c r="E538" s="20" t="s">
        <v>738</v>
      </c>
      <c r="F538" s="20" t="s">
        <v>628</v>
      </c>
      <c r="G538" s="20">
        <v>10</v>
      </c>
      <c r="H538" s="20">
        <v>1</v>
      </c>
      <c r="I538" s="20" t="s">
        <v>593</v>
      </c>
      <c r="K538" s="20" t="s">
        <v>1149</v>
      </c>
      <c r="L538" s="20" t="s">
        <v>63</v>
      </c>
      <c r="M538" s="20" t="s">
        <v>1921</v>
      </c>
      <c r="N538" s="20" t="s">
        <v>473</v>
      </c>
      <c r="O538" s="20" t="s">
        <v>835</v>
      </c>
      <c r="P538" s="20">
        <v>5</v>
      </c>
      <c r="Q538" s="20">
        <v>1</v>
      </c>
      <c r="R538" s="20" t="s">
        <v>593</v>
      </c>
      <c r="T538" s="20" t="s">
        <v>1144</v>
      </c>
      <c r="U538" s="20" t="s">
        <v>313</v>
      </c>
      <c r="V538" s="20" t="s">
        <v>1814</v>
      </c>
      <c r="W538" s="20" t="s">
        <v>1813</v>
      </c>
      <c r="X538" s="20" t="s">
        <v>628</v>
      </c>
      <c r="Y538" s="20">
        <v>10</v>
      </c>
      <c r="Z538" s="20">
        <v>6</v>
      </c>
      <c r="AA538" s="20" t="s">
        <v>592</v>
      </c>
      <c r="AC538" s="20" t="s">
        <v>1162</v>
      </c>
      <c r="AD538" s="20" t="s">
        <v>240</v>
      </c>
      <c r="AE538" s="20" t="s">
        <v>848</v>
      </c>
      <c r="AF538" s="20" t="s">
        <v>887</v>
      </c>
      <c r="AG538" s="20" t="s">
        <v>835</v>
      </c>
      <c r="AH538" s="20">
        <v>5</v>
      </c>
      <c r="AI538" s="20">
        <v>5</v>
      </c>
      <c r="AJ538" s="20" t="s">
        <v>592</v>
      </c>
      <c r="AL538" s="20" t="s">
        <v>646</v>
      </c>
      <c r="AM538" s="20" t="s">
        <v>1109</v>
      </c>
      <c r="AN538" s="20" t="s">
        <v>2844</v>
      </c>
      <c r="AO538" s="20" t="s">
        <v>3095</v>
      </c>
      <c r="AP538" s="20" t="s">
        <v>628</v>
      </c>
      <c r="AQ538" s="20">
        <v>10</v>
      </c>
      <c r="AR538" s="20">
        <v>12</v>
      </c>
      <c r="AS538" s="20" t="s">
        <v>592</v>
      </c>
    </row>
    <row r="539" spans="2:45" ht="15.75" customHeight="1" x14ac:dyDescent="0.2">
      <c r="B539" s="20" t="s">
        <v>1161</v>
      </c>
      <c r="C539" s="20" t="s">
        <v>41</v>
      </c>
      <c r="D539" s="20" t="s">
        <v>538</v>
      </c>
      <c r="E539" s="20" t="s">
        <v>1419</v>
      </c>
      <c r="F539" s="20" t="s">
        <v>628</v>
      </c>
      <c r="G539" s="20">
        <v>10</v>
      </c>
      <c r="H539" s="20">
        <v>8</v>
      </c>
      <c r="I539" s="20" t="s">
        <v>592</v>
      </c>
      <c r="K539" s="20" t="s">
        <v>1149</v>
      </c>
      <c r="L539" s="20" t="s">
        <v>63</v>
      </c>
      <c r="M539" s="20" t="s">
        <v>684</v>
      </c>
      <c r="N539" s="20" t="s">
        <v>477</v>
      </c>
      <c r="O539" s="20" t="s">
        <v>835</v>
      </c>
      <c r="P539" s="20">
        <v>5</v>
      </c>
      <c r="Q539" s="20">
        <v>3</v>
      </c>
      <c r="R539" s="20" t="s">
        <v>593</v>
      </c>
      <c r="T539" s="20" t="s">
        <v>1144</v>
      </c>
      <c r="U539" s="20" t="s">
        <v>313</v>
      </c>
      <c r="V539" s="20" t="s">
        <v>1814</v>
      </c>
      <c r="W539" s="20" t="s">
        <v>2355</v>
      </c>
      <c r="X539" s="20" t="s">
        <v>628</v>
      </c>
      <c r="Y539" s="20">
        <v>10</v>
      </c>
      <c r="Z539" s="20">
        <v>2</v>
      </c>
      <c r="AA539" s="20" t="s">
        <v>592</v>
      </c>
      <c r="AC539" s="20" t="s">
        <v>1162</v>
      </c>
      <c r="AD539" s="20" t="s">
        <v>240</v>
      </c>
      <c r="AE539" s="20" t="s">
        <v>364</v>
      </c>
      <c r="AF539" s="20" t="s">
        <v>626</v>
      </c>
      <c r="AG539" s="20" t="s">
        <v>835</v>
      </c>
      <c r="AH539" s="20">
        <v>5</v>
      </c>
      <c r="AI539" s="20">
        <v>5</v>
      </c>
      <c r="AJ539" s="20" t="s">
        <v>592</v>
      </c>
      <c r="AL539" s="20" t="s">
        <v>646</v>
      </c>
      <c r="AM539" s="20" t="s">
        <v>246</v>
      </c>
      <c r="AN539" s="20" t="s">
        <v>2845</v>
      </c>
      <c r="AO539" s="20" t="s">
        <v>3096</v>
      </c>
      <c r="AP539" s="20" t="s">
        <v>628</v>
      </c>
      <c r="AQ539" s="20">
        <v>10</v>
      </c>
      <c r="AR539" s="20">
        <v>15</v>
      </c>
      <c r="AS539" s="20" t="s">
        <v>592</v>
      </c>
    </row>
    <row r="540" spans="2:45" ht="15.75" customHeight="1" x14ac:dyDescent="0.2">
      <c r="B540" s="20" t="s">
        <v>1163</v>
      </c>
      <c r="C540" s="20" t="s">
        <v>57</v>
      </c>
      <c r="D540" s="20" t="s">
        <v>506</v>
      </c>
      <c r="E540" s="20" t="s">
        <v>1281</v>
      </c>
      <c r="F540" s="20" t="s">
        <v>835</v>
      </c>
      <c r="G540" s="20">
        <v>5</v>
      </c>
      <c r="H540" s="20">
        <v>1</v>
      </c>
      <c r="I540" s="20" t="s">
        <v>593</v>
      </c>
      <c r="K540" s="20" t="s">
        <v>1158</v>
      </c>
      <c r="L540" s="20" t="s">
        <v>1073</v>
      </c>
      <c r="M540" s="20" t="s">
        <v>1922</v>
      </c>
      <c r="N540" s="20" t="s">
        <v>1923</v>
      </c>
      <c r="O540" s="20" t="s">
        <v>835</v>
      </c>
      <c r="P540" s="20">
        <v>5</v>
      </c>
      <c r="Q540" s="20">
        <v>1</v>
      </c>
      <c r="R540" s="20" t="s">
        <v>593</v>
      </c>
      <c r="T540" s="20" t="s">
        <v>1162</v>
      </c>
      <c r="U540" s="20" t="s">
        <v>352</v>
      </c>
      <c r="V540" s="20" t="s">
        <v>1469</v>
      </c>
      <c r="W540" s="20" t="s">
        <v>2356</v>
      </c>
      <c r="X540" s="20" t="s">
        <v>835</v>
      </c>
      <c r="Y540" s="20">
        <v>5</v>
      </c>
      <c r="Z540" s="20">
        <v>7</v>
      </c>
      <c r="AA540" s="20" t="s">
        <v>592</v>
      </c>
      <c r="AC540" s="20" t="s">
        <v>1162</v>
      </c>
      <c r="AD540" s="20" t="s">
        <v>240</v>
      </c>
      <c r="AE540" s="20" t="s">
        <v>365</v>
      </c>
      <c r="AF540" s="20" t="s">
        <v>1783</v>
      </c>
      <c r="AG540" s="20" t="s">
        <v>835</v>
      </c>
      <c r="AH540" s="20">
        <v>5</v>
      </c>
      <c r="AI540" s="20">
        <v>5</v>
      </c>
      <c r="AJ540" s="20" t="s">
        <v>592</v>
      </c>
      <c r="AL540" s="20" t="s">
        <v>646</v>
      </c>
      <c r="AM540" s="20" t="s">
        <v>1109</v>
      </c>
      <c r="AN540" s="20" t="s">
        <v>369</v>
      </c>
      <c r="AO540" s="20" t="s">
        <v>1417</v>
      </c>
      <c r="AP540" s="20" t="s">
        <v>628</v>
      </c>
      <c r="AQ540" s="20">
        <v>10</v>
      </c>
      <c r="AR540" s="20">
        <v>17</v>
      </c>
      <c r="AS540" s="20" t="s">
        <v>592</v>
      </c>
    </row>
    <row r="541" spans="2:45" ht="15.75" customHeight="1" x14ac:dyDescent="0.2">
      <c r="B541" s="20" t="s">
        <v>1144</v>
      </c>
      <c r="C541" s="20" t="s">
        <v>249</v>
      </c>
      <c r="D541" s="20" t="s">
        <v>437</v>
      </c>
      <c r="E541" s="20" t="s">
        <v>1420</v>
      </c>
      <c r="F541" s="20" t="s">
        <v>835</v>
      </c>
      <c r="G541" s="20">
        <v>5</v>
      </c>
      <c r="H541" s="20">
        <v>6</v>
      </c>
      <c r="I541" s="20" t="s">
        <v>592</v>
      </c>
      <c r="K541" s="20" t="s">
        <v>1158</v>
      </c>
      <c r="L541" s="20" t="s">
        <v>72</v>
      </c>
      <c r="M541" s="20" t="s">
        <v>1924</v>
      </c>
      <c r="N541" s="20" t="s">
        <v>620</v>
      </c>
      <c r="O541" s="20" t="s">
        <v>835</v>
      </c>
      <c r="P541" s="20">
        <v>5</v>
      </c>
      <c r="Q541" s="20">
        <v>3</v>
      </c>
      <c r="R541" s="20" t="s">
        <v>593</v>
      </c>
      <c r="T541" s="20" t="s">
        <v>1154</v>
      </c>
      <c r="U541" s="20" t="s">
        <v>217</v>
      </c>
      <c r="V541" s="20" t="s">
        <v>577</v>
      </c>
      <c r="W541" s="20" t="s">
        <v>1067</v>
      </c>
      <c r="X541" s="20" t="s">
        <v>835</v>
      </c>
      <c r="Y541" s="20">
        <v>5</v>
      </c>
      <c r="Z541" s="20">
        <v>5</v>
      </c>
      <c r="AA541" s="20" t="s">
        <v>592</v>
      </c>
      <c r="AC541" s="20" t="s">
        <v>1147</v>
      </c>
      <c r="AD541" s="20" t="s">
        <v>699</v>
      </c>
      <c r="AE541" s="20" t="s">
        <v>447</v>
      </c>
      <c r="AF541" s="20" t="s">
        <v>1997</v>
      </c>
      <c r="AG541" s="20" t="s">
        <v>835</v>
      </c>
      <c r="AH541" s="20">
        <v>5</v>
      </c>
      <c r="AI541" s="20">
        <v>7</v>
      </c>
      <c r="AJ541" s="20" t="s">
        <v>592</v>
      </c>
      <c r="AL541" s="20" t="s">
        <v>646</v>
      </c>
      <c r="AM541" s="20" t="s">
        <v>209</v>
      </c>
      <c r="AN541" s="20" t="s">
        <v>892</v>
      </c>
      <c r="AO541" s="20" t="s">
        <v>3097</v>
      </c>
      <c r="AP541" s="20" t="s">
        <v>628</v>
      </c>
      <c r="AQ541" s="20">
        <v>10</v>
      </c>
      <c r="AR541" s="20">
        <v>18</v>
      </c>
      <c r="AS541" s="20" t="s">
        <v>592</v>
      </c>
    </row>
    <row r="542" spans="2:45" ht="15.75" customHeight="1" x14ac:dyDescent="0.2">
      <c r="B542" s="20" t="s">
        <v>1158</v>
      </c>
      <c r="C542" s="20" t="s">
        <v>72</v>
      </c>
      <c r="D542" s="20" t="s">
        <v>547</v>
      </c>
      <c r="E542" s="20" t="s">
        <v>1421</v>
      </c>
      <c r="F542" s="20" t="s">
        <v>835</v>
      </c>
      <c r="G542" s="20">
        <v>5</v>
      </c>
      <c r="H542" s="20">
        <v>1</v>
      </c>
      <c r="I542" s="20" t="s">
        <v>593</v>
      </c>
      <c r="K542" s="20" t="s">
        <v>1162</v>
      </c>
      <c r="L542" s="20" t="s">
        <v>230</v>
      </c>
      <c r="M542" s="20" t="s">
        <v>1925</v>
      </c>
      <c r="N542" s="20" t="s">
        <v>1926</v>
      </c>
      <c r="O542" s="20" t="s">
        <v>835</v>
      </c>
      <c r="P542" s="20">
        <v>5</v>
      </c>
      <c r="Q542" s="20">
        <v>1</v>
      </c>
      <c r="R542" s="20" t="s">
        <v>593</v>
      </c>
      <c r="T542" s="20" t="s">
        <v>1154</v>
      </c>
      <c r="U542" s="20" t="s">
        <v>217</v>
      </c>
      <c r="V542" s="20" t="s">
        <v>578</v>
      </c>
      <c r="W542" s="20" t="s">
        <v>1477</v>
      </c>
      <c r="X542" s="20" t="s">
        <v>835</v>
      </c>
      <c r="Y542" s="20">
        <v>5</v>
      </c>
      <c r="Z542" s="20">
        <v>3</v>
      </c>
      <c r="AA542" s="20" t="s">
        <v>593</v>
      </c>
      <c r="AC542" s="20" t="s">
        <v>1147</v>
      </c>
      <c r="AD542" s="20" t="s">
        <v>222</v>
      </c>
      <c r="AE542" s="20" t="s">
        <v>1957</v>
      </c>
      <c r="AF542" s="20" t="s">
        <v>2747</v>
      </c>
      <c r="AG542" s="20" t="s">
        <v>835</v>
      </c>
      <c r="AH542" s="20">
        <v>5</v>
      </c>
      <c r="AI542" s="20">
        <v>6</v>
      </c>
      <c r="AJ542" s="20" t="s">
        <v>592</v>
      </c>
      <c r="AL542" s="20" t="s">
        <v>646</v>
      </c>
      <c r="AM542" s="20" t="s">
        <v>1109</v>
      </c>
      <c r="AN542" s="20" t="s">
        <v>2846</v>
      </c>
      <c r="AO542" s="20" t="s">
        <v>3098</v>
      </c>
      <c r="AP542" s="20" t="s">
        <v>628</v>
      </c>
      <c r="AQ542" s="20">
        <v>10</v>
      </c>
      <c r="AR542" s="20">
        <v>11</v>
      </c>
      <c r="AS542" s="20" t="s">
        <v>592</v>
      </c>
    </row>
    <row r="543" spans="2:45" ht="15.75" customHeight="1" x14ac:dyDescent="0.2">
      <c r="B543" s="20" t="s">
        <v>1163</v>
      </c>
      <c r="C543" s="20" t="s">
        <v>57</v>
      </c>
      <c r="D543" s="20" t="s">
        <v>505</v>
      </c>
      <c r="E543" s="20" t="s">
        <v>1061</v>
      </c>
      <c r="F543" s="20" t="s">
        <v>628</v>
      </c>
      <c r="G543" s="20">
        <v>10</v>
      </c>
      <c r="H543" s="20">
        <v>3</v>
      </c>
      <c r="I543" s="20" t="s">
        <v>593</v>
      </c>
      <c r="K543" s="20" t="s">
        <v>1141</v>
      </c>
      <c r="L543" s="20" t="s">
        <v>218</v>
      </c>
      <c r="M543" s="20" t="s">
        <v>1927</v>
      </c>
      <c r="N543" s="20" t="s">
        <v>377</v>
      </c>
      <c r="O543" s="20" t="s">
        <v>835</v>
      </c>
      <c r="P543" s="20">
        <v>5</v>
      </c>
      <c r="Q543" s="20">
        <v>5</v>
      </c>
      <c r="R543" s="20" t="s">
        <v>592</v>
      </c>
      <c r="T543" s="20" t="s">
        <v>1154</v>
      </c>
      <c r="U543" s="20" t="s">
        <v>307</v>
      </c>
      <c r="V543" s="20" t="s">
        <v>565</v>
      </c>
      <c r="W543" s="20" t="s">
        <v>2133</v>
      </c>
      <c r="X543" s="20" t="s">
        <v>835</v>
      </c>
      <c r="Y543" s="20">
        <v>5</v>
      </c>
      <c r="Z543" s="20">
        <v>1</v>
      </c>
      <c r="AA543" s="20" t="s">
        <v>593</v>
      </c>
      <c r="AC543" s="20" t="s">
        <v>1158</v>
      </c>
      <c r="AD543" s="20" t="s">
        <v>925</v>
      </c>
      <c r="AE543" s="20" t="s">
        <v>1584</v>
      </c>
      <c r="AF543" s="20" t="s">
        <v>2579</v>
      </c>
      <c r="AG543" s="20" t="s">
        <v>835</v>
      </c>
      <c r="AH543" s="20">
        <v>5</v>
      </c>
      <c r="AI543" s="20">
        <v>1</v>
      </c>
      <c r="AJ543" s="20" t="s">
        <v>593</v>
      </c>
      <c r="AL543" s="20" t="s">
        <v>646</v>
      </c>
      <c r="AM543" s="20" t="s">
        <v>209</v>
      </c>
      <c r="AN543" s="20" t="s">
        <v>2842</v>
      </c>
      <c r="AO543" s="20" t="s">
        <v>3099</v>
      </c>
      <c r="AP543" s="20" t="s">
        <v>628</v>
      </c>
      <c r="AQ543" s="20">
        <v>10</v>
      </c>
      <c r="AR543" s="20">
        <v>5</v>
      </c>
      <c r="AS543" s="20" t="s">
        <v>592</v>
      </c>
    </row>
    <row r="544" spans="2:45" ht="15.75" customHeight="1" x14ac:dyDescent="0.2">
      <c r="B544" s="20" t="s">
        <v>1141</v>
      </c>
      <c r="C544" s="20" t="s">
        <v>787</v>
      </c>
      <c r="D544" s="20" t="s">
        <v>385</v>
      </c>
      <c r="E544" s="20" t="s">
        <v>1020</v>
      </c>
      <c r="F544" s="20" t="s">
        <v>835</v>
      </c>
      <c r="G544" s="20">
        <v>5</v>
      </c>
      <c r="H544" s="20">
        <v>2</v>
      </c>
      <c r="I544" s="20" t="s">
        <v>593</v>
      </c>
      <c r="K544" s="20" t="s">
        <v>1154</v>
      </c>
      <c r="L544" s="20" t="s">
        <v>217</v>
      </c>
      <c r="M544" s="20" t="s">
        <v>1928</v>
      </c>
      <c r="N544" s="20" t="s">
        <v>625</v>
      </c>
      <c r="O544" s="20" t="s">
        <v>835</v>
      </c>
      <c r="P544" s="20">
        <v>5</v>
      </c>
      <c r="Q544" s="20">
        <v>3</v>
      </c>
      <c r="R544" s="20" t="s">
        <v>593</v>
      </c>
      <c r="T544" s="20" t="s">
        <v>1147</v>
      </c>
      <c r="U544" s="20" t="s">
        <v>699</v>
      </c>
      <c r="V544" s="20" t="s">
        <v>812</v>
      </c>
      <c r="W544" s="20" t="s">
        <v>1234</v>
      </c>
      <c r="X544" s="20" t="s">
        <v>628</v>
      </c>
      <c r="Y544" s="20">
        <v>10</v>
      </c>
      <c r="Z544" s="20">
        <v>8</v>
      </c>
      <c r="AA544" s="20" t="s">
        <v>592</v>
      </c>
      <c r="AC544" s="20" t="s">
        <v>1161</v>
      </c>
      <c r="AD544" s="20" t="s">
        <v>659</v>
      </c>
      <c r="AE544" s="20" t="s">
        <v>391</v>
      </c>
      <c r="AF544" s="20" t="s">
        <v>909</v>
      </c>
      <c r="AG544" s="20" t="s">
        <v>835</v>
      </c>
      <c r="AH544" s="20">
        <v>5</v>
      </c>
      <c r="AI544" s="20">
        <v>1</v>
      </c>
      <c r="AJ544" s="20" t="s">
        <v>593</v>
      </c>
      <c r="AL544" s="20" t="s">
        <v>646</v>
      </c>
      <c r="AM544" s="20" t="s">
        <v>1109</v>
      </c>
      <c r="AN544" s="20" t="s">
        <v>375</v>
      </c>
      <c r="AO544" s="20" t="s">
        <v>3100</v>
      </c>
      <c r="AP544" s="20" t="s">
        <v>628</v>
      </c>
      <c r="AQ544" s="20">
        <v>10</v>
      </c>
      <c r="AR544" s="20">
        <v>23</v>
      </c>
      <c r="AS544" s="20" t="s">
        <v>592</v>
      </c>
    </row>
    <row r="545" spans="2:45" ht="15.75" customHeight="1" x14ac:dyDescent="0.2">
      <c r="B545" s="20" t="s">
        <v>1144</v>
      </c>
      <c r="C545" s="20" t="s">
        <v>1107</v>
      </c>
      <c r="D545" s="20" t="s">
        <v>847</v>
      </c>
      <c r="E545" s="20" t="s">
        <v>1422</v>
      </c>
      <c r="F545" s="20" t="s">
        <v>628</v>
      </c>
      <c r="G545" s="20">
        <v>10</v>
      </c>
      <c r="H545" s="20">
        <v>7</v>
      </c>
      <c r="I545" s="20" t="s">
        <v>592</v>
      </c>
      <c r="K545" s="20" t="s">
        <v>1161</v>
      </c>
      <c r="L545" s="20" t="s">
        <v>41</v>
      </c>
      <c r="M545" s="20" t="s">
        <v>1419</v>
      </c>
      <c r="N545" s="20" t="s">
        <v>538</v>
      </c>
      <c r="O545" s="20" t="s">
        <v>628</v>
      </c>
      <c r="P545" s="20">
        <v>10</v>
      </c>
      <c r="Q545" s="20">
        <v>10</v>
      </c>
      <c r="R545" s="20" t="s">
        <v>592</v>
      </c>
      <c r="T545" s="20" t="s">
        <v>1147</v>
      </c>
      <c r="U545" s="20" t="s">
        <v>29</v>
      </c>
      <c r="V545" s="20" t="s">
        <v>1974</v>
      </c>
      <c r="W545" s="20" t="s">
        <v>1973</v>
      </c>
      <c r="X545" s="20" t="s">
        <v>835</v>
      </c>
      <c r="Y545" s="20">
        <v>5</v>
      </c>
      <c r="Z545" s="20">
        <v>1</v>
      </c>
      <c r="AA545" s="20" t="s">
        <v>593</v>
      </c>
      <c r="AC545" s="20" t="s">
        <v>1161</v>
      </c>
      <c r="AD545" s="20" t="s">
        <v>659</v>
      </c>
      <c r="AE545" s="20" t="s">
        <v>955</v>
      </c>
      <c r="AF545" s="20" t="s">
        <v>2380</v>
      </c>
      <c r="AG545" s="20" t="s">
        <v>835</v>
      </c>
      <c r="AH545" s="20">
        <v>5</v>
      </c>
      <c r="AI545" s="20">
        <v>1</v>
      </c>
      <c r="AJ545" s="20" t="s">
        <v>593</v>
      </c>
      <c r="AL545" s="20" t="s">
        <v>646</v>
      </c>
      <c r="AM545" s="20" t="s">
        <v>1109</v>
      </c>
      <c r="AN545" s="20" t="s">
        <v>957</v>
      </c>
      <c r="AO545" s="20" t="s">
        <v>3101</v>
      </c>
      <c r="AP545" s="20" t="s">
        <v>628</v>
      </c>
      <c r="AQ545" s="20">
        <v>10</v>
      </c>
      <c r="AR545" s="20">
        <v>9</v>
      </c>
      <c r="AS545" s="20" t="s">
        <v>592</v>
      </c>
    </row>
    <row r="546" spans="2:45" ht="15.75" customHeight="1" x14ac:dyDescent="0.2">
      <c r="B546" s="20" t="s">
        <v>1144</v>
      </c>
      <c r="C546" s="20" t="s">
        <v>1107</v>
      </c>
      <c r="D546" s="20" t="s">
        <v>847</v>
      </c>
      <c r="E546" s="20" t="s">
        <v>1423</v>
      </c>
      <c r="F546" s="20" t="s">
        <v>628</v>
      </c>
      <c r="G546" s="20">
        <v>10</v>
      </c>
      <c r="H546" s="20">
        <v>1</v>
      </c>
      <c r="I546" s="20" t="s">
        <v>592</v>
      </c>
      <c r="K546" s="20" t="s">
        <v>1158</v>
      </c>
      <c r="L546" s="20" t="s">
        <v>1073</v>
      </c>
      <c r="M546" s="20" t="s">
        <v>1609</v>
      </c>
      <c r="N546" s="20" t="s">
        <v>1610</v>
      </c>
      <c r="O546" s="20" t="s">
        <v>835</v>
      </c>
      <c r="P546" s="20">
        <v>5</v>
      </c>
      <c r="Q546" s="20">
        <v>2</v>
      </c>
      <c r="R546" s="20" t="s">
        <v>593</v>
      </c>
      <c r="T546" s="20" t="s">
        <v>1147</v>
      </c>
      <c r="U546" s="20" t="s">
        <v>29</v>
      </c>
      <c r="V546" s="20" t="s">
        <v>2464</v>
      </c>
      <c r="W546" s="20" t="s">
        <v>2164</v>
      </c>
      <c r="X546" s="20" t="s">
        <v>835</v>
      </c>
      <c r="Y546" s="20">
        <v>5</v>
      </c>
      <c r="Z546" s="20">
        <v>5</v>
      </c>
      <c r="AA546" s="20" t="s">
        <v>592</v>
      </c>
      <c r="AC546" s="20" t="s">
        <v>1144</v>
      </c>
      <c r="AD546" s="20" t="s">
        <v>23</v>
      </c>
      <c r="AE546" s="20" t="s">
        <v>545</v>
      </c>
      <c r="AF546" s="20" t="s">
        <v>1120</v>
      </c>
      <c r="AG546" s="20" t="s">
        <v>628</v>
      </c>
      <c r="AH546" s="20">
        <v>10</v>
      </c>
      <c r="AI546" s="20">
        <v>8</v>
      </c>
      <c r="AJ546" s="20" t="s">
        <v>592</v>
      </c>
      <c r="AL546" s="20" t="s">
        <v>646</v>
      </c>
      <c r="AM546" s="20" t="s">
        <v>25</v>
      </c>
      <c r="AN546" s="20" t="s">
        <v>2847</v>
      </c>
      <c r="AO546" s="20" t="s">
        <v>3102</v>
      </c>
      <c r="AP546" s="20" t="s">
        <v>835</v>
      </c>
      <c r="AQ546" s="20">
        <v>5</v>
      </c>
      <c r="AR546" s="20">
        <v>5</v>
      </c>
      <c r="AS546" s="20" t="s">
        <v>592</v>
      </c>
    </row>
    <row r="547" spans="2:45" ht="15.75" customHeight="1" x14ac:dyDescent="0.2">
      <c r="B547" s="20" t="s">
        <v>1143</v>
      </c>
      <c r="C547" s="20" t="s">
        <v>61</v>
      </c>
      <c r="D547" s="20" t="s">
        <v>526</v>
      </c>
      <c r="E547" s="20" t="s">
        <v>588</v>
      </c>
      <c r="F547" s="20" t="s">
        <v>835</v>
      </c>
      <c r="G547" s="20">
        <v>5</v>
      </c>
      <c r="H547" s="20">
        <v>4</v>
      </c>
      <c r="I547" s="20" t="s">
        <v>592</v>
      </c>
      <c r="K547" s="20" t="s">
        <v>1144</v>
      </c>
      <c r="L547" s="20" t="s">
        <v>23</v>
      </c>
      <c r="M547" s="20" t="s">
        <v>589</v>
      </c>
      <c r="N547" s="20" t="s">
        <v>544</v>
      </c>
      <c r="O547" s="20" t="s">
        <v>835</v>
      </c>
      <c r="P547" s="20">
        <v>5</v>
      </c>
      <c r="Q547" s="20">
        <v>5</v>
      </c>
      <c r="R547" s="20" t="s">
        <v>592</v>
      </c>
      <c r="T547" s="20" t="s">
        <v>1141</v>
      </c>
      <c r="U547" s="20" t="s">
        <v>780</v>
      </c>
      <c r="V547" s="20" t="s">
        <v>1766</v>
      </c>
      <c r="W547" s="20" t="s">
        <v>2357</v>
      </c>
      <c r="X547" s="20" t="s">
        <v>835</v>
      </c>
      <c r="Y547" s="20">
        <v>5</v>
      </c>
      <c r="Z547" s="20">
        <v>5</v>
      </c>
      <c r="AA547" s="20" t="s">
        <v>592</v>
      </c>
      <c r="AC547" s="20" t="s">
        <v>1155</v>
      </c>
      <c r="AD547" s="20" t="s">
        <v>1156</v>
      </c>
      <c r="AE547" s="20" t="s">
        <v>2561</v>
      </c>
      <c r="AF547" s="20" t="s">
        <v>2748</v>
      </c>
      <c r="AG547" s="20" t="s">
        <v>835</v>
      </c>
      <c r="AH547" s="20">
        <v>5</v>
      </c>
      <c r="AI547" s="20">
        <v>7</v>
      </c>
      <c r="AJ547" s="20" t="s">
        <v>592</v>
      </c>
      <c r="AL547" s="20" t="s">
        <v>646</v>
      </c>
      <c r="AM547" s="20" t="s">
        <v>285</v>
      </c>
      <c r="AN547" s="20" t="s">
        <v>457</v>
      </c>
      <c r="AO547" s="20" t="s">
        <v>982</v>
      </c>
      <c r="AP547" s="20" t="s">
        <v>628</v>
      </c>
      <c r="AQ547" s="20">
        <v>10</v>
      </c>
      <c r="AR547" s="20">
        <v>46</v>
      </c>
      <c r="AS547" s="20" t="s">
        <v>592</v>
      </c>
    </row>
    <row r="548" spans="2:45" ht="15.75" customHeight="1" x14ac:dyDescent="0.2">
      <c r="B548" s="20" t="s">
        <v>1143</v>
      </c>
      <c r="C548" s="20" t="s">
        <v>61</v>
      </c>
      <c r="D548" s="20" t="s">
        <v>526</v>
      </c>
      <c r="E548" s="20" t="s">
        <v>1064</v>
      </c>
      <c r="F548" s="20" t="s">
        <v>835</v>
      </c>
      <c r="G548" s="20">
        <v>5</v>
      </c>
      <c r="H548" s="20">
        <v>1</v>
      </c>
      <c r="I548" s="20" t="s">
        <v>592</v>
      </c>
      <c r="K548" s="20" t="s">
        <v>1161</v>
      </c>
      <c r="L548" s="20" t="s">
        <v>41</v>
      </c>
      <c r="M548" s="20" t="s">
        <v>1929</v>
      </c>
      <c r="N548" s="20" t="s">
        <v>1930</v>
      </c>
      <c r="O548" s="20" t="s">
        <v>628</v>
      </c>
      <c r="P548" s="20">
        <v>10</v>
      </c>
      <c r="Q548" s="20">
        <v>1</v>
      </c>
      <c r="R548" s="20" t="s">
        <v>593</v>
      </c>
      <c r="T548" s="20" t="s">
        <v>2099</v>
      </c>
      <c r="U548" s="20" t="s">
        <v>350</v>
      </c>
      <c r="V548" s="20" t="s">
        <v>2456</v>
      </c>
      <c r="W548" s="20" t="s">
        <v>2222</v>
      </c>
      <c r="X548" s="20" t="s">
        <v>835</v>
      </c>
      <c r="Y548" s="20">
        <v>5</v>
      </c>
      <c r="Z548" s="20">
        <v>5</v>
      </c>
      <c r="AA548" s="20" t="s">
        <v>592</v>
      </c>
      <c r="AC548" s="20" t="s">
        <v>1147</v>
      </c>
      <c r="AD548" s="20" t="s">
        <v>225</v>
      </c>
      <c r="AE548" s="20" t="s">
        <v>2476</v>
      </c>
      <c r="AF548" s="20" t="s">
        <v>2595</v>
      </c>
      <c r="AG548" s="20" t="s">
        <v>835</v>
      </c>
      <c r="AH548" s="20">
        <v>5</v>
      </c>
      <c r="AI548" s="20">
        <v>2</v>
      </c>
      <c r="AJ548" s="20" t="s">
        <v>593</v>
      </c>
      <c r="AL548" s="20" t="s">
        <v>646</v>
      </c>
      <c r="AM548" s="20" t="s">
        <v>1109</v>
      </c>
      <c r="AN548" s="20" t="s">
        <v>2848</v>
      </c>
      <c r="AO548" s="20" t="s">
        <v>3103</v>
      </c>
      <c r="AP548" s="20" t="s">
        <v>835</v>
      </c>
      <c r="AQ548" s="20">
        <v>5</v>
      </c>
      <c r="AR548" s="20">
        <v>15</v>
      </c>
      <c r="AS548" s="20" t="s">
        <v>592</v>
      </c>
    </row>
    <row r="549" spans="2:45" ht="15.75" customHeight="1" x14ac:dyDescent="0.2">
      <c r="B549" s="20" t="s">
        <v>646</v>
      </c>
      <c r="C549" s="20" t="s">
        <v>209</v>
      </c>
      <c r="D549" s="20" t="s">
        <v>460</v>
      </c>
      <c r="E549" s="20" t="s">
        <v>971</v>
      </c>
      <c r="F549" s="20" t="s">
        <v>835</v>
      </c>
      <c r="G549" s="20">
        <v>5</v>
      </c>
      <c r="H549" s="20">
        <v>5</v>
      </c>
      <c r="I549" s="20" t="s">
        <v>592</v>
      </c>
      <c r="K549" s="20" t="s">
        <v>1141</v>
      </c>
      <c r="L549" s="20" t="s">
        <v>787</v>
      </c>
      <c r="M549" s="20" t="s">
        <v>1580</v>
      </c>
      <c r="N549" s="20" t="s">
        <v>714</v>
      </c>
      <c r="O549" s="20" t="s">
        <v>835</v>
      </c>
      <c r="P549" s="20">
        <v>5</v>
      </c>
      <c r="Q549" s="20">
        <v>5</v>
      </c>
      <c r="R549" s="20" t="s">
        <v>592</v>
      </c>
      <c r="T549" s="20" t="s">
        <v>1161</v>
      </c>
      <c r="U549" s="20" t="s">
        <v>41</v>
      </c>
      <c r="V549" s="20" t="s">
        <v>1930</v>
      </c>
      <c r="W549" s="20" t="s">
        <v>2041</v>
      </c>
      <c r="X549" s="20" t="s">
        <v>835</v>
      </c>
      <c r="Y549" s="20">
        <v>5</v>
      </c>
      <c r="Z549" s="20">
        <v>3</v>
      </c>
      <c r="AA549" s="20" t="s">
        <v>593</v>
      </c>
      <c r="AC549" s="20" t="s">
        <v>1147</v>
      </c>
      <c r="AD549" s="20" t="s">
        <v>29</v>
      </c>
      <c r="AE549" s="20" t="s">
        <v>419</v>
      </c>
      <c r="AF549" s="20" t="s">
        <v>1686</v>
      </c>
      <c r="AG549" s="20" t="s">
        <v>835</v>
      </c>
      <c r="AH549" s="20">
        <v>5</v>
      </c>
      <c r="AI549" s="20">
        <v>5</v>
      </c>
      <c r="AJ549" s="20" t="s">
        <v>592</v>
      </c>
      <c r="AL549" s="20" t="s">
        <v>646</v>
      </c>
      <c r="AM549" s="20" t="s">
        <v>1109</v>
      </c>
      <c r="AN549" s="20" t="s">
        <v>1740</v>
      </c>
      <c r="AO549" s="20" t="s">
        <v>2277</v>
      </c>
      <c r="AP549" s="20" t="s">
        <v>628</v>
      </c>
      <c r="AQ549" s="20">
        <v>10</v>
      </c>
      <c r="AR549" s="20">
        <v>3</v>
      </c>
      <c r="AS549" s="20" t="s">
        <v>593</v>
      </c>
    </row>
    <row r="550" spans="2:45" ht="15.75" customHeight="1" x14ac:dyDescent="0.2">
      <c r="B550" s="20" t="s">
        <v>1143</v>
      </c>
      <c r="C550" s="20" t="s">
        <v>61</v>
      </c>
      <c r="D550" s="20" t="s">
        <v>405</v>
      </c>
      <c r="E550" s="20" t="s">
        <v>1424</v>
      </c>
      <c r="F550" s="20" t="s">
        <v>628</v>
      </c>
      <c r="G550" s="20">
        <v>10</v>
      </c>
      <c r="H550" s="20">
        <v>10</v>
      </c>
      <c r="I550" s="20" t="s">
        <v>592</v>
      </c>
      <c r="K550" s="20" t="s">
        <v>1162</v>
      </c>
      <c r="L550" s="20" t="s">
        <v>352</v>
      </c>
      <c r="M550" s="20" t="s">
        <v>1931</v>
      </c>
      <c r="N550" s="20" t="s">
        <v>894</v>
      </c>
      <c r="O550" s="20" t="s">
        <v>628</v>
      </c>
      <c r="P550" s="20">
        <v>10</v>
      </c>
      <c r="Q550" s="20">
        <v>1</v>
      </c>
      <c r="R550" s="20" t="s">
        <v>593</v>
      </c>
      <c r="T550" s="20" t="s">
        <v>1147</v>
      </c>
      <c r="U550" s="20" t="s">
        <v>29</v>
      </c>
      <c r="V550" s="20" t="s">
        <v>419</v>
      </c>
      <c r="W550" s="20" t="s">
        <v>2358</v>
      </c>
      <c r="X550" s="20" t="s">
        <v>628</v>
      </c>
      <c r="Y550" s="20">
        <v>10</v>
      </c>
      <c r="Z550" s="20">
        <v>10</v>
      </c>
      <c r="AA550" s="20" t="s">
        <v>592</v>
      </c>
      <c r="AC550" s="20" t="s">
        <v>1147</v>
      </c>
      <c r="AD550" s="20" t="s">
        <v>29</v>
      </c>
      <c r="AE550" s="20" t="s">
        <v>420</v>
      </c>
      <c r="AF550" s="20" t="s">
        <v>820</v>
      </c>
      <c r="AG550" s="20" t="s">
        <v>835</v>
      </c>
      <c r="AH550" s="20">
        <v>5</v>
      </c>
      <c r="AI550" s="20">
        <v>5</v>
      </c>
      <c r="AJ550" s="20" t="s">
        <v>592</v>
      </c>
      <c r="AL550" s="20" t="s">
        <v>646</v>
      </c>
      <c r="AM550" s="20" t="s">
        <v>285</v>
      </c>
      <c r="AN550" s="20" t="s">
        <v>459</v>
      </c>
      <c r="AO550" s="20" t="s">
        <v>3104</v>
      </c>
      <c r="AP550" s="20" t="s">
        <v>628</v>
      </c>
      <c r="AQ550" s="20">
        <v>10</v>
      </c>
      <c r="AR550" s="20">
        <v>82</v>
      </c>
      <c r="AS550" s="20" t="s">
        <v>592</v>
      </c>
    </row>
    <row r="551" spans="2:45" ht="15.75" customHeight="1" x14ac:dyDescent="0.2">
      <c r="K551" s="20" t="s">
        <v>1162</v>
      </c>
      <c r="L551" s="20" t="s">
        <v>352</v>
      </c>
      <c r="M551" s="20" t="s">
        <v>1932</v>
      </c>
      <c r="N551" s="20" t="s">
        <v>1933</v>
      </c>
      <c r="O551" s="20" t="s">
        <v>628</v>
      </c>
      <c r="P551" s="20">
        <v>10</v>
      </c>
      <c r="Q551" s="20">
        <v>1</v>
      </c>
      <c r="R551" s="20" t="s">
        <v>593</v>
      </c>
      <c r="T551" s="20" t="s">
        <v>1147</v>
      </c>
      <c r="U551" s="20" t="s">
        <v>225</v>
      </c>
      <c r="V551" s="20" t="s">
        <v>382</v>
      </c>
      <c r="W551" s="20" t="s">
        <v>1532</v>
      </c>
      <c r="X551" s="20" t="s">
        <v>628</v>
      </c>
      <c r="Y551" s="20">
        <v>10</v>
      </c>
      <c r="Z551" s="20">
        <v>8</v>
      </c>
      <c r="AA551" s="20" t="s">
        <v>592</v>
      </c>
      <c r="AC551" s="20" t="s">
        <v>1163</v>
      </c>
      <c r="AD551" s="20" t="s">
        <v>837</v>
      </c>
      <c r="AE551" s="20" t="s">
        <v>358</v>
      </c>
      <c r="AF551" s="20" t="s">
        <v>2600</v>
      </c>
      <c r="AG551" s="20" t="s">
        <v>835</v>
      </c>
      <c r="AH551" s="20">
        <v>5</v>
      </c>
      <c r="AI551" s="20">
        <v>1</v>
      </c>
      <c r="AJ551" s="20" t="s">
        <v>593</v>
      </c>
      <c r="AL551" s="20" t="s">
        <v>646</v>
      </c>
      <c r="AM551" s="20" t="s">
        <v>285</v>
      </c>
      <c r="AN551" s="20" t="s">
        <v>462</v>
      </c>
      <c r="AO551" s="20" t="s">
        <v>3105</v>
      </c>
      <c r="AP551" s="20" t="s">
        <v>628</v>
      </c>
      <c r="AQ551" s="20">
        <v>10</v>
      </c>
      <c r="AR551" s="20">
        <v>26</v>
      </c>
      <c r="AS551" s="20" t="s">
        <v>592</v>
      </c>
    </row>
    <row r="552" spans="2:45" ht="15.75" customHeight="1" x14ac:dyDescent="0.2">
      <c r="K552" s="20" t="s">
        <v>1162</v>
      </c>
      <c r="L552" s="20" t="s">
        <v>240</v>
      </c>
      <c r="M552" s="20" t="s">
        <v>1934</v>
      </c>
      <c r="N552" s="20" t="s">
        <v>1786</v>
      </c>
      <c r="O552" s="20" t="s">
        <v>628</v>
      </c>
      <c r="P552" s="20">
        <v>10</v>
      </c>
      <c r="Q552" s="20">
        <v>1</v>
      </c>
      <c r="R552" s="20" t="s">
        <v>593</v>
      </c>
      <c r="T552" s="20" t="s">
        <v>1144</v>
      </c>
      <c r="U552" s="20" t="s">
        <v>249</v>
      </c>
      <c r="V552" s="20" t="s">
        <v>562</v>
      </c>
      <c r="W552" s="20" t="s">
        <v>1994</v>
      </c>
      <c r="X552" s="20" t="s">
        <v>628</v>
      </c>
      <c r="Y552" s="20">
        <v>10</v>
      </c>
      <c r="Z552" s="20">
        <v>13</v>
      </c>
      <c r="AA552" s="20" t="s">
        <v>592</v>
      </c>
      <c r="AC552" s="20" t="s">
        <v>1163</v>
      </c>
      <c r="AD552" s="20" t="s">
        <v>837</v>
      </c>
      <c r="AE552" s="20" t="s">
        <v>1937</v>
      </c>
      <c r="AF552" s="20" t="s">
        <v>1936</v>
      </c>
      <c r="AG552" s="20" t="s">
        <v>835</v>
      </c>
      <c r="AH552" s="20">
        <v>5</v>
      </c>
      <c r="AI552" s="20">
        <v>1</v>
      </c>
      <c r="AJ552" s="20" t="s">
        <v>593</v>
      </c>
      <c r="AL552" s="20" t="s">
        <v>646</v>
      </c>
      <c r="AM552" s="20" t="s">
        <v>25</v>
      </c>
      <c r="AN552" s="20" t="s">
        <v>521</v>
      </c>
      <c r="AO552" s="20" t="s">
        <v>3106</v>
      </c>
      <c r="AP552" s="20" t="s">
        <v>628</v>
      </c>
      <c r="AQ552" s="20">
        <v>10</v>
      </c>
      <c r="AR552" s="20">
        <v>34</v>
      </c>
      <c r="AS552" s="20" t="s">
        <v>592</v>
      </c>
    </row>
    <row r="553" spans="2:45" ht="15.75" customHeight="1" x14ac:dyDescent="0.2">
      <c r="K553" s="20" t="s">
        <v>646</v>
      </c>
      <c r="L553" s="20" t="s">
        <v>303</v>
      </c>
      <c r="M553" s="20" t="s">
        <v>1054</v>
      </c>
      <c r="N553" s="20" t="s">
        <v>427</v>
      </c>
      <c r="O553" s="20" t="s">
        <v>835</v>
      </c>
      <c r="P553" s="20">
        <v>5</v>
      </c>
      <c r="Q553" s="20">
        <v>1</v>
      </c>
      <c r="R553" s="20" t="s">
        <v>593</v>
      </c>
      <c r="T553" s="20" t="s">
        <v>1144</v>
      </c>
      <c r="U553" s="20" t="s">
        <v>249</v>
      </c>
      <c r="V553" s="20" t="s">
        <v>562</v>
      </c>
      <c r="W553" s="20" t="s">
        <v>2359</v>
      </c>
      <c r="X553" s="20" t="s">
        <v>628</v>
      </c>
      <c r="Y553" s="20">
        <v>10</v>
      </c>
      <c r="Z553" s="20">
        <v>1</v>
      </c>
      <c r="AA553" s="20" t="s">
        <v>592</v>
      </c>
      <c r="AC553" s="20" t="s">
        <v>1147</v>
      </c>
      <c r="AD553" s="20" t="s">
        <v>20</v>
      </c>
      <c r="AE553" s="20" t="s">
        <v>446</v>
      </c>
      <c r="AF553" s="20" t="s">
        <v>584</v>
      </c>
      <c r="AG553" s="20" t="s">
        <v>835</v>
      </c>
      <c r="AH553" s="20">
        <v>5</v>
      </c>
      <c r="AI553" s="20">
        <v>5</v>
      </c>
      <c r="AJ553" s="20" t="s">
        <v>592</v>
      </c>
      <c r="AL553" s="20" t="s">
        <v>646</v>
      </c>
      <c r="AM553" s="20" t="s">
        <v>25</v>
      </c>
      <c r="AN553" s="20" t="s">
        <v>521</v>
      </c>
      <c r="AO553" s="20" t="s">
        <v>2345</v>
      </c>
      <c r="AP553" s="20" t="s">
        <v>628</v>
      </c>
      <c r="AQ553" s="20">
        <v>10</v>
      </c>
      <c r="AR553" s="20">
        <v>18</v>
      </c>
      <c r="AS553" s="20" t="s">
        <v>592</v>
      </c>
    </row>
    <row r="554" spans="2:45" ht="15.75" customHeight="1" x14ac:dyDescent="0.2">
      <c r="K554" s="20" t="s">
        <v>1144</v>
      </c>
      <c r="L554" s="20" t="s">
        <v>313</v>
      </c>
      <c r="M554" s="20" t="s">
        <v>739</v>
      </c>
      <c r="N554" s="20" t="s">
        <v>619</v>
      </c>
      <c r="O554" s="20" t="s">
        <v>835</v>
      </c>
      <c r="P554" s="20">
        <v>5</v>
      </c>
      <c r="Q554" s="20">
        <v>5</v>
      </c>
      <c r="R554" s="20" t="s">
        <v>592</v>
      </c>
      <c r="T554" s="20" t="s">
        <v>1147</v>
      </c>
      <c r="U554" s="20" t="s">
        <v>699</v>
      </c>
      <c r="V554" s="20" t="s">
        <v>2501</v>
      </c>
      <c r="W554" s="20" t="s">
        <v>2360</v>
      </c>
      <c r="X554" s="20" t="s">
        <v>628</v>
      </c>
      <c r="Y554" s="20">
        <v>10</v>
      </c>
      <c r="Z554" s="20">
        <v>19</v>
      </c>
      <c r="AA554" s="20" t="s">
        <v>592</v>
      </c>
      <c r="AC554" s="20" t="s">
        <v>646</v>
      </c>
      <c r="AD554" s="20" t="s">
        <v>246</v>
      </c>
      <c r="AE554" s="20" t="s">
        <v>1880</v>
      </c>
      <c r="AF554" s="20" t="s">
        <v>2749</v>
      </c>
      <c r="AG554" s="20" t="s">
        <v>835</v>
      </c>
      <c r="AH554" s="20">
        <v>5</v>
      </c>
      <c r="AI554" s="20">
        <v>2</v>
      </c>
      <c r="AJ554" s="20" t="s">
        <v>593</v>
      </c>
      <c r="AL554" s="20" t="s">
        <v>646</v>
      </c>
      <c r="AM554" s="20" t="s">
        <v>246</v>
      </c>
      <c r="AN554" s="20" t="s">
        <v>1880</v>
      </c>
      <c r="AO554" s="20" t="s">
        <v>2749</v>
      </c>
      <c r="AP554" s="20" t="s">
        <v>628</v>
      </c>
      <c r="AQ554" s="20">
        <v>10</v>
      </c>
      <c r="AR554" s="20">
        <v>13</v>
      </c>
      <c r="AS554" s="20" t="s">
        <v>592</v>
      </c>
    </row>
    <row r="555" spans="2:45" ht="15.75" customHeight="1" x14ac:dyDescent="0.2">
      <c r="K555" s="20" t="s">
        <v>1163</v>
      </c>
      <c r="L555" s="20" t="s">
        <v>837</v>
      </c>
      <c r="M555" s="20" t="s">
        <v>1935</v>
      </c>
      <c r="N555" s="20" t="s">
        <v>554</v>
      </c>
      <c r="O555" s="20" t="s">
        <v>835</v>
      </c>
      <c r="P555" s="20">
        <v>5</v>
      </c>
      <c r="Q555" s="20">
        <v>1</v>
      </c>
      <c r="R555" s="20" t="s">
        <v>593</v>
      </c>
      <c r="T555" s="20" t="s">
        <v>1141</v>
      </c>
      <c r="U555" s="20" t="s">
        <v>224</v>
      </c>
      <c r="V555" s="20" t="s">
        <v>1669</v>
      </c>
      <c r="W555" s="20" t="s">
        <v>1668</v>
      </c>
      <c r="X555" s="20" t="s">
        <v>835</v>
      </c>
      <c r="Y555" s="20">
        <v>5</v>
      </c>
      <c r="Z555" s="20">
        <v>5</v>
      </c>
      <c r="AA555" s="20" t="s">
        <v>592</v>
      </c>
      <c r="AC555" s="20" t="s">
        <v>1141</v>
      </c>
      <c r="AD555" s="20" t="s">
        <v>787</v>
      </c>
      <c r="AE555" s="20" t="s">
        <v>1643</v>
      </c>
      <c r="AF555" s="20" t="s">
        <v>2659</v>
      </c>
      <c r="AG555" s="20" t="s">
        <v>835</v>
      </c>
      <c r="AH555" s="20">
        <v>5</v>
      </c>
      <c r="AI555" s="20">
        <v>1</v>
      </c>
      <c r="AJ555" s="20" t="s">
        <v>593</v>
      </c>
      <c r="AL555" s="20" t="s">
        <v>646</v>
      </c>
      <c r="AM555" s="20" t="s">
        <v>246</v>
      </c>
      <c r="AN555" s="20" t="s">
        <v>1543</v>
      </c>
      <c r="AO555" s="20" t="s">
        <v>2580</v>
      </c>
      <c r="AP555" s="20" t="s">
        <v>628</v>
      </c>
      <c r="AQ555" s="20">
        <v>10</v>
      </c>
      <c r="AR555" s="20">
        <v>10</v>
      </c>
      <c r="AS555" s="20" t="s">
        <v>592</v>
      </c>
    </row>
    <row r="556" spans="2:45" ht="15.75" customHeight="1" x14ac:dyDescent="0.2">
      <c r="K556" s="20" t="s">
        <v>1163</v>
      </c>
      <c r="L556" s="20" t="s">
        <v>837</v>
      </c>
      <c r="M556" s="20" t="s">
        <v>1936</v>
      </c>
      <c r="N556" s="20" t="s">
        <v>1937</v>
      </c>
      <c r="O556" s="20" t="s">
        <v>628</v>
      </c>
      <c r="P556" s="20">
        <v>10</v>
      </c>
      <c r="Q556" s="20">
        <v>4</v>
      </c>
      <c r="R556" s="20" t="s">
        <v>593</v>
      </c>
      <c r="T556" s="20" t="s">
        <v>1141</v>
      </c>
      <c r="U556" s="20" t="s">
        <v>787</v>
      </c>
      <c r="V556" s="20" t="s">
        <v>1597</v>
      </c>
      <c r="W556" s="20" t="s">
        <v>2361</v>
      </c>
      <c r="X556" s="20" t="s">
        <v>835</v>
      </c>
      <c r="Y556" s="20">
        <v>5</v>
      </c>
      <c r="Z556" s="20">
        <v>5</v>
      </c>
      <c r="AA556" s="20" t="s">
        <v>592</v>
      </c>
      <c r="AC556" s="20" t="s">
        <v>2099</v>
      </c>
      <c r="AD556" s="20" t="s">
        <v>350</v>
      </c>
      <c r="AE556" s="20" t="s">
        <v>2558</v>
      </c>
      <c r="AF556" s="20" t="s">
        <v>2701</v>
      </c>
      <c r="AG556" s="20" t="s">
        <v>835</v>
      </c>
      <c r="AH556" s="20">
        <v>5</v>
      </c>
      <c r="AI556" s="20">
        <v>7</v>
      </c>
      <c r="AJ556" s="20" t="s">
        <v>592</v>
      </c>
      <c r="AL556" s="20" t="s">
        <v>646</v>
      </c>
      <c r="AM556" s="20" t="s">
        <v>246</v>
      </c>
      <c r="AN556" s="20" t="s">
        <v>1970</v>
      </c>
      <c r="AO556" s="20" t="s">
        <v>2230</v>
      </c>
      <c r="AP556" s="20" t="s">
        <v>628</v>
      </c>
      <c r="AQ556" s="20">
        <v>10</v>
      </c>
      <c r="AR556" s="20">
        <v>1</v>
      </c>
      <c r="AS556" s="20" t="s">
        <v>593</v>
      </c>
    </row>
    <row r="557" spans="2:45" ht="15.75" customHeight="1" x14ac:dyDescent="0.2">
      <c r="K557" s="20" t="s">
        <v>646</v>
      </c>
      <c r="L557" s="20" t="s">
        <v>334</v>
      </c>
      <c r="M557" s="20" t="s">
        <v>1938</v>
      </c>
      <c r="N557" s="20" t="s">
        <v>507</v>
      </c>
      <c r="O557" s="20" t="s">
        <v>835</v>
      </c>
      <c r="P557" s="20">
        <v>5</v>
      </c>
      <c r="Q557" s="20">
        <v>2</v>
      </c>
      <c r="R557" s="20" t="s">
        <v>593</v>
      </c>
      <c r="T557" s="20" t="s">
        <v>1141</v>
      </c>
      <c r="U557" s="20" t="s">
        <v>787</v>
      </c>
      <c r="V557" s="20" t="s">
        <v>397</v>
      </c>
      <c r="W557" s="20" t="s">
        <v>1877</v>
      </c>
      <c r="X557" s="20" t="s">
        <v>835</v>
      </c>
      <c r="Y557" s="20">
        <v>5</v>
      </c>
      <c r="Z557" s="20">
        <v>1</v>
      </c>
      <c r="AA557" s="20" t="s">
        <v>593</v>
      </c>
      <c r="AC557" s="20" t="s">
        <v>1163</v>
      </c>
      <c r="AD557" s="20" t="s">
        <v>837</v>
      </c>
      <c r="AE557" s="20" t="s">
        <v>554</v>
      </c>
      <c r="AF557" s="20" t="s">
        <v>2713</v>
      </c>
      <c r="AG557" s="20" t="s">
        <v>835</v>
      </c>
      <c r="AH557" s="20">
        <v>5</v>
      </c>
      <c r="AI557" s="20">
        <v>5</v>
      </c>
      <c r="AJ557" s="20" t="s">
        <v>592</v>
      </c>
      <c r="AL557" s="20" t="s">
        <v>646</v>
      </c>
      <c r="AM557" s="20" t="s">
        <v>246</v>
      </c>
      <c r="AN557" s="20" t="s">
        <v>2849</v>
      </c>
      <c r="AO557" s="20" t="s">
        <v>3107</v>
      </c>
      <c r="AP557" s="20" t="s">
        <v>628</v>
      </c>
      <c r="AQ557" s="20">
        <v>10</v>
      </c>
      <c r="AR557" s="20">
        <v>20</v>
      </c>
      <c r="AS557" s="20" t="s">
        <v>592</v>
      </c>
    </row>
    <row r="558" spans="2:45" ht="15.75" customHeight="1" x14ac:dyDescent="0.2">
      <c r="K558" s="20" t="s">
        <v>1144</v>
      </c>
      <c r="L558" s="20" t="s">
        <v>194</v>
      </c>
      <c r="M558" s="20" t="s">
        <v>1939</v>
      </c>
      <c r="N558" s="20" t="s">
        <v>1940</v>
      </c>
      <c r="O558" s="20" t="s">
        <v>835</v>
      </c>
      <c r="P558" s="20">
        <v>5</v>
      </c>
      <c r="Q558" s="20">
        <v>5</v>
      </c>
      <c r="R558" s="20" t="s">
        <v>592</v>
      </c>
      <c r="T558" s="20" t="s">
        <v>1141</v>
      </c>
      <c r="U558" s="20" t="s">
        <v>787</v>
      </c>
      <c r="V558" s="20" t="s">
        <v>767</v>
      </c>
      <c r="W558" s="20" t="s">
        <v>2303</v>
      </c>
      <c r="X558" s="20" t="s">
        <v>835</v>
      </c>
      <c r="Y558" s="20">
        <v>5</v>
      </c>
      <c r="Z558" s="20">
        <v>5</v>
      </c>
      <c r="AA558" s="20" t="s">
        <v>592</v>
      </c>
      <c r="AC558" s="20" t="s">
        <v>1158</v>
      </c>
      <c r="AD558" s="20" t="s">
        <v>726</v>
      </c>
      <c r="AE558" s="20" t="s">
        <v>412</v>
      </c>
      <c r="AF558" s="20" t="s">
        <v>2573</v>
      </c>
      <c r="AG558" s="20" t="s">
        <v>835</v>
      </c>
      <c r="AH558" s="20">
        <v>5</v>
      </c>
      <c r="AI558" s="20">
        <v>5</v>
      </c>
      <c r="AJ558" s="20" t="s">
        <v>592</v>
      </c>
      <c r="AL558" s="20" t="s">
        <v>646</v>
      </c>
      <c r="AM558" s="20" t="s">
        <v>25</v>
      </c>
      <c r="AN558" s="20" t="s">
        <v>524</v>
      </c>
      <c r="AO558" s="20" t="s">
        <v>3108</v>
      </c>
      <c r="AP558" s="20" t="s">
        <v>628</v>
      </c>
      <c r="AQ558" s="20">
        <v>10</v>
      </c>
      <c r="AR558" s="20">
        <v>17</v>
      </c>
      <c r="AS558" s="20" t="s">
        <v>592</v>
      </c>
    </row>
    <row r="559" spans="2:45" ht="15.75" customHeight="1" x14ac:dyDescent="0.2">
      <c r="K559" s="20" t="s">
        <v>1141</v>
      </c>
      <c r="L559" s="20" t="s">
        <v>224</v>
      </c>
      <c r="M559" s="20" t="s">
        <v>1941</v>
      </c>
      <c r="N559" s="20" t="s">
        <v>1942</v>
      </c>
      <c r="O559" s="20" t="s">
        <v>835</v>
      </c>
      <c r="P559" s="20">
        <v>5</v>
      </c>
      <c r="Q559" s="20">
        <v>1</v>
      </c>
      <c r="R559" s="20" t="s">
        <v>593</v>
      </c>
      <c r="T559" s="20" t="s">
        <v>1147</v>
      </c>
      <c r="U559" s="20" t="s">
        <v>20</v>
      </c>
      <c r="V559" s="20" t="s">
        <v>450</v>
      </c>
      <c r="W559" s="20" t="s">
        <v>1351</v>
      </c>
      <c r="X559" s="20" t="s">
        <v>835</v>
      </c>
      <c r="Y559" s="20">
        <v>5</v>
      </c>
      <c r="Z559" s="20">
        <v>6</v>
      </c>
      <c r="AA559" s="20" t="s">
        <v>592</v>
      </c>
      <c r="AC559" s="20" t="s">
        <v>646</v>
      </c>
      <c r="AD559" s="20" t="s">
        <v>334</v>
      </c>
      <c r="AE559" s="20" t="s">
        <v>1545</v>
      </c>
      <c r="AF559" s="20" t="s">
        <v>1544</v>
      </c>
      <c r="AG559" s="20" t="s">
        <v>835</v>
      </c>
      <c r="AH559" s="20">
        <v>5</v>
      </c>
      <c r="AI559" s="20">
        <v>5</v>
      </c>
      <c r="AJ559" s="20" t="s">
        <v>592</v>
      </c>
      <c r="AL559" s="20" t="s">
        <v>646</v>
      </c>
      <c r="AM559" s="20" t="s">
        <v>25</v>
      </c>
      <c r="AN559" s="20" t="s">
        <v>372</v>
      </c>
      <c r="AO559" s="20" t="s">
        <v>3109</v>
      </c>
      <c r="AP559" s="20" t="s">
        <v>628</v>
      </c>
      <c r="AQ559" s="20">
        <v>10</v>
      </c>
      <c r="AR559" s="20">
        <v>47</v>
      </c>
      <c r="AS559" s="20" t="s">
        <v>592</v>
      </c>
    </row>
    <row r="560" spans="2:45" ht="15.75" customHeight="1" x14ac:dyDescent="0.2">
      <c r="K560" s="20" t="s">
        <v>1141</v>
      </c>
      <c r="L560" s="20" t="s">
        <v>224</v>
      </c>
      <c r="M560" s="20" t="s">
        <v>1617</v>
      </c>
      <c r="N560" s="20" t="s">
        <v>386</v>
      </c>
      <c r="O560" s="20" t="s">
        <v>835</v>
      </c>
      <c r="P560" s="20">
        <v>5</v>
      </c>
      <c r="Q560" s="20">
        <v>5</v>
      </c>
      <c r="R560" s="20" t="s">
        <v>592</v>
      </c>
      <c r="T560" s="20" t="s">
        <v>1147</v>
      </c>
      <c r="U560" s="20" t="s">
        <v>20</v>
      </c>
      <c r="V560" s="20" t="s">
        <v>446</v>
      </c>
      <c r="W560" s="20" t="s">
        <v>2362</v>
      </c>
      <c r="X560" s="20" t="s">
        <v>628</v>
      </c>
      <c r="Y560" s="20">
        <v>10</v>
      </c>
      <c r="Z560" s="20">
        <v>8</v>
      </c>
      <c r="AA560" s="20" t="s">
        <v>592</v>
      </c>
      <c r="AC560" s="20" t="s">
        <v>646</v>
      </c>
      <c r="AD560" s="20" t="s">
        <v>334</v>
      </c>
      <c r="AE560" s="20" t="s">
        <v>1806</v>
      </c>
      <c r="AF560" s="20" t="s">
        <v>1805</v>
      </c>
      <c r="AG560" s="20" t="s">
        <v>835</v>
      </c>
      <c r="AH560" s="20">
        <v>5</v>
      </c>
      <c r="AI560" s="20">
        <v>6</v>
      </c>
      <c r="AJ560" s="20" t="s">
        <v>592</v>
      </c>
      <c r="AL560" s="20" t="s">
        <v>646</v>
      </c>
      <c r="AM560" s="20" t="s">
        <v>25</v>
      </c>
      <c r="AN560" s="20" t="s">
        <v>521</v>
      </c>
      <c r="AO560" s="20" t="s">
        <v>3110</v>
      </c>
      <c r="AP560" s="20" t="s">
        <v>628</v>
      </c>
      <c r="AQ560" s="20">
        <v>10</v>
      </c>
      <c r="AR560" s="20">
        <v>12</v>
      </c>
      <c r="AS560" s="20" t="s">
        <v>592</v>
      </c>
    </row>
    <row r="561" spans="11:45" ht="15.75" customHeight="1" x14ac:dyDescent="0.2">
      <c r="K561" s="20" t="s">
        <v>1163</v>
      </c>
      <c r="L561" s="20" t="s">
        <v>221</v>
      </c>
      <c r="M561" s="20" t="s">
        <v>1644</v>
      </c>
      <c r="N561" s="20" t="s">
        <v>1645</v>
      </c>
      <c r="O561" s="20" t="s">
        <v>835</v>
      </c>
      <c r="P561" s="20">
        <v>5</v>
      </c>
      <c r="Q561" s="20">
        <v>5</v>
      </c>
      <c r="R561" s="20" t="s">
        <v>592</v>
      </c>
      <c r="T561" s="20" t="s">
        <v>1155</v>
      </c>
      <c r="U561" s="20" t="s">
        <v>657</v>
      </c>
      <c r="V561" s="20" t="s">
        <v>1745</v>
      </c>
      <c r="W561" s="20" t="s">
        <v>2363</v>
      </c>
      <c r="X561" s="20" t="s">
        <v>835</v>
      </c>
      <c r="Y561" s="20">
        <v>5</v>
      </c>
      <c r="Z561" s="20">
        <v>7</v>
      </c>
      <c r="AA561" s="20" t="s">
        <v>592</v>
      </c>
      <c r="AC561" s="20" t="s">
        <v>646</v>
      </c>
      <c r="AD561" s="20" t="s">
        <v>285</v>
      </c>
      <c r="AE561" s="20" t="s">
        <v>877</v>
      </c>
      <c r="AF561" s="20" t="s">
        <v>2634</v>
      </c>
      <c r="AG561" s="20" t="s">
        <v>835</v>
      </c>
      <c r="AH561" s="20">
        <v>5</v>
      </c>
      <c r="AI561" s="20">
        <v>1</v>
      </c>
      <c r="AJ561" s="20" t="s">
        <v>593</v>
      </c>
      <c r="AL561" s="20" t="s">
        <v>646</v>
      </c>
      <c r="AM561" s="20" t="s">
        <v>334</v>
      </c>
      <c r="AN561" s="20" t="s">
        <v>509</v>
      </c>
      <c r="AO561" s="20" t="s">
        <v>3111</v>
      </c>
      <c r="AP561" s="20" t="s">
        <v>628</v>
      </c>
      <c r="AQ561" s="20">
        <v>10</v>
      </c>
      <c r="AR561" s="20">
        <v>38</v>
      </c>
      <c r="AS561" s="20" t="s">
        <v>592</v>
      </c>
    </row>
    <row r="562" spans="11:45" ht="15.75" customHeight="1" x14ac:dyDescent="0.2">
      <c r="K562" s="20" t="s">
        <v>1144</v>
      </c>
      <c r="L562" s="20" t="s">
        <v>1145</v>
      </c>
      <c r="M562" s="20" t="s">
        <v>1390</v>
      </c>
      <c r="N562" s="20" t="s">
        <v>497</v>
      </c>
      <c r="O562" s="20" t="s">
        <v>628</v>
      </c>
      <c r="P562" s="20">
        <v>10</v>
      </c>
      <c r="Q562" s="20">
        <v>9</v>
      </c>
      <c r="R562" s="20" t="s">
        <v>592</v>
      </c>
      <c r="T562" s="20" t="s">
        <v>1162</v>
      </c>
      <c r="U562" s="20" t="s">
        <v>240</v>
      </c>
      <c r="V562" s="20" t="s">
        <v>848</v>
      </c>
      <c r="W562" s="20" t="s">
        <v>887</v>
      </c>
      <c r="X562" s="20" t="s">
        <v>628</v>
      </c>
      <c r="Y562" s="20">
        <v>10</v>
      </c>
      <c r="Z562" s="20">
        <v>12</v>
      </c>
      <c r="AA562" s="20" t="s">
        <v>592</v>
      </c>
      <c r="AC562" s="20" t="s">
        <v>646</v>
      </c>
      <c r="AD562" s="20" t="s">
        <v>285</v>
      </c>
      <c r="AE562" s="20" t="s">
        <v>458</v>
      </c>
      <c r="AF562" s="20" t="s">
        <v>1902</v>
      </c>
      <c r="AG562" s="20" t="s">
        <v>835</v>
      </c>
      <c r="AH562" s="20">
        <v>5</v>
      </c>
      <c r="AI562" s="20">
        <v>5</v>
      </c>
      <c r="AJ562" s="20" t="s">
        <v>592</v>
      </c>
      <c r="AL562" s="20" t="s">
        <v>646</v>
      </c>
      <c r="AM562" s="20" t="s">
        <v>334</v>
      </c>
      <c r="AN562" s="20" t="s">
        <v>1806</v>
      </c>
      <c r="AO562" s="20" t="s">
        <v>3112</v>
      </c>
      <c r="AP562" s="20" t="s">
        <v>628</v>
      </c>
      <c r="AQ562" s="20">
        <v>10</v>
      </c>
      <c r="AR562" s="20">
        <v>19</v>
      </c>
      <c r="AS562" s="20" t="s">
        <v>592</v>
      </c>
    </row>
    <row r="563" spans="11:45" ht="15.75" customHeight="1" x14ac:dyDescent="0.2">
      <c r="K563" s="20" t="s">
        <v>1163</v>
      </c>
      <c r="L563" s="20" t="s">
        <v>221</v>
      </c>
      <c r="M563" s="20" t="s">
        <v>1943</v>
      </c>
      <c r="N563" s="20" t="s">
        <v>556</v>
      </c>
      <c r="O563" s="20" t="s">
        <v>835</v>
      </c>
      <c r="P563" s="20">
        <v>5</v>
      </c>
      <c r="Q563" s="20">
        <v>4</v>
      </c>
      <c r="R563" s="20" t="s">
        <v>592</v>
      </c>
      <c r="T563" s="20" t="s">
        <v>1162</v>
      </c>
      <c r="U563" s="20" t="s">
        <v>240</v>
      </c>
      <c r="V563" s="20" t="s">
        <v>416</v>
      </c>
      <c r="W563" s="20" t="s">
        <v>962</v>
      </c>
      <c r="X563" s="20" t="s">
        <v>628</v>
      </c>
      <c r="Y563" s="20">
        <v>10</v>
      </c>
      <c r="Z563" s="20">
        <v>4</v>
      </c>
      <c r="AA563" s="20" t="s">
        <v>593</v>
      </c>
      <c r="AC563" s="20" t="s">
        <v>646</v>
      </c>
      <c r="AD563" s="20" t="s">
        <v>285</v>
      </c>
      <c r="AE563" s="20" t="s">
        <v>461</v>
      </c>
      <c r="AF563" s="20" t="s">
        <v>2750</v>
      </c>
      <c r="AG563" s="20" t="s">
        <v>835</v>
      </c>
      <c r="AH563" s="20">
        <v>5</v>
      </c>
      <c r="AI563" s="20">
        <v>2</v>
      </c>
      <c r="AJ563" s="20" t="s">
        <v>593</v>
      </c>
      <c r="AL563" s="20" t="s">
        <v>646</v>
      </c>
      <c r="AM563" s="20" t="s">
        <v>298</v>
      </c>
      <c r="AN563" s="20" t="s">
        <v>424</v>
      </c>
      <c r="AO563" s="20" t="s">
        <v>3113</v>
      </c>
      <c r="AP563" s="20" t="s">
        <v>835</v>
      </c>
      <c r="AQ563" s="20">
        <v>5</v>
      </c>
      <c r="AR563" s="20">
        <v>14</v>
      </c>
      <c r="AS563" s="20" t="s">
        <v>592</v>
      </c>
    </row>
    <row r="564" spans="11:45" ht="15.75" customHeight="1" x14ac:dyDescent="0.2">
      <c r="K564" s="20" t="s">
        <v>1163</v>
      </c>
      <c r="L564" s="20" t="s">
        <v>221</v>
      </c>
      <c r="M564" s="20" t="s">
        <v>1944</v>
      </c>
      <c r="N564" s="20" t="s">
        <v>556</v>
      </c>
      <c r="O564" s="20" t="s">
        <v>835</v>
      </c>
      <c r="P564" s="20">
        <v>5</v>
      </c>
      <c r="Q564" s="20">
        <v>1</v>
      </c>
      <c r="R564" s="20" t="s">
        <v>592</v>
      </c>
      <c r="T564" s="20" t="s">
        <v>1162</v>
      </c>
      <c r="U564" s="20" t="s">
        <v>230</v>
      </c>
      <c r="V564" s="20" t="s">
        <v>417</v>
      </c>
      <c r="W564" s="20" t="s">
        <v>2364</v>
      </c>
      <c r="X564" s="20" t="s">
        <v>835</v>
      </c>
      <c r="Y564" s="20">
        <v>5</v>
      </c>
      <c r="Z564" s="20">
        <v>4</v>
      </c>
      <c r="AA564" s="20" t="s">
        <v>593</v>
      </c>
      <c r="AC564" s="20" t="s">
        <v>646</v>
      </c>
      <c r="AD564" s="20" t="s">
        <v>285</v>
      </c>
      <c r="AE564" s="20" t="s">
        <v>457</v>
      </c>
      <c r="AF564" s="20" t="s">
        <v>2751</v>
      </c>
      <c r="AG564" s="20" t="s">
        <v>835</v>
      </c>
      <c r="AH564" s="20">
        <v>5</v>
      </c>
      <c r="AI564" s="20">
        <v>6</v>
      </c>
      <c r="AJ564" s="20" t="s">
        <v>592</v>
      </c>
      <c r="AL564" s="20" t="s">
        <v>646</v>
      </c>
      <c r="AM564" s="20" t="s">
        <v>303</v>
      </c>
      <c r="AN564" s="20" t="s">
        <v>1535</v>
      </c>
      <c r="AO564" s="20" t="s">
        <v>1534</v>
      </c>
      <c r="AP564" s="20" t="s">
        <v>835</v>
      </c>
      <c r="AQ564" s="20">
        <v>5</v>
      </c>
      <c r="AR564" s="20">
        <v>10</v>
      </c>
      <c r="AS564" s="20" t="s">
        <v>592</v>
      </c>
    </row>
    <row r="565" spans="11:45" ht="15.75" customHeight="1" x14ac:dyDescent="0.2">
      <c r="K565" s="20" t="s">
        <v>1169</v>
      </c>
      <c r="L565" s="20" t="s">
        <v>216</v>
      </c>
      <c r="M565" s="20" t="s">
        <v>1945</v>
      </c>
      <c r="N565" s="20" t="s">
        <v>1946</v>
      </c>
      <c r="O565" s="20" t="s">
        <v>628</v>
      </c>
      <c r="P565" s="20">
        <v>10</v>
      </c>
      <c r="Q565" s="20">
        <v>1</v>
      </c>
      <c r="R565" s="20" t="s">
        <v>593</v>
      </c>
      <c r="T565" s="20" t="s">
        <v>1162</v>
      </c>
      <c r="U565" s="20" t="s">
        <v>230</v>
      </c>
      <c r="V565" s="20" t="s">
        <v>414</v>
      </c>
      <c r="W565" s="20" t="s">
        <v>1238</v>
      </c>
      <c r="X565" s="20" t="s">
        <v>835</v>
      </c>
      <c r="Y565" s="20">
        <v>5</v>
      </c>
      <c r="Z565" s="20">
        <v>2</v>
      </c>
      <c r="AA565" s="20" t="s">
        <v>593</v>
      </c>
      <c r="AC565" s="20" t="s">
        <v>2099</v>
      </c>
      <c r="AD565" s="20" t="s">
        <v>2106</v>
      </c>
      <c r="AE565" s="20" t="s">
        <v>2531</v>
      </c>
      <c r="AF565" s="20" t="s">
        <v>2752</v>
      </c>
      <c r="AG565" s="20" t="s">
        <v>835</v>
      </c>
      <c r="AH565" s="20">
        <v>5</v>
      </c>
      <c r="AI565" s="20">
        <v>5</v>
      </c>
      <c r="AJ565" s="20" t="s">
        <v>592</v>
      </c>
      <c r="AL565" s="20" t="s">
        <v>646</v>
      </c>
      <c r="AM565" s="20" t="s">
        <v>25</v>
      </c>
      <c r="AN565" s="20" t="s">
        <v>2850</v>
      </c>
      <c r="AO565" s="20" t="s">
        <v>3114</v>
      </c>
      <c r="AP565" s="20" t="s">
        <v>628</v>
      </c>
      <c r="AQ565" s="20">
        <v>10</v>
      </c>
      <c r="AR565" s="20">
        <v>2</v>
      </c>
      <c r="AS565" s="20" t="s">
        <v>593</v>
      </c>
    </row>
    <row r="566" spans="11:45" ht="15.75" customHeight="1" x14ac:dyDescent="0.2">
      <c r="K566" s="20" t="s">
        <v>1163</v>
      </c>
      <c r="L566" s="20" t="s">
        <v>299</v>
      </c>
      <c r="M566" s="20" t="s">
        <v>1568</v>
      </c>
      <c r="N566" s="20" t="s">
        <v>1569</v>
      </c>
      <c r="O566" s="20" t="s">
        <v>835</v>
      </c>
      <c r="P566" s="20">
        <v>5</v>
      </c>
      <c r="Q566" s="20">
        <v>5</v>
      </c>
      <c r="R566" s="20" t="s">
        <v>592</v>
      </c>
      <c r="T566" s="20" t="s">
        <v>1162</v>
      </c>
      <c r="U566" s="20" t="s">
        <v>230</v>
      </c>
      <c r="V566" s="20" t="s">
        <v>2502</v>
      </c>
      <c r="W566" s="20" t="s">
        <v>2365</v>
      </c>
      <c r="X566" s="20" t="s">
        <v>835</v>
      </c>
      <c r="Y566" s="20">
        <v>5</v>
      </c>
      <c r="Z566" s="20">
        <v>2</v>
      </c>
      <c r="AA566" s="20" t="s">
        <v>593</v>
      </c>
      <c r="AC566" s="20" t="s">
        <v>1147</v>
      </c>
      <c r="AD566" s="20" t="s">
        <v>222</v>
      </c>
      <c r="AE566" s="20" t="s">
        <v>2474</v>
      </c>
      <c r="AF566" s="20" t="s">
        <v>2224</v>
      </c>
      <c r="AG566" s="20" t="s">
        <v>835</v>
      </c>
      <c r="AH566" s="20">
        <v>5</v>
      </c>
      <c r="AI566" s="20">
        <v>5</v>
      </c>
      <c r="AJ566" s="20" t="s">
        <v>592</v>
      </c>
      <c r="AL566" s="20" t="s">
        <v>646</v>
      </c>
      <c r="AM566" s="20" t="s">
        <v>334</v>
      </c>
      <c r="AN566" s="20" t="s">
        <v>581</v>
      </c>
      <c r="AO566" s="20" t="s">
        <v>3115</v>
      </c>
      <c r="AP566" s="20" t="s">
        <v>835</v>
      </c>
      <c r="AQ566" s="20">
        <v>5</v>
      </c>
      <c r="AR566" s="20">
        <v>12</v>
      </c>
      <c r="AS566" s="20" t="s">
        <v>592</v>
      </c>
    </row>
    <row r="567" spans="11:45" ht="15.75" customHeight="1" x14ac:dyDescent="0.2">
      <c r="K567" s="20" t="s">
        <v>646</v>
      </c>
      <c r="L567" s="20" t="s">
        <v>25</v>
      </c>
      <c r="M567" s="20" t="s">
        <v>1235</v>
      </c>
      <c r="N567" s="20" t="s">
        <v>371</v>
      </c>
      <c r="O567" s="20" t="s">
        <v>835</v>
      </c>
      <c r="P567" s="20">
        <v>5</v>
      </c>
      <c r="Q567" s="20">
        <v>1</v>
      </c>
      <c r="R567" s="20" t="s">
        <v>593</v>
      </c>
      <c r="T567" s="20" t="s">
        <v>1162</v>
      </c>
      <c r="U567" s="20" t="s">
        <v>352</v>
      </c>
      <c r="V567" s="20" t="s">
        <v>443</v>
      </c>
      <c r="W567" s="20" t="s">
        <v>2366</v>
      </c>
      <c r="X567" s="20" t="s">
        <v>835</v>
      </c>
      <c r="Y567" s="20">
        <v>5</v>
      </c>
      <c r="Z567" s="20">
        <v>7</v>
      </c>
      <c r="AA567" s="20" t="s">
        <v>592</v>
      </c>
      <c r="AC567" s="20" t="s">
        <v>1147</v>
      </c>
      <c r="AD567" s="20" t="s">
        <v>29</v>
      </c>
      <c r="AE567" s="20" t="s">
        <v>1792</v>
      </c>
      <c r="AF567" s="20" t="s">
        <v>2753</v>
      </c>
      <c r="AG567" s="20" t="s">
        <v>835</v>
      </c>
      <c r="AH567" s="20">
        <v>5</v>
      </c>
      <c r="AI567" s="20">
        <v>4</v>
      </c>
      <c r="AJ567" s="20" t="s">
        <v>593</v>
      </c>
      <c r="AL567" s="20" t="s">
        <v>646</v>
      </c>
      <c r="AM567" s="20" t="s">
        <v>303</v>
      </c>
      <c r="AN567" s="20" t="s">
        <v>426</v>
      </c>
      <c r="AO567" s="20" t="s">
        <v>718</v>
      </c>
      <c r="AP567" s="20" t="s">
        <v>628</v>
      </c>
      <c r="AQ567" s="20">
        <v>10</v>
      </c>
      <c r="AR567" s="20">
        <v>8</v>
      </c>
      <c r="AS567" s="20" t="s">
        <v>592</v>
      </c>
    </row>
    <row r="568" spans="11:45" ht="15.75" customHeight="1" x14ac:dyDescent="0.2">
      <c r="K568" s="20" t="s">
        <v>1163</v>
      </c>
      <c r="L568" s="20" t="s">
        <v>299</v>
      </c>
      <c r="M568" s="20" t="s">
        <v>1554</v>
      </c>
      <c r="N568" s="20" t="s">
        <v>557</v>
      </c>
      <c r="O568" s="20" t="s">
        <v>628</v>
      </c>
      <c r="P568" s="20">
        <v>10</v>
      </c>
      <c r="Q568" s="20">
        <v>2</v>
      </c>
      <c r="R568" s="20" t="s">
        <v>593</v>
      </c>
      <c r="T568" s="20" t="s">
        <v>1169</v>
      </c>
      <c r="U568" s="20" t="s">
        <v>701</v>
      </c>
      <c r="V568" s="20" t="s">
        <v>2503</v>
      </c>
      <c r="W568" s="20" t="s">
        <v>2367</v>
      </c>
      <c r="X568" s="20" t="s">
        <v>628</v>
      </c>
      <c r="Y568" s="20">
        <v>10</v>
      </c>
      <c r="Z568" s="20">
        <v>13</v>
      </c>
      <c r="AA568" s="20" t="s">
        <v>592</v>
      </c>
      <c r="AC568" s="20" t="s">
        <v>646</v>
      </c>
      <c r="AD568" s="20" t="s">
        <v>303</v>
      </c>
      <c r="AE568" s="20" t="s">
        <v>409</v>
      </c>
      <c r="AF568" s="20" t="s">
        <v>2683</v>
      </c>
      <c r="AG568" s="20" t="s">
        <v>835</v>
      </c>
      <c r="AH568" s="20">
        <v>5</v>
      </c>
      <c r="AI568" s="20">
        <v>1</v>
      </c>
      <c r="AJ568" s="20" t="s">
        <v>593</v>
      </c>
      <c r="AL568" s="20" t="s">
        <v>646</v>
      </c>
      <c r="AM568" s="20" t="s">
        <v>246</v>
      </c>
      <c r="AN568" s="20" t="s">
        <v>1543</v>
      </c>
      <c r="AO568" s="20" t="s">
        <v>3116</v>
      </c>
      <c r="AP568" s="20" t="s">
        <v>628</v>
      </c>
      <c r="AQ568" s="20">
        <v>10</v>
      </c>
      <c r="AR568" s="20">
        <v>8</v>
      </c>
      <c r="AS568" s="20" t="s">
        <v>592</v>
      </c>
    </row>
    <row r="569" spans="11:45" ht="15.75" customHeight="1" x14ac:dyDescent="0.2">
      <c r="K569" s="20" t="s">
        <v>1163</v>
      </c>
      <c r="L569" s="20" t="s">
        <v>299</v>
      </c>
      <c r="M569" s="20" t="s">
        <v>1670</v>
      </c>
      <c r="N569" s="20" t="s">
        <v>1671</v>
      </c>
      <c r="O569" s="20" t="s">
        <v>835</v>
      </c>
      <c r="P569" s="20">
        <v>5</v>
      </c>
      <c r="Q569" s="20">
        <v>2</v>
      </c>
      <c r="R569" s="20" t="s">
        <v>593</v>
      </c>
      <c r="T569" s="20" t="s">
        <v>1163</v>
      </c>
      <c r="U569" s="20" t="s">
        <v>57</v>
      </c>
      <c r="V569" s="20" t="s">
        <v>359</v>
      </c>
      <c r="W569" s="20" t="s">
        <v>1981</v>
      </c>
      <c r="X569" s="20" t="s">
        <v>628</v>
      </c>
      <c r="Y569" s="20">
        <v>10</v>
      </c>
      <c r="Z569" s="20">
        <v>4</v>
      </c>
      <c r="AA569" s="20" t="s">
        <v>593</v>
      </c>
      <c r="AC569" s="20" t="s">
        <v>646</v>
      </c>
      <c r="AD569" s="20" t="s">
        <v>303</v>
      </c>
      <c r="AE569" s="20" t="s">
        <v>426</v>
      </c>
      <c r="AF569" s="20" t="s">
        <v>718</v>
      </c>
      <c r="AG569" s="20" t="s">
        <v>835</v>
      </c>
      <c r="AH569" s="20">
        <v>5</v>
      </c>
      <c r="AI569" s="20">
        <v>8</v>
      </c>
      <c r="AJ569" s="20" t="s">
        <v>592</v>
      </c>
      <c r="AL569" s="20" t="s">
        <v>646</v>
      </c>
      <c r="AM569" s="20" t="s">
        <v>334</v>
      </c>
      <c r="AN569" s="20" t="s">
        <v>509</v>
      </c>
      <c r="AO569" s="20" t="s">
        <v>2347</v>
      </c>
      <c r="AP569" s="20" t="s">
        <v>835</v>
      </c>
      <c r="AQ569" s="20">
        <v>5</v>
      </c>
      <c r="AR569" s="20">
        <v>10</v>
      </c>
      <c r="AS569" s="20" t="s">
        <v>592</v>
      </c>
    </row>
    <row r="570" spans="11:45" ht="15.75" customHeight="1" x14ac:dyDescent="0.2">
      <c r="K570" s="20" t="s">
        <v>1169</v>
      </c>
      <c r="L570" s="20" t="s">
        <v>216</v>
      </c>
      <c r="M570" s="20" t="s">
        <v>738</v>
      </c>
      <c r="N570" s="20" t="s">
        <v>680</v>
      </c>
      <c r="O570" s="20" t="s">
        <v>628</v>
      </c>
      <c r="P570" s="20">
        <v>10</v>
      </c>
      <c r="Q570" s="20">
        <v>2</v>
      </c>
      <c r="R570" s="20" t="s">
        <v>593</v>
      </c>
      <c r="T570" s="20" t="s">
        <v>1163</v>
      </c>
      <c r="U570" s="20" t="s">
        <v>57</v>
      </c>
      <c r="V570" s="20" t="s">
        <v>505</v>
      </c>
      <c r="W570" s="20" t="s">
        <v>1600</v>
      </c>
      <c r="X570" s="20" t="s">
        <v>628</v>
      </c>
      <c r="Y570" s="20">
        <v>10</v>
      </c>
      <c r="Z570" s="20">
        <v>2</v>
      </c>
      <c r="AA570" s="20" t="s">
        <v>593</v>
      </c>
      <c r="AC570" s="20" t="s">
        <v>646</v>
      </c>
      <c r="AD570" s="20" t="s">
        <v>334</v>
      </c>
      <c r="AE570" s="20" t="s">
        <v>581</v>
      </c>
      <c r="AF570" s="20" t="s">
        <v>721</v>
      </c>
      <c r="AG570" s="20" t="s">
        <v>835</v>
      </c>
      <c r="AH570" s="20">
        <v>5</v>
      </c>
      <c r="AI570" s="20">
        <v>5</v>
      </c>
      <c r="AJ570" s="20" t="s">
        <v>592</v>
      </c>
      <c r="AL570" s="20" t="s">
        <v>646</v>
      </c>
      <c r="AM570" s="20" t="s">
        <v>334</v>
      </c>
      <c r="AN570" s="20" t="s">
        <v>1545</v>
      </c>
      <c r="AO570" s="20" t="s">
        <v>3117</v>
      </c>
      <c r="AP570" s="20" t="s">
        <v>835</v>
      </c>
      <c r="AQ570" s="20">
        <v>5</v>
      </c>
      <c r="AR570" s="20">
        <v>6</v>
      </c>
      <c r="AS570" s="20" t="s">
        <v>592</v>
      </c>
    </row>
    <row r="571" spans="11:45" ht="15.75" customHeight="1" x14ac:dyDescent="0.2">
      <c r="K571" s="20" t="s">
        <v>1147</v>
      </c>
      <c r="L571" s="20" t="s">
        <v>244</v>
      </c>
      <c r="M571" s="20" t="s">
        <v>1947</v>
      </c>
      <c r="N571" s="20" t="s">
        <v>1948</v>
      </c>
      <c r="O571" s="20" t="s">
        <v>835</v>
      </c>
      <c r="P571" s="20">
        <v>5</v>
      </c>
      <c r="Q571" s="20">
        <v>5</v>
      </c>
      <c r="R571" s="20" t="s">
        <v>592</v>
      </c>
      <c r="T571" s="20" t="s">
        <v>1163</v>
      </c>
      <c r="U571" s="20" t="s">
        <v>299</v>
      </c>
      <c r="V571" s="20" t="s">
        <v>362</v>
      </c>
      <c r="W571" s="20" t="s">
        <v>2266</v>
      </c>
      <c r="X571" s="20" t="s">
        <v>835</v>
      </c>
      <c r="Y571" s="20">
        <v>5</v>
      </c>
      <c r="Z571" s="20">
        <v>5</v>
      </c>
      <c r="AA571" s="20" t="s">
        <v>592</v>
      </c>
      <c r="AC571" s="20" t="s">
        <v>646</v>
      </c>
      <c r="AD571" s="20" t="s">
        <v>246</v>
      </c>
      <c r="AE571" s="20" t="s">
        <v>368</v>
      </c>
      <c r="AF571" s="20" t="s">
        <v>1708</v>
      </c>
      <c r="AG571" s="20" t="s">
        <v>835</v>
      </c>
      <c r="AH571" s="20">
        <v>5</v>
      </c>
      <c r="AI571" s="20">
        <v>6</v>
      </c>
      <c r="AJ571" s="20" t="s">
        <v>592</v>
      </c>
      <c r="AL571" s="20" t="s">
        <v>646</v>
      </c>
      <c r="AM571" s="20" t="s">
        <v>334</v>
      </c>
      <c r="AN571" s="20" t="s">
        <v>486</v>
      </c>
      <c r="AO571" s="20" t="s">
        <v>1470</v>
      </c>
      <c r="AP571" s="20" t="s">
        <v>835</v>
      </c>
      <c r="AQ571" s="20">
        <v>5</v>
      </c>
      <c r="AR571" s="20">
        <v>6</v>
      </c>
      <c r="AS571" s="20" t="s">
        <v>592</v>
      </c>
    </row>
    <row r="572" spans="11:45" ht="15.75" customHeight="1" x14ac:dyDescent="0.2">
      <c r="K572" s="20" t="s">
        <v>1147</v>
      </c>
      <c r="L572" s="20" t="s">
        <v>244</v>
      </c>
      <c r="M572" s="20" t="s">
        <v>1949</v>
      </c>
      <c r="N572" s="20" t="s">
        <v>1950</v>
      </c>
      <c r="O572" s="20" t="s">
        <v>835</v>
      </c>
      <c r="P572" s="20">
        <v>5</v>
      </c>
      <c r="Q572" s="20">
        <v>5</v>
      </c>
      <c r="R572" s="20" t="s">
        <v>592</v>
      </c>
      <c r="T572" s="20" t="s">
        <v>1163</v>
      </c>
      <c r="U572" s="20" t="s">
        <v>221</v>
      </c>
      <c r="V572" s="20" t="s">
        <v>1572</v>
      </c>
      <c r="W572" s="20" t="s">
        <v>1571</v>
      </c>
      <c r="X572" s="20" t="s">
        <v>835</v>
      </c>
      <c r="Y572" s="20">
        <v>5</v>
      </c>
      <c r="Z572" s="20">
        <v>5</v>
      </c>
      <c r="AA572" s="20" t="s">
        <v>592</v>
      </c>
      <c r="AC572" s="20" t="s">
        <v>646</v>
      </c>
      <c r="AD572" s="20" t="s">
        <v>298</v>
      </c>
      <c r="AE572" s="20" t="s">
        <v>424</v>
      </c>
      <c r="AF572" s="20" t="s">
        <v>2441</v>
      </c>
      <c r="AG572" s="20" t="s">
        <v>835</v>
      </c>
      <c r="AH572" s="20">
        <v>5</v>
      </c>
      <c r="AI572" s="20">
        <v>1</v>
      </c>
      <c r="AJ572" s="20" t="s">
        <v>593</v>
      </c>
      <c r="AL572" s="20" t="s">
        <v>646</v>
      </c>
      <c r="AM572" s="20" t="s">
        <v>25</v>
      </c>
      <c r="AN572" s="20" t="s">
        <v>882</v>
      </c>
      <c r="AO572" s="20" t="s">
        <v>883</v>
      </c>
      <c r="AP572" s="20" t="s">
        <v>628</v>
      </c>
      <c r="AQ572" s="20">
        <v>10</v>
      </c>
      <c r="AR572" s="20">
        <v>8</v>
      </c>
      <c r="AS572" s="20" t="s">
        <v>592</v>
      </c>
    </row>
    <row r="573" spans="11:45" ht="15.75" customHeight="1" x14ac:dyDescent="0.2">
      <c r="K573" s="20" t="s">
        <v>1143</v>
      </c>
      <c r="L573" s="20" t="s">
        <v>689</v>
      </c>
      <c r="M573" s="20" t="s">
        <v>1505</v>
      </c>
      <c r="N573" s="20" t="s">
        <v>1506</v>
      </c>
      <c r="O573" s="20" t="s">
        <v>835</v>
      </c>
      <c r="P573" s="20">
        <v>5</v>
      </c>
      <c r="Q573" s="20">
        <v>1</v>
      </c>
      <c r="R573" s="20" t="s">
        <v>593</v>
      </c>
      <c r="T573" s="20" t="s">
        <v>1163</v>
      </c>
      <c r="U573" s="20" t="s">
        <v>221</v>
      </c>
      <c r="V573" s="20" t="s">
        <v>621</v>
      </c>
      <c r="W573" s="20" t="s">
        <v>1215</v>
      </c>
      <c r="X573" s="20" t="s">
        <v>835</v>
      </c>
      <c r="Y573" s="20">
        <v>5</v>
      </c>
      <c r="Z573" s="20">
        <v>1</v>
      </c>
      <c r="AA573" s="20" t="s">
        <v>593</v>
      </c>
      <c r="AC573" s="20" t="s">
        <v>1147</v>
      </c>
      <c r="AD573" s="20" t="s">
        <v>225</v>
      </c>
      <c r="AE573" s="20" t="s">
        <v>382</v>
      </c>
      <c r="AF573" s="20" t="s">
        <v>1532</v>
      </c>
      <c r="AG573" s="20" t="s">
        <v>835</v>
      </c>
      <c r="AH573" s="20">
        <v>5</v>
      </c>
      <c r="AI573" s="20">
        <v>6</v>
      </c>
      <c r="AJ573" s="20" t="s">
        <v>592</v>
      </c>
      <c r="AL573" s="20" t="s">
        <v>646</v>
      </c>
      <c r="AM573" s="20" t="s">
        <v>298</v>
      </c>
      <c r="AN573" s="20" t="s">
        <v>370</v>
      </c>
      <c r="AO573" s="20" t="s">
        <v>775</v>
      </c>
      <c r="AP573" s="20" t="s">
        <v>628</v>
      </c>
      <c r="AQ573" s="20">
        <v>10</v>
      </c>
      <c r="AR573" s="20">
        <v>6</v>
      </c>
      <c r="AS573" s="20" t="s">
        <v>593</v>
      </c>
    </row>
    <row r="574" spans="11:45" ht="15.75" customHeight="1" x14ac:dyDescent="0.2">
      <c r="K574" s="20" t="s">
        <v>1144</v>
      </c>
      <c r="L574" s="20" t="s">
        <v>249</v>
      </c>
      <c r="M574" s="20" t="s">
        <v>771</v>
      </c>
      <c r="N574" s="20" t="s">
        <v>563</v>
      </c>
      <c r="O574" s="20" t="s">
        <v>628</v>
      </c>
      <c r="P574" s="20">
        <v>10</v>
      </c>
      <c r="Q574" s="20">
        <v>2</v>
      </c>
      <c r="R574" s="20" t="s">
        <v>592</v>
      </c>
      <c r="T574" s="20" t="s">
        <v>1163</v>
      </c>
      <c r="U574" s="20" t="s">
        <v>57</v>
      </c>
      <c r="V574" s="20" t="s">
        <v>361</v>
      </c>
      <c r="W574" s="20" t="s">
        <v>1309</v>
      </c>
      <c r="X574" s="20" t="s">
        <v>835</v>
      </c>
      <c r="Y574" s="20">
        <v>5</v>
      </c>
      <c r="Z574" s="20">
        <v>3</v>
      </c>
      <c r="AA574" s="20" t="s">
        <v>593</v>
      </c>
      <c r="AC574" s="20" t="s">
        <v>646</v>
      </c>
      <c r="AD574" s="20" t="s">
        <v>303</v>
      </c>
      <c r="AE574" s="20" t="s">
        <v>427</v>
      </c>
      <c r="AF574" s="20" t="s">
        <v>2171</v>
      </c>
      <c r="AG574" s="20" t="s">
        <v>835</v>
      </c>
      <c r="AH574" s="20">
        <v>5</v>
      </c>
      <c r="AI574" s="20">
        <v>1</v>
      </c>
      <c r="AJ574" s="20" t="s">
        <v>593</v>
      </c>
      <c r="AL574" s="20" t="s">
        <v>646</v>
      </c>
      <c r="AM574" s="20" t="s">
        <v>209</v>
      </c>
      <c r="AN574" s="20" t="s">
        <v>411</v>
      </c>
      <c r="AO574" s="20" t="s">
        <v>2025</v>
      </c>
      <c r="AP574" s="20" t="s">
        <v>628</v>
      </c>
      <c r="AQ574" s="20">
        <v>10</v>
      </c>
      <c r="AR574" s="20">
        <v>8</v>
      </c>
      <c r="AS574" s="20" t="s">
        <v>592</v>
      </c>
    </row>
    <row r="575" spans="11:45" ht="15.75" customHeight="1" x14ac:dyDescent="0.2">
      <c r="K575" s="20" t="s">
        <v>1143</v>
      </c>
      <c r="L575" s="20" t="s">
        <v>61</v>
      </c>
      <c r="M575" s="20" t="s">
        <v>1576</v>
      </c>
      <c r="N575" s="20" t="s">
        <v>525</v>
      </c>
      <c r="O575" s="20" t="s">
        <v>835</v>
      </c>
      <c r="P575" s="20">
        <v>5</v>
      </c>
      <c r="Q575" s="20">
        <v>9</v>
      </c>
      <c r="R575" s="20" t="s">
        <v>592</v>
      </c>
      <c r="T575" s="20" t="s">
        <v>1144</v>
      </c>
      <c r="U575" s="20" t="s">
        <v>1145</v>
      </c>
      <c r="V575" s="20" t="s">
        <v>498</v>
      </c>
      <c r="W575" s="20" t="s">
        <v>2368</v>
      </c>
      <c r="X575" s="20" t="s">
        <v>835</v>
      </c>
      <c r="Y575" s="20">
        <v>5</v>
      </c>
      <c r="Z575" s="20">
        <v>5</v>
      </c>
      <c r="AA575" s="20" t="s">
        <v>592</v>
      </c>
      <c r="AC575" s="20" t="s">
        <v>1162</v>
      </c>
      <c r="AD575" s="20" t="s">
        <v>352</v>
      </c>
      <c r="AE575" s="20" t="s">
        <v>1469</v>
      </c>
      <c r="AF575" s="20" t="s">
        <v>2754</v>
      </c>
      <c r="AG575" s="20" t="s">
        <v>835</v>
      </c>
      <c r="AH575" s="20">
        <v>5</v>
      </c>
      <c r="AI575" s="20">
        <v>5</v>
      </c>
      <c r="AJ575" s="20" t="s">
        <v>592</v>
      </c>
      <c r="AL575" s="20" t="s">
        <v>646</v>
      </c>
      <c r="AM575" s="20" t="s">
        <v>209</v>
      </c>
      <c r="AN575" s="20" t="s">
        <v>1515</v>
      </c>
      <c r="AO575" s="20" t="s">
        <v>2244</v>
      </c>
      <c r="AP575" s="20" t="s">
        <v>628</v>
      </c>
      <c r="AQ575" s="20">
        <v>10</v>
      </c>
      <c r="AR575" s="20">
        <v>15</v>
      </c>
      <c r="AS575" s="20" t="s">
        <v>592</v>
      </c>
    </row>
    <row r="576" spans="11:45" ht="15.75" customHeight="1" x14ac:dyDescent="0.2">
      <c r="K576" s="20" t="s">
        <v>1144</v>
      </c>
      <c r="L576" s="20" t="s">
        <v>249</v>
      </c>
      <c r="M576" s="20" t="s">
        <v>591</v>
      </c>
      <c r="N576" s="20" t="s">
        <v>563</v>
      </c>
      <c r="O576" s="20" t="s">
        <v>628</v>
      </c>
      <c r="P576" s="20">
        <v>10</v>
      </c>
      <c r="Q576" s="20">
        <v>7</v>
      </c>
      <c r="R576" s="20" t="s">
        <v>592</v>
      </c>
      <c r="T576" s="20" t="s">
        <v>1163</v>
      </c>
      <c r="U576" s="20" t="s">
        <v>207</v>
      </c>
      <c r="V576" s="20" t="s">
        <v>1496</v>
      </c>
      <c r="W576" s="20" t="s">
        <v>1495</v>
      </c>
      <c r="X576" s="20" t="s">
        <v>835</v>
      </c>
      <c r="Y576" s="20">
        <v>5</v>
      </c>
      <c r="Z576" s="20">
        <v>1</v>
      </c>
      <c r="AA576" s="20" t="s">
        <v>593</v>
      </c>
      <c r="AC576" s="20" t="s">
        <v>646</v>
      </c>
      <c r="AD576" s="20" t="s">
        <v>285</v>
      </c>
      <c r="AE576" s="20" t="s">
        <v>459</v>
      </c>
      <c r="AF576" s="20" t="s">
        <v>1581</v>
      </c>
      <c r="AG576" s="20" t="s">
        <v>835</v>
      </c>
      <c r="AH576" s="20">
        <v>5</v>
      </c>
      <c r="AI576" s="20">
        <v>3</v>
      </c>
      <c r="AJ576" s="20" t="s">
        <v>593</v>
      </c>
      <c r="AL576" s="20" t="s">
        <v>646</v>
      </c>
      <c r="AM576" s="20" t="s">
        <v>1109</v>
      </c>
      <c r="AN576" s="20" t="s">
        <v>367</v>
      </c>
      <c r="AO576" s="20" t="s">
        <v>1232</v>
      </c>
      <c r="AP576" s="20" t="s">
        <v>628</v>
      </c>
      <c r="AQ576" s="20">
        <v>10</v>
      </c>
      <c r="AR576" s="20">
        <v>10</v>
      </c>
      <c r="AS576" s="20" t="s">
        <v>592</v>
      </c>
    </row>
    <row r="577" spans="11:45" ht="15.75" customHeight="1" x14ac:dyDescent="0.2">
      <c r="K577" s="20" t="s">
        <v>1147</v>
      </c>
      <c r="L577" s="20" t="s">
        <v>20</v>
      </c>
      <c r="M577" s="20" t="s">
        <v>1951</v>
      </c>
      <c r="N577" s="20" t="s">
        <v>449</v>
      </c>
      <c r="O577" s="20" t="s">
        <v>628</v>
      </c>
      <c r="P577" s="20">
        <v>10</v>
      </c>
      <c r="Q577" s="20">
        <v>11</v>
      </c>
      <c r="R577" s="20" t="s">
        <v>592</v>
      </c>
      <c r="T577" s="20" t="s">
        <v>1141</v>
      </c>
      <c r="U577" s="20" t="s">
        <v>780</v>
      </c>
      <c r="V577" s="20" t="s">
        <v>1457</v>
      </c>
      <c r="W577" s="20" t="s">
        <v>2177</v>
      </c>
      <c r="X577" s="20" t="s">
        <v>835</v>
      </c>
      <c r="Y577" s="20">
        <v>5</v>
      </c>
      <c r="Z577" s="20">
        <v>5</v>
      </c>
      <c r="AA577" s="20" t="s">
        <v>592</v>
      </c>
      <c r="AC577" s="20" t="s">
        <v>1155</v>
      </c>
      <c r="AD577" s="20" t="s">
        <v>657</v>
      </c>
      <c r="AE577" s="20" t="s">
        <v>481</v>
      </c>
      <c r="AF577" s="20" t="s">
        <v>878</v>
      </c>
      <c r="AG577" s="20" t="s">
        <v>835</v>
      </c>
      <c r="AH577" s="20">
        <v>5</v>
      </c>
      <c r="AI577" s="20">
        <v>5</v>
      </c>
      <c r="AJ577" s="20" t="s">
        <v>592</v>
      </c>
      <c r="AL577" s="20" t="s">
        <v>646</v>
      </c>
      <c r="AM577" s="20" t="s">
        <v>1109</v>
      </c>
      <c r="AN577" s="20" t="s">
        <v>369</v>
      </c>
      <c r="AO577" s="20" t="s">
        <v>1966</v>
      </c>
      <c r="AP577" s="20" t="s">
        <v>628</v>
      </c>
      <c r="AQ577" s="20">
        <v>10</v>
      </c>
      <c r="AR577" s="20">
        <v>10</v>
      </c>
      <c r="AS577" s="20" t="s">
        <v>592</v>
      </c>
    </row>
    <row r="578" spans="11:45" ht="15.75" customHeight="1" x14ac:dyDescent="0.2">
      <c r="K578" s="20" t="s">
        <v>1147</v>
      </c>
      <c r="L578" s="20" t="s">
        <v>20</v>
      </c>
      <c r="M578" s="20" t="s">
        <v>1293</v>
      </c>
      <c r="N578" s="20" t="s">
        <v>452</v>
      </c>
      <c r="O578" s="20" t="s">
        <v>628</v>
      </c>
      <c r="P578" s="20">
        <v>10</v>
      </c>
      <c r="Q578" s="20">
        <v>2</v>
      </c>
      <c r="R578" s="20" t="s">
        <v>593</v>
      </c>
      <c r="T578" s="20" t="s">
        <v>1163</v>
      </c>
      <c r="U578" s="20" t="s">
        <v>57</v>
      </c>
      <c r="V578" s="20" t="s">
        <v>2082</v>
      </c>
      <c r="W578" s="20" t="s">
        <v>2081</v>
      </c>
      <c r="X578" s="20" t="s">
        <v>628</v>
      </c>
      <c r="Y578" s="20">
        <v>10</v>
      </c>
      <c r="Z578" s="20">
        <v>6</v>
      </c>
      <c r="AA578" s="20" t="s">
        <v>593</v>
      </c>
      <c r="AC578" s="20" t="s">
        <v>1155</v>
      </c>
      <c r="AD578" s="20" t="s">
        <v>657</v>
      </c>
      <c r="AE578" s="20" t="s">
        <v>484</v>
      </c>
      <c r="AF578" s="20" t="s">
        <v>852</v>
      </c>
      <c r="AG578" s="20" t="s">
        <v>835</v>
      </c>
      <c r="AH578" s="20">
        <v>5</v>
      </c>
      <c r="AI578" s="20">
        <v>2</v>
      </c>
      <c r="AJ578" s="20" t="s">
        <v>593</v>
      </c>
      <c r="AL578" s="20" t="s">
        <v>646</v>
      </c>
      <c r="AM578" s="20" t="s">
        <v>209</v>
      </c>
      <c r="AN578" s="20" t="s">
        <v>410</v>
      </c>
      <c r="AO578" s="20" t="s">
        <v>3072</v>
      </c>
      <c r="AP578" s="20" t="s">
        <v>628</v>
      </c>
      <c r="AQ578" s="20">
        <v>10</v>
      </c>
      <c r="AR578" s="20">
        <v>10</v>
      </c>
      <c r="AS578" s="20" t="s">
        <v>592</v>
      </c>
    </row>
    <row r="579" spans="11:45" ht="15.75" customHeight="1" x14ac:dyDescent="0.2">
      <c r="K579" s="20" t="s">
        <v>1163</v>
      </c>
      <c r="L579" s="20" t="s">
        <v>221</v>
      </c>
      <c r="M579" s="20" t="s">
        <v>1215</v>
      </c>
      <c r="N579" s="20" t="s">
        <v>621</v>
      </c>
      <c r="O579" s="20" t="s">
        <v>835</v>
      </c>
      <c r="P579" s="20">
        <v>5</v>
      </c>
      <c r="Q579" s="20">
        <v>5</v>
      </c>
      <c r="R579" s="20" t="s">
        <v>592</v>
      </c>
      <c r="T579" s="20" t="s">
        <v>1144</v>
      </c>
      <c r="U579" s="20" t="s">
        <v>194</v>
      </c>
      <c r="V579" s="20" t="s">
        <v>1817</v>
      </c>
      <c r="W579" s="20" t="s">
        <v>2369</v>
      </c>
      <c r="X579" s="20" t="s">
        <v>628</v>
      </c>
      <c r="Y579" s="20">
        <v>10</v>
      </c>
      <c r="Z579" s="20">
        <v>8</v>
      </c>
      <c r="AA579" s="20" t="s">
        <v>592</v>
      </c>
      <c r="AC579" s="20" t="s">
        <v>1155</v>
      </c>
      <c r="AD579" s="20" t="s">
        <v>657</v>
      </c>
      <c r="AE579" s="20" t="s">
        <v>480</v>
      </c>
      <c r="AF579" s="20" t="s">
        <v>889</v>
      </c>
      <c r="AG579" s="20" t="s">
        <v>835</v>
      </c>
      <c r="AH579" s="20">
        <v>5</v>
      </c>
      <c r="AI579" s="20">
        <v>1</v>
      </c>
      <c r="AJ579" s="20" t="s">
        <v>593</v>
      </c>
      <c r="AL579" s="20" t="s">
        <v>646</v>
      </c>
      <c r="AM579" s="20" t="s">
        <v>209</v>
      </c>
      <c r="AN579" s="20" t="s">
        <v>886</v>
      </c>
      <c r="AO579" s="20" t="s">
        <v>972</v>
      </c>
      <c r="AP579" s="20" t="s">
        <v>628</v>
      </c>
      <c r="AQ579" s="20">
        <v>10</v>
      </c>
      <c r="AR579" s="20">
        <v>8</v>
      </c>
      <c r="AS579" s="20" t="s">
        <v>592</v>
      </c>
    </row>
    <row r="580" spans="11:45" ht="15.75" customHeight="1" x14ac:dyDescent="0.2">
      <c r="K580" s="20" t="s">
        <v>1163</v>
      </c>
      <c r="L580" s="20" t="s">
        <v>221</v>
      </c>
      <c r="M580" s="20" t="s">
        <v>1571</v>
      </c>
      <c r="N580" s="20" t="s">
        <v>1572</v>
      </c>
      <c r="O580" s="20" t="s">
        <v>835</v>
      </c>
      <c r="P580" s="20">
        <v>5</v>
      </c>
      <c r="Q580" s="20">
        <v>6</v>
      </c>
      <c r="R580" s="20" t="s">
        <v>592</v>
      </c>
      <c r="T580" s="20" t="s">
        <v>1144</v>
      </c>
      <c r="U580" s="20" t="s">
        <v>194</v>
      </c>
      <c r="V580" s="20" t="s">
        <v>1817</v>
      </c>
      <c r="W580" s="20" t="s">
        <v>2370</v>
      </c>
      <c r="X580" s="20" t="s">
        <v>628</v>
      </c>
      <c r="Y580" s="20">
        <v>10</v>
      </c>
      <c r="Z580" s="20">
        <v>1</v>
      </c>
      <c r="AA580" s="20" t="s">
        <v>592</v>
      </c>
      <c r="AC580" s="20" t="s">
        <v>646</v>
      </c>
      <c r="AD580" s="20" t="s">
        <v>298</v>
      </c>
      <c r="AE580" s="20" t="s">
        <v>370</v>
      </c>
      <c r="AF580" s="20" t="s">
        <v>2068</v>
      </c>
      <c r="AG580" s="20" t="s">
        <v>835</v>
      </c>
      <c r="AH580" s="20">
        <v>5</v>
      </c>
      <c r="AI580" s="20">
        <v>2</v>
      </c>
      <c r="AJ580" s="20" t="s">
        <v>593</v>
      </c>
      <c r="AL580" s="20" t="s">
        <v>646</v>
      </c>
      <c r="AM580" s="20" t="s">
        <v>209</v>
      </c>
      <c r="AN580" s="20" t="s">
        <v>2837</v>
      </c>
      <c r="AO580" s="20" t="s">
        <v>3081</v>
      </c>
      <c r="AP580" s="20" t="s">
        <v>835</v>
      </c>
      <c r="AQ580" s="20">
        <v>5</v>
      </c>
      <c r="AR580" s="20">
        <v>7</v>
      </c>
      <c r="AS580" s="20" t="s">
        <v>592</v>
      </c>
    </row>
    <row r="581" spans="11:45" ht="15.75" customHeight="1" x14ac:dyDescent="0.2">
      <c r="K581" s="20" t="s">
        <v>640</v>
      </c>
      <c r="L581" s="20" t="s">
        <v>756</v>
      </c>
      <c r="M581" s="20" t="s">
        <v>1414</v>
      </c>
      <c r="N581" s="20" t="s">
        <v>433</v>
      </c>
      <c r="O581" s="20" t="s">
        <v>835</v>
      </c>
      <c r="P581" s="20">
        <v>5</v>
      </c>
      <c r="Q581" s="20">
        <v>1</v>
      </c>
      <c r="R581" s="20" t="s">
        <v>593</v>
      </c>
      <c r="T581" s="20" t="s">
        <v>1141</v>
      </c>
      <c r="U581" s="20" t="s">
        <v>224</v>
      </c>
      <c r="V581" s="20" t="s">
        <v>386</v>
      </c>
      <c r="W581" s="20" t="s">
        <v>1617</v>
      </c>
      <c r="X581" s="20" t="s">
        <v>835</v>
      </c>
      <c r="Y581" s="20">
        <v>5</v>
      </c>
      <c r="Z581" s="20">
        <v>11</v>
      </c>
      <c r="AA581" s="20" t="s">
        <v>592</v>
      </c>
      <c r="AC581" s="20" t="s">
        <v>1147</v>
      </c>
      <c r="AD581" s="20" t="s">
        <v>225</v>
      </c>
      <c r="AE581" s="20" t="s">
        <v>1826</v>
      </c>
      <c r="AF581" s="20" t="s">
        <v>2755</v>
      </c>
      <c r="AG581" s="20" t="s">
        <v>835</v>
      </c>
      <c r="AH581" s="20">
        <v>5</v>
      </c>
      <c r="AI581" s="20">
        <v>1</v>
      </c>
      <c r="AJ581" s="20" t="s">
        <v>593</v>
      </c>
      <c r="AL581" s="20" t="s">
        <v>646</v>
      </c>
      <c r="AM581" s="20" t="s">
        <v>209</v>
      </c>
      <c r="AN581" s="20" t="s">
        <v>460</v>
      </c>
      <c r="AO581" s="20" t="s">
        <v>3118</v>
      </c>
      <c r="AP581" s="20" t="s">
        <v>628</v>
      </c>
      <c r="AQ581" s="20">
        <v>10</v>
      </c>
      <c r="AR581" s="20">
        <v>10</v>
      </c>
      <c r="AS581" s="20" t="s">
        <v>592</v>
      </c>
    </row>
    <row r="582" spans="11:45" ht="15.75" customHeight="1" x14ac:dyDescent="0.2">
      <c r="K582" s="20" t="s">
        <v>1144</v>
      </c>
      <c r="L582" s="20" t="s">
        <v>194</v>
      </c>
      <c r="M582" s="20" t="s">
        <v>1484</v>
      </c>
      <c r="N582" s="20" t="s">
        <v>437</v>
      </c>
      <c r="O582" s="20" t="s">
        <v>835</v>
      </c>
      <c r="P582" s="20">
        <v>5</v>
      </c>
      <c r="Q582" s="20">
        <v>5</v>
      </c>
      <c r="R582" s="20" t="s">
        <v>592</v>
      </c>
      <c r="T582" s="20" t="s">
        <v>1163</v>
      </c>
      <c r="U582" s="20" t="s">
        <v>837</v>
      </c>
      <c r="V582" s="20" t="s">
        <v>1937</v>
      </c>
      <c r="W582" s="20" t="s">
        <v>1936</v>
      </c>
      <c r="X582" s="20" t="s">
        <v>628</v>
      </c>
      <c r="Y582" s="20">
        <v>10</v>
      </c>
      <c r="Z582" s="20">
        <v>3</v>
      </c>
      <c r="AA582" s="20" t="s">
        <v>593</v>
      </c>
      <c r="AC582" s="20" t="s">
        <v>640</v>
      </c>
      <c r="AD582" s="20" t="s">
        <v>191</v>
      </c>
      <c r="AE582" s="20" t="s">
        <v>1628</v>
      </c>
      <c r="AF582" s="20" t="s">
        <v>1627</v>
      </c>
      <c r="AG582" s="20" t="s">
        <v>835</v>
      </c>
      <c r="AH582" s="20">
        <v>5</v>
      </c>
      <c r="AI582" s="20">
        <v>1</v>
      </c>
      <c r="AJ582" s="20" t="s">
        <v>593</v>
      </c>
      <c r="AL582" s="20" t="s">
        <v>646</v>
      </c>
      <c r="AM582" s="20" t="s">
        <v>285</v>
      </c>
      <c r="AN582" s="20" t="s">
        <v>425</v>
      </c>
      <c r="AO582" s="20" t="s">
        <v>823</v>
      </c>
      <c r="AP582" s="20" t="s">
        <v>835</v>
      </c>
      <c r="AQ582" s="20">
        <v>5</v>
      </c>
      <c r="AR582" s="20">
        <v>13</v>
      </c>
      <c r="AS582" s="20" t="s">
        <v>592</v>
      </c>
    </row>
    <row r="583" spans="11:45" ht="15.75" customHeight="1" x14ac:dyDescent="0.2">
      <c r="K583" s="20" t="s">
        <v>640</v>
      </c>
      <c r="L583" s="20" t="s">
        <v>756</v>
      </c>
      <c r="M583" s="20" t="s">
        <v>1952</v>
      </c>
      <c r="N583" s="20" t="s">
        <v>1953</v>
      </c>
      <c r="O583" s="20" t="s">
        <v>835</v>
      </c>
      <c r="P583" s="20">
        <v>5</v>
      </c>
      <c r="Q583" s="20">
        <v>6</v>
      </c>
      <c r="R583" s="20" t="s">
        <v>592</v>
      </c>
      <c r="T583" s="20" t="s">
        <v>1163</v>
      </c>
      <c r="U583" s="20" t="s">
        <v>837</v>
      </c>
      <c r="V583" s="20" t="s">
        <v>407</v>
      </c>
      <c r="W583" s="20" t="s">
        <v>1888</v>
      </c>
      <c r="X583" s="20" t="s">
        <v>835</v>
      </c>
      <c r="Y583" s="20">
        <v>5</v>
      </c>
      <c r="Z583" s="20">
        <v>3</v>
      </c>
      <c r="AA583" s="20" t="s">
        <v>593</v>
      </c>
      <c r="AC583" s="20" t="s">
        <v>1158</v>
      </c>
      <c r="AD583" s="20" t="s">
        <v>72</v>
      </c>
      <c r="AE583" s="20" t="s">
        <v>895</v>
      </c>
      <c r="AF583" s="20" t="s">
        <v>2649</v>
      </c>
      <c r="AG583" s="20" t="s">
        <v>835</v>
      </c>
      <c r="AH583" s="20">
        <v>5</v>
      </c>
      <c r="AI583" s="20">
        <v>5</v>
      </c>
      <c r="AJ583" s="20" t="s">
        <v>592</v>
      </c>
      <c r="AL583" s="20" t="s">
        <v>646</v>
      </c>
      <c r="AM583" s="20" t="s">
        <v>285</v>
      </c>
      <c r="AN583" s="20" t="s">
        <v>458</v>
      </c>
      <c r="AO583" s="20" t="s">
        <v>3119</v>
      </c>
      <c r="AP583" s="20" t="s">
        <v>835</v>
      </c>
      <c r="AQ583" s="20">
        <v>5</v>
      </c>
      <c r="AR583" s="20">
        <v>6</v>
      </c>
      <c r="AS583" s="20" t="s">
        <v>592</v>
      </c>
    </row>
    <row r="584" spans="11:45" ht="15.75" customHeight="1" x14ac:dyDescent="0.2">
      <c r="K584" s="20" t="s">
        <v>1144</v>
      </c>
      <c r="L584" s="20" t="s">
        <v>194</v>
      </c>
      <c r="M584" s="20" t="s">
        <v>828</v>
      </c>
      <c r="N584" s="20" t="s">
        <v>438</v>
      </c>
      <c r="O584" s="20" t="s">
        <v>628</v>
      </c>
      <c r="P584" s="20">
        <v>10</v>
      </c>
      <c r="Q584" s="20">
        <v>10</v>
      </c>
      <c r="R584" s="20" t="s">
        <v>592</v>
      </c>
      <c r="T584" s="20" t="s">
        <v>1163</v>
      </c>
      <c r="U584" s="20" t="s">
        <v>837</v>
      </c>
      <c r="V584" s="20" t="s">
        <v>555</v>
      </c>
      <c r="W584" s="20" t="s">
        <v>1367</v>
      </c>
      <c r="X584" s="20" t="s">
        <v>835</v>
      </c>
      <c r="Y584" s="20">
        <v>5</v>
      </c>
      <c r="Z584" s="20">
        <v>1</v>
      </c>
      <c r="AA584" s="20" t="s">
        <v>593</v>
      </c>
      <c r="AC584" s="20" t="s">
        <v>2099</v>
      </c>
      <c r="AD584" s="20" t="s">
        <v>2112</v>
      </c>
      <c r="AE584" s="20" t="s">
        <v>2527</v>
      </c>
      <c r="AF584" s="20" t="s">
        <v>2756</v>
      </c>
      <c r="AG584" s="20" t="s">
        <v>835</v>
      </c>
      <c r="AH584" s="20">
        <v>5</v>
      </c>
      <c r="AI584" s="20">
        <v>5</v>
      </c>
      <c r="AJ584" s="20" t="s">
        <v>592</v>
      </c>
      <c r="AL584" s="20" t="s">
        <v>646</v>
      </c>
      <c r="AM584" s="20" t="s">
        <v>285</v>
      </c>
      <c r="AN584" s="20" t="s">
        <v>461</v>
      </c>
      <c r="AO584" s="20" t="s">
        <v>864</v>
      </c>
      <c r="AP584" s="20" t="s">
        <v>835</v>
      </c>
      <c r="AQ584" s="20">
        <v>5</v>
      </c>
      <c r="AR584" s="20">
        <v>9</v>
      </c>
      <c r="AS584" s="20" t="s">
        <v>592</v>
      </c>
    </row>
    <row r="585" spans="11:45" ht="15.75" customHeight="1" x14ac:dyDescent="0.2">
      <c r="K585" s="20" t="s">
        <v>1144</v>
      </c>
      <c r="L585" s="20" t="s">
        <v>194</v>
      </c>
      <c r="M585" s="20" t="s">
        <v>829</v>
      </c>
      <c r="N585" s="20" t="s">
        <v>438</v>
      </c>
      <c r="O585" s="20" t="s">
        <v>628</v>
      </c>
      <c r="P585" s="20">
        <v>10</v>
      </c>
      <c r="Q585" s="20">
        <v>1</v>
      </c>
      <c r="R585" s="20" t="s">
        <v>592</v>
      </c>
      <c r="T585" s="20" t="s">
        <v>1163</v>
      </c>
      <c r="U585" s="20" t="s">
        <v>221</v>
      </c>
      <c r="V585" s="20" t="s">
        <v>2003</v>
      </c>
      <c r="W585" s="20" t="s">
        <v>2371</v>
      </c>
      <c r="X585" s="20" t="s">
        <v>835</v>
      </c>
      <c r="Y585" s="20">
        <v>5</v>
      </c>
      <c r="Z585" s="20">
        <v>5</v>
      </c>
      <c r="AA585" s="20" t="s">
        <v>592</v>
      </c>
      <c r="AC585" s="20" t="s">
        <v>1144</v>
      </c>
      <c r="AD585" s="20" t="s">
        <v>707</v>
      </c>
      <c r="AE585" s="20" t="s">
        <v>496</v>
      </c>
      <c r="AF585" s="20" t="s">
        <v>2757</v>
      </c>
      <c r="AG585" s="20" t="s">
        <v>835</v>
      </c>
      <c r="AH585" s="20">
        <v>5</v>
      </c>
      <c r="AI585" s="20">
        <v>5</v>
      </c>
      <c r="AJ585" s="20" t="s">
        <v>592</v>
      </c>
      <c r="AL585" s="20" t="s">
        <v>646</v>
      </c>
      <c r="AM585" s="20" t="s">
        <v>285</v>
      </c>
      <c r="AN585" s="20" t="s">
        <v>877</v>
      </c>
      <c r="AO585" s="20" t="s">
        <v>1026</v>
      </c>
      <c r="AP585" s="20" t="s">
        <v>835</v>
      </c>
      <c r="AQ585" s="20">
        <v>5</v>
      </c>
      <c r="AR585" s="20">
        <v>8</v>
      </c>
      <c r="AS585" s="20" t="s">
        <v>592</v>
      </c>
    </row>
    <row r="586" spans="11:45" ht="15.75" customHeight="1" x14ac:dyDescent="0.2">
      <c r="K586" s="20" t="s">
        <v>1144</v>
      </c>
      <c r="L586" s="20" t="s">
        <v>707</v>
      </c>
      <c r="M586" s="20" t="s">
        <v>1954</v>
      </c>
      <c r="N586" s="20" t="s">
        <v>1955</v>
      </c>
      <c r="O586" s="20" t="s">
        <v>628</v>
      </c>
      <c r="P586" s="20">
        <v>10</v>
      </c>
      <c r="Q586" s="20">
        <v>8</v>
      </c>
      <c r="R586" s="20" t="s">
        <v>592</v>
      </c>
      <c r="T586" s="20" t="s">
        <v>1162</v>
      </c>
      <c r="U586" s="20" t="s">
        <v>352</v>
      </c>
      <c r="V586" s="20" t="s">
        <v>445</v>
      </c>
      <c r="W586" s="20" t="s">
        <v>2372</v>
      </c>
      <c r="X586" s="20" t="s">
        <v>628</v>
      </c>
      <c r="Y586" s="20">
        <v>10</v>
      </c>
      <c r="Z586" s="20">
        <v>8</v>
      </c>
      <c r="AA586" s="20" t="s">
        <v>592</v>
      </c>
      <c r="AC586" s="20" t="s">
        <v>1144</v>
      </c>
      <c r="AD586" s="20" t="s">
        <v>194</v>
      </c>
      <c r="AE586" s="20" t="s">
        <v>1849</v>
      </c>
      <c r="AF586" s="20" t="s">
        <v>1848</v>
      </c>
      <c r="AG586" s="20" t="s">
        <v>835</v>
      </c>
      <c r="AH586" s="20">
        <v>5</v>
      </c>
      <c r="AI586" s="20">
        <v>5</v>
      </c>
      <c r="AJ586" s="20" t="s">
        <v>592</v>
      </c>
      <c r="AL586" s="20" t="s">
        <v>646</v>
      </c>
      <c r="AM586" s="20" t="s">
        <v>285</v>
      </c>
      <c r="AN586" s="20" t="s">
        <v>459</v>
      </c>
      <c r="AO586" s="20" t="s">
        <v>3104</v>
      </c>
      <c r="AP586" s="20" t="s">
        <v>835</v>
      </c>
      <c r="AQ586" s="20">
        <v>5</v>
      </c>
      <c r="AR586" s="20">
        <v>20</v>
      </c>
      <c r="AS586" s="20" t="s">
        <v>592</v>
      </c>
    </row>
    <row r="587" spans="11:45" ht="15.75" customHeight="1" x14ac:dyDescent="0.2">
      <c r="K587" s="20" t="s">
        <v>1147</v>
      </c>
      <c r="L587" s="20" t="s">
        <v>222</v>
      </c>
      <c r="M587" s="20" t="s">
        <v>1858</v>
      </c>
      <c r="N587" s="20" t="s">
        <v>1859</v>
      </c>
      <c r="O587" s="20" t="s">
        <v>628</v>
      </c>
      <c r="P587" s="20">
        <v>10</v>
      </c>
      <c r="Q587" s="20">
        <v>9</v>
      </c>
      <c r="R587" s="20" t="s">
        <v>592</v>
      </c>
      <c r="T587" s="20" t="s">
        <v>1141</v>
      </c>
      <c r="U587" s="20" t="s">
        <v>224</v>
      </c>
      <c r="V587" s="20" t="s">
        <v>387</v>
      </c>
      <c r="W587" s="20" t="s">
        <v>2373</v>
      </c>
      <c r="X587" s="20" t="s">
        <v>835</v>
      </c>
      <c r="Y587" s="20">
        <v>5</v>
      </c>
      <c r="Z587" s="20">
        <v>11</v>
      </c>
      <c r="AA587" s="20" t="s">
        <v>592</v>
      </c>
      <c r="AC587" s="20" t="s">
        <v>1154</v>
      </c>
      <c r="AD587" s="20" t="s">
        <v>217</v>
      </c>
      <c r="AE587" s="20" t="s">
        <v>576</v>
      </c>
      <c r="AF587" s="20" t="s">
        <v>2622</v>
      </c>
      <c r="AG587" s="20" t="s">
        <v>835</v>
      </c>
      <c r="AH587" s="20">
        <v>5</v>
      </c>
      <c r="AI587" s="20">
        <v>1</v>
      </c>
      <c r="AJ587" s="20" t="s">
        <v>593</v>
      </c>
      <c r="AL587" s="20" t="s">
        <v>646</v>
      </c>
      <c r="AM587" s="20" t="s">
        <v>285</v>
      </c>
      <c r="AN587" s="20" t="s">
        <v>462</v>
      </c>
      <c r="AO587" s="20" t="s">
        <v>3105</v>
      </c>
      <c r="AP587" s="20" t="s">
        <v>835</v>
      </c>
      <c r="AQ587" s="20">
        <v>5</v>
      </c>
      <c r="AR587" s="20">
        <v>6</v>
      </c>
      <c r="AS587" s="20" t="s">
        <v>592</v>
      </c>
    </row>
    <row r="588" spans="11:45" ht="15.75" customHeight="1" x14ac:dyDescent="0.2">
      <c r="K588" s="20" t="s">
        <v>1147</v>
      </c>
      <c r="L588" s="20" t="s">
        <v>222</v>
      </c>
      <c r="M588" s="20" t="s">
        <v>1956</v>
      </c>
      <c r="N588" s="20" t="s">
        <v>1957</v>
      </c>
      <c r="O588" s="20" t="s">
        <v>835</v>
      </c>
      <c r="P588" s="20">
        <v>5</v>
      </c>
      <c r="Q588" s="20">
        <v>6</v>
      </c>
      <c r="R588" s="20" t="s">
        <v>592</v>
      </c>
      <c r="T588" s="20" t="s">
        <v>1141</v>
      </c>
      <c r="U588" s="20" t="s">
        <v>780</v>
      </c>
      <c r="V588" s="20" t="s">
        <v>2504</v>
      </c>
      <c r="W588" s="20" t="s">
        <v>2374</v>
      </c>
      <c r="X588" s="20" t="s">
        <v>835</v>
      </c>
      <c r="Y588" s="20">
        <v>5</v>
      </c>
      <c r="Z588" s="20">
        <v>1</v>
      </c>
      <c r="AA588" s="20" t="s">
        <v>593</v>
      </c>
      <c r="AC588" s="20" t="s">
        <v>640</v>
      </c>
      <c r="AD588" s="20" t="s">
        <v>756</v>
      </c>
      <c r="AE588" s="20" t="s">
        <v>433</v>
      </c>
      <c r="AF588" s="20" t="s">
        <v>1703</v>
      </c>
      <c r="AG588" s="20" t="s">
        <v>835</v>
      </c>
      <c r="AH588" s="20">
        <v>5</v>
      </c>
      <c r="AI588" s="20">
        <v>4</v>
      </c>
      <c r="AJ588" s="20" t="s">
        <v>592</v>
      </c>
      <c r="AL588" s="20" t="s">
        <v>646</v>
      </c>
      <c r="AM588" s="20" t="s">
        <v>285</v>
      </c>
      <c r="AN588" s="20" t="s">
        <v>1480</v>
      </c>
      <c r="AO588" s="20" t="s">
        <v>1896</v>
      </c>
      <c r="AP588" s="20" t="s">
        <v>835</v>
      </c>
      <c r="AQ588" s="20">
        <v>5</v>
      </c>
      <c r="AR588" s="20">
        <v>7</v>
      </c>
      <c r="AS588" s="20" t="s">
        <v>592</v>
      </c>
    </row>
    <row r="589" spans="11:45" ht="15.75" customHeight="1" x14ac:dyDescent="0.2">
      <c r="K589" s="20" t="s">
        <v>1147</v>
      </c>
      <c r="L589" s="20" t="s">
        <v>222</v>
      </c>
      <c r="M589" s="20" t="s">
        <v>1958</v>
      </c>
      <c r="N589" s="20" t="s">
        <v>1959</v>
      </c>
      <c r="O589" s="20" t="s">
        <v>835</v>
      </c>
      <c r="P589" s="20">
        <v>5</v>
      </c>
      <c r="Q589" s="20">
        <v>5</v>
      </c>
      <c r="R589" s="20" t="s">
        <v>592</v>
      </c>
      <c r="T589" s="20" t="s">
        <v>640</v>
      </c>
      <c r="U589" s="20" t="s">
        <v>756</v>
      </c>
      <c r="V589" s="20" t="s">
        <v>435</v>
      </c>
      <c r="W589" s="20" t="s">
        <v>1796</v>
      </c>
      <c r="X589" s="20" t="s">
        <v>835</v>
      </c>
      <c r="Y589" s="20">
        <v>5</v>
      </c>
      <c r="Z589" s="20">
        <v>5</v>
      </c>
      <c r="AA589" s="20" t="s">
        <v>592</v>
      </c>
      <c r="AC589" s="20" t="s">
        <v>640</v>
      </c>
      <c r="AD589" s="20" t="s">
        <v>756</v>
      </c>
      <c r="AE589" s="20" t="s">
        <v>433</v>
      </c>
      <c r="AF589" s="20" t="s">
        <v>1704</v>
      </c>
      <c r="AG589" s="20" t="s">
        <v>835</v>
      </c>
      <c r="AH589" s="20">
        <v>5</v>
      </c>
      <c r="AI589" s="20">
        <v>1</v>
      </c>
      <c r="AJ589" s="20" t="s">
        <v>592</v>
      </c>
      <c r="AL589" s="20" t="s">
        <v>646</v>
      </c>
      <c r="AM589" s="20" t="s">
        <v>285</v>
      </c>
      <c r="AN589" s="20" t="s">
        <v>457</v>
      </c>
      <c r="AO589" s="20" t="s">
        <v>2751</v>
      </c>
      <c r="AP589" s="20" t="s">
        <v>835</v>
      </c>
      <c r="AQ589" s="20">
        <v>5</v>
      </c>
      <c r="AR589" s="20">
        <v>11</v>
      </c>
      <c r="AS589" s="20" t="s">
        <v>592</v>
      </c>
    </row>
    <row r="590" spans="11:45" ht="15.75" customHeight="1" x14ac:dyDescent="0.2">
      <c r="K590" s="20" t="s">
        <v>640</v>
      </c>
      <c r="L590" s="20" t="s">
        <v>248</v>
      </c>
      <c r="M590" s="20" t="s">
        <v>1960</v>
      </c>
      <c r="N590" s="20" t="s">
        <v>1961</v>
      </c>
      <c r="O590" s="20" t="s">
        <v>835</v>
      </c>
      <c r="P590" s="20">
        <v>5</v>
      </c>
      <c r="Q590" s="20">
        <v>5</v>
      </c>
      <c r="R590" s="20" t="s">
        <v>592</v>
      </c>
      <c r="T590" s="20" t="s">
        <v>1163</v>
      </c>
      <c r="U590" s="20" t="s">
        <v>207</v>
      </c>
      <c r="V590" s="20" t="s">
        <v>363</v>
      </c>
      <c r="W590" s="20" t="s">
        <v>2375</v>
      </c>
      <c r="X590" s="20" t="s">
        <v>835</v>
      </c>
      <c r="Y590" s="20">
        <v>5</v>
      </c>
      <c r="Z590" s="20">
        <v>1</v>
      </c>
      <c r="AA590" s="20" t="s">
        <v>593</v>
      </c>
      <c r="AC590" s="20" t="s">
        <v>1161</v>
      </c>
      <c r="AD590" s="20" t="s">
        <v>117</v>
      </c>
      <c r="AE590" s="20" t="s">
        <v>455</v>
      </c>
      <c r="AF590" s="20" t="s">
        <v>719</v>
      </c>
      <c r="AG590" s="20" t="s">
        <v>835</v>
      </c>
      <c r="AH590" s="20">
        <v>5</v>
      </c>
      <c r="AI590" s="20">
        <v>5</v>
      </c>
      <c r="AJ590" s="20" t="s">
        <v>592</v>
      </c>
      <c r="AL590" s="20" t="s">
        <v>646</v>
      </c>
      <c r="AM590" s="20" t="s">
        <v>298</v>
      </c>
      <c r="AN590" s="20" t="s">
        <v>424</v>
      </c>
      <c r="AO590" s="20" t="s">
        <v>3113</v>
      </c>
      <c r="AP590" s="20" t="s">
        <v>835</v>
      </c>
      <c r="AQ590" s="20">
        <v>5</v>
      </c>
      <c r="AR590" s="20">
        <v>10</v>
      </c>
      <c r="AS590" s="20" t="s">
        <v>592</v>
      </c>
    </row>
    <row r="591" spans="11:45" ht="15.75" customHeight="1" x14ac:dyDescent="0.2">
      <c r="K591" s="20" t="s">
        <v>640</v>
      </c>
      <c r="L591" s="20" t="s">
        <v>248</v>
      </c>
      <c r="M591" s="20" t="s">
        <v>1962</v>
      </c>
      <c r="N591" s="20" t="s">
        <v>1963</v>
      </c>
      <c r="O591" s="20" t="s">
        <v>835</v>
      </c>
      <c r="P591" s="20">
        <v>5</v>
      </c>
      <c r="Q591" s="20">
        <v>6</v>
      </c>
      <c r="R591" s="20" t="s">
        <v>592</v>
      </c>
      <c r="T591" s="20" t="s">
        <v>1161</v>
      </c>
      <c r="U591" s="20" t="s">
        <v>117</v>
      </c>
      <c r="V591" s="20" t="s">
        <v>455</v>
      </c>
      <c r="W591" s="20" t="s">
        <v>2376</v>
      </c>
      <c r="X591" s="20" t="s">
        <v>628</v>
      </c>
      <c r="Y591" s="20">
        <v>10</v>
      </c>
      <c r="Z591" s="20">
        <v>11</v>
      </c>
      <c r="AA591" s="20" t="s">
        <v>592</v>
      </c>
      <c r="AC591" s="20" t="s">
        <v>1144</v>
      </c>
      <c r="AD591" s="20" t="s">
        <v>249</v>
      </c>
      <c r="AE591" s="20" t="s">
        <v>2480</v>
      </c>
      <c r="AF591" s="20" t="s">
        <v>2758</v>
      </c>
      <c r="AG591" s="20" t="s">
        <v>835</v>
      </c>
      <c r="AH591" s="20">
        <v>5</v>
      </c>
      <c r="AI591" s="20">
        <v>4</v>
      </c>
      <c r="AJ591" s="20" t="s">
        <v>592</v>
      </c>
      <c r="AL591" s="20" t="s">
        <v>646</v>
      </c>
      <c r="AM591" s="20" t="s">
        <v>303</v>
      </c>
      <c r="AN591" s="20" t="s">
        <v>1904</v>
      </c>
      <c r="AO591" s="20" t="s">
        <v>2183</v>
      </c>
      <c r="AP591" s="20" t="s">
        <v>628</v>
      </c>
      <c r="AQ591" s="20">
        <v>10</v>
      </c>
      <c r="AR591" s="20">
        <v>10</v>
      </c>
      <c r="AS591" s="20" t="s">
        <v>592</v>
      </c>
    </row>
    <row r="592" spans="11:45" ht="15.75" customHeight="1" x14ac:dyDescent="0.2">
      <c r="K592" s="20" t="s">
        <v>640</v>
      </c>
      <c r="L592" s="20" t="s">
        <v>705</v>
      </c>
      <c r="M592" s="20" t="s">
        <v>1883</v>
      </c>
      <c r="N592" s="20" t="s">
        <v>379</v>
      </c>
      <c r="O592" s="20" t="s">
        <v>835</v>
      </c>
      <c r="P592" s="20">
        <v>5</v>
      </c>
      <c r="Q592" s="20">
        <v>5</v>
      </c>
      <c r="R592" s="20" t="s">
        <v>592</v>
      </c>
      <c r="T592" s="20" t="s">
        <v>1161</v>
      </c>
      <c r="U592" s="20" t="s">
        <v>117</v>
      </c>
      <c r="V592" s="20" t="s">
        <v>455</v>
      </c>
      <c r="W592" s="20" t="s">
        <v>2377</v>
      </c>
      <c r="X592" s="20" t="s">
        <v>628</v>
      </c>
      <c r="Y592" s="20">
        <v>10</v>
      </c>
      <c r="Z592" s="20">
        <v>5</v>
      </c>
      <c r="AA592" s="20" t="s">
        <v>592</v>
      </c>
      <c r="AC592" s="20" t="s">
        <v>1144</v>
      </c>
      <c r="AD592" s="20" t="s">
        <v>249</v>
      </c>
      <c r="AE592" s="20" t="s">
        <v>2480</v>
      </c>
      <c r="AF592" s="20" t="s">
        <v>2759</v>
      </c>
      <c r="AG592" s="20" t="s">
        <v>835</v>
      </c>
      <c r="AH592" s="20">
        <v>5</v>
      </c>
      <c r="AI592" s="20">
        <v>1</v>
      </c>
      <c r="AJ592" s="20" t="s">
        <v>592</v>
      </c>
      <c r="AL592" s="20" t="s">
        <v>646</v>
      </c>
      <c r="AM592" s="20" t="s">
        <v>303</v>
      </c>
      <c r="AN592" s="20" t="s">
        <v>427</v>
      </c>
      <c r="AO592" s="20" t="s">
        <v>2624</v>
      </c>
      <c r="AP592" s="20" t="s">
        <v>628</v>
      </c>
      <c r="AQ592" s="20">
        <v>10</v>
      </c>
      <c r="AR592" s="20">
        <v>13</v>
      </c>
      <c r="AS592" s="20" t="s">
        <v>592</v>
      </c>
    </row>
    <row r="593" spans="11:45" ht="15.75" customHeight="1" x14ac:dyDescent="0.2">
      <c r="K593" s="20" t="s">
        <v>640</v>
      </c>
      <c r="L593" s="20" t="s">
        <v>705</v>
      </c>
      <c r="M593" s="20" t="s">
        <v>1310</v>
      </c>
      <c r="N593" s="20" t="s">
        <v>808</v>
      </c>
      <c r="O593" s="20" t="s">
        <v>835</v>
      </c>
      <c r="P593" s="20">
        <v>5</v>
      </c>
      <c r="Q593" s="20">
        <v>2</v>
      </c>
      <c r="R593" s="20" t="s">
        <v>593</v>
      </c>
      <c r="T593" s="20" t="s">
        <v>1161</v>
      </c>
      <c r="U593" s="20" t="s">
        <v>117</v>
      </c>
      <c r="V593" s="20" t="s">
        <v>456</v>
      </c>
      <c r="W593" s="20" t="s">
        <v>2378</v>
      </c>
      <c r="X593" s="20" t="s">
        <v>628</v>
      </c>
      <c r="Y593" s="20">
        <v>10</v>
      </c>
      <c r="Z593" s="20">
        <v>9</v>
      </c>
      <c r="AA593" s="20" t="s">
        <v>592</v>
      </c>
      <c r="AC593" s="20" t="s">
        <v>1147</v>
      </c>
      <c r="AD593" s="20" t="s">
        <v>225</v>
      </c>
      <c r="AE593" s="20" t="s">
        <v>381</v>
      </c>
      <c r="AF593" s="20" t="s">
        <v>774</v>
      </c>
      <c r="AG593" s="20" t="s">
        <v>835</v>
      </c>
      <c r="AH593" s="20">
        <v>5</v>
      </c>
      <c r="AI593" s="20">
        <v>2</v>
      </c>
      <c r="AJ593" s="20" t="s">
        <v>593</v>
      </c>
      <c r="AL593" s="20" t="s">
        <v>646</v>
      </c>
      <c r="AM593" s="20" t="s">
        <v>303</v>
      </c>
      <c r="AN593" s="20" t="s">
        <v>428</v>
      </c>
      <c r="AO593" s="20" t="s">
        <v>890</v>
      </c>
      <c r="AP593" s="20" t="s">
        <v>628</v>
      </c>
      <c r="AQ593" s="20">
        <v>10</v>
      </c>
      <c r="AR593" s="20">
        <v>11</v>
      </c>
      <c r="AS593" s="20" t="s">
        <v>592</v>
      </c>
    </row>
    <row r="594" spans="11:45" ht="15.75" customHeight="1" x14ac:dyDescent="0.2">
      <c r="K594" s="20" t="s">
        <v>640</v>
      </c>
      <c r="L594" s="20" t="s">
        <v>705</v>
      </c>
      <c r="M594" s="20" t="s">
        <v>1964</v>
      </c>
      <c r="N594" s="20" t="s">
        <v>1965</v>
      </c>
      <c r="O594" s="20" t="s">
        <v>835</v>
      </c>
      <c r="P594" s="20">
        <v>5</v>
      </c>
      <c r="Q594" s="20">
        <v>6</v>
      </c>
      <c r="R594" s="20" t="s">
        <v>592</v>
      </c>
      <c r="T594" s="20" t="s">
        <v>1161</v>
      </c>
      <c r="U594" s="20" t="s">
        <v>117</v>
      </c>
      <c r="V594" s="20" t="s">
        <v>465</v>
      </c>
      <c r="W594" s="20" t="s">
        <v>1747</v>
      </c>
      <c r="X594" s="20" t="s">
        <v>628</v>
      </c>
      <c r="Y594" s="20">
        <v>10</v>
      </c>
      <c r="Z594" s="20">
        <v>14</v>
      </c>
      <c r="AA594" s="20" t="s">
        <v>592</v>
      </c>
      <c r="AC594" s="20" t="s">
        <v>1147</v>
      </c>
      <c r="AD594" s="20" t="s">
        <v>20</v>
      </c>
      <c r="AE594" s="20" t="s">
        <v>1829</v>
      </c>
      <c r="AF594" s="20" t="s">
        <v>2760</v>
      </c>
      <c r="AG594" s="20" t="s">
        <v>835</v>
      </c>
      <c r="AH594" s="20">
        <v>5</v>
      </c>
      <c r="AI594" s="20">
        <v>6</v>
      </c>
      <c r="AJ594" s="20" t="s">
        <v>592</v>
      </c>
      <c r="AL594" s="20" t="s">
        <v>646</v>
      </c>
      <c r="AM594" s="20" t="s">
        <v>25</v>
      </c>
      <c r="AN594" s="20" t="s">
        <v>372</v>
      </c>
      <c r="AO594" s="20" t="s">
        <v>1305</v>
      </c>
      <c r="AP594" s="20" t="s">
        <v>628</v>
      </c>
      <c r="AQ594" s="20">
        <v>10</v>
      </c>
      <c r="AR594" s="20">
        <v>8</v>
      </c>
      <c r="AS594" s="20" t="s">
        <v>592</v>
      </c>
    </row>
    <row r="595" spans="11:45" ht="15.75" customHeight="1" x14ac:dyDescent="0.2">
      <c r="K595" s="20" t="s">
        <v>1147</v>
      </c>
      <c r="L595" s="20" t="s">
        <v>244</v>
      </c>
      <c r="M595" s="20" t="s">
        <v>1343</v>
      </c>
      <c r="N595" s="20" t="s">
        <v>488</v>
      </c>
      <c r="O595" s="20" t="s">
        <v>835</v>
      </c>
      <c r="P595" s="20">
        <v>5</v>
      </c>
      <c r="Q595" s="20">
        <v>1</v>
      </c>
      <c r="R595" s="20" t="s">
        <v>593</v>
      </c>
      <c r="T595" s="20" t="s">
        <v>1161</v>
      </c>
      <c r="U595" s="20" t="s">
        <v>117</v>
      </c>
      <c r="V595" s="20" t="s">
        <v>1907</v>
      </c>
      <c r="W595" s="20" t="s">
        <v>2200</v>
      </c>
      <c r="X595" s="20" t="s">
        <v>628</v>
      </c>
      <c r="Y595" s="20">
        <v>10</v>
      </c>
      <c r="Z595" s="20">
        <v>12</v>
      </c>
      <c r="AA595" s="20" t="s">
        <v>592</v>
      </c>
      <c r="AC595" s="20" t="s">
        <v>1162</v>
      </c>
      <c r="AD595" s="20" t="s">
        <v>352</v>
      </c>
      <c r="AE595" s="20" t="s">
        <v>443</v>
      </c>
      <c r="AF595" s="20" t="s">
        <v>2163</v>
      </c>
      <c r="AG595" s="20" t="s">
        <v>835</v>
      </c>
      <c r="AH595" s="20">
        <v>5</v>
      </c>
      <c r="AI595" s="20">
        <v>5</v>
      </c>
      <c r="AJ595" s="20" t="s">
        <v>592</v>
      </c>
      <c r="AL595" s="20" t="s">
        <v>646</v>
      </c>
      <c r="AM595" s="20" t="s">
        <v>25</v>
      </c>
      <c r="AN595" s="20" t="s">
        <v>521</v>
      </c>
      <c r="AO595" s="20" t="s">
        <v>2345</v>
      </c>
      <c r="AP595" s="20" t="s">
        <v>628</v>
      </c>
      <c r="AQ595" s="20">
        <v>10</v>
      </c>
      <c r="AR595" s="20">
        <v>8</v>
      </c>
      <c r="AS595" s="20" t="s">
        <v>592</v>
      </c>
    </row>
    <row r="596" spans="11:45" ht="15.75" customHeight="1" x14ac:dyDescent="0.2">
      <c r="K596" s="20" t="s">
        <v>646</v>
      </c>
      <c r="L596" s="20" t="s">
        <v>285</v>
      </c>
      <c r="M596" s="20" t="s">
        <v>864</v>
      </c>
      <c r="N596" s="20" t="s">
        <v>461</v>
      </c>
      <c r="O596" s="20" t="s">
        <v>835</v>
      </c>
      <c r="P596" s="20">
        <v>5</v>
      </c>
      <c r="Q596" s="20">
        <v>8</v>
      </c>
      <c r="R596" s="20" t="s">
        <v>592</v>
      </c>
      <c r="T596" s="20" t="s">
        <v>1161</v>
      </c>
      <c r="U596" s="20" t="s">
        <v>304</v>
      </c>
      <c r="V596" s="20" t="s">
        <v>423</v>
      </c>
      <c r="W596" s="20" t="s">
        <v>2379</v>
      </c>
      <c r="X596" s="20" t="s">
        <v>628</v>
      </c>
      <c r="Y596" s="20">
        <v>10</v>
      </c>
      <c r="Z596" s="20">
        <v>6</v>
      </c>
      <c r="AA596" s="20" t="s">
        <v>593</v>
      </c>
      <c r="AC596" s="20" t="s">
        <v>1144</v>
      </c>
      <c r="AD596" s="20" t="s">
        <v>249</v>
      </c>
      <c r="AE596" s="20" t="s">
        <v>560</v>
      </c>
      <c r="AF596" s="20" t="s">
        <v>2761</v>
      </c>
      <c r="AG596" s="20" t="s">
        <v>835</v>
      </c>
      <c r="AH596" s="20">
        <v>5</v>
      </c>
      <c r="AI596" s="20">
        <v>1</v>
      </c>
      <c r="AJ596" s="20" t="s">
        <v>593</v>
      </c>
      <c r="AL596" s="20" t="s">
        <v>646</v>
      </c>
      <c r="AM596" s="20" t="s">
        <v>334</v>
      </c>
      <c r="AN596" s="20" t="s">
        <v>1772</v>
      </c>
      <c r="AO596" s="20" t="s">
        <v>1771</v>
      </c>
      <c r="AP596" s="20" t="s">
        <v>835</v>
      </c>
      <c r="AQ596" s="20">
        <v>5</v>
      </c>
      <c r="AR596" s="20">
        <v>18</v>
      </c>
      <c r="AS596" s="20" t="s">
        <v>592</v>
      </c>
    </row>
    <row r="597" spans="11:45" ht="15.75" customHeight="1" x14ac:dyDescent="0.2">
      <c r="K597" s="20" t="s">
        <v>1163</v>
      </c>
      <c r="L597" s="20" t="s">
        <v>57</v>
      </c>
      <c r="M597" s="20" t="s">
        <v>1497</v>
      </c>
      <c r="N597" s="20" t="s">
        <v>361</v>
      </c>
      <c r="O597" s="20" t="s">
        <v>835</v>
      </c>
      <c r="P597" s="20">
        <v>5</v>
      </c>
      <c r="Q597" s="20">
        <v>4</v>
      </c>
      <c r="R597" s="20" t="s">
        <v>593</v>
      </c>
      <c r="T597" s="20" t="s">
        <v>1161</v>
      </c>
      <c r="U597" s="20" t="s">
        <v>659</v>
      </c>
      <c r="V597" s="20" t="s">
        <v>391</v>
      </c>
      <c r="W597" s="20" t="s">
        <v>1646</v>
      </c>
      <c r="X597" s="20" t="s">
        <v>835</v>
      </c>
      <c r="Y597" s="20">
        <v>5</v>
      </c>
      <c r="Z597" s="20">
        <v>5</v>
      </c>
      <c r="AA597" s="20" t="s">
        <v>592</v>
      </c>
      <c r="AC597" s="20" t="s">
        <v>1144</v>
      </c>
      <c r="AD597" s="20" t="s">
        <v>249</v>
      </c>
      <c r="AE597" s="20" t="s">
        <v>560</v>
      </c>
      <c r="AF597" s="20" t="s">
        <v>2393</v>
      </c>
      <c r="AG597" s="20" t="s">
        <v>835</v>
      </c>
      <c r="AH597" s="20">
        <v>5</v>
      </c>
      <c r="AI597" s="20">
        <v>1</v>
      </c>
      <c r="AJ597" s="20" t="s">
        <v>593</v>
      </c>
      <c r="AL597" s="20" t="s">
        <v>646</v>
      </c>
      <c r="AM597" s="20" t="s">
        <v>334</v>
      </c>
      <c r="AN597" s="20" t="s">
        <v>1806</v>
      </c>
      <c r="AO597" s="20" t="s">
        <v>3112</v>
      </c>
      <c r="AP597" s="20" t="s">
        <v>835</v>
      </c>
      <c r="AQ597" s="20">
        <v>5</v>
      </c>
      <c r="AR597" s="20">
        <v>5</v>
      </c>
      <c r="AS597" s="20" t="s">
        <v>592</v>
      </c>
    </row>
    <row r="598" spans="11:45" ht="15.75" customHeight="1" x14ac:dyDescent="0.2">
      <c r="K598" s="20" t="s">
        <v>1163</v>
      </c>
      <c r="L598" s="20" t="s">
        <v>57</v>
      </c>
      <c r="M598" s="20" t="s">
        <v>1493</v>
      </c>
      <c r="N598" s="20" t="s">
        <v>506</v>
      </c>
      <c r="O598" s="20" t="s">
        <v>835</v>
      </c>
      <c r="P598" s="20">
        <v>5</v>
      </c>
      <c r="Q598" s="20">
        <v>2</v>
      </c>
      <c r="R598" s="20" t="s">
        <v>593</v>
      </c>
      <c r="T598" s="20" t="s">
        <v>1161</v>
      </c>
      <c r="U598" s="20" t="s">
        <v>659</v>
      </c>
      <c r="V598" s="20" t="s">
        <v>955</v>
      </c>
      <c r="W598" s="20" t="s">
        <v>2380</v>
      </c>
      <c r="X598" s="20" t="s">
        <v>835</v>
      </c>
      <c r="Y598" s="20">
        <v>5</v>
      </c>
      <c r="Z598" s="20">
        <v>4</v>
      </c>
      <c r="AA598" s="20" t="s">
        <v>593</v>
      </c>
      <c r="AC598" s="20" t="s">
        <v>1163</v>
      </c>
      <c r="AD598" s="20" t="s">
        <v>1165</v>
      </c>
      <c r="AE598" s="20" t="s">
        <v>504</v>
      </c>
      <c r="AF598" s="20" t="s">
        <v>1262</v>
      </c>
      <c r="AG598" s="20" t="s">
        <v>835</v>
      </c>
      <c r="AH598" s="20">
        <v>5</v>
      </c>
      <c r="AI598" s="20">
        <v>5</v>
      </c>
      <c r="AJ598" s="20" t="s">
        <v>592</v>
      </c>
      <c r="AL598" s="20" t="s">
        <v>646</v>
      </c>
      <c r="AM598" s="20" t="s">
        <v>246</v>
      </c>
      <c r="AN598" s="20" t="s">
        <v>523</v>
      </c>
      <c r="AO598" s="20" t="s">
        <v>3120</v>
      </c>
      <c r="AP598" s="20" t="s">
        <v>628</v>
      </c>
      <c r="AQ598" s="20">
        <v>10</v>
      </c>
      <c r="AR598" s="20">
        <v>10</v>
      </c>
      <c r="AS598" s="20" t="s">
        <v>592</v>
      </c>
    </row>
    <row r="599" spans="11:45" ht="15.75" customHeight="1" x14ac:dyDescent="0.2">
      <c r="K599" s="20" t="s">
        <v>646</v>
      </c>
      <c r="L599" s="20" t="s">
        <v>1109</v>
      </c>
      <c r="M599" s="20" t="s">
        <v>1734</v>
      </c>
      <c r="N599" s="20" t="s">
        <v>367</v>
      </c>
      <c r="O599" s="20" t="s">
        <v>628</v>
      </c>
      <c r="P599" s="20">
        <v>10</v>
      </c>
      <c r="Q599" s="20">
        <v>20</v>
      </c>
      <c r="R599" s="20" t="s">
        <v>592</v>
      </c>
      <c r="T599" s="20" t="s">
        <v>1161</v>
      </c>
      <c r="U599" s="20" t="s">
        <v>304</v>
      </c>
      <c r="V599" s="20" t="s">
        <v>2461</v>
      </c>
      <c r="W599" s="20" t="s">
        <v>2152</v>
      </c>
      <c r="X599" s="20" t="s">
        <v>835</v>
      </c>
      <c r="Y599" s="20">
        <v>5</v>
      </c>
      <c r="Z599" s="20">
        <v>1</v>
      </c>
      <c r="AA599" s="20" t="s">
        <v>593</v>
      </c>
      <c r="AC599" s="20" t="s">
        <v>2099</v>
      </c>
      <c r="AD599" s="20" t="s">
        <v>2117</v>
      </c>
      <c r="AE599" s="20" t="s">
        <v>2530</v>
      </c>
      <c r="AF599" s="20" t="s">
        <v>2118</v>
      </c>
      <c r="AG599" s="20" t="s">
        <v>835</v>
      </c>
      <c r="AH599" s="20">
        <v>5</v>
      </c>
      <c r="AI599" s="20">
        <v>6</v>
      </c>
      <c r="AJ599" s="20" t="s">
        <v>592</v>
      </c>
      <c r="AL599" s="20" t="s">
        <v>646</v>
      </c>
      <c r="AM599" s="20" t="s">
        <v>334</v>
      </c>
      <c r="AN599" s="20" t="s">
        <v>507</v>
      </c>
      <c r="AO599" s="20" t="s">
        <v>3121</v>
      </c>
      <c r="AP599" s="20" t="s">
        <v>835</v>
      </c>
      <c r="AQ599" s="20">
        <v>5</v>
      </c>
      <c r="AR599" s="20">
        <v>1</v>
      </c>
      <c r="AS599" s="20" t="s">
        <v>593</v>
      </c>
    </row>
    <row r="600" spans="11:45" ht="15.75" customHeight="1" x14ac:dyDescent="0.2">
      <c r="K600" s="20" t="s">
        <v>646</v>
      </c>
      <c r="L600" s="20" t="s">
        <v>25</v>
      </c>
      <c r="M600" s="20" t="s">
        <v>1013</v>
      </c>
      <c r="N600" s="20" t="s">
        <v>524</v>
      </c>
      <c r="O600" s="20" t="s">
        <v>628</v>
      </c>
      <c r="P600" s="20">
        <v>10</v>
      </c>
      <c r="Q600" s="20">
        <v>9</v>
      </c>
      <c r="R600" s="20" t="s">
        <v>592</v>
      </c>
      <c r="T600" s="20" t="s">
        <v>1161</v>
      </c>
      <c r="U600" s="20" t="s">
        <v>765</v>
      </c>
      <c r="V600" s="20" t="s">
        <v>858</v>
      </c>
      <c r="W600" s="20" t="s">
        <v>2381</v>
      </c>
      <c r="X600" s="20" t="s">
        <v>835</v>
      </c>
      <c r="Y600" s="20">
        <v>5</v>
      </c>
      <c r="Z600" s="20">
        <v>6</v>
      </c>
      <c r="AA600" s="20" t="s">
        <v>592</v>
      </c>
      <c r="AC600" s="20" t="s">
        <v>2099</v>
      </c>
      <c r="AD600" s="20" t="s">
        <v>2117</v>
      </c>
      <c r="AE600" s="20" t="s">
        <v>2530</v>
      </c>
      <c r="AF600" s="20" t="s">
        <v>2119</v>
      </c>
      <c r="AG600" s="20" t="s">
        <v>835</v>
      </c>
      <c r="AH600" s="20">
        <v>5</v>
      </c>
      <c r="AI600" s="20">
        <v>4</v>
      </c>
      <c r="AJ600" s="20" t="s">
        <v>592</v>
      </c>
      <c r="AL600" s="20" t="s">
        <v>646</v>
      </c>
      <c r="AM600" s="20" t="s">
        <v>209</v>
      </c>
      <c r="AN600" s="20" t="s">
        <v>2842</v>
      </c>
      <c r="AO600" s="20" t="s">
        <v>3091</v>
      </c>
      <c r="AP600" s="20" t="s">
        <v>835</v>
      </c>
      <c r="AQ600" s="20">
        <v>5</v>
      </c>
      <c r="AR600" s="20">
        <v>5</v>
      </c>
      <c r="AS600" s="20" t="s">
        <v>592</v>
      </c>
    </row>
    <row r="601" spans="11:45" ht="15.75" customHeight="1" x14ac:dyDescent="0.2">
      <c r="K601" s="20" t="s">
        <v>646</v>
      </c>
      <c r="L601" s="20" t="s">
        <v>1109</v>
      </c>
      <c r="M601" s="20" t="s">
        <v>1966</v>
      </c>
      <c r="N601" s="20" t="s">
        <v>369</v>
      </c>
      <c r="O601" s="20" t="s">
        <v>835</v>
      </c>
      <c r="P601" s="20">
        <v>5</v>
      </c>
      <c r="Q601" s="20">
        <v>7</v>
      </c>
      <c r="R601" s="20" t="s">
        <v>592</v>
      </c>
      <c r="T601" s="20" t="s">
        <v>1161</v>
      </c>
      <c r="U601" s="20" t="s">
        <v>765</v>
      </c>
      <c r="V601" s="20" t="s">
        <v>2470</v>
      </c>
      <c r="W601" s="20" t="s">
        <v>2205</v>
      </c>
      <c r="X601" s="20" t="s">
        <v>835</v>
      </c>
      <c r="Y601" s="20">
        <v>5</v>
      </c>
      <c r="Z601" s="20">
        <v>1</v>
      </c>
      <c r="AA601" s="20" t="s">
        <v>593</v>
      </c>
      <c r="AC601" s="20" t="s">
        <v>646</v>
      </c>
      <c r="AD601" s="20" t="s">
        <v>303</v>
      </c>
      <c r="AE601" s="20" t="s">
        <v>1774</v>
      </c>
      <c r="AF601" s="20" t="s">
        <v>2278</v>
      </c>
      <c r="AG601" s="20" t="s">
        <v>835</v>
      </c>
      <c r="AH601" s="20">
        <v>5</v>
      </c>
      <c r="AI601" s="20">
        <v>1</v>
      </c>
      <c r="AJ601" s="20" t="s">
        <v>593</v>
      </c>
      <c r="AL601" s="20" t="s">
        <v>646</v>
      </c>
      <c r="AM601" s="20" t="s">
        <v>209</v>
      </c>
      <c r="AN601" s="20" t="s">
        <v>1714</v>
      </c>
      <c r="AO601" s="20" t="s">
        <v>1990</v>
      </c>
      <c r="AP601" s="20" t="s">
        <v>835</v>
      </c>
      <c r="AQ601" s="20">
        <v>5</v>
      </c>
      <c r="AR601" s="20">
        <v>7</v>
      </c>
      <c r="AS601" s="20" t="s">
        <v>592</v>
      </c>
    </row>
    <row r="602" spans="11:45" ht="15.75" customHeight="1" x14ac:dyDescent="0.2">
      <c r="K602" s="20" t="s">
        <v>646</v>
      </c>
      <c r="L602" s="20" t="s">
        <v>25</v>
      </c>
      <c r="M602" s="20" t="s">
        <v>1967</v>
      </c>
      <c r="N602" s="20" t="s">
        <v>1968</v>
      </c>
      <c r="O602" s="20" t="s">
        <v>835</v>
      </c>
      <c r="P602" s="20">
        <v>5</v>
      </c>
      <c r="Q602" s="20">
        <v>5</v>
      </c>
      <c r="R602" s="20" t="s">
        <v>592</v>
      </c>
      <c r="T602" s="20" t="s">
        <v>1161</v>
      </c>
      <c r="U602" s="20" t="s">
        <v>765</v>
      </c>
      <c r="V602" s="20" t="s">
        <v>512</v>
      </c>
      <c r="W602" s="20" t="s">
        <v>2382</v>
      </c>
      <c r="X602" s="20" t="s">
        <v>835</v>
      </c>
      <c r="Y602" s="20">
        <v>5</v>
      </c>
      <c r="Z602" s="20">
        <v>5</v>
      </c>
      <c r="AA602" s="20" t="s">
        <v>592</v>
      </c>
      <c r="AC602" s="20" t="s">
        <v>2099</v>
      </c>
      <c r="AD602" s="20" t="s">
        <v>2103</v>
      </c>
      <c r="AE602" s="20" t="s">
        <v>2533</v>
      </c>
      <c r="AF602" s="20" t="s">
        <v>2105</v>
      </c>
      <c r="AG602" s="20" t="s">
        <v>835</v>
      </c>
      <c r="AH602" s="20">
        <v>5</v>
      </c>
      <c r="AI602" s="20">
        <v>8</v>
      </c>
      <c r="AJ602" s="20" t="s">
        <v>592</v>
      </c>
      <c r="AL602" s="20" t="s">
        <v>646</v>
      </c>
      <c r="AM602" s="20" t="s">
        <v>334</v>
      </c>
      <c r="AN602" s="20" t="s">
        <v>508</v>
      </c>
      <c r="AO602" s="20" t="s">
        <v>3063</v>
      </c>
      <c r="AP602" s="20" t="s">
        <v>835</v>
      </c>
      <c r="AQ602" s="20">
        <v>5</v>
      </c>
      <c r="AR602" s="20">
        <v>7</v>
      </c>
      <c r="AS602" s="20" t="s">
        <v>592</v>
      </c>
    </row>
    <row r="603" spans="11:45" ht="15.75" customHeight="1" x14ac:dyDescent="0.2">
      <c r="K603" s="20" t="s">
        <v>646</v>
      </c>
      <c r="L603" s="20" t="s">
        <v>25</v>
      </c>
      <c r="M603" s="20" t="s">
        <v>1305</v>
      </c>
      <c r="N603" s="20" t="s">
        <v>372</v>
      </c>
      <c r="O603" s="20" t="s">
        <v>835</v>
      </c>
      <c r="P603" s="20">
        <v>5</v>
      </c>
      <c r="Q603" s="20">
        <v>7</v>
      </c>
      <c r="R603" s="20" t="s">
        <v>592</v>
      </c>
      <c r="T603" s="20" t="s">
        <v>1161</v>
      </c>
      <c r="U603" s="20" t="s">
        <v>765</v>
      </c>
      <c r="V603" s="20" t="s">
        <v>1750</v>
      </c>
      <c r="W603" s="20" t="s">
        <v>2204</v>
      </c>
      <c r="X603" s="20" t="s">
        <v>835</v>
      </c>
      <c r="Y603" s="20">
        <v>5</v>
      </c>
      <c r="Z603" s="20">
        <v>5</v>
      </c>
      <c r="AA603" s="20" t="s">
        <v>592</v>
      </c>
      <c r="AC603" s="20" t="s">
        <v>1141</v>
      </c>
      <c r="AD603" s="20" t="s">
        <v>218</v>
      </c>
      <c r="AE603" s="20" t="s">
        <v>732</v>
      </c>
      <c r="AF603" s="20" t="s">
        <v>1219</v>
      </c>
      <c r="AG603" s="20" t="s">
        <v>835</v>
      </c>
      <c r="AH603" s="20">
        <v>5</v>
      </c>
      <c r="AI603" s="20">
        <v>5</v>
      </c>
      <c r="AJ603" s="20" t="s">
        <v>592</v>
      </c>
      <c r="AL603" s="20" t="s">
        <v>646</v>
      </c>
      <c r="AM603" s="20" t="s">
        <v>334</v>
      </c>
      <c r="AN603" s="20" t="s">
        <v>1545</v>
      </c>
      <c r="AO603" s="20" t="s">
        <v>1544</v>
      </c>
      <c r="AP603" s="20" t="s">
        <v>835</v>
      </c>
      <c r="AQ603" s="20">
        <v>5</v>
      </c>
      <c r="AR603" s="20">
        <v>7</v>
      </c>
      <c r="AS603" s="20" t="s">
        <v>592</v>
      </c>
    </row>
    <row r="604" spans="11:45" ht="15.75" customHeight="1" x14ac:dyDescent="0.2">
      <c r="K604" s="20" t="s">
        <v>1147</v>
      </c>
      <c r="L604" s="20" t="s">
        <v>244</v>
      </c>
      <c r="M604" s="20" t="s">
        <v>1284</v>
      </c>
      <c r="N604" s="20" t="s">
        <v>609</v>
      </c>
      <c r="O604" s="20" t="s">
        <v>835</v>
      </c>
      <c r="P604" s="20">
        <v>5</v>
      </c>
      <c r="Q604" s="20">
        <v>4</v>
      </c>
      <c r="R604" s="20" t="s">
        <v>593</v>
      </c>
      <c r="T604" s="20" t="s">
        <v>1161</v>
      </c>
      <c r="U604" s="20" t="s">
        <v>765</v>
      </c>
      <c r="V604" s="20" t="s">
        <v>537</v>
      </c>
      <c r="W604" s="20" t="s">
        <v>2383</v>
      </c>
      <c r="X604" s="20" t="s">
        <v>835</v>
      </c>
      <c r="Y604" s="20">
        <v>5</v>
      </c>
      <c r="Z604" s="20">
        <v>5</v>
      </c>
      <c r="AA604" s="20" t="s">
        <v>592</v>
      </c>
      <c r="AC604" s="20" t="s">
        <v>2099</v>
      </c>
      <c r="AD604" s="20" t="s">
        <v>2112</v>
      </c>
      <c r="AE604" s="20" t="s">
        <v>2527</v>
      </c>
      <c r="AF604" s="20" t="s">
        <v>2762</v>
      </c>
      <c r="AG604" s="20" t="s">
        <v>835</v>
      </c>
      <c r="AH604" s="20">
        <v>5</v>
      </c>
      <c r="AI604" s="20">
        <v>9</v>
      </c>
      <c r="AJ604" s="20" t="s">
        <v>592</v>
      </c>
      <c r="AL604" s="20" t="s">
        <v>646</v>
      </c>
      <c r="AM604" s="20" t="s">
        <v>1109</v>
      </c>
      <c r="AN604" s="20" t="s">
        <v>375</v>
      </c>
      <c r="AO604" s="20" t="s">
        <v>1808</v>
      </c>
      <c r="AP604" s="20" t="s">
        <v>835</v>
      </c>
      <c r="AQ604" s="20">
        <v>5</v>
      </c>
      <c r="AR604" s="20">
        <v>9</v>
      </c>
      <c r="AS604" s="20" t="s">
        <v>592</v>
      </c>
    </row>
    <row r="605" spans="11:45" ht="15.75" customHeight="1" x14ac:dyDescent="0.2">
      <c r="K605" s="20" t="s">
        <v>640</v>
      </c>
      <c r="L605" s="20" t="s">
        <v>756</v>
      </c>
      <c r="M605" s="20" t="s">
        <v>1592</v>
      </c>
      <c r="N605" s="20" t="s">
        <v>1593</v>
      </c>
      <c r="O605" s="20" t="s">
        <v>835</v>
      </c>
      <c r="P605" s="20">
        <v>5</v>
      </c>
      <c r="Q605" s="20">
        <v>5</v>
      </c>
      <c r="R605" s="20" t="s">
        <v>592</v>
      </c>
      <c r="T605" s="20" t="s">
        <v>1141</v>
      </c>
      <c r="U605" s="20" t="s">
        <v>218</v>
      </c>
      <c r="V605" s="20" t="s">
        <v>1467</v>
      </c>
      <c r="W605" s="20" t="s">
        <v>1466</v>
      </c>
      <c r="X605" s="20" t="s">
        <v>835</v>
      </c>
      <c r="Y605" s="20">
        <v>5</v>
      </c>
      <c r="Z605" s="20">
        <v>3</v>
      </c>
      <c r="AA605" s="20" t="s">
        <v>593</v>
      </c>
      <c r="AC605" s="20" t="s">
        <v>640</v>
      </c>
      <c r="AD605" s="20" t="s">
        <v>191</v>
      </c>
      <c r="AE605" s="20" t="s">
        <v>378</v>
      </c>
      <c r="AF605" s="20" t="s">
        <v>1843</v>
      </c>
      <c r="AG605" s="20" t="s">
        <v>835</v>
      </c>
      <c r="AH605" s="20">
        <v>5</v>
      </c>
      <c r="AI605" s="20">
        <v>1</v>
      </c>
      <c r="AJ605" s="20" t="s">
        <v>593</v>
      </c>
      <c r="AL605" s="20" t="s">
        <v>646</v>
      </c>
      <c r="AM605" s="20" t="s">
        <v>246</v>
      </c>
      <c r="AN605" s="20" t="s">
        <v>368</v>
      </c>
      <c r="AO605" s="20" t="s">
        <v>3122</v>
      </c>
      <c r="AP605" s="20" t="s">
        <v>835</v>
      </c>
      <c r="AQ605" s="20">
        <v>5</v>
      </c>
      <c r="AR605" s="20">
        <v>6</v>
      </c>
      <c r="AS605" s="20" t="s">
        <v>592</v>
      </c>
    </row>
    <row r="606" spans="11:45" ht="15.75" customHeight="1" x14ac:dyDescent="0.2">
      <c r="K606" s="20" t="s">
        <v>646</v>
      </c>
      <c r="L606" s="20" t="s">
        <v>246</v>
      </c>
      <c r="M606" s="20" t="s">
        <v>1969</v>
      </c>
      <c r="N606" s="20" t="s">
        <v>1970</v>
      </c>
      <c r="O606" s="20" t="s">
        <v>628</v>
      </c>
      <c r="P606" s="20">
        <v>10</v>
      </c>
      <c r="Q606" s="20">
        <v>18</v>
      </c>
      <c r="R606" s="20" t="s">
        <v>592</v>
      </c>
      <c r="T606" s="20" t="s">
        <v>640</v>
      </c>
      <c r="U606" s="20" t="s">
        <v>191</v>
      </c>
      <c r="V606" s="20" t="s">
        <v>378</v>
      </c>
      <c r="W606" s="20" t="s">
        <v>1843</v>
      </c>
      <c r="X606" s="20" t="s">
        <v>835</v>
      </c>
      <c r="Y606" s="20">
        <v>5</v>
      </c>
      <c r="Z606" s="20">
        <v>2</v>
      </c>
      <c r="AA606" s="20" t="s">
        <v>593</v>
      </c>
      <c r="AC606" s="20" t="s">
        <v>640</v>
      </c>
      <c r="AD606" s="20" t="s">
        <v>705</v>
      </c>
      <c r="AE606" s="20" t="s">
        <v>2562</v>
      </c>
      <c r="AF606" s="20" t="s">
        <v>2763</v>
      </c>
      <c r="AG606" s="20" t="s">
        <v>835</v>
      </c>
      <c r="AH606" s="20">
        <v>5</v>
      </c>
      <c r="AI606" s="20">
        <v>5</v>
      </c>
      <c r="AJ606" s="20" t="s">
        <v>592</v>
      </c>
      <c r="AL606" s="20" t="s">
        <v>646</v>
      </c>
      <c r="AM606" s="20" t="s">
        <v>25</v>
      </c>
      <c r="AN606" s="20" t="s">
        <v>373</v>
      </c>
      <c r="AO606" s="20" t="s">
        <v>3070</v>
      </c>
      <c r="AP606" s="20" t="s">
        <v>835</v>
      </c>
      <c r="AQ606" s="20">
        <v>5</v>
      </c>
      <c r="AR606" s="20">
        <v>5</v>
      </c>
      <c r="AS606" s="20" t="s">
        <v>592</v>
      </c>
    </row>
    <row r="607" spans="11:45" ht="15.75" customHeight="1" x14ac:dyDescent="0.2">
      <c r="K607" s="20" t="s">
        <v>646</v>
      </c>
      <c r="L607" s="20" t="s">
        <v>246</v>
      </c>
      <c r="M607" s="20" t="s">
        <v>1708</v>
      </c>
      <c r="N607" s="20" t="s">
        <v>368</v>
      </c>
      <c r="O607" s="20" t="s">
        <v>628</v>
      </c>
      <c r="P607" s="20">
        <v>10</v>
      </c>
      <c r="Q607" s="20">
        <v>13</v>
      </c>
      <c r="R607" s="20" t="s">
        <v>592</v>
      </c>
      <c r="T607" s="20" t="s">
        <v>640</v>
      </c>
      <c r="U607" s="20" t="s">
        <v>248</v>
      </c>
      <c r="V607" s="20" t="s">
        <v>635</v>
      </c>
      <c r="W607" s="20" t="s">
        <v>1006</v>
      </c>
      <c r="X607" s="20" t="s">
        <v>835</v>
      </c>
      <c r="Y607" s="20">
        <v>5</v>
      </c>
      <c r="Z607" s="20">
        <v>6</v>
      </c>
      <c r="AA607" s="20" t="s">
        <v>592</v>
      </c>
      <c r="AC607" s="20" t="s">
        <v>1154</v>
      </c>
      <c r="AD607" s="20" t="s">
        <v>1152</v>
      </c>
      <c r="AE607" s="20" t="s">
        <v>2552</v>
      </c>
      <c r="AF607" s="20" t="s">
        <v>2692</v>
      </c>
      <c r="AG607" s="20" t="s">
        <v>835</v>
      </c>
      <c r="AH607" s="20">
        <v>5</v>
      </c>
      <c r="AI607" s="20">
        <v>3</v>
      </c>
      <c r="AJ607" s="20" t="s">
        <v>593</v>
      </c>
      <c r="AL607" s="20" t="s">
        <v>646</v>
      </c>
      <c r="AM607" s="20" t="s">
        <v>298</v>
      </c>
      <c r="AN607" s="20" t="s">
        <v>1810</v>
      </c>
      <c r="AO607" s="20" t="s">
        <v>2627</v>
      </c>
      <c r="AP607" s="20" t="s">
        <v>835</v>
      </c>
      <c r="AQ607" s="20">
        <v>5</v>
      </c>
      <c r="AR607" s="20">
        <v>5</v>
      </c>
      <c r="AS607" s="20" t="s">
        <v>592</v>
      </c>
    </row>
    <row r="608" spans="11:45" ht="15.75" customHeight="1" x14ac:dyDescent="0.2">
      <c r="K608" s="20" t="s">
        <v>646</v>
      </c>
      <c r="L608" s="20" t="s">
        <v>246</v>
      </c>
      <c r="M608" s="20" t="s">
        <v>1971</v>
      </c>
      <c r="N608" s="20" t="s">
        <v>523</v>
      </c>
      <c r="O608" s="20" t="s">
        <v>835</v>
      </c>
      <c r="P608" s="20">
        <v>5</v>
      </c>
      <c r="Q608" s="20">
        <v>6</v>
      </c>
      <c r="R608" s="20" t="s">
        <v>592</v>
      </c>
      <c r="T608" s="20" t="s">
        <v>640</v>
      </c>
      <c r="U608" s="20" t="s">
        <v>191</v>
      </c>
      <c r="V608" s="20" t="s">
        <v>570</v>
      </c>
      <c r="W608" s="20" t="s">
        <v>2384</v>
      </c>
      <c r="X608" s="20" t="s">
        <v>835</v>
      </c>
      <c r="Y608" s="20">
        <v>5</v>
      </c>
      <c r="Z608" s="20">
        <v>6</v>
      </c>
      <c r="AA608" s="20" t="s">
        <v>592</v>
      </c>
      <c r="AC608" s="20" t="s">
        <v>646</v>
      </c>
      <c r="AD608" s="20" t="s">
        <v>1109</v>
      </c>
      <c r="AE608" s="20" t="s">
        <v>1740</v>
      </c>
      <c r="AF608" s="20" t="s">
        <v>2277</v>
      </c>
      <c r="AG608" s="20" t="s">
        <v>835</v>
      </c>
      <c r="AH608" s="20">
        <v>5</v>
      </c>
      <c r="AI608" s="20">
        <v>6</v>
      </c>
      <c r="AJ608" s="20" t="s">
        <v>592</v>
      </c>
      <c r="AL608" s="20" t="s">
        <v>646</v>
      </c>
      <c r="AM608" s="20" t="s">
        <v>25</v>
      </c>
      <c r="AN608" s="20" t="s">
        <v>2836</v>
      </c>
      <c r="AO608" s="20" t="s">
        <v>3077</v>
      </c>
      <c r="AP608" s="20" t="s">
        <v>835</v>
      </c>
      <c r="AQ608" s="20">
        <v>5</v>
      </c>
      <c r="AR608" s="20">
        <v>2</v>
      </c>
      <c r="AS608" s="20" t="s">
        <v>593</v>
      </c>
    </row>
    <row r="609" spans="11:45" ht="15.75" customHeight="1" x14ac:dyDescent="0.2">
      <c r="K609" s="20" t="s">
        <v>646</v>
      </c>
      <c r="L609" s="20" t="s">
        <v>246</v>
      </c>
      <c r="M609" s="20" t="s">
        <v>1972</v>
      </c>
      <c r="N609" s="20" t="s">
        <v>523</v>
      </c>
      <c r="O609" s="20" t="s">
        <v>835</v>
      </c>
      <c r="P609" s="20">
        <v>5</v>
      </c>
      <c r="Q609" s="20">
        <v>1</v>
      </c>
      <c r="R609" s="20" t="s">
        <v>592</v>
      </c>
      <c r="T609" s="20" t="s">
        <v>640</v>
      </c>
      <c r="U609" s="20" t="s">
        <v>248</v>
      </c>
      <c r="V609" s="20" t="s">
        <v>844</v>
      </c>
      <c r="W609" s="20" t="s">
        <v>2182</v>
      </c>
      <c r="X609" s="20" t="s">
        <v>835</v>
      </c>
      <c r="Y609" s="20">
        <v>5</v>
      </c>
      <c r="Z609" s="20">
        <v>5</v>
      </c>
      <c r="AA609" s="20" t="s">
        <v>592</v>
      </c>
      <c r="AC609" s="20" t="s">
        <v>646</v>
      </c>
      <c r="AD609" s="20" t="s">
        <v>303</v>
      </c>
      <c r="AE609" s="20" t="s">
        <v>1904</v>
      </c>
      <c r="AF609" s="20" t="s">
        <v>2183</v>
      </c>
      <c r="AG609" s="20" t="s">
        <v>835</v>
      </c>
      <c r="AH609" s="20">
        <v>5</v>
      </c>
      <c r="AI609" s="20">
        <v>5</v>
      </c>
      <c r="AJ609" s="20" t="s">
        <v>592</v>
      </c>
      <c r="AL609" s="20" t="s">
        <v>1141</v>
      </c>
      <c r="AM609" s="20" t="s">
        <v>218</v>
      </c>
      <c r="AN609" s="20" t="s">
        <v>732</v>
      </c>
      <c r="AO609" s="20" t="s">
        <v>3123</v>
      </c>
      <c r="AP609" s="20" t="s">
        <v>628</v>
      </c>
      <c r="AQ609" s="20">
        <v>10</v>
      </c>
      <c r="AR609" s="20">
        <v>8</v>
      </c>
      <c r="AS609" s="20" t="s">
        <v>592</v>
      </c>
    </row>
    <row r="610" spans="11:45" ht="15.75" customHeight="1" x14ac:dyDescent="0.2">
      <c r="K610" s="20" t="s">
        <v>640</v>
      </c>
      <c r="L610" s="20" t="s">
        <v>248</v>
      </c>
      <c r="M610" s="20" t="s">
        <v>1071</v>
      </c>
      <c r="N610" s="20" t="s">
        <v>809</v>
      </c>
      <c r="O610" s="20" t="s">
        <v>835</v>
      </c>
      <c r="P610" s="20">
        <v>5</v>
      </c>
      <c r="Q610" s="20">
        <v>1</v>
      </c>
      <c r="R610" s="20" t="s">
        <v>593</v>
      </c>
      <c r="T610" s="20" t="s">
        <v>640</v>
      </c>
      <c r="U610" s="20" t="s">
        <v>248</v>
      </c>
      <c r="V610" s="20" t="s">
        <v>1963</v>
      </c>
      <c r="W610" s="20" t="s">
        <v>1962</v>
      </c>
      <c r="X610" s="20" t="s">
        <v>835</v>
      </c>
      <c r="Y610" s="20">
        <v>5</v>
      </c>
      <c r="Z610" s="20">
        <v>5</v>
      </c>
      <c r="AA610" s="20" t="s">
        <v>592</v>
      </c>
      <c r="AC610" s="20" t="s">
        <v>1144</v>
      </c>
      <c r="AD610" s="20" t="s">
        <v>249</v>
      </c>
      <c r="AE610" s="20" t="s">
        <v>564</v>
      </c>
      <c r="AF610" s="20" t="s">
        <v>834</v>
      </c>
      <c r="AG610" s="20" t="s">
        <v>835</v>
      </c>
      <c r="AH610" s="20">
        <v>5</v>
      </c>
      <c r="AI610" s="20">
        <v>5</v>
      </c>
      <c r="AJ610" s="20" t="s">
        <v>592</v>
      </c>
      <c r="AL610" s="20" t="s">
        <v>1141</v>
      </c>
      <c r="AM610" s="20" t="s">
        <v>218</v>
      </c>
      <c r="AN610" s="20" t="s">
        <v>377</v>
      </c>
      <c r="AO610" s="20" t="s">
        <v>3124</v>
      </c>
      <c r="AP610" s="20" t="s">
        <v>628</v>
      </c>
      <c r="AQ610" s="20">
        <v>10</v>
      </c>
      <c r="AR610" s="20">
        <v>10</v>
      </c>
      <c r="AS610" s="20" t="s">
        <v>592</v>
      </c>
    </row>
    <row r="611" spans="11:45" ht="15.75" customHeight="1" x14ac:dyDescent="0.2">
      <c r="K611" s="20" t="s">
        <v>1147</v>
      </c>
      <c r="L611" s="20" t="s">
        <v>699</v>
      </c>
      <c r="M611" s="20" t="s">
        <v>1294</v>
      </c>
      <c r="N611" s="20" t="s">
        <v>448</v>
      </c>
      <c r="O611" s="20" t="s">
        <v>628</v>
      </c>
      <c r="P611" s="20">
        <v>10</v>
      </c>
      <c r="Q611" s="20">
        <v>8</v>
      </c>
      <c r="R611" s="20" t="s">
        <v>592</v>
      </c>
      <c r="T611" s="20" t="s">
        <v>1161</v>
      </c>
      <c r="U611" s="20" t="s">
        <v>41</v>
      </c>
      <c r="V611" s="20" t="s">
        <v>536</v>
      </c>
      <c r="W611" s="20" t="s">
        <v>2385</v>
      </c>
      <c r="X611" s="20" t="s">
        <v>835</v>
      </c>
      <c r="Y611" s="20">
        <v>5</v>
      </c>
      <c r="Z611" s="20">
        <v>6</v>
      </c>
      <c r="AA611" s="20" t="s">
        <v>592</v>
      </c>
      <c r="AC611" s="20" t="s">
        <v>1144</v>
      </c>
      <c r="AD611" s="20" t="s">
        <v>804</v>
      </c>
      <c r="AE611" s="20" t="s">
        <v>559</v>
      </c>
      <c r="AF611" s="20" t="s">
        <v>2213</v>
      </c>
      <c r="AG611" s="20" t="s">
        <v>835</v>
      </c>
      <c r="AH611" s="20">
        <v>5</v>
      </c>
      <c r="AI611" s="20">
        <v>2</v>
      </c>
      <c r="AJ611" s="20" t="s">
        <v>593</v>
      </c>
      <c r="AL611" s="20" t="s">
        <v>1141</v>
      </c>
      <c r="AM611" s="20" t="s">
        <v>218</v>
      </c>
      <c r="AN611" s="20" t="s">
        <v>377</v>
      </c>
      <c r="AO611" s="20" t="s">
        <v>3125</v>
      </c>
      <c r="AP611" s="20" t="s">
        <v>628</v>
      </c>
      <c r="AQ611" s="20">
        <v>10</v>
      </c>
      <c r="AR611" s="20">
        <v>24</v>
      </c>
      <c r="AS611" s="20" t="s">
        <v>592</v>
      </c>
    </row>
    <row r="612" spans="11:45" ht="15.75" customHeight="1" x14ac:dyDescent="0.2">
      <c r="K612" s="20" t="s">
        <v>1147</v>
      </c>
      <c r="L612" s="20" t="s">
        <v>29</v>
      </c>
      <c r="M612" s="20" t="s">
        <v>1973</v>
      </c>
      <c r="N612" s="20" t="s">
        <v>1974</v>
      </c>
      <c r="O612" s="20" t="s">
        <v>835</v>
      </c>
      <c r="P612" s="20">
        <v>5</v>
      </c>
      <c r="Q612" s="20">
        <v>8</v>
      </c>
      <c r="R612" s="20" t="s">
        <v>592</v>
      </c>
      <c r="T612" s="20" t="s">
        <v>1161</v>
      </c>
      <c r="U612" s="20" t="s">
        <v>41</v>
      </c>
      <c r="V612" s="20" t="s">
        <v>1779</v>
      </c>
      <c r="W612" s="20" t="s">
        <v>2386</v>
      </c>
      <c r="X612" s="20" t="s">
        <v>835</v>
      </c>
      <c r="Y612" s="20">
        <v>5</v>
      </c>
      <c r="Z612" s="20">
        <v>1</v>
      </c>
      <c r="AA612" s="20" t="s">
        <v>593</v>
      </c>
      <c r="AC612" s="20" t="s">
        <v>1147</v>
      </c>
      <c r="AD612" s="20" t="s">
        <v>20</v>
      </c>
      <c r="AE612" s="20" t="s">
        <v>449</v>
      </c>
      <c r="AF612" s="20" t="s">
        <v>637</v>
      </c>
      <c r="AG612" s="20" t="s">
        <v>835</v>
      </c>
      <c r="AH612" s="20">
        <v>5</v>
      </c>
      <c r="AI612" s="20">
        <v>14</v>
      </c>
      <c r="AJ612" s="20" t="s">
        <v>592</v>
      </c>
      <c r="AL612" s="20" t="s">
        <v>1141</v>
      </c>
      <c r="AM612" s="20" t="s">
        <v>218</v>
      </c>
      <c r="AN612" s="20" t="s">
        <v>377</v>
      </c>
      <c r="AO612" s="20" t="s">
        <v>3126</v>
      </c>
      <c r="AP612" s="20" t="s">
        <v>628</v>
      </c>
      <c r="AQ612" s="20">
        <v>10</v>
      </c>
      <c r="AR612" s="20">
        <v>7</v>
      </c>
      <c r="AS612" s="20" t="s">
        <v>592</v>
      </c>
    </row>
    <row r="613" spans="11:45" ht="15.75" customHeight="1" x14ac:dyDescent="0.2">
      <c r="K613" s="20" t="s">
        <v>1147</v>
      </c>
      <c r="L613" s="20" t="s">
        <v>29</v>
      </c>
      <c r="M613" s="20" t="s">
        <v>820</v>
      </c>
      <c r="N613" s="20" t="s">
        <v>420</v>
      </c>
      <c r="O613" s="20" t="s">
        <v>835</v>
      </c>
      <c r="P613" s="20">
        <v>5</v>
      </c>
      <c r="Q613" s="20">
        <v>5</v>
      </c>
      <c r="R613" s="20" t="s">
        <v>592</v>
      </c>
      <c r="T613" s="20" t="s">
        <v>1147</v>
      </c>
      <c r="U613" s="20" t="s">
        <v>70</v>
      </c>
      <c r="V613" s="20" t="s">
        <v>2006</v>
      </c>
      <c r="W613" s="20" t="s">
        <v>2005</v>
      </c>
      <c r="X613" s="20" t="s">
        <v>628</v>
      </c>
      <c r="Y613" s="20">
        <v>10</v>
      </c>
      <c r="Z613" s="20">
        <v>8</v>
      </c>
      <c r="AA613" s="20" t="s">
        <v>592</v>
      </c>
      <c r="AC613" s="20" t="s">
        <v>1147</v>
      </c>
      <c r="AD613" s="20" t="s">
        <v>20</v>
      </c>
      <c r="AE613" s="20" t="s">
        <v>450</v>
      </c>
      <c r="AF613" s="20" t="s">
        <v>2135</v>
      </c>
      <c r="AG613" s="20" t="s">
        <v>835</v>
      </c>
      <c r="AH613" s="20">
        <v>5</v>
      </c>
      <c r="AI613" s="20">
        <v>5</v>
      </c>
      <c r="AJ613" s="20" t="s">
        <v>592</v>
      </c>
      <c r="AL613" s="20" t="s">
        <v>1141</v>
      </c>
      <c r="AM613" s="20" t="s">
        <v>218</v>
      </c>
      <c r="AN613" s="20" t="s">
        <v>1467</v>
      </c>
      <c r="AO613" s="20" t="s">
        <v>3127</v>
      </c>
      <c r="AP613" s="20" t="s">
        <v>628</v>
      </c>
      <c r="AQ613" s="20">
        <v>10</v>
      </c>
      <c r="AR613" s="20">
        <v>12</v>
      </c>
      <c r="AS613" s="20" t="s">
        <v>592</v>
      </c>
    </row>
    <row r="614" spans="11:45" ht="15.75" customHeight="1" x14ac:dyDescent="0.2">
      <c r="K614" s="20" t="s">
        <v>1147</v>
      </c>
      <c r="L614" s="20" t="s">
        <v>29</v>
      </c>
      <c r="M614" s="20" t="s">
        <v>973</v>
      </c>
      <c r="N614" s="20" t="s">
        <v>422</v>
      </c>
      <c r="O614" s="20" t="s">
        <v>835</v>
      </c>
      <c r="P614" s="20">
        <v>5</v>
      </c>
      <c r="Q614" s="20">
        <v>1</v>
      </c>
      <c r="R614" s="20" t="s">
        <v>593</v>
      </c>
      <c r="T614" s="20" t="s">
        <v>1161</v>
      </c>
      <c r="U614" s="20" t="s">
        <v>41</v>
      </c>
      <c r="V614" s="20" t="s">
        <v>535</v>
      </c>
      <c r="W614" s="20" t="s">
        <v>2387</v>
      </c>
      <c r="X614" s="20" t="s">
        <v>835</v>
      </c>
      <c r="Y614" s="20">
        <v>5</v>
      </c>
      <c r="Z614" s="20">
        <v>6</v>
      </c>
      <c r="AA614" s="20" t="s">
        <v>592</v>
      </c>
      <c r="AC614" s="20" t="s">
        <v>1147</v>
      </c>
      <c r="AD614" s="20" t="s">
        <v>20</v>
      </c>
      <c r="AE614" s="20" t="s">
        <v>871</v>
      </c>
      <c r="AF614" s="20" t="s">
        <v>872</v>
      </c>
      <c r="AG614" s="20" t="s">
        <v>835</v>
      </c>
      <c r="AH614" s="20">
        <v>5</v>
      </c>
      <c r="AI614" s="20">
        <v>4</v>
      </c>
      <c r="AJ614" s="20" t="s">
        <v>592</v>
      </c>
      <c r="AL614" s="20" t="s">
        <v>1141</v>
      </c>
      <c r="AM614" s="20" t="s">
        <v>218</v>
      </c>
      <c r="AN614" s="20" t="s">
        <v>1467</v>
      </c>
      <c r="AO614" s="20" t="s">
        <v>1984</v>
      </c>
      <c r="AP614" s="20" t="s">
        <v>628</v>
      </c>
      <c r="AQ614" s="20">
        <v>10</v>
      </c>
      <c r="AR614" s="20">
        <v>11</v>
      </c>
      <c r="AS614" s="20" t="s">
        <v>592</v>
      </c>
    </row>
    <row r="615" spans="11:45" ht="15.75" customHeight="1" x14ac:dyDescent="0.2">
      <c r="K615" s="20" t="s">
        <v>1147</v>
      </c>
      <c r="L615" s="20" t="s">
        <v>29</v>
      </c>
      <c r="M615" s="20" t="s">
        <v>770</v>
      </c>
      <c r="N615" s="20" t="s">
        <v>422</v>
      </c>
      <c r="O615" s="20" t="s">
        <v>835</v>
      </c>
      <c r="P615" s="20">
        <v>5</v>
      </c>
      <c r="Q615" s="20">
        <v>1</v>
      </c>
      <c r="R615" s="20" t="s">
        <v>593</v>
      </c>
      <c r="T615" s="20" t="s">
        <v>1158</v>
      </c>
      <c r="U615" s="20" t="s">
        <v>925</v>
      </c>
      <c r="V615" s="20" t="s">
        <v>2468</v>
      </c>
      <c r="W615" s="20" t="s">
        <v>2388</v>
      </c>
      <c r="X615" s="20" t="s">
        <v>835</v>
      </c>
      <c r="Y615" s="20">
        <v>5</v>
      </c>
      <c r="Z615" s="20">
        <v>2</v>
      </c>
      <c r="AA615" s="20" t="s">
        <v>593</v>
      </c>
      <c r="AC615" s="20" t="s">
        <v>1147</v>
      </c>
      <c r="AD615" s="20" t="s">
        <v>20</v>
      </c>
      <c r="AE615" s="20" t="s">
        <v>871</v>
      </c>
      <c r="AF615" s="20" t="s">
        <v>1055</v>
      </c>
      <c r="AG615" s="20" t="s">
        <v>835</v>
      </c>
      <c r="AH615" s="20">
        <v>5</v>
      </c>
      <c r="AI615" s="20">
        <v>1</v>
      </c>
      <c r="AJ615" s="20" t="s">
        <v>592</v>
      </c>
      <c r="AL615" s="20" t="s">
        <v>1141</v>
      </c>
      <c r="AM615" s="20" t="s">
        <v>218</v>
      </c>
      <c r="AN615" s="20" t="s">
        <v>493</v>
      </c>
      <c r="AO615" s="20" t="s">
        <v>3128</v>
      </c>
      <c r="AP615" s="20" t="s">
        <v>628</v>
      </c>
      <c r="AQ615" s="20">
        <v>10</v>
      </c>
      <c r="AR615" s="20">
        <v>8</v>
      </c>
      <c r="AS615" s="20" t="s">
        <v>592</v>
      </c>
    </row>
    <row r="616" spans="11:45" ht="15.75" customHeight="1" x14ac:dyDescent="0.2">
      <c r="K616" s="20" t="s">
        <v>1141</v>
      </c>
      <c r="L616" s="20" t="s">
        <v>787</v>
      </c>
      <c r="M616" s="20" t="s">
        <v>1580</v>
      </c>
      <c r="N616" s="20" t="s">
        <v>714</v>
      </c>
      <c r="O616" s="20" t="s">
        <v>628</v>
      </c>
      <c r="P616" s="20">
        <v>10</v>
      </c>
      <c r="Q616" s="20">
        <v>8</v>
      </c>
      <c r="R616" s="20" t="s">
        <v>592</v>
      </c>
      <c r="T616" s="20" t="s">
        <v>1158</v>
      </c>
      <c r="U616" s="20" t="s">
        <v>925</v>
      </c>
      <c r="V616" s="20" t="s">
        <v>1726</v>
      </c>
      <c r="W616" s="20" t="s">
        <v>2389</v>
      </c>
      <c r="X616" s="20" t="s">
        <v>835</v>
      </c>
      <c r="Y616" s="20">
        <v>5</v>
      </c>
      <c r="Z616" s="20">
        <v>5</v>
      </c>
      <c r="AA616" s="20" t="s">
        <v>592</v>
      </c>
      <c r="AC616" s="20" t="s">
        <v>2099</v>
      </c>
      <c r="AD616" s="20" t="s">
        <v>2144</v>
      </c>
      <c r="AE616" s="20" t="s">
        <v>2563</v>
      </c>
      <c r="AF616" s="20" t="s">
        <v>2668</v>
      </c>
      <c r="AG616" s="20" t="s">
        <v>835</v>
      </c>
      <c r="AH616" s="20">
        <v>5</v>
      </c>
      <c r="AI616" s="20">
        <v>11</v>
      </c>
      <c r="AJ616" s="20" t="s">
        <v>592</v>
      </c>
      <c r="AL616" s="20" t="s">
        <v>1141</v>
      </c>
      <c r="AM616" s="20" t="s">
        <v>218</v>
      </c>
      <c r="AN616" s="20" t="s">
        <v>1467</v>
      </c>
      <c r="AO616" s="20" t="s">
        <v>3129</v>
      </c>
      <c r="AP616" s="20" t="s">
        <v>628</v>
      </c>
      <c r="AQ616" s="20">
        <v>10</v>
      </c>
      <c r="AR616" s="20">
        <v>6</v>
      </c>
      <c r="AS616" s="20" t="s">
        <v>592</v>
      </c>
    </row>
    <row r="617" spans="11:45" ht="15.75" customHeight="1" x14ac:dyDescent="0.2">
      <c r="K617" s="20" t="s">
        <v>1141</v>
      </c>
      <c r="L617" s="20" t="s">
        <v>787</v>
      </c>
      <c r="M617" s="20" t="s">
        <v>1642</v>
      </c>
      <c r="N617" s="20" t="s">
        <v>1643</v>
      </c>
      <c r="O617" s="20" t="s">
        <v>835</v>
      </c>
      <c r="P617" s="20">
        <v>5</v>
      </c>
      <c r="Q617" s="20">
        <v>5</v>
      </c>
      <c r="R617" s="20" t="s">
        <v>592</v>
      </c>
      <c r="T617" s="20" t="s">
        <v>1158</v>
      </c>
      <c r="U617" s="20" t="s">
        <v>72</v>
      </c>
      <c r="V617" s="20" t="s">
        <v>895</v>
      </c>
      <c r="W617" s="20" t="s">
        <v>2390</v>
      </c>
      <c r="X617" s="20" t="s">
        <v>835</v>
      </c>
      <c r="Y617" s="20">
        <v>5</v>
      </c>
      <c r="Z617" s="20">
        <v>8</v>
      </c>
      <c r="AA617" s="20" t="s">
        <v>592</v>
      </c>
      <c r="AC617" s="20" t="s">
        <v>2099</v>
      </c>
      <c r="AD617" s="20" t="s">
        <v>2144</v>
      </c>
      <c r="AE617" s="20" t="s">
        <v>2563</v>
      </c>
      <c r="AF617" s="20" t="s">
        <v>2764</v>
      </c>
      <c r="AG617" s="20" t="s">
        <v>835</v>
      </c>
      <c r="AH617" s="20">
        <v>5</v>
      </c>
      <c r="AI617" s="20">
        <v>2</v>
      </c>
      <c r="AJ617" s="20" t="s">
        <v>592</v>
      </c>
      <c r="AL617" s="20" t="s">
        <v>1141</v>
      </c>
      <c r="AM617" s="20" t="s">
        <v>218</v>
      </c>
      <c r="AN617" s="20" t="s">
        <v>492</v>
      </c>
      <c r="AO617" s="20" t="s">
        <v>3130</v>
      </c>
      <c r="AP617" s="20" t="s">
        <v>628</v>
      </c>
      <c r="AQ617" s="20">
        <v>10</v>
      </c>
      <c r="AR617" s="20">
        <v>11</v>
      </c>
      <c r="AS617" s="20" t="s">
        <v>592</v>
      </c>
    </row>
    <row r="618" spans="11:45" ht="15.75" customHeight="1" x14ac:dyDescent="0.2">
      <c r="K618" s="20" t="s">
        <v>1141</v>
      </c>
      <c r="L618" s="20" t="s">
        <v>218</v>
      </c>
      <c r="M618" s="20" t="s">
        <v>1316</v>
      </c>
      <c r="N618" s="20" t="s">
        <v>492</v>
      </c>
      <c r="O618" s="20" t="s">
        <v>835</v>
      </c>
      <c r="P618" s="20">
        <v>5</v>
      </c>
      <c r="Q618" s="20">
        <v>8</v>
      </c>
      <c r="R618" s="20" t="s">
        <v>592</v>
      </c>
      <c r="T618" s="20" t="s">
        <v>1158</v>
      </c>
      <c r="U618" s="20" t="s">
        <v>72</v>
      </c>
      <c r="V618" s="20" t="s">
        <v>2505</v>
      </c>
      <c r="W618" s="20" t="s">
        <v>2391</v>
      </c>
      <c r="X618" s="20" t="s">
        <v>835</v>
      </c>
      <c r="Y618" s="20">
        <v>5</v>
      </c>
      <c r="Z618" s="20">
        <v>5</v>
      </c>
      <c r="AA618" s="20" t="s">
        <v>592</v>
      </c>
      <c r="AC618" s="20" t="s">
        <v>1141</v>
      </c>
      <c r="AD618" s="20" t="s">
        <v>787</v>
      </c>
      <c r="AE618" s="20" t="s">
        <v>397</v>
      </c>
      <c r="AF618" s="20" t="s">
        <v>1877</v>
      </c>
      <c r="AG618" s="20" t="s">
        <v>835</v>
      </c>
      <c r="AH618" s="20">
        <v>5</v>
      </c>
      <c r="AI618" s="20">
        <v>6</v>
      </c>
      <c r="AJ618" s="20" t="s">
        <v>592</v>
      </c>
      <c r="AL618" s="20" t="s">
        <v>1141</v>
      </c>
      <c r="AM618" s="20" t="s">
        <v>218</v>
      </c>
      <c r="AN618" s="20" t="s">
        <v>492</v>
      </c>
      <c r="AO618" s="20" t="s">
        <v>2438</v>
      </c>
      <c r="AP618" s="20" t="s">
        <v>628</v>
      </c>
      <c r="AQ618" s="20">
        <v>10</v>
      </c>
      <c r="AR618" s="20">
        <v>5</v>
      </c>
      <c r="AS618" s="20" t="s">
        <v>592</v>
      </c>
    </row>
    <row r="619" spans="11:45" ht="15.75" customHeight="1" x14ac:dyDescent="0.2">
      <c r="K619" s="20" t="s">
        <v>1143</v>
      </c>
      <c r="L619" s="20" t="s">
        <v>689</v>
      </c>
      <c r="M619" s="20" t="s">
        <v>748</v>
      </c>
      <c r="N619" s="20" t="s">
        <v>606</v>
      </c>
      <c r="O619" s="20" t="s">
        <v>628</v>
      </c>
      <c r="P619" s="20">
        <v>10</v>
      </c>
      <c r="Q619" s="20">
        <v>10</v>
      </c>
      <c r="R619" s="20" t="s">
        <v>592</v>
      </c>
      <c r="T619" s="20" t="s">
        <v>640</v>
      </c>
      <c r="U619" s="20" t="s">
        <v>248</v>
      </c>
      <c r="V619" s="20" t="s">
        <v>809</v>
      </c>
      <c r="W619" s="20" t="s">
        <v>1071</v>
      </c>
      <c r="X619" s="20" t="s">
        <v>835</v>
      </c>
      <c r="Y619" s="20">
        <v>5</v>
      </c>
      <c r="Z619" s="20">
        <v>7</v>
      </c>
      <c r="AA619" s="20" t="s">
        <v>592</v>
      </c>
      <c r="AC619" s="20" t="s">
        <v>1149</v>
      </c>
      <c r="AD619" s="20" t="s">
        <v>63</v>
      </c>
      <c r="AE619" s="20" t="s">
        <v>2487</v>
      </c>
      <c r="AF619" s="20" t="s">
        <v>2284</v>
      </c>
      <c r="AG619" s="20" t="s">
        <v>835</v>
      </c>
      <c r="AH619" s="20">
        <v>5</v>
      </c>
      <c r="AI619" s="20">
        <v>2</v>
      </c>
      <c r="AJ619" s="20" t="s">
        <v>593</v>
      </c>
      <c r="AL619" s="20" t="s">
        <v>1141</v>
      </c>
      <c r="AM619" s="20" t="s">
        <v>218</v>
      </c>
      <c r="AN619" s="20" t="s">
        <v>2459</v>
      </c>
      <c r="AO619" s="20" t="s">
        <v>3131</v>
      </c>
      <c r="AP619" s="20" t="s">
        <v>628</v>
      </c>
      <c r="AQ619" s="20">
        <v>10</v>
      </c>
      <c r="AR619" s="20">
        <v>12</v>
      </c>
      <c r="AS619" s="20" t="s">
        <v>592</v>
      </c>
    </row>
    <row r="620" spans="11:45" ht="15.75" customHeight="1" x14ac:dyDescent="0.2">
      <c r="K620" s="20" t="s">
        <v>1143</v>
      </c>
      <c r="L620" s="20" t="s">
        <v>689</v>
      </c>
      <c r="M620" s="20" t="s">
        <v>1975</v>
      </c>
      <c r="N620" s="20" t="s">
        <v>406</v>
      </c>
      <c r="O620" s="20" t="s">
        <v>835</v>
      </c>
      <c r="P620" s="20">
        <v>5</v>
      </c>
      <c r="Q620" s="20">
        <v>3</v>
      </c>
      <c r="R620" s="20" t="s">
        <v>593</v>
      </c>
      <c r="T620" s="20" t="s">
        <v>1161</v>
      </c>
      <c r="U620" s="20" t="s">
        <v>41</v>
      </c>
      <c r="V620" s="20" t="s">
        <v>539</v>
      </c>
      <c r="W620" s="20" t="s">
        <v>1705</v>
      </c>
      <c r="X620" s="20" t="s">
        <v>835</v>
      </c>
      <c r="Y620" s="20">
        <v>5</v>
      </c>
      <c r="Z620" s="20">
        <v>6</v>
      </c>
      <c r="AA620" s="20" t="s">
        <v>592</v>
      </c>
      <c r="AC620" s="20" t="s">
        <v>1149</v>
      </c>
      <c r="AD620" s="20" t="s">
        <v>63</v>
      </c>
      <c r="AE620" s="20" t="s">
        <v>1655</v>
      </c>
      <c r="AF620" s="20" t="s">
        <v>2053</v>
      </c>
      <c r="AG620" s="20" t="s">
        <v>835</v>
      </c>
      <c r="AH620" s="20">
        <v>5</v>
      </c>
      <c r="AI620" s="20">
        <v>4</v>
      </c>
      <c r="AJ620" s="20" t="s">
        <v>593</v>
      </c>
      <c r="AL620" s="20" t="s">
        <v>1141</v>
      </c>
      <c r="AM620" s="20" t="s">
        <v>218</v>
      </c>
      <c r="AN620" s="20" t="s">
        <v>2459</v>
      </c>
      <c r="AO620" s="20" t="s">
        <v>2138</v>
      </c>
      <c r="AP620" s="20" t="s">
        <v>628</v>
      </c>
      <c r="AQ620" s="20">
        <v>10</v>
      </c>
      <c r="AR620" s="20">
        <v>9</v>
      </c>
      <c r="AS620" s="20" t="s">
        <v>592</v>
      </c>
    </row>
    <row r="621" spans="11:45" ht="15.75" customHeight="1" x14ac:dyDescent="0.2">
      <c r="K621" s="20" t="s">
        <v>1143</v>
      </c>
      <c r="L621" s="20" t="s">
        <v>689</v>
      </c>
      <c r="M621" s="20" t="s">
        <v>733</v>
      </c>
      <c r="N621" s="20" t="s">
        <v>402</v>
      </c>
      <c r="O621" s="20" t="s">
        <v>835</v>
      </c>
      <c r="P621" s="20">
        <v>5</v>
      </c>
      <c r="Q621" s="20">
        <v>6</v>
      </c>
      <c r="R621" s="20" t="s">
        <v>592</v>
      </c>
      <c r="T621" s="20" t="s">
        <v>1158</v>
      </c>
      <c r="U621" s="20" t="s">
        <v>1040</v>
      </c>
      <c r="V621" s="20" t="s">
        <v>879</v>
      </c>
      <c r="W621" s="20" t="s">
        <v>2392</v>
      </c>
      <c r="X621" s="20" t="s">
        <v>835</v>
      </c>
      <c r="Y621" s="20">
        <v>5</v>
      </c>
      <c r="Z621" s="20">
        <v>1</v>
      </c>
      <c r="AA621" s="20" t="s">
        <v>593</v>
      </c>
      <c r="AC621" s="20" t="s">
        <v>1154</v>
      </c>
      <c r="AD621" s="20" t="s">
        <v>335</v>
      </c>
      <c r="AE621" s="20" t="s">
        <v>623</v>
      </c>
      <c r="AF621" s="20" t="s">
        <v>2424</v>
      </c>
      <c r="AG621" s="20" t="s">
        <v>835</v>
      </c>
      <c r="AH621" s="20">
        <v>5</v>
      </c>
      <c r="AI621" s="20">
        <v>1</v>
      </c>
      <c r="AJ621" s="20" t="s">
        <v>593</v>
      </c>
      <c r="AL621" s="20" t="s">
        <v>1141</v>
      </c>
      <c r="AM621" s="20" t="s">
        <v>218</v>
      </c>
      <c r="AN621" s="20" t="s">
        <v>2459</v>
      </c>
      <c r="AO621" s="20" t="s">
        <v>3132</v>
      </c>
      <c r="AP621" s="20" t="s">
        <v>628</v>
      </c>
      <c r="AQ621" s="20">
        <v>10</v>
      </c>
      <c r="AR621" s="20">
        <v>14</v>
      </c>
      <c r="AS621" s="20" t="s">
        <v>592</v>
      </c>
    </row>
    <row r="622" spans="11:45" ht="15.75" customHeight="1" x14ac:dyDescent="0.2">
      <c r="K622" s="20" t="s">
        <v>1147</v>
      </c>
      <c r="L622" s="20" t="s">
        <v>29</v>
      </c>
      <c r="M622" s="20" t="s">
        <v>1021</v>
      </c>
      <c r="N622" s="20" t="s">
        <v>419</v>
      </c>
      <c r="O622" s="20" t="s">
        <v>628</v>
      </c>
      <c r="P622" s="20">
        <v>10</v>
      </c>
      <c r="Q622" s="20">
        <v>4</v>
      </c>
      <c r="R622" s="20" t="s">
        <v>592</v>
      </c>
      <c r="T622" s="20" t="s">
        <v>1158</v>
      </c>
      <c r="U622" s="20" t="s">
        <v>1040</v>
      </c>
      <c r="V622" s="20" t="s">
        <v>879</v>
      </c>
      <c r="W622" s="20" t="s">
        <v>2302</v>
      </c>
      <c r="X622" s="20" t="s">
        <v>835</v>
      </c>
      <c r="Y622" s="20">
        <v>5</v>
      </c>
      <c r="Z622" s="20">
        <v>2</v>
      </c>
      <c r="AA622" s="20" t="s">
        <v>593</v>
      </c>
      <c r="AC622" s="20" t="s">
        <v>1154</v>
      </c>
      <c r="AD622" s="20" t="s">
        <v>1152</v>
      </c>
      <c r="AE622" s="20" t="s">
        <v>715</v>
      </c>
      <c r="AF622" s="20" t="s">
        <v>1401</v>
      </c>
      <c r="AG622" s="20" t="s">
        <v>835</v>
      </c>
      <c r="AH622" s="20">
        <v>5</v>
      </c>
      <c r="AI622" s="20">
        <v>1</v>
      </c>
      <c r="AJ622" s="20" t="s">
        <v>593</v>
      </c>
      <c r="AL622" s="20" t="s">
        <v>1141</v>
      </c>
      <c r="AM622" s="20" t="s">
        <v>218</v>
      </c>
      <c r="AN622" s="20" t="s">
        <v>2458</v>
      </c>
      <c r="AO622" s="20" t="s">
        <v>2136</v>
      </c>
      <c r="AP622" s="20" t="s">
        <v>628</v>
      </c>
      <c r="AQ622" s="20">
        <v>10</v>
      </c>
      <c r="AR622" s="20">
        <v>15</v>
      </c>
      <c r="AS622" s="20" t="s">
        <v>592</v>
      </c>
    </row>
    <row r="623" spans="11:45" ht="15.75" customHeight="1" x14ac:dyDescent="0.2">
      <c r="K623" s="20" t="s">
        <v>1147</v>
      </c>
      <c r="L623" s="20" t="s">
        <v>29</v>
      </c>
      <c r="M623" s="20" t="s">
        <v>776</v>
      </c>
      <c r="N623" s="20" t="s">
        <v>419</v>
      </c>
      <c r="O623" s="20" t="s">
        <v>628</v>
      </c>
      <c r="P623" s="20">
        <v>10</v>
      </c>
      <c r="Q623" s="20">
        <v>8</v>
      </c>
      <c r="R623" s="20" t="s">
        <v>592</v>
      </c>
      <c r="T623" s="20" t="s">
        <v>1158</v>
      </c>
      <c r="U623" s="20" t="s">
        <v>928</v>
      </c>
      <c r="V623" s="20" t="s">
        <v>2493</v>
      </c>
      <c r="W623" s="20" t="s">
        <v>2304</v>
      </c>
      <c r="X623" s="20" t="s">
        <v>835</v>
      </c>
      <c r="Y623" s="20">
        <v>5</v>
      </c>
      <c r="Z623" s="20">
        <v>6</v>
      </c>
      <c r="AA623" s="20" t="s">
        <v>592</v>
      </c>
      <c r="AC623" s="20" t="s">
        <v>2099</v>
      </c>
      <c r="AD623" s="20" t="s">
        <v>2109</v>
      </c>
      <c r="AE623" s="20" t="s">
        <v>2545</v>
      </c>
      <c r="AF623" s="20" t="s">
        <v>2765</v>
      </c>
      <c r="AG623" s="20" t="s">
        <v>835</v>
      </c>
      <c r="AH623" s="20">
        <v>5</v>
      </c>
      <c r="AI623" s="20">
        <v>13</v>
      </c>
      <c r="AJ623" s="20" t="s">
        <v>592</v>
      </c>
      <c r="AL623" s="20" t="s">
        <v>1141</v>
      </c>
      <c r="AM623" s="20" t="s">
        <v>224</v>
      </c>
      <c r="AN623" s="20" t="s">
        <v>1452</v>
      </c>
      <c r="AO623" s="20" t="s">
        <v>2597</v>
      </c>
      <c r="AP623" s="20" t="s">
        <v>628</v>
      </c>
      <c r="AQ623" s="20">
        <v>10</v>
      </c>
      <c r="AR623" s="20">
        <v>34</v>
      </c>
      <c r="AS623" s="20" t="s">
        <v>592</v>
      </c>
    </row>
    <row r="624" spans="11:45" ht="15.75" customHeight="1" x14ac:dyDescent="0.2">
      <c r="K624" s="20" t="s">
        <v>1141</v>
      </c>
      <c r="L624" s="20" t="s">
        <v>218</v>
      </c>
      <c r="M624" s="20" t="s">
        <v>986</v>
      </c>
      <c r="N624" s="20" t="s">
        <v>493</v>
      </c>
      <c r="O624" s="20" t="s">
        <v>628</v>
      </c>
      <c r="P624" s="20">
        <v>10</v>
      </c>
      <c r="Q624" s="20">
        <v>8</v>
      </c>
      <c r="R624" s="20" t="s">
        <v>592</v>
      </c>
      <c r="T624" s="20" t="s">
        <v>640</v>
      </c>
      <c r="U624" s="20" t="s">
        <v>705</v>
      </c>
      <c r="V624" s="20" t="s">
        <v>808</v>
      </c>
      <c r="W624" s="20" t="s">
        <v>1310</v>
      </c>
      <c r="X624" s="20" t="s">
        <v>835</v>
      </c>
      <c r="Y624" s="20">
        <v>5</v>
      </c>
      <c r="Z624" s="20">
        <v>5</v>
      </c>
      <c r="AA624" s="20" t="s">
        <v>592</v>
      </c>
      <c r="AC624" s="20" t="s">
        <v>1161</v>
      </c>
      <c r="AD624" s="20" t="s">
        <v>41</v>
      </c>
      <c r="AE624" s="20" t="s">
        <v>535</v>
      </c>
      <c r="AF624" s="20" t="s">
        <v>2387</v>
      </c>
      <c r="AG624" s="20" t="s">
        <v>835</v>
      </c>
      <c r="AH624" s="20">
        <v>5</v>
      </c>
      <c r="AI624" s="20">
        <v>1</v>
      </c>
      <c r="AJ624" s="20" t="s">
        <v>593</v>
      </c>
      <c r="AL624" s="20" t="s">
        <v>1141</v>
      </c>
      <c r="AM624" s="20" t="s">
        <v>224</v>
      </c>
      <c r="AN624" s="20" t="s">
        <v>1798</v>
      </c>
      <c r="AO624" s="20" t="s">
        <v>3133</v>
      </c>
      <c r="AP624" s="20" t="s">
        <v>628</v>
      </c>
      <c r="AQ624" s="20">
        <v>10</v>
      </c>
      <c r="AR624" s="20">
        <v>125</v>
      </c>
      <c r="AS624" s="20" t="s">
        <v>592</v>
      </c>
    </row>
    <row r="625" spans="11:45" ht="15.75" customHeight="1" x14ac:dyDescent="0.2">
      <c r="K625" s="20" t="s">
        <v>1162</v>
      </c>
      <c r="L625" s="20" t="s">
        <v>230</v>
      </c>
      <c r="M625" s="20" t="s">
        <v>1976</v>
      </c>
      <c r="N625" s="20" t="s">
        <v>610</v>
      </c>
      <c r="O625" s="20" t="s">
        <v>835</v>
      </c>
      <c r="P625" s="20">
        <v>5</v>
      </c>
      <c r="Q625" s="20">
        <v>5</v>
      </c>
      <c r="R625" s="20" t="s">
        <v>592</v>
      </c>
      <c r="T625" s="20" t="s">
        <v>640</v>
      </c>
      <c r="U625" s="20" t="s">
        <v>705</v>
      </c>
      <c r="V625" s="20" t="s">
        <v>1965</v>
      </c>
      <c r="W625" s="20" t="s">
        <v>1964</v>
      </c>
      <c r="X625" s="20" t="s">
        <v>835</v>
      </c>
      <c r="Y625" s="20">
        <v>5</v>
      </c>
      <c r="Z625" s="20">
        <v>1</v>
      </c>
      <c r="AA625" s="20" t="s">
        <v>593</v>
      </c>
      <c r="AC625" s="20" t="s">
        <v>1161</v>
      </c>
      <c r="AD625" s="20" t="s">
        <v>41</v>
      </c>
      <c r="AE625" s="20" t="s">
        <v>1930</v>
      </c>
      <c r="AF625" s="20" t="s">
        <v>2041</v>
      </c>
      <c r="AG625" s="20" t="s">
        <v>835</v>
      </c>
      <c r="AH625" s="20">
        <v>5</v>
      </c>
      <c r="AI625" s="20">
        <v>1</v>
      </c>
      <c r="AJ625" s="20" t="s">
        <v>593</v>
      </c>
      <c r="AL625" s="20" t="s">
        <v>1141</v>
      </c>
      <c r="AM625" s="20" t="s">
        <v>224</v>
      </c>
      <c r="AN625" s="20" t="s">
        <v>387</v>
      </c>
      <c r="AO625" s="20" t="s">
        <v>3134</v>
      </c>
      <c r="AP625" s="20" t="s">
        <v>628</v>
      </c>
      <c r="AQ625" s="20">
        <v>10</v>
      </c>
      <c r="AR625" s="20">
        <v>55</v>
      </c>
      <c r="AS625" s="20" t="s">
        <v>592</v>
      </c>
    </row>
    <row r="626" spans="11:45" ht="15.75" customHeight="1" x14ac:dyDescent="0.2">
      <c r="K626" s="20" t="s">
        <v>1162</v>
      </c>
      <c r="L626" s="20" t="s">
        <v>230</v>
      </c>
      <c r="M626" s="20" t="s">
        <v>1239</v>
      </c>
      <c r="N626" s="20" t="s">
        <v>366</v>
      </c>
      <c r="O626" s="20" t="s">
        <v>835</v>
      </c>
      <c r="P626" s="20">
        <v>5</v>
      </c>
      <c r="Q626" s="20">
        <v>6</v>
      </c>
      <c r="R626" s="20" t="s">
        <v>592</v>
      </c>
      <c r="T626" s="20" t="s">
        <v>1144</v>
      </c>
      <c r="U626" s="20" t="s">
        <v>249</v>
      </c>
      <c r="V626" s="20" t="s">
        <v>440</v>
      </c>
      <c r="W626" s="20" t="s">
        <v>1340</v>
      </c>
      <c r="X626" s="20" t="s">
        <v>835</v>
      </c>
      <c r="Y626" s="20">
        <v>5</v>
      </c>
      <c r="Z626" s="20">
        <v>8</v>
      </c>
      <c r="AA626" s="20" t="s">
        <v>592</v>
      </c>
      <c r="AC626" s="20" t="s">
        <v>1161</v>
      </c>
      <c r="AD626" s="20" t="s">
        <v>41</v>
      </c>
      <c r="AE626" s="20" t="s">
        <v>536</v>
      </c>
      <c r="AF626" s="20" t="s">
        <v>2385</v>
      </c>
      <c r="AG626" s="20" t="s">
        <v>835</v>
      </c>
      <c r="AH626" s="20">
        <v>5</v>
      </c>
      <c r="AI626" s="20">
        <v>2</v>
      </c>
      <c r="AJ626" s="20" t="s">
        <v>593</v>
      </c>
      <c r="AL626" s="20" t="s">
        <v>1141</v>
      </c>
      <c r="AM626" s="20" t="s">
        <v>224</v>
      </c>
      <c r="AN626" s="20" t="s">
        <v>387</v>
      </c>
      <c r="AO626" s="20" t="s">
        <v>3135</v>
      </c>
      <c r="AP626" s="20" t="s">
        <v>628</v>
      </c>
      <c r="AQ626" s="20">
        <v>10</v>
      </c>
      <c r="AR626" s="20">
        <v>45</v>
      </c>
      <c r="AS626" s="20" t="s">
        <v>592</v>
      </c>
    </row>
    <row r="627" spans="11:45" ht="15.75" customHeight="1" x14ac:dyDescent="0.2">
      <c r="K627" s="20" t="s">
        <v>1163</v>
      </c>
      <c r="L627" s="20" t="s">
        <v>221</v>
      </c>
      <c r="M627" s="20" t="s">
        <v>1943</v>
      </c>
      <c r="N627" s="20" t="s">
        <v>556</v>
      </c>
      <c r="O627" s="20" t="s">
        <v>835</v>
      </c>
      <c r="P627" s="20">
        <v>5</v>
      </c>
      <c r="Q627" s="20">
        <v>5</v>
      </c>
      <c r="R627" s="20" t="s">
        <v>592</v>
      </c>
      <c r="T627" s="20" t="s">
        <v>1144</v>
      </c>
      <c r="U627" s="20" t="s">
        <v>249</v>
      </c>
      <c r="V627" s="20" t="s">
        <v>560</v>
      </c>
      <c r="W627" s="20" t="s">
        <v>2393</v>
      </c>
      <c r="X627" s="20" t="s">
        <v>835</v>
      </c>
      <c r="Y627" s="20">
        <v>5</v>
      </c>
      <c r="Z627" s="20">
        <v>7</v>
      </c>
      <c r="AA627" s="20" t="s">
        <v>592</v>
      </c>
      <c r="AC627" s="20" t="s">
        <v>1161</v>
      </c>
      <c r="AD627" s="20" t="s">
        <v>659</v>
      </c>
      <c r="AE627" s="20" t="s">
        <v>389</v>
      </c>
      <c r="AF627" s="20" t="s">
        <v>1247</v>
      </c>
      <c r="AG627" s="20" t="s">
        <v>835</v>
      </c>
      <c r="AH627" s="20">
        <v>5</v>
      </c>
      <c r="AI627" s="20">
        <v>1</v>
      </c>
      <c r="AJ627" s="20" t="s">
        <v>593</v>
      </c>
      <c r="AL627" s="20" t="s">
        <v>1141</v>
      </c>
      <c r="AM627" s="20" t="s">
        <v>224</v>
      </c>
      <c r="AN627" s="20" t="s">
        <v>386</v>
      </c>
      <c r="AO627" s="20" t="s">
        <v>2655</v>
      </c>
      <c r="AP627" s="20" t="s">
        <v>628</v>
      </c>
      <c r="AQ627" s="20">
        <v>10</v>
      </c>
      <c r="AR627" s="20">
        <v>65</v>
      </c>
      <c r="AS627" s="20" t="s">
        <v>592</v>
      </c>
    </row>
    <row r="628" spans="11:45" ht="15.75" customHeight="1" x14ac:dyDescent="0.2">
      <c r="K628" s="20" t="s">
        <v>1144</v>
      </c>
      <c r="L628" s="20" t="s">
        <v>249</v>
      </c>
      <c r="M628" s="20" t="s">
        <v>1483</v>
      </c>
      <c r="N628" s="20" t="s">
        <v>560</v>
      </c>
      <c r="O628" s="20" t="s">
        <v>835</v>
      </c>
      <c r="P628" s="20">
        <v>5</v>
      </c>
      <c r="Q628" s="20">
        <v>5</v>
      </c>
      <c r="R628" s="20" t="s">
        <v>592</v>
      </c>
      <c r="T628" s="20" t="s">
        <v>1158</v>
      </c>
      <c r="U628" s="20" t="s">
        <v>291</v>
      </c>
      <c r="V628" s="20" t="s">
        <v>2506</v>
      </c>
      <c r="W628" s="20" t="s">
        <v>2394</v>
      </c>
      <c r="X628" s="20" t="s">
        <v>835</v>
      </c>
      <c r="Y628" s="20">
        <v>5</v>
      </c>
      <c r="Z628" s="20">
        <v>6</v>
      </c>
      <c r="AA628" s="20" t="s">
        <v>592</v>
      </c>
      <c r="AC628" s="20" t="s">
        <v>1161</v>
      </c>
      <c r="AD628" s="20" t="s">
        <v>1432</v>
      </c>
      <c r="AE628" s="20" t="s">
        <v>2012</v>
      </c>
      <c r="AF628" s="20" t="s">
        <v>2226</v>
      </c>
      <c r="AG628" s="20" t="s">
        <v>835</v>
      </c>
      <c r="AH628" s="20">
        <v>5</v>
      </c>
      <c r="AI628" s="20">
        <v>5</v>
      </c>
      <c r="AJ628" s="20" t="s">
        <v>592</v>
      </c>
      <c r="AL628" s="20" t="s">
        <v>1141</v>
      </c>
      <c r="AM628" s="20" t="s">
        <v>224</v>
      </c>
      <c r="AN628" s="20" t="s">
        <v>386</v>
      </c>
      <c r="AO628" s="20" t="s">
        <v>2771</v>
      </c>
      <c r="AP628" s="20" t="s">
        <v>628</v>
      </c>
      <c r="AQ628" s="20">
        <v>10</v>
      </c>
      <c r="AR628" s="20">
        <v>8</v>
      </c>
      <c r="AS628" s="20" t="s">
        <v>592</v>
      </c>
    </row>
    <row r="629" spans="11:45" ht="15.75" customHeight="1" x14ac:dyDescent="0.2">
      <c r="K629" s="20" t="s">
        <v>1147</v>
      </c>
      <c r="L629" s="20" t="s">
        <v>20</v>
      </c>
      <c r="M629" s="20" t="s">
        <v>585</v>
      </c>
      <c r="N629" s="20" t="s">
        <v>451</v>
      </c>
      <c r="O629" s="20" t="s">
        <v>628</v>
      </c>
      <c r="P629" s="20">
        <v>10</v>
      </c>
      <c r="Q629" s="20">
        <v>9</v>
      </c>
      <c r="R629" s="20" t="s">
        <v>592</v>
      </c>
      <c r="T629" s="20" t="s">
        <v>1161</v>
      </c>
      <c r="U629" s="20" t="s">
        <v>41</v>
      </c>
      <c r="V629" s="20" t="s">
        <v>538</v>
      </c>
      <c r="W629" s="20" t="s">
        <v>2007</v>
      </c>
      <c r="X629" s="20" t="s">
        <v>835</v>
      </c>
      <c r="Y629" s="20">
        <v>5</v>
      </c>
      <c r="Z629" s="20">
        <v>8</v>
      </c>
      <c r="AA629" s="20" t="s">
        <v>592</v>
      </c>
      <c r="AC629" s="20" t="s">
        <v>1161</v>
      </c>
      <c r="AD629" s="20" t="s">
        <v>1432</v>
      </c>
      <c r="AE629" s="20" t="s">
        <v>510</v>
      </c>
      <c r="AF629" s="20" t="s">
        <v>2212</v>
      </c>
      <c r="AG629" s="20" t="s">
        <v>835</v>
      </c>
      <c r="AH629" s="20">
        <v>5</v>
      </c>
      <c r="AI629" s="20">
        <v>1</v>
      </c>
      <c r="AJ629" s="20" t="s">
        <v>593</v>
      </c>
      <c r="AL629" s="20" t="s">
        <v>1141</v>
      </c>
      <c r="AM629" s="20" t="s">
        <v>224</v>
      </c>
      <c r="AN629" s="20" t="s">
        <v>2457</v>
      </c>
      <c r="AO629" s="20" t="s">
        <v>3136</v>
      </c>
      <c r="AP629" s="20" t="s">
        <v>628</v>
      </c>
      <c r="AQ629" s="20">
        <v>10</v>
      </c>
      <c r="AR629" s="20">
        <v>79</v>
      </c>
      <c r="AS629" s="20" t="s">
        <v>592</v>
      </c>
    </row>
    <row r="630" spans="11:45" ht="15.75" customHeight="1" x14ac:dyDescent="0.2">
      <c r="K630" s="20" t="s">
        <v>1147</v>
      </c>
      <c r="L630" s="20" t="s">
        <v>225</v>
      </c>
      <c r="M630" s="20" t="s">
        <v>1977</v>
      </c>
      <c r="N630" s="20" t="s">
        <v>382</v>
      </c>
      <c r="O630" s="20" t="s">
        <v>628</v>
      </c>
      <c r="P630" s="20">
        <v>10</v>
      </c>
      <c r="Q630" s="20">
        <v>1</v>
      </c>
      <c r="R630" s="20" t="s">
        <v>593</v>
      </c>
      <c r="T630" s="20" t="s">
        <v>1149</v>
      </c>
      <c r="U630" s="20" t="s">
        <v>301</v>
      </c>
      <c r="V630" s="20" t="s">
        <v>1461</v>
      </c>
      <c r="W630" s="20" t="s">
        <v>1460</v>
      </c>
      <c r="X630" s="20" t="s">
        <v>835</v>
      </c>
      <c r="Y630" s="20">
        <v>5</v>
      </c>
      <c r="Z630" s="20">
        <v>7</v>
      </c>
      <c r="AA630" s="20" t="s">
        <v>592</v>
      </c>
      <c r="AC630" s="20" t="s">
        <v>1163</v>
      </c>
      <c r="AD630" s="20" t="s">
        <v>299</v>
      </c>
      <c r="AE630" s="20" t="s">
        <v>557</v>
      </c>
      <c r="AF630" s="20" t="s">
        <v>1024</v>
      </c>
      <c r="AG630" s="20" t="s">
        <v>835</v>
      </c>
      <c r="AH630" s="20">
        <v>5</v>
      </c>
      <c r="AI630" s="20">
        <v>1</v>
      </c>
      <c r="AJ630" s="20" t="s">
        <v>593</v>
      </c>
      <c r="AL630" s="20" t="s">
        <v>1141</v>
      </c>
      <c r="AM630" s="20" t="s">
        <v>224</v>
      </c>
      <c r="AN630" s="20" t="s">
        <v>1669</v>
      </c>
      <c r="AO630" s="20" t="s">
        <v>3137</v>
      </c>
      <c r="AP630" s="20" t="s">
        <v>628</v>
      </c>
      <c r="AQ630" s="20">
        <v>10</v>
      </c>
      <c r="AR630" s="20">
        <v>37</v>
      </c>
      <c r="AS630" s="20" t="s">
        <v>592</v>
      </c>
    </row>
    <row r="631" spans="11:45" ht="15.75" customHeight="1" x14ac:dyDescent="0.2">
      <c r="K631" s="20" t="s">
        <v>1147</v>
      </c>
      <c r="L631" s="20" t="s">
        <v>225</v>
      </c>
      <c r="M631" s="20" t="s">
        <v>1532</v>
      </c>
      <c r="N631" s="20" t="s">
        <v>382</v>
      </c>
      <c r="O631" s="20" t="s">
        <v>628</v>
      </c>
      <c r="P631" s="20">
        <v>10</v>
      </c>
      <c r="Q631" s="20">
        <v>2</v>
      </c>
      <c r="R631" s="20" t="s">
        <v>593</v>
      </c>
      <c r="T631" s="20" t="s">
        <v>1149</v>
      </c>
      <c r="U631" s="20" t="s">
        <v>301</v>
      </c>
      <c r="V631" s="20" t="s">
        <v>2032</v>
      </c>
      <c r="W631" s="20" t="s">
        <v>2031</v>
      </c>
      <c r="X631" s="20" t="s">
        <v>835</v>
      </c>
      <c r="Y631" s="20">
        <v>5</v>
      </c>
      <c r="Z631" s="20">
        <v>14</v>
      </c>
      <c r="AA631" s="20" t="s">
        <v>592</v>
      </c>
      <c r="AC631" s="20" t="s">
        <v>1149</v>
      </c>
      <c r="AD631" s="20" t="s">
        <v>1150</v>
      </c>
      <c r="AE631" s="20" t="s">
        <v>893</v>
      </c>
      <c r="AF631" s="20" t="s">
        <v>1389</v>
      </c>
      <c r="AG631" s="20" t="s">
        <v>835</v>
      </c>
      <c r="AH631" s="20">
        <v>5</v>
      </c>
      <c r="AI631" s="20">
        <v>1</v>
      </c>
      <c r="AJ631" s="20" t="s">
        <v>593</v>
      </c>
      <c r="AL631" s="20" t="s">
        <v>1141</v>
      </c>
      <c r="AM631" s="20" t="s">
        <v>224</v>
      </c>
      <c r="AN631" s="20" t="s">
        <v>2457</v>
      </c>
      <c r="AO631" s="20" t="s">
        <v>3138</v>
      </c>
      <c r="AP631" s="20" t="s">
        <v>628</v>
      </c>
      <c r="AQ631" s="20">
        <v>10</v>
      </c>
      <c r="AR631" s="20">
        <v>5</v>
      </c>
      <c r="AS631" s="20" t="s">
        <v>592</v>
      </c>
    </row>
    <row r="632" spans="11:45" ht="15.75" customHeight="1" x14ac:dyDescent="0.2">
      <c r="K632" s="20" t="s">
        <v>1141</v>
      </c>
      <c r="L632" s="20" t="s">
        <v>787</v>
      </c>
      <c r="M632" s="20" t="s">
        <v>1020</v>
      </c>
      <c r="N632" s="20" t="s">
        <v>385</v>
      </c>
      <c r="O632" s="20" t="s">
        <v>835</v>
      </c>
      <c r="P632" s="20">
        <v>5</v>
      </c>
      <c r="Q632" s="20">
        <v>5</v>
      </c>
      <c r="R632" s="20" t="s">
        <v>592</v>
      </c>
      <c r="T632" s="20" t="s">
        <v>1149</v>
      </c>
      <c r="U632" s="20" t="s">
        <v>301</v>
      </c>
      <c r="V632" s="20" t="s">
        <v>2030</v>
      </c>
      <c r="W632" s="20" t="s">
        <v>2395</v>
      </c>
      <c r="X632" s="20" t="s">
        <v>835</v>
      </c>
      <c r="Y632" s="20">
        <v>5</v>
      </c>
      <c r="Z632" s="20">
        <v>5</v>
      </c>
      <c r="AA632" s="20" t="s">
        <v>592</v>
      </c>
      <c r="AC632" s="20" t="s">
        <v>646</v>
      </c>
      <c r="AD632" s="20" t="s">
        <v>209</v>
      </c>
      <c r="AE632" s="20" t="s">
        <v>730</v>
      </c>
      <c r="AF632" s="20" t="s">
        <v>736</v>
      </c>
      <c r="AG632" s="20" t="s">
        <v>835</v>
      </c>
      <c r="AH632" s="20">
        <v>5</v>
      </c>
      <c r="AI632" s="20">
        <v>6</v>
      </c>
      <c r="AJ632" s="20" t="s">
        <v>592</v>
      </c>
      <c r="AL632" s="20" t="s">
        <v>1141</v>
      </c>
      <c r="AM632" s="20" t="s">
        <v>224</v>
      </c>
      <c r="AN632" s="20" t="s">
        <v>388</v>
      </c>
      <c r="AO632" s="20" t="s">
        <v>3139</v>
      </c>
      <c r="AP632" s="20" t="s">
        <v>628</v>
      </c>
      <c r="AQ632" s="20">
        <v>10</v>
      </c>
      <c r="AR632" s="20">
        <v>61</v>
      </c>
      <c r="AS632" s="20" t="s">
        <v>592</v>
      </c>
    </row>
    <row r="633" spans="11:45" ht="15.75" customHeight="1" x14ac:dyDescent="0.2">
      <c r="K633" s="20" t="s">
        <v>1143</v>
      </c>
      <c r="L633" s="20" t="s">
        <v>706</v>
      </c>
      <c r="M633" s="20" t="s">
        <v>1978</v>
      </c>
      <c r="N633" s="20" t="s">
        <v>403</v>
      </c>
      <c r="O633" s="20" t="s">
        <v>835</v>
      </c>
      <c r="P633" s="20">
        <v>5</v>
      </c>
      <c r="Q633" s="20">
        <v>7</v>
      </c>
      <c r="R633" s="20" t="s">
        <v>592</v>
      </c>
      <c r="T633" s="20" t="s">
        <v>1149</v>
      </c>
      <c r="U633" s="20" t="s">
        <v>806</v>
      </c>
      <c r="V633" s="20" t="s">
        <v>502</v>
      </c>
      <c r="W633" s="20" t="s">
        <v>2247</v>
      </c>
      <c r="X633" s="20" t="s">
        <v>835</v>
      </c>
      <c r="Y633" s="20">
        <v>5</v>
      </c>
      <c r="Z633" s="20">
        <v>7</v>
      </c>
      <c r="AA633" s="20" t="s">
        <v>592</v>
      </c>
      <c r="AC633" s="20" t="s">
        <v>1147</v>
      </c>
      <c r="AD633" s="20" t="s">
        <v>222</v>
      </c>
      <c r="AE633" s="20" t="s">
        <v>1620</v>
      </c>
      <c r="AF633" s="20" t="s">
        <v>1619</v>
      </c>
      <c r="AG633" s="20" t="s">
        <v>835</v>
      </c>
      <c r="AH633" s="20">
        <v>5</v>
      </c>
      <c r="AI633" s="20">
        <v>2</v>
      </c>
      <c r="AJ633" s="20" t="s">
        <v>593</v>
      </c>
      <c r="AL633" s="20" t="s">
        <v>1141</v>
      </c>
      <c r="AM633" s="20" t="s">
        <v>224</v>
      </c>
      <c r="AN633" s="20" t="s">
        <v>388</v>
      </c>
      <c r="AO633" s="20" t="s">
        <v>1119</v>
      </c>
      <c r="AP633" s="20" t="s">
        <v>628</v>
      </c>
      <c r="AQ633" s="20">
        <v>10</v>
      </c>
      <c r="AR633" s="20">
        <v>6</v>
      </c>
      <c r="AS633" s="20" t="s">
        <v>592</v>
      </c>
    </row>
    <row r="634" spans="11:45" ht="15.75" customHeight="1" x14ac:dyDescent="0.2">
      <c r="K634" s="20" t="s">
        <v>1147</v>
      </c>
      <c r="L634" s="20" t="s">
        <v>244</v>
      </c>
      <c r="M634" s="20" t="s">
        <v>1440</v>
      </c>
      <c r="N634" s="20" t="s">
        <v>1441</v>
      </c>
      <c r="O634" s="20" t="s">
        <v>628</v>
      </c>
      <c r="P634" s="20">
        <v>10</v>
      </c>
      <c r="Q634" s="20">
        <v>13</v>
      </c>
      <c r="R634" s="20" t="s">
        <v>592</v>
      </c>
      <c r="T634" s="20" t="s">
        <v>1163</v>
      </c>
      <c r="U634" s="20" t="s">
        <v>207</v>
      </c>
      <c r="V634" s="20" t="s">
        <v>1566</v>
      </c>
      <c r="W634" s="20" t="s">
        <v>1565</v>
      </c>
      <c r="X634" s="20" t="s">
        <v>628</v>
      </c>
      <c r="Y634" s="20">
        <v>10</v>
      </c>
      <c r="Z634" s="20">
        <v>9</v>
      </c>
      <c r="AA634" s="20" t="s">
        <v>592</v>
      </c>
      <c r="AC634" s="20" t="s">
        <v>1147</v>
      </c>
      <c r="AD634" s="20" t="s">
        <v>222</v>
      </c>
      <c r="AE634" s="20" t="s">
        <v>1996</v>
      </c>
      <c r="AF634" s="20" t="s">
        <v>2300</v>
      </c>
      <c r="AG634" s="20" t="s">
        <v>835</v>
      </c>
      <c r="AH634" s="20">
        <v>5</v>
      </c>
      <c r="AI634" s="20">
        <v>5</v>
      </c>
      <c r="AJ634" s="20" t="s">
        <v>592</v>
      </c>
      <c r="AL634" s="20" t="s">
        <v>1141</v>
      </c>
      <c r="AM634" s="20" t="s">
        <v>224</v>
      </c>
      <c r="AN634" s="20" t="s">
        <v>388</v>
      </c>
      <c r="AO634" s="20" t="s">
        <v>3140</v>
      </c>
      <c r="AP634" s="20" t="s">
        <v>628</v>
      </c>
      <c r="AQ634" s="20">
        <v>10</v>
      </c>
      <c r="AR634" s="20">
        <v>5</v>
      </c>
      <c r="AS634" s="20" t="s">
        <v>592</v>
      </c>
    </row>
    <row r="635" spans="11:45" ht="15.75" customHeight="1" x14ac:dyDescent="0.2">
      <c r="K635" s="20" t="s">
        <v>1141</v>
      </c>
      <c r="L635" s="20" t="s">
        <v>787</v>
      </c>
      <c r="M635" s="20" t="s">
        <v>1979</v>
      </c>
      <c r="N635" s="20" t="s">
        <v>1980</v>
      </c>
      <c r="O635" s="20" t="s">
        <v>835</v>
      </c>
      <c r="P635" s="20">
        <v>5</v>
      </c>
      <c r="Q635" s="20">
        <v>1</v>
      </c>
      <c r="R635" s="20" t="s">
        <v>593</v>
      </c>
      <c r="T635" s="20" t="s">
        <v>1163</v>
      </c>
      <c r="U635" s="20" t="s">
        <v>1165</v>
      </c>
      <c r="V635" s="20" t="s">
        <v>1448</v>
      </c>
      <c r="W635" s="20" t="s">
        <v>1447</v>
      </c>
      <c r="X635" s="20" t="s">
        <v>835</v>
      </c>
      <c r="Y635" s="20">
        <v>5</v>
      </c>
      <c r="Z635" s="20">
        <v>1</v>
      </c>
      <c r="AA635" s="20" t="s">
        <v>593</v>
      </c>
      <c r="AC635" s="20" t="s">
        <v>1158</v>
      </c>
      <c r="AD635" s="20" t="s">
        <v>2524</v>
      </c>
      <c r="AE635" s="20" t="s">
        <v>547</v>
      </c>
      <c r="AF635" s="20" t="s">
        <v>2766</v>
      </c>
      <c r="AG635" s="20" t="s">
        <v>835</v>
      </c>
      <c r="AH635" s="20">
        <v>5</v>
      </c>
      <c r="AI635" s="20">
        <v>5</v>
      </c>
      <c r="AJ635" s="20" t="s">
        <v>592</v>
      </c>
      <c r="AL635" s="20" t="s">
        <v>1141</v>
      </c>
      <c r="AM635" s="20" t="s">
        <v>224</v>
      </c>
      <c r="AN635" s="20" t="s">
        <v>399</v>
      </c>
      <c r="AO635" s="20" t="s">
        <v>966</v>
      </c>
      <c r="AP635" s="20" t="s">
        <v>628</v>
      </c>
      <c r="AQ635" s="20">
        <v>10</v>
      </c>
      <c r="AR635" s="20">
        <v>47</v>
      </c>
      <c r="AS635" s="20" t="s">
        <v>592</v>
      </c>
    </row>
    <row r="636" spans="11:45" ht="15.75" customHeight="1" x14ac:dyDescent="0.2">
      <c r="K636" s="20" t="s">
        <v>1163</v>
      </c>
      <c r="L636" s="20" t="s">
        <v>57</v>
      </c>
      <c r="M636" s="20" t="s">
        <v>1981</v>
      </c>
      <c r="N636" s="20" t="s">
        <v>359</v>
      </c>
      <c r="O636" s="20" t="s">
        <v>628</v>
      </c>
      <c r="P636" s="20">
        <v>10</v>
      </c>
      <c r="Q636" s="20">
        <v>2</v>
      </c>
      <c r="R636" s="20" t="s">
        <v>593</v>
      </c>
      <c r="T636" s="20" t="s">
        <v>2099</v>
      </c>
      <c r="U636" s="20" t="s">
        <v>2103</v>
      </c>
      <c r="V636" s="20" t="s">
        <v>2451</v>
      </c>
      <c r="W636" s="20" t="s">
        <v>2396</v>
      </c>
      <c r="X636" s="20" t="s">
        <v>835</v>
      </c>
      <c r="Y636" s="20">
        <v>5</v>
      </c>
      <c r="Z636" s="20">
        <v>12</v>
      </c>
      <c r="AA636" s="20" t="s">
        <v>592</v>
      </c>
      <c r="AC636" s="20" t="s">
        <v>1147</v>
      </c>
      <c r="AD636" s="20" t="s">
        <v>70</v>
      </c>
      <c r="AE636" s="20" t="s">
        <v>2006</v>
      </c>
      <c r="AF636" s="20" t="s">
        <v>2005</v>
      </c>
      <c r="AG636" s="20" t="s">
        <v>835</v>
      </c>
      <c r="AH636" s="20">
        <v>5</v>
      </c>
      <c r="AI636" s="20">
        <v>2</v>
      </c>
      <c r="AJ636" s="20" t="s">
        <v>593</v>
      </c>
      <c r="AL636" s="20" t="s">
        <v>1141</v>
      </c>
      <c r="AM636" s="20" t="s">
        <v>787</v>
      </c>
      <c r="AN636" s="20" t="s">
        <v>1643</v>
      </c>
      <c r="AO636" s="20" t="s">
        <v>3141</v>
      </c>
      <c r="AP636" s="20" t="s">
        <v>628</v>
      </c>
      <c r="AQ636" s="20">
        <v>10</v>
      </c>
      <c r="AR636" s="20">
        <v>10</v>
      </c>
      <c r="AS636" s="20" t="s">
        <v>592</v>
      </c>
    </row>
    <row r="637" spans="11:45" ht="15.75" customHeight="1" x14ac:dyDescent="0.2">
      <c r="K637" s="20" t="s">
        <v>1141</v>
      </c>
      <c r="L637" s="20" t="s">
        <v>780</v>
      </c>
      <c r="M637" s="20" t="s">
        <v>1647</v>
      </c>
      <c r="N637" s="20" t="s">
        <v>1648</v>
      </c>
      <c r="O637" s="20" t="s">
        <v>628</v>
      </c>
      <c r="P637" s="20">
        <v>10</v>
      </c>
      <c r="Q637" s="20">
        <v>8</v>
      </c>
      <c r="R637" s="20" t="s">
        <v>592</v>
      </c>
      <c r="T637" s="20" t="s">
        <v>640</v>
      </c>
      <c r="U637" s="20" t="s">
        <v>248</v>
      </c>
      <c r="V637" s="20" t="s">
        <v>2060</v>
      </c>
      <c r="W637" s="20" t="s">
        <v>2059</v>
      </c>
      <c r="X637" s="20" t="s">
        <v>835</v>
      </c>
      <c r="Y637" s="20">
        <v>5</v>
      </c>
      <c r="Z637" s="20">
        <v>7</v>
      </c>
      <c r="AA637" s="20" t="s">
        <v>592</v>
      </c>
      <c r="AC637" s="20" t="s">
        <v>1161</v>
      </c>
      <c r="AD637" s="20" t="s">
        <v>2520</v>
      </c>
      <c r="AE637" s="20" t="s">
        <v>454</v>
      </c>
      <c r="AF637" s="20" t="s">
        <v>2767</v>
      </c>
      <c r="AG637" s="20" t="s">
        <v>835</v>
      </c>
      <c r="AH637" s="20">
        <v>5</v>
      </c>
      <c r="AI637" s="20">
        <v>5</v>
      </c>
      <c r="AJ637" s="20" t="s">
        <v>592</v>
      </c>
      <c r="AL637" s="20" t="s">
        <v>1141</v>
      </c>
      <c r="AM637" s="20" t="s">
        <v>787</v>
      </c>
      <c r="AN637" s="20" t="s">
        <v>385</v>
      </c>
      <c r="AO637" s="20" t="s">
        <v>2658</v>
      </c>
      <c r="AP637" s="20" t="s">
        <v>628</v>
      </c>
      <c r="AQ637" s="20">
        <v>10</v>
      </c>
      <c r="AR637" s="20">
        <v>21</v>
      </c>
      <c r="AS637" s="20" t="s">
        <v>592</v>
      </c>
    </row>
    <row r="638" spans="11:45" ht="15.75" customHeight="1" x14ac:dyDescent="0.2">
      <c r="K638" s="20" t="s">
        <v>1141</v>
      </c>
      <c r="L638" s="20" t="s">
        <v>780</v>
      </c>
      <c r="M638" s="20" t="s">
        <v>1458</v>
      </c>
      <c r="N638" s="20" t="s">
        <v>1457</v>
      </c>
      <c r="O638" s="20" t="s">
        <v>835</v>
      </c>
      <c r="P638" s="20">
        <v>5</v>
      </c>
      <c r="Q638" s="20">
        <v>5</v>
      </c>
      <c r="R638" s="20" t="s">
        <v>592</v>
      </c>
      <c r="T638" s="20" t="s">
        <v>1147</v>
      </c>
      <c r="U638" s="20" t="s">
        <v>244</v>
      </c>
      <c r="V638" s="20" t="s">
        <v>421</v>
      </c>
      <c r="W638" s="20" t="s">
        <v>777</v>
      </c>
      <c r="X638" s="20" t="s">
        <v>628</v>
      </c>
      <c r="Y638" s="20">
        <v>10</v>
      </c>
      <c r="Z638" s="20">
        <v>1</v>
      </c>
      <c r="AA638" s="20" t="s">
        <v>593</v>
      </c>
      <c r="AC638" s="20" t="s">
        <v>1161</v>
      </c>
      <c r="AD638" s="20" t="s">
        <v>1432</v>
      </c>
      <c r="AE638" s="20" t="s">
        <v>1912</v>
      </c>
      <c r="AF638" s="20" t="s">
        <v>2768</v>
      </c>
      <c r="AG638" s="20" t="s">
        <v>835</v>
      </c>
      <c r="AH638" s="20">
        <v>5</v>
      </c>
      <c r="AI638" s="20">
        <v>5</v>
      </c>
      <c r="AJ638" s="20" t="s">
        <v>592</v>
      </c>
      <c r="AL638" s="20" t="s">
        <v>1141</v>
      </c>
      <c r="AM638" s="20" t="s">
        <v>787</v>
      </c>
      <c r="AN638" s="20" t="s">
        <v>384</v>
      </c>
      <c r="AO638" s="20" t="s">
        <v>3142</v>
      </c>
      <c r="AP638" s="20" t="s">
        <v>628</v>
      </c>
      <c r="AQ638" s="20">
        <v>10</v>
      </c>
      <c r="AR638" s="20">
        <v>20</v>
      </c>
      <c r="AS638" s="20" t="s">
        <v>592</v>
      </c>
    </row>
    <row r="639" spans="11:45" ht="15.75" customHeight="1" x14ac:dyDescent="0.2">
      <c r="K639" s="20" t="s">
        <v>1144</v>
      </c>
      <c r="L639" s="20" t="s">
        <v>249</v>
      </c>
      <c r="M639" s="20" t="s">
        <v>1982</v>
      </c>
      <c r="N639" s="20" t="s">
        <v>440</v>
      </c>
      <c r="O639" s="20" t="s">
        <v>628</v>
      </c>
      <c r="P639" s="20">
        <v>10</v>
      </c>
      <c r="Q639" s="20">
        <v>2</v>
      </c>
      <c r="R639" s="20" t="s">
        <v>592</v>
      </c>
      <c r="T639" s="20" t="s">
        <v>1147</v>
      </c>
      <c r="U639" s="20" t="s">
        <v>244</v>
      </c>
      <c r="V639" s="20" t="s">
        <v>1950</v>
      </c>
      <c r="W639" s="20" t="s">
        <v>1949</v>
      </c>
      <c r="X639" s="20" t="s">
        <v>835</v>
      </c>
      <c r="Y639" s="20">
        <v>5</v>
      </c>
      <c r="Z639" s="20">
        <v>1</v>
      </c>
      <c r="AA639" s="20" t="s">
        <v>593</v>
      </c>
      <c r="AC639" s="20" t="s">
        <v>1161</v>
      </c>
      <c r="AD639" s="20" t="s">
        <v>765</v>
      </c>
      <c r="AE639" s="20" t="s">
        <v>858</v>
      </c>
      <c r="AF639" s="20" t="s">
        <v>2639</v>
      </c>
      <c r="AG639" s="20" t="s">
        <v>835</v>
      </c>
      <c r="AH639" s="20">
        <v>5</v>
      </c>
      <c r="AI639" s="20">
        <v>1</v>
      </c>
      <c r="AJ639" s="20" t="s">
        <v>593</v>
      </c>
      <c r="AL639" s="20" t="s">
        <v>1141</v>
      </c>
      <c r="AM639" s="20" t="s">
        <v>787</v>
      </c>
      <c r="AN639" s="20" t="s">
        <v>1768</v>
      </c>
      <c r="AO639" s="20" t="s">
        <v>3143</v>
      </c>
      <c r="AP639" s="20" t="s">
        <v>628</v>
      </c>
      <c r="AQ639" s="20">
        <v>10</v>
      </c>
      <c r="AR639" s="20">
        <v>3</v>
      </c>
      <c r="AS639" s="20" t="s">
        <v>593</v>
      </c>
    </row>
    <row r="640" spans="11:45" ht="15.75" customHeight="1" x14ac:dyDescent="0.2">
      <c r="K640" s="20" t="s">
        <v>1144</v>
      </c>
      <c r="L640" s="20" t="s">
        <v>249</v>
      </c>
      <c r="M640" s="20" t="s">
        <v>1983</v>
      </c>
      <c r="N640" s="20" t="s">
        <v>440</v>
      </c>
      <c r="O640" s="20" t="s">
        <v>628</v>
      </c>
      <c r="P640" s="20">
        <v>10</v>
      </c>
      <c r="Q640" s="20">
        <v>6</v>
      </c>
      <c r="R640" s="20" t="s">
        <v>592</v>
      </c>
      <c r="T640" s="20" t="s">
        <v>640</v>
      </c>
      <c r="U640" s="20" t="s">
        <v>191</v>
      </c>
      <c r="V640" s="20" t="s">
        <v>573</v>
      </c>
      <c r="W640" s="20" t="s">
        <v>2397</v>
      </c>
      <c r="X640" s="20" t="s">
        <v>835</v>
      </c>
      <c r="Y640" s="20">
        <v>5</v>
      </c>
      <c r="Z640" s="20">
        <v>1</v>
      </c>
      <c r="AA640" s="20" t="s">
        <v>593</v>
      </c>
      <c r="AC640" s="20" t="s">
        <v>1144</v>
      </c>
      <c r="AD640" s="20" t="s">
        <v>313</v>
      </c>
      <c r="AE640" s="20" t="s">
        <v>528</v>
      </c>
      <c r="AF640" s="20" t="s">
        <v>998</v>
      </c>
      <c r="AG640" s="20" t="s">
        <v>835</v>
      </c>
      <c r="AH640" s="20">
        <v>5</v>
      </c>
      <c r="AI640" s="20">
        <v>6</v>
      </c>
      <c r="AJ640" s="20" t="s">
        <v>592</v>
      </c>
      <c r="AL640" s="20" t="s">
        <v>1141</v>
      </c>
      <c r="AM640" s="20" t="s">
        <v>787</v>
      </c>
      <c r="AN640" s="20" t="s">
        <v>1980</v>
      </c>
      <c r="AO640" s="20" t="s">
        <v>1979</v>
      </c>
      <c r="AP640" s="20" t="s">
        <v>628</v>
      </c>
      <c r="AQ640" s="20">
        <v>10</v>
      </c>
      <c r="AR640" s="20">
        <v>9</v>
      </c>
      <c r="AS640" s="20" t="s">
        <v>592</v>
      </c>
    </row>
    <row r="641" spans="11:45" ht="15.75" customHeight="1" x14ac:dyDescent="0.2">
      <c r="K641" s="20" t="s">
        <v>1141</v>
      </c>
      <c r="L641" s="20" t="s">
        <v>218</v>
      </c>
      <c r="M641" s="20" t="s">
        <v>1984</v>
      </c>
      <c r="N641" s="20" t="s">
        <v>1467</v>
      </c>
      <c r="O641" s="20" t="s">
        <v>835</v>
      </c>
      <c r="P641" s="20">
        <v>5</v>
      </c>
      <c r="Q641" s="20">
        <v>6</v>
      </c>
      <c r="R641" s="20" t="s">
        <v>592</v>
      </c>
      <c r="T641" s="20" t="s">
        <v>1163</v>
      </c>
      <c r="U641" s="20" t="s">
        <v>207</v>
      </c>
      <c r="V641" s="20" t="s">
        <v>600</v>
      </c>
      <c r="W641" s="20" t="s">
        <v>2398</v>
      </c>
      <c r="X641" s="20" t="s">
        <v>835</v>
      </c>
      <c r="Y641" s="20">
        <v>5</v>
      </c>
      <c r="Z641" s="20">
        <v>1</v>
      </c>
      <c r="AA641" s="20" t="s">
        <v>593</v>
      </c>
      <c r="AC641" s="20" t="s">
        <v>1144</v>
      </c>
      <c r="AD641" s="20" t="s">
        <v>194</v>
      </c>
      <c r="AE641" s="20" t="s">
        <v>437</v>
      </c>
      <c r="AF641" s="20" t="s">
        <v>2403</v>
      </c>
      <c r="AG641" s="20" t="s">
        <v>835</v>
      </c>
      <c r="AH641" s="20">
        <v>5</v>
      </c>
      <c r="AI641" s="20">
        <v>5</v>
      </c>
      <c r="AJ641" s="20" t="s">
        <v>592</v>
      </c>
      <c r="AL641" s="20" t="s">
        <v>1141</v>
      </c>
      <c r="AM641" s="20" t="s">
        <v>787</v>
      </c>
      <c r="AN641" s="20" t="s">
        <v>2851</v>
      </c>
      <c r="AO641" s="20" t="s">
        <v>3144</v>
      </c>
      <c r="AP641" s="20" t="s">
        <v>628</v>
      </c>
      <c r="AQ641" s="20">
        <v>10</v>
      </c>
      <c r="AR641" s="20">
        <v>9</v>
      </c>
      <c r="AS641" s="20" t="s">
        <v>592</v>
      </c>
    </row>
    <row r="642" spans="11:45" ht="15.75" customHeight="1" x14ac:dyDescent="0.2">
      <c r="K642" s="20" t="s">
        <v>1141</v>
      </c>
      <c r="L642" s="20" t="s">
        <v>787</v>
      </c>
      <c r="M642" s="20" t="s">
        <v>792</v>
      </c>
      <c r="N642" s="20" t="s">
        <v>767</v>
      </c>
      <c r="O642" s="20" t="s">
        <v>835</v>
      </c>
      <c r="P642" s="20">
        <v>5</v>
      </c>
      <c r="Q642" s="20">
        <v>5</v>
      </c>
      <c r="R642" s="20" t="s">
        <v>592</v>
      </c>
      <c r="T642" s="20" t="s">
        <v>1147</v>
      </c>
      <c r="U642" s="20" t="s">
        <v>29</v>
      </c>
      <c r="V642" s="20" t="s">
        <v>422</v>
      </c>
      <c r="W642" s="20" t="s">
        <v>770</v>
      </c>
      <c r="X642" s="20" t="s">
        <v>835</v>
      </c>
      <c r="Y642" s="20">
        <v>5</v>
      </c>
      <c r="Z642" s="20">
        <v>8</v>
      </c>
      <c r="AA642" s="20" t="s">
        <v>592</v>
      </c>
      <c r="AC642" s="20" t="s">
        <v>1147</v>
      </c>
      <c r="AD642" s="20" t="s">
        <v>70</v>
      </c>
      <c r="AE642" s="20" t="s">
        <v>1742</v>
      </c>
      <c r="AF642" s="20" t="s">
        <v>2769</v>
      </c>
      <c r="AG642" s="20" t="s">
        <v>628</v>
      </c>
      <c r="AH642" s="20">
        <v>10</v>
      </c>
      <c r="AI642" s="20">
        <v>4</v>
      </c>
      <c r="AJ642" s="20" t="s">
        <v>593</v>
      </c>
      <c r="AL642" s="20" t="s">
        <v>1141</v>
      </c>
      <c r="AM642" s="20" t="s">
        <v>787</v>
      </c>
      <c r="AN642" s="20" t="s">
        <v>714</v>
      </c>
      <c r="AO642" s="20" t="s">
        <v>1580</v>
      </c>
      <c r="AP642" s="20" t="s">
        <v>628</v>
      </c>
      <c r="AQ642" s="20">
        <v>10</v>
      </c>
      <c r="AR642" s="20">
        <v>11</v>
      </c>
      <c r="AS642" s="20" t="s">
        <v>592</v>
      </c>
    </row>
    <row r="643" spans="11:45" ht="15.75" customHeight="1" x14ac:dyDescent="0.2">
      <c r="K643" s="20" t="s">
        <v>1141</v>
      </c>
      <c r="L643" s="20" t="s">
        <v>224</v>
      </c>
      <c r="M643" s="20" t="s">
        <v>1119</v>
      </c>
      <c r="N643" s="20" t="s">
        <v>388</v>
      </c>
      <c r="O643" s="20" t="s">
        <v>835</v>
      </c>
      <c r="P643" s="20">
        <v>5</v>
      </c>
      <c r="Q643" s="20">
        <v>5</v>
      </c>
      <c r="R643" s="20" t="s">
        <v>592</v>
      </c>
      <c r="T643" s="20" t="s">
        <v>1147</v>
      </c>
      <c r="U643" s="20" t="s">
        <v>29</v>
      </c>
      <c r="V643" s="20" t="s">
        <v>1794</v>
      </c>
      <c r="W643" s="20" t="s">
        <v>1793</v>
      </c>
      <c r="X643" s="20" t="s">
        <v>835</v>
      </c>
      <c r="Y643" s="20">
        <v>5</v>
      </c>
      <c r="Z643" s="20">
        <v>1</v>
      </c>
      <c r="AA643" s="20" t="s">
        <v>593</v>
      </c>
      <c r="AC643" s="20" t="s">
        <v>1147</v>
      </c>
      <c r="AD643" s="20" t="s">
        <v>699</v>
      </c>
      <c r="AE643" s="20" t="s">
        <v>613</v>
      </c>
      <c r="AF643" s="20" t="s">
        <v>1789</v>
      </c>
      <c r="AG643" s="20" t="s">
        <v>835</v>
      </c>
      <c r="AH643" s="20">
        <v>5</v>
      </c>
      <c r="AI643" s="20">
        <v>1</v>
      </c>
      <c r="AJ643" s="20" t="s">
        <v>593</v>
      </c>
      <c r="AL643" s="20" t="s">
        <v>1141</v>
      </c>
      <c r="AM643" s="20" t="s">
        <v>780</v>
      </c>
      <c r="AN643" s="20" t="s">
        <v>1766</v>
      </c>
      <c r="AO643" s="20" t="s">
        <v>2357</v>
      </c>
      <c r="AP643" s="20" t="s">
        <v>628</v>
      </c>
      <c r="AQ643" s="20">
        <v>10</v>
      </c>
      <c r="AR643" s="20">
        <v>61</v>
      </c>
      <c r="AS643" s="20" t="s">
        <v>592</v>
      </c>
    </row>
    <row r="644" spans="11:45" ht="15.75" customHeight="1" x14ac:dyDescent="0.2">
      <c r="K644" s="20" t="s">
        <v>1141</v>
      </c>
      <c r="L644" s="20" t="s">
        <v>224</v>
      </c>
      <c r="M644" s="20" t="s">
        <v>1985</v>
      </c>
      <c r="N644" s="20" t="s">
        <v>388</v>
      </c>
      <c r="O644" s="20" t="s">
        <v>835</v>
      </c>
      <c r="P644" s="20">
        <v>5</v>
      </c>
      <c r="Q644" s="20">
        <v>1</v>
      </c>
      <c r="R644" s="20" t="s">
        <v>592</v>
      </c>
      <c r="T644" s="20" t="s">
        <v>1147</v>
      </c>
      <c r="U644" s="20" t="s">
        <v>699</v>
      </c>
      <c r="V644" s="20" t="s">
        <v>2507</v>
      </c>
      <c r="W644" s="20" t="s">
        <v>2399</v>
      </c>
      <c r="X644" s="20" t="s">
        <v>628</v>
      </c>
      <c r="Y644" s="20">
        <v>10</v>
      </c>
      <c r="Z644" s="20">
        <v>9</v>
      </c>
      <c r="AA644" s="20" t="s">
        <v>592</v>
      </c>
      <c r="AC644" s="20" t="s">
        <v>640</v>
      </c>
      <c r="AD644" s="20" t="s">
        <v>756</v>
      </c>
      <c r="AE644" s="20" t="s">
        <v>431</v>
      </c>
      <c r="AF644" s="20" t="s">
        <v>987</v>
      </c>
      <c r="AG644" s="20" t="s">
        <v>835</v>
      </c>
      <c r="AH644" s="20">
        <v>5</v>
      </c>
      <c r="AI644" s="20">
        <v>1</v>
      </c>
      <c r="AJ644" s="20" t="s">
        <v>593</v>
      </c>
      <c r="AL644" s="20" t="s">
        <v>1141</v>
      </c>
      <c r="AM644" s="20" t="s">
        <v>780</v>
      </c>
      <c r="AN644" s="20" t="s">
        <v>400</v>
      </c>
      <c r="AO644" s="20" t="s">
        <v>1001</v>
      </c>
      <c r="AP644" s="20" t="s">
        <v>628</v>
      </c>
      <c r="AQ644" s="20">
        <v>10</v>
      </c>
      <c r="AR644" s="20">
        <v>12</v>
      </c>
      <c r="AS644" s="20" t="s">
        <v>592</v>
      </c>
    </row>
    <row r="645" spans="11:45" ht="15.75" customHeight="1" x14ac:dyDescent="0.2">
      <c r="K645" s="20" t="s">
        <v>1144</v>
      </c>
      <c r="L645" s="20" t="s">
        <v>804</v>
      </c>
      <c r="M645" s="20" t="s">
        <v>830</v>
      </c>
      <c r="N645" s="20" t="s">
        <v>546</v>
      </c>
      <c r="O645" s="20" t="s">
        <v>628</v>
      </c>
      <c r="P645" s="20">
        <v>10</v>
      </c>
      <c r="Q645" s="20">
        <v>7</v>
      </c>
      <c r="R645" s="20" t="s">
        <v>592</v>
      </c>
      <c r="T645" s="20" t="s">
        <v>1147</v>
      </c>
      <c r="U645" s="20" t="s">
        <v>699</v>
      </c>
      <c r="V645" s="20" t="s">
        <v>2507</v>
      </c>
      <c r="W645" s="20" t="s">
        <v>2400</v>
      </c>
      <c r="X645" s="20" t="s">
        <v>628</v>
      </c>
      <c r="Y645" s="20">
        <v>10</v>
      </c>
      <c r="Z645" s="20">
        <v>1</v>
      </c>
      <c r="AA645" s="20" t="s">
        <v>592</v>
      </c>
      <c r="AC645" s="20" t="s">
        <v>640</v>
      </c>
      <c r="AD645" s="20" t="s">
        <v>191</v>
      </c>
      <c r="AE645" s="20" t="s">
        <v>570</v>
      </c>
      <c r="AF645" s="20" t="s">
        <v>1754</v>
      </c>
      <c r="AG645" s="20" t="s">
        <v>835</v>
      </c>
      <c r="AH645" s="20">
        <v>5</v>
      </c>
      <c r="AI645" s="20">
        <v>1</v>
      </c>
      <c r="AJ645" s="20" t="s">
        <v>593</v>
      </c>
      <c r="AL645" s="20" t="s">
        <v>1141</v>
      </c>
      <c r="AM645" s="20" t="s">
        <v>780</v>
      </c>
      <c r="AN645" s="20" t="s">
        <v>2852</v>
      </c>
      <c r="AO645" s="20" t="s">
        <v>3145</v>
      </c>
      <c r="AP645" s="20" t="s">
        <v>628</v>
      </c>
      <c r="AQ645" s="20">
        <v>10</v>
      </c>
      <c r="AR645" s="20">
        <v>24</v>
      </c>
      <c r="AS645" s="20" t="s">
        <v>592</v>
      </c>
    </row>
    <row r="646" spans="11:45" ht="15.75" customHeight="1" x14ac:dyDescent="0.2">
      <c r="K646" s="20" t="s">
        <v>1144</v>
      </c>
      <c r="L646" s="20" t="s">
        <v>804</v>
      </c>
      <c r="M646" s="20" t="s">
        <v>1030</v>
      </c>
      <c r="N646" s="20" t="s">
        <v>546</v>
      </c>
      <c r="O646" s="20" t="s">
        <v>628</v>
      </c>
      <c r="P646" s="20">
        <v>10</v>
      </c>
      <c r="Q646" s="20">
        <v>1</v>
      </c>
      <c r="R646" s="20" t="s">
        <v>592</v>
      </c>
      <c r="T646" s="20" t="s">
        <v>640</v>
      </c>
      <c r="U646" s="20" t="s">
        <v>705</v>
      </c>
      <c r="V646" s="20" t="s">
        <v>1011</v>
      </c>
      <c r="W646" s="20" t="s">
        <v>1759</v>
      </c>
      <c r="X646" s="20" t="s">
        <v>835</v>
      </c>
      <c r="Y646" s="20">
        <v>5</v>
      </c>
      <c r="Z646" s="20">
        <v>2</v>
      </c>
      <c r="AA646" s="20" t="s">
        <v>593</v>
      </c>
      <c r="AC646" s="20" t="s">
        <v>1141</v>
      </c>
      <c r="AD646" s="20" t="s">
        <v>224</v>
      </c>
      <c r="AE646" s="20" t="s">
        <v>388</v>
      </c>
      <c r="AF646" s="20" t="s">
        <v>1119</v>
      </c>
      <c r="AG646" s="20" t="s">
        <v>835</v>
      </c>
      <c r="AH646" s="20">
        <v>5</v>
      </c>
      <c r="AI646" s="20">
        <v>5</v>
      </c>
      <c r="AJ646" s="20" t="s">
        <v>592</v>
      </c>
      <c r="AL646" s="20" t="s">
        <v>1141</v>
      </c>
      <c r="AM646" s="20" t="s">
        <v>780</v>
      </c>
      <c r="AN646" s="20" t="s">
        <v>2853</v>
      </c>
      <c r="AO646" s="20" t="s">
        <v>3146</v>
      </c>
      <c r="AP646" s="20" t="s">
        <v>628</v>
      </c>
      <c r="AQ646" s="20">
        <v>10</v>
      </c>
      <c r="AR646" s="20">
        <v>14</v>
      </c>
      <c r="AS646" s="20" t="s">
        <v>592</v>
      </c>
    </row>
    <row r="647" spans="11:45" ht="15.75" customHeight="1" x14ac:dyDescent="0.2">
      <c r="K647" s="20" t="s">
        <v>1144</v>
      </c>
      <c r="L647" s="20" t="s">
        <v>23</v>
      </c>
      <c r="M647" s="20" t="s">
        <v>589</v>
      </c>
      <c r="N647" s="20" t="s">
        <v>544</v>
      </c>
      <c r="O647" s="20" t="s">
        <v>628</v>
      </c>
      <c r="P647" s="20">
        <v>10</v>
      </c>
      <c r="Q647" s="20">
        <v>9</v>
      </c>
      <c r="R647" s="20" t="s">
        <v>592</v>
      </c>
      <c r="T647" s="20" t="s">
        <v>1147</v>
      </c>
      <c r="U647" s="20" t="s">
        <v>222</v>
      </c>
      <c r="V647" s="20" t="s">
        <v>1859</v>
      </c>
      <c r="W647" s="20" t="s">
        <v>2122</v>
      </c>
      <c r="X647" s="20" t="s">
        <v>835</v>
      </c>
      <c r="Y647" s="20">
        <v>5</v>
      </c>
      <c r="Z647" s="20">
        <v>5</v>
      </c>
      <c r="AA647" s="20" t="s">
        <v>592</v>
      </c>
      <c r="AC647" s="20" t="s">
        <v>1143</v>
      </c>
      <c r="AD647" s="20" t="s">
        <v>706</v>
      </c>
      <c r="AE647" s="20" t="s">
        <v>1812</v>
      </c>
      <c r="AF647" s="20" t="s">
        <v>1811</v>
      </c>
      <c r="AG647" s="20" t="s">
        <v>835</v>
      </c>
      <c r="AH647" s="20">
        <v>5</v>
      </c>
      <c r="AI647" s="20">
        <v>3</v>
      </c>
      <c r="AJ647" s="20" t="s">
        <v>593</v>
      </c>
      <c r="AL647" s="20" t="s">
        <v>1141</v>
      </c>
      <c r="AM647" s="20" t="s">
        <v>780</v>
      </c>
      <c r="AN647" s="20" t="s">
        <v>398</v>
      </c>
      <c r="AO647" s="20" t="s">
        <v>3147</v>
      </c>
      <c r="AP647" s="20" t="s">
        <v>628</v>
      </c>
      <c r="AQ647" s="20">
        <v>10</v>
      </c>
      <c r="AR647" s="20">
        <v>8</v>
      </c>
      <c r="AS647" s="20" t="s">
        <v>592</v>
      </c>
    </row>
    <row r="648" spans="11:45" ht="15.75" customHeight="1" x14ac:dyDescent="0.2">
      <c r="K648" s="20" t="s">
        <v>1147</v>
      </c>
      <c r="L648" s="20" t="s">
        <v>699</v>
      </c>
      <c r="M648" s="20" t="s">
        <v>1986</v>
      </c>
      <c r="N648" s="20" t="s">
        <v>1987</v>
      </c>
      <c r="O648" s="20" t="s">
        <v>628</v>
      </c>
      <c r="P648" s="20">
        <v>10</v>
      </c>
      <c r="Q648" s="20">
        <v>10</v>
      </c>
      <c r="R648" s="20" t="s">
        <v>592</v>
      </c>
      <c r="T648" s="20" t="s">
        <v>1147</v>
      </c>
      <c r="U648" s="20" t="s">
        <v>222</v>
      </c>
      <c r="V648" s="20" t="s">
        <v>551</v>
      </c>
      <c r="W648" s="20" t="s">
        <v>1361</v>
      </c>
      <c r="X648" s="20" t="s">
        <v>835</v>
      </c>
      <c r="Y648" s="20">
        <v>5</v>
      </c>
      <c r="Z648" s="20">
        <v>5</v>
      </c>
      <c r="AA648" s="20" t="s">
        <v>592</v>
      </c>
      <c r="AC648" s="20" t="s">
        <v>1149</v>
      </c>
      <c r="AD648" s="20" t="s">
        <v>806</v>
      </c>
      <c r="AE648" s="20" t="s">
        <v>469</v>
      </c>
      <c r="AF648" s="20" t="s">
        <v>977</v>
      </c>
      <c r="AG648" s="20" t="s">
        <v>628</v>
      </c>
      <c r="AH648" s="20">
        <v>10</v>
      </c>
      <c r="AI648" s="20">
        <v>3</v>
      </c>
      <c r="AJ648" s="20" t="s">
        <v>593</v>
      </c>
      <c r="AL648" s="20" t="s">
        <v>1141</v>
      </c>
      <c r="AM648" s="20" t="s">
        <v>780</v>
      </c>
      <c r="AN648" s="20" t="s">
        <v>398</v>
      </c>
      <c r="AO648" s="20" t="s">
        <v>1287</v>
      </c>
      <c r="AP648" s="20" t="s">
        <v>628</v>
      </c>
      <c r="AQ648" s="20">
        <v>10</v>
      </c>
      <c r="AR648" s="20">
        <v>13</v>
      </c>
      <c r="AS648" s="20" t="s">
        <v>592</v>
      </c>
    </row>
    <row r="649" spans="11:45" ht="15.75" customHeight="1" x14ac:dyDescent="0.2">
      <c r="K649" s="20" t="s">
        <v>1163</v>
      </c>
      <c r="L649" s="20" t="s">
        <v>207</v>
      </c>
      <c r="M649" s="20" t="s">
        <v>1614</v>
      </c>
      <c r="N649" s="20" t="s">
        <v>1615</v>
      </c>
      <c r="O649" s="20" t="s">
        <v>835</v>
      </c>
      <c r="P649" s="20">
        <v>5</v>
      </c>
      <c r="Q649" s="20">
        <v>7</v>
      </c>
      <c r="R649" s="20" t="s">
        <v>592</v>
      </c>
      <c r="T649" s="20" t="s">
        <v>1169</v>
      </c>
      <c r="U649" s="20" t="s">
        <v>216</v>
      </c>
      <c r="V649" s="20" t="s">
        <v>1899</v>
      </c>
      <c r="W649" s="20" t="s">
        <v>1898</v>
      </c>
      <c r="X649" s="20" t="s">
        <v>628</v>
      </c>
      <c r="Y649" s="20">
        <v>10</v>
      </c>
      <c r="Z649" s="20">
        <v>3</v>
      </c>
      <c r="AA649" s="20" t="s">
        <v>593</v>
      </c>
      <c r="AC649" s="20" t="s">
        <v>1144</v>
      </c>
      <c r="AD649" s="20" t="s">
        <v>1145</v>
      </c>
      <c r="AE649" s="20" t="s">
        <v>853</v>
      </c>
      <c r="AF649" s="20" t="s">
        <v>1251</v>
      </c>
      <c r="AG649" s="20" t="s">
        <v>835</v>
      </c>
      <c r="AH649" s="20">
        <v>5</v>
      </c>
      <c r="AI649" s="20">
        <v>8</v>
      </c>
      <c r="AJ649" s="20" t="s">
        <v>592</v>
      </c>
      <c r="AL649" s="20" t="s">
        <v>1141</v>
      </c>
      <c r="AM649" s="20" t="s">
        <v>780</v>
      </c>
      <c r="AN649" s="20" t="s">
        <v>2535</v>
      </c>
      <c r="AO649" s="20" t="s">
        <v>2587</v>
      </c>
      <c r="AP649" s="20" t="s">
        <v>628</v>
      </c>
      <c r="AQ649" s="20">
        <v>10</v>
      </c>
      <c r="AR649" s="20">
        <v>15</v>
      </c>
      <c r="AS649" s="20" t="s">
        <v>592</v>
      </c>
    </row>
    <row r="650" spans="11:45" ht="15.75" customHeight="1" x14ac:dyDescent="0.2">
      <c r="K650" s="20" t="s">
        <v>1163</v>
      </c>
      <c r="L650" s="20" t="s">
        <v>207</v>
      </c>
      <c r="M650" s="20" t="s">
        <v>1565</v>
      </c>
      <c r="N650" s="20" t="s">
        <v>1566</v>
      </c>
      <c r="O650" s="20" t="s">
        <v>835</v>
      </c>
      <c r="P650" s="20">
        <v>5</v>
      </c>
      <c r="Q650" s="20">
        <v>1</v>
      </c>
      <c r="R650" s="20" t="s">
        <v>593</v>
      </c>
      <c r="T650" s="20" t="s">
        <v>1158</v>
      </c>
      <c r="U650" s="20" t="s">
        <v>291</v>
      </c>
      <c r="V650" s="20" t="s">
        <v>547</v>
      </c>
      <c r="W650" s="20" t="s">
        <v>2401</v>
      </c>
      <c r="X650" s="20" t="s">
        <v>835</v>
      </c>
      <c r="Y650" s="20">
        <v>5</v>
      </c>
      <c r="Z650" s="20">
        <v>6</v>
      </c>
      <c r="AA650" s="20" t="s">
        <v>592</v>
      </c>
      <c r="AC650" s="20" t="s">
        <v>1144</v>
      </c>
      <c r="AD650" s="20" t="s">
        <v>249</v>
      </c>
      <c r="AE650" s="20" t="s">
        <v>563</v>
      </c>
      <c r="AF650" s="20" t="s">
        <v>591</v>
      </c>
      <c r="AG650" s="20" t="s">
        <v>835</v>
      </c>
      <c r="AH650" s="20">
        <v>5</v>
      </c>
      <c r="AI650" s="20">
        <v>6</v>
      </c>
      <c r="AJ650" s="20" t="s">
        <v>592</v>
      </c>
      <c r="AL650" s="20" t="s">
        <v>1141</v>
      </c>
      <c r="AM650" s="20" t="s">
        <v>780</v>
      </c>
      <c r="AN650" s="20" t="s">
        <v>401</v>
      </c>
      <c r="AO650" s="20" t="s">
        <v>1763</v>
      </c>
      <c r="AP650" s="20" t="s">
        <v>628</v>
      </c>
      <c r="AQ650" s="20">
        <v>10</v>
      </c>
      <c r="AR650" s="20">
        <v>16</v>
      </c>
      <c r="AS650" s="20" t="s">
        <v>592</v>
      </c>
    </row>
    <row r="651" spans="11:45" ht="15.75" customHeight="1" x14ac:dyDescent="0.2">
      <c r="K651" s="20" t="s">
        <v>1144</v>
      </c>
      <c r="L651" s="20" t="s">
        <v>194</v>
      </c>
      <c r="M651" s="20" t="s">
        <v>1988</v>
      </c>
      <c r="N651" s="20" t="s">
        <v>487</v>
      </c>
      <c r="O651" s="20" t="s">
        <v>628</v>
      </c>
      <c r="P651" s="20">
        <v>10</v>
      </c>
      <c r="Q651" s="20">
        <v>7</v>
      </c>
      <c r="R651" s="20" t="s">
        <v>592</v>
      </c>
      <c r="T651" s="20" t="s">
        <v>2099</v>
      </c>
      <c r="U651" s="20" t="s">
        <v>2144</v>
      </c>
      <c r="V651" s="20" t="s">
        <v>2460</v>
      </c>
      <c r="W651" s="20" t="s">
        <v>2402</v>
      </c>
      <c r="X651" s="20" t="s">
        <v>835</v>
      </c>
      <c r="Y651" s="20">
        <v>5</v>
      </c>
      <c r="Z651" s="20">
        <v>8</v>
      </c>
      <c r="AA651" s="20" t="s">
        <v>592</v>
      </c>
      <c r="AC651" s="20" t="s">
        <v>2099</v>
      </c>
      <c r="AD651" s="20" t="s">
        <v>2112</v>
      </c>
      <c r="AE651" s="20" t="s">
        <v>2527</v>
      </c>
      <c r="AF651" s="20" t="s">
        <v>2653</v>
      </c>
      <c r="AG651" s="20" t="s">
        <v>2514</v>
      </c>
      <c r="AH651" s="20">
        <v>3</v>
      </c>
      <c r="AI651" s="20">
        <v>13</v>
      </c>
      <c r="AJ651" s="20" t="s">
        <v>592</v>
      </c>
      <c r="AL651" s="20" t="s">
        <v>1141</v>
      </c>
      <c r="AM651" s="20" t="s">
        <v>780</v>
      </c>
      <c r="AN651" s="20" t="s">
        <v>1707</v>
      </c>
      <c r="AO651" s="20" t="s">
        <v>1706</v>
      </c>
      <c r="AP651" s="20" t="s">
        <v>628</v>
      </c>
      <c r="AQ651" s="20">
        <v>10</v>
      </c>
      <c r="AR651" s="20">
        <v>8</v>
      </c>
      <c r="AS651" s="20" t="s">
        <v>592</v>
      </c>
    </row>
    <row r="652" spans="11:45" ht="15.75" customHeight="1" x14ac:dyDescent="0.2">
      <c r="K652" s="20" t="s">
        <v>1144</v>
      </c>
      <c r="L652" s="20" t="s">
        <v>194</v>
      </c>
      <c r="M652" s="20" t="s">
        <v>979</v>
      </c>
      <c r="N652" s="20" t="s">
        <v>442</v>
      </c>
      <c r="O652" s="20" t="s">
        <v>835</v>
      </c>
      <c r="P652" s="20">
        <v>5</v>
      </c>
      <c r="Q652" s="20">
        <v>6</v>
      </c>
      <c r="R652" s="20" t="s">
        <v>592</v>
      </c>
      <c r="T652" s="20" t="s">
        <v>640</v>
      </c>
      <c r="U652" s="20" t="s">
        <v>191</v>
      </c>
      <c r="V652" s="20" t="s">
        <v>568</v>
      </c>
      <c r="W652" s="20" t="s">
        <v>815</v>
      </c>
      <c r="X652" s="20" t="s">
        <v>835</v>
      </c>
      <c r="Y652" s="20">
        <v>5</v>
      </c>
      <c r="Z652" s="20">
        <v>4</v>
      </c>
      <c r="AA652" s="20" t="s">
        <v>592</v>
      </c>
      <c r="AC652" s="20" t="s">
        <v>2099</v>
      </c>
      <c r="AD652" s="20" t="s">
        <v>2144</v>
      </c>
      <c r="AE652" s="20" t="s">
        <v>2563</v>
      </c>
      <c r="AF652" s="20" t="s">
        <v>2652</v>
      </c>
      <c r="AG652" s="20" t="s">
        <v>2514</v>
      </c>
      <c r="AH652" s="20">
        <v>3</v>
      </c>
      <c r="AI652" s="20">
        <v>10</v>
      </c>
      <c r="AJ652" s="20" t="s">
        <v>592</v>
      </c>
      <c r="AL652" s="20" t="s">
        <v>1141</v>
      </c>
      <c r="AM652" s="20" t="s">
        <v>780</v>
      </c>
      <c r="AN652" s="20" t="s">
        <v>2560</v>
      </c>
      <c r="AO652" s="20" t="s">
        <v>2745</v>
      </c>
      <c r="AP652" s="20" t="s">
        <v>628</v>
      </c>
      <c r="AQ652" s="20">
        <v>10</v>
      </c>
      <c r="AR652" s="20">
        <v>9</v>
      </c>
      <c r="AS652" s="20" t="s">
        <v>592</v>
      </c>
    </row>
    <row r="653" spans="11:45" ht="15.75" customHeight="1" x14ac:dyDescent="0.2">
      <c r="K653" s="20" t="s">
        <v>1144</v>
      </c>
      <c r="L653" s="20" t="s">
        <v>194</v>
      </c>
      <c r="M653" s="20" t="s">
        <v>1989</v>
      </c>
      <c r="N653" s="20" t="s">
        <v>487</v>
      </c>
      <c r="O653" s="20" t="s">
        <v>628</v>
      </c>
      <c r="P653" s="20">
        <v>10</v>
      </c>
      <c r="Q653" s="20">
        <v>1</v>
      </c>
      <c r="R653" s="20" t="s">
        <v>592</v>
      </c>
      <c r="T653" s="20" t="s">
        <v>640</v>
      </c>
      <c r="U653" s="20" t="s">
        <v>191</v>
      </c>
      <c r="V653" s="20" t="s">
        <v>568</v>
      </c>
      <c r="W653" s="20" t="s">
        <v>816</v>
      </c>
      <c r="X653" s="20" t="s">
        <v>835</v>
      </c>
      <c r="Y653" s="20">
        <v>5</v>
      </c>
      <c r="Z653" s="20">
        <v>1</v>
      </c>
      <c r="AA653" s="20" t="s">
        <v>592</v>
      </c>
      <c r="AC653" s="20" t="s">
        <v>2099</v>
      </c>
      <c r="AD653" s="20" t="s">
        <v>2109</v>
      </c>
      <c r="AE653" s="20" t="s">
        <v>2545</v>
      </c>
      <c r="AF653" s="20" t="s">
        <v>2672</v>
      </c>
      <c r="AG653" s="20" t="s">
        <v>2514</v>
      </c>
      <c r="AH653" s="20">
        <v>3</v>
      </c>
      <c r="AI653" s="20">
        <v>3</v>
      </c>
      <c r="AJ653" s="20" t="s">
        <v>592</v>
      </c>
      <c r="AL653" s="20" t="s">
        <v>1141</v>
      </c>
      <c r="AM653" s="20" t="s">
        <v>780</v>
      </c>
      <c r="AN653" s="20" t="s">
        <v>1648</v>
      </c>
      <c r="AO653" s="20" t="s">
        <v>1647</v>
      </c>
      <c r="AP653" s="20" t="s">
        <v>628</v>
      </c>
      <c r="AQ653" s="20">
        <v>10</v>
      </c>
      <c r="AR653" s="20">
        <v>8</v>
      </c>
      <c r="AS653" s="20" t="s">
        <v>592</v>
      </c>
    </row>
    <row r="654" spans="11:45" ht="15.75" customHeight="1" x14ac:dyDescent="0.2">
      <c r="K654" s="20" t="s">
        <v>1144</v>
      </c>
      <c r="L654" s="20" t="s">
        <v>1145</v>
      </c>
      <c r="M654" s="20" t="s">
        <v>1667</v>
      </c>
      <c r="N654" s="20" t="s">
        <v>853</v>
      </c>
      <c r="O654" s="20" t="s">
        <v>835</v>
      </c>
      <c r="P654" s="20">
        <v>5</v>
      </c>
      <c r="Q654" s="20">
        <v>5</v>
      </c>
      <c r="R654" s="20" t="s">
        <v>592</v>
      </c>
      <c r="T654" s="20" t="s">
        <v>1144</v>
      </c>
      <c r="U654" s="20" t="s">
        <v>194</v>
      </c>
      <c r="V654" s="20" t="s">
        <v>868</v>
      </c>
      <c r="W654" s="20" t="s">
        <v>1363</v>
      </c>
      <c r="X654" s="20" t="s">
        <v>835</v>
      </c>
      <c r="Y654" s="20">
        <v>5</v>
      </c>
      <c r="Z654" s="20">
        <v>5</v>
      </c>
      <c r="AA654" s="20" t="s">
        <v>592</v>
      </c>
      <c r="AC654" s="20" t="s">
        <v>2099</v>
      </c>
      <c r="AD654" s="20" t="s">
        <v>2106</v>
      </c>
      <c r="AE654" s="20" t="s">
        <v>2531</v>
      </c>
      <c r="AF654" s="20" t="s">
        <v>2654</v>
      </c>
      <c r="AG654" s="20" t="s">
        <v>2514</v>
      </c>
      <c r="AH654" s="20">
        <v>3</v>
      </c>
      <c r="AI654" s="20">
        <v>6</v>
      </c>
      <c r="AJ654" s="20" t="s">
        <v>592</v>
      </c>
      <c r="AL654" s="20" t="s">
        <v>1141</v>
      </c>
      <c r="AM654" s="20" t="s">
        <v>218</v>
      </c>
      <c r="AN654" s="20" t="s">
        <v>494</v>
      </c>
      <c r="AO654" s="20" t="s">
        <v>1677</v>
      </c>
      <c r="AP654" s="20" t="s">
        <v>628</v>
      </c>
      <c r="AQ654" s="20">
        <v>10</v>
      </c>
      <c r="AR654" s="20">
        <v>9</v>
      </c>
      <c r="AS654" s="20" t="s">
        <v>592</v>
      </c>
    </row>
    <row r="655" spans="11:45" ht="15.75" customHeight="1" x14ac:dyDescent="0.2">
      <c r="K655" s="20" t="s">
        <v>646</v>
      </c>
      <c r="L655" s="20" t="s">
        <v>209</v>
      </c>
      <c r="M655" s="20" t="s">
        <v>1990</v>
      </c>
      <c r="N655" s="20" t="s">
        <v>1714</v>
      </c>
      <c r="O655" s="20" t="s">
        <v>628</v>
      </c>
      <c r="P655" s="20">
        <v>10</v>
      </c>
      <c r="Q655" s="20">
        <v>13</v>
      </c>
      <c r="R655" s="20" t="s">
        <v>592</v>
      </c>
      <c r="T655" s="20" t="s">
        <v>1144</v>
      </c>
      <c r="U655" s="20" t="s">
        <v>194</v>
      </c>
      <c r="V655" s="20" t="s">
        <v>437</v>
      </c>
      <c r="W655" s="20" t="s">
        <v>2403</v>
      </c>
      <c r="X655" s="20" t="s">
        <v>628</v>
      </c>
      <c r="Y655" s="20">
        <v>10</v>
      </c>
      <c r="Z655" s="20">
        <v>9</v>
      </c>
      <c r="AA655" s="20" t="s">
        <v>592</v>
      </c>
      <c r="AC655" s="20" t="s">
        <v>1158</v>
      </c>
      <c r="AD655" s="20" t="s">
        <v>925</v>
      </c>
      <c r="AE655" s="20" t="s">
        <v>533</v>
      </c>
      <c r="AF655" s="20" t="s">
        <v>1418</v>
      </c>
      <c r="AG655" s="20" t="s">
        <v>835</v>
      </c>
      <c r="AH655" s="20">
        <v>5</v>
      </c>
      <c r="AI655" s="20">
        <v>5</v>
      </c>
      <c r="AJ655" s="20" t="s">
        <v>592</v>
      </c>
      <c r="AL655" s="20" t="s">
        <v>1141</v>
      </c>
      <c r="AM655" s="20" t="s">
        <v>787</v>
      </c>
      <c r="AN655" s="20" t="s">
        <v>397</v>
      </c>
      <c r="AO655" s="20" t="s">
        <v>1877</v>
      </c>
      <c r="AP655" s="20" t="s">
        <v>628</v>
      </c>
      <c r="AQ655" s="20">
        <v>10</v>
      </c>
      <c r="AR655" s="20">
        <v>29</v>
      </c>
      <c r="AS655" s="20" t="s">
        <v>592</v>
      </c>
    </row>
    <row r="656" spans="11:45" ht="15.75" customHeight="1" x14ac:dyDescent="0.2">
      <c r="K656" s="20" t="s">
        <v>646</v>
      </c>
      <c r="L656" s="20" t="s">
        <v>209</v>
      </c>
      <c r="M656" s="20" t="s">
        <v>1514</v>
      </c>
      <c r="N656" s="20" t="s">
        <v>1515</v>
      </c>
      <c r="O656" s="20" t="s">
        <v>835</v>
      </c>
      <c r="P656" s="20">
        <v>5</v>
      </c>
      <c r="Q656" s="20">
        <v>5</v>
      </c>
      <c r="R656" s="20" t="s">
        <v>592</v>
      </c>
      <c r="T656" s="20" t="s">
        <v>1144</v>
      </c>
      <c r="U656" s="20" t="s">
        <v>194</v>
      </c>
      <c r="V656" s="20" t="s">
        <v>438</v>
      </c>
      <c r="W656" s="20" t="s">
        <v>828</v>
      </c>
      <c r="X656" s="20" t="s">
        <v>628</v>
      </c>
      <c r="Y656" s="20">
        <v>10</v>
      </c>
      <c r="Z656" s="20">
        <v>10</v>
      </c>
      <c r="AA656" s="20" t="s">
        <v>592</v>
      </c>
      <c r="AC656" s="20" t="s">
        <v>1141</v>
      </c>
      <c r="AD656" s="20" t="s">
        <v>218</v>
      </c>
      <c r="AE656" s="20" t="s">
        <v>1688</v>
      </c>
      <c r="AF656" s="20" t="s">
        <v>2426</v>
      </c>
      <c r="AG656" s="20" t="s">
        <v>835</v>
      </c>
      <c r="AH656" s="20">
        <v>5</v>
      </c>
      <c r="AI656" s="20">
        <v>1</v>
      </c>
      <c r="AJ656" s="20" t="s">
        <v>593</v>
      </c>
      <c r="AL656" s="20" t="s">
        <v>1141</v>
      </c>
      <c r="AM656" s="20" t="s">
        <v>218</v>
      </c>
      <c r="AN656" s="20" t="s">
        <v>1688</v>
      </c>
      <c r="AO656" s="20" t="s">
        <v>3148</v>
      </c>
      <c r="AP656" s="20" t="s">
        <v>628</v>
      </c>
      <c r="AQ656" s="20">
        <v>10</v>
      </c>
      <c r="AR656" s="20">
        <v>8</v>
      </c>
      <c r="AS656" s="20" t="s">
        <v>592</v>
      </c>
    </row>
    <row r="657" spans="11:45" ht="15.75" customHeight="1" x14ac:dyDescent="0.2">
      <c r="K657" s="20" t="s">
        <v>1144</v>
      </c>
      <c r="L657" s="20" t="s">
        <v>707</v>
      </c>
      <c r="M657" s="20" t="s">
        <v>1991</v>
      </c>
      <c r="N657" s="20" t="s">
        <v>1992</v>
      </c>
      <c r="O657" s="20" t="s">
        <v>628</v>
      </c>
      <c r="P657" s="20">
        <v>10</v>
      </c>
      <c r="Q657" s="20">
        <v>6</v>
      </c>
      <c r="R657" s="20" t="s">
        <v>592</v>
      </c>
      <c r="T657" s="20" t="s">
        <v>1144</v>
      </c>
      <c r="U657" s="20" t="s">
        <v>194</v>
      </c>
      <c r="V657" s="20" t="s">
        <v>438</v>
      </c>
      <c r="W657" s="20" t="s">
        <v>829</v>
      </c>
      <c r="X657" s="20" t="s">
        <v>628</v>
      </c>
      <c r="Y657" s="20">
        <v>10</v>
      </c>
      <c r="Z657" s="20">
        <v>2</v>
      </c>
      <c r="AA657" s="20" t="s">
        <v>592</v>
      </c>
      <c r="AC657" s="20" t="s">
        <v>1162</v>
      </c>
      <c r="AD657" s="20" t="s">
        <v>230</v>
      </c>
      <c r="AE657" s="20" t="s">
        <v>417</v>
      </c>
      <c r="AF657" s="20" t="s">
        <v>1836</v>
      </c>
      <c r="AG657" s="20" t="s">
        <v>835</v>
      </c>
      <c r="AH657" s="20">
        <v>5</v>
      </c>
      <c r="AI657" s="20">
        <v>5</v>
      </c>
      <c r="AJ657" s="20" t="s">
        <v>592</v>
      </c>
      <c r="AL657" s="20" t="s">
        <v>1141</v>
      </c>
      <c r="AM657" s="20" t="s">
        <v>787</v>
      </c>
      <c r="AN657" s="20" t="s">
        <v>1597</v>
      </c>
      <c r="AO657" s="20" t="s">
        <v>3149</v>
      </c>
      <c r="AP657" s="20" t="s">
        <v>628</v>
      </c>
      <c r="AQ657" s="20">
        <v>10</v>
      </c>
      <c r="AR657" s="20">
        <v>13</v>
      </c>
      <c r="AS657" s="20" t="s">
        <v>592</v>
      </c>
    </row>
    <row r="658" spans="11:45" ht="15.75" customHeight="1" x14ac:dyDescent="0.2">
      <c r="K658" s="20" t="s">
        <v>1144</v>
      </c>
      <c r="L658" s="20" t="s">
        <v>707</v>
      </c>
      <c r="M658" s="20" t="s">
        <v>1993</v>
      </c>
      <c r="N658" s="20" t="s">
        <v>1992</v>
      </c>
      <c r="O658" s="20" t="s">
        <v>628</v>
      </c>
      <c r="P658" s="20">
        <v>10</v>
      </c>
      <c r="Q658" s="20">
        <v>2</v>
      </c>
      <c r="R658" s="20" t="s">
        <v>592</v>
      </c>
      <c r="T658" s="20" t="s">
        <v>640</v>
      </c>
      <c r="U658" s="20" t="s">
        <v>31</v>
      </c>
      <c r="V658" s="20" t="s">
        <v>602</v>
      </c>
      <c r="W658" s="20" t="s">
        <v>2404</v>
      </c>
      <c r="X658" s="20" t="s">
        <v>835</v>
      </c>
      <c r="Y658" s="20">
        <v>5</v>
      </c>
      <c r="Z658" s="20">
        <v>4</v>
      </c>
      <c r="AA658" s="20" t="s">
        <v>592</v>
      </c>
      <c r="AC658" s="20" t="s">
        <v>1162</v>
      </c>
      <c r="AD658" s="20" t="s">
        <v>230</v>
      </c>
      <c r="AE658" s="20" t="s">
        <v>414</v>
      </c>
      <c r="AF658" s="20" t="s">
        <v>1238</v>
      </c>
      <c r="AG658" s="20" t="s">
        <v>835</v>
      </c>
      <c r="AH658" s="20">
        <v>5</v>
      </c>
      <c r="AI658" s="20">
        <v>3</v>
      </c>
      <c r="AJ658" s="20" t="s">
        <v>593</v>
      </c>
      <c r="AL658" s="20" t="s">
        <v>1141</v>
      </c>
      <c r="AM658" s="20" t="s">
        <v>218</v>
      </c>
      <c r="AN658" s="20" t="s">
        <v>492</v>
      </c>
      <c r="AO658" s="20" t="s">
        <v>3150</v>
      </c>
      <c r="AP658" s="20" t="s">
        <v>628</v>
      </c>
      <c r="AQ658" s="20">
        <v>10</v>
      </c>
      <c r="AR658" s="20">
        <v>1</v>
      </c>
      <c r="AS658" s="20" t="s">
        <v>593</v>
      </c>
    </row>
    <row r="659" spans="11:45" ht="15.75" customHeight="1" x14ac:dyDescent="0.2">
      <c r="K659" s="20" t="s">
        <v>1144</v>
      </c>
      <c r="L659" s="20" t="s">
        <v>249</v>
      </c>
      <c r="M659" s="20" t="s">
        <v>1994</v>
      </c>
      <c r="N659" s="20" t="s">
        <v>562</v>
      </c>
      <c r="O659" s="20" t="s">
        <v>835</v>
      </c>
      <c r="P659" s="20">
        <v>5</v>
      </c>
      <c r="Q659" s="20">
        <v>6</v>
      </c>
      <c r="R659" s="20" t="s">
        <v>592</v>
      </c>
      <c r="T659" s="20" t="s">
        <v>640</v>
      </c>
      <c r="U659" s="20" t="s">
        <v>31</v>
      </c>
      <c r="V659" s="20" t="s">
        <v>602</v>
      </c>
      <c r="W659" s="20" t="s">
        <v>2405</v>
      </c>
      <c r="X659" s="20" t="s">
        <v>835</v>
      </c>
      <c r="Y659" s="20">
        <v>5</v>
      </c>
      <c r="Z659" s="20">
        <v>1</v>
      </c>
      <c r="AA659" s="20" t="s">
        <v>592</v>
      </c>
      <c r="AC659" s="20" t="s">
        <v>1154</v>
      </c>
      <c r="AD659" s="20" t="s">
        <v>307</v>
      </c>
      <c r="AE659" s="20" t="s">
        <v>2485</v>
      </c>
      <c r="AF659" s="20" t="s">
        <v>2280</v>
      </c>
      <c r="AG659" s="20" t="s">
        <v>835</v>
      </c>
      <c r="AH659" s="20">
        <v>5</v>
      </c>
      <c r="AI659" s="20">
        <v>2</v>
      </c>
      <c r="AJ659" s="20" t="s">
        <v>593</v>
      </c>
      <c r="AL659" s="20" t="s">
        <v>1141</v>
      </c>
      <c r="AM659" s="20" t="s">
        <v>218</v>
      </c>
      <c r="AN659" s="20" t="s">
        <v>2854</v>
      </c>
      <c r="AO659" s="20" t="s">
        <v>3151</v>
      </c>
      <c r="AP659" s="20" t="s">
        <v>835</v>
      </c>
      <c r="AQ659" s="20">
        <v>5</v>
      </c>
      <c r="AR659" s="20">
        <v>5</v>
      </c>
      <c r="AS659" s="20" t="s">
        <v>592</v>
      </c>
    </row>
    <row r="660" spans="11:45" ht="15.75" customHeight="1" x14ac:dyDescent="0.2">
      <c r="K660" s="20" t="s">
        <v>1147</v>
      </c>
      <c r="L660" s="20" t="s">
        <v>222</v>
      </c>
      <c r="M660" s="20" t="s">
        <v>1995</v>
      </c>
      <c r="N660" s="20" t="s">
        <v>1996</v>
      </c>
      <c r="O660" s="20" t="s">
        <v>628</v>
      </c>
      <c r="P660" s="20">
        <v>10</v>
      </c>
      <c r="Q660" s="20">
        <v>9</v>
      </c>
      <c r="R660" s="20" t="s">
        <v>592</v>
      </c>
      <c r="T660" s="20" t="s">
        <v>1149</v>
      </c>
      <c r="U660" s="20" t="s">
        <v>301</v>
      </c>
      <c r="V660" s="20" t="s">
        <v>501</v>
      </c>
      <c r="W660" s="20" t="s">
        <v>2406</v>
      </c>
      <c r="X660" s="20" t="s">
        <v>628</v>
      </c>
      <c r="Y660" s="20">
        <v>10</v>
      </c>
      <c r="Z660" s="20">
        <v>10</v>
      </c>
      <c r="AA660" s="20" t="s">
        <v>592</v>
      </c>
      <c r="AC660" s="20" t="s">
        <v>2099</v>
      </c>
      <c r="AD660" s="20" t="s">
        <v>350</v>
      </c>
      <c r="AE660" s="20" t="s">
        <v>2558</v>
      </c>
      <c r="AF660" s="20" t="s">
        <v>2669</v>
      </c>
      <c r="AG660" s="20" t="s">
        <v>835</v>
      </c>
      <c r="AH660" s="20">
        <v>5</v>
      </c>
      <c r="AI660" s="20">
        <v>3</v>
      </c>
      <c r="AJ660" s="20" t="s">
        <v>593</v>
      </c>
      <c r="AL660" s="20" t="s">
        <v>1141</v>
      </c>
      <c r="AM660" s="20" t="s">
        <v>787</v>
      </c>
      <c r="AN660" s="20" t="s">
        <v>767</v>
      </c>
      <c r="AO660" s="20" t="s">
        <v>3152</v>
      </c>
      <c r="AP660" s="20" t="s">
        <v>628</v>
      </c>
      <c r="AQ660" s="20">
        <v>10</v>
      </c>
      <c r="AR660" s="20">
        <v>2</v>
      </c>
      <c r="AS660" s="20" t="s">
        <v>593</v>
      </c>
    </row>
    <row r="661" spans="11:45" ht="15.75" customHeight="1" x14ac:dyDescent="0.2">
      <c r="K661" s="20" t="s">
        <v>1147</v>
      </c>
      <c r="L661" s="20" t="s">
        <v>699</v>
      </c>
      <c r="M661" s="20" t="s">
        <v>1997</v>
      </c>
      <c r="N661" s="20" t="s">
        <v>447</v>
      </c>
      <c r="O661" s="20" t="s">
        <v>628</v>
      </c>
      <c r="P661" s="20">
        <v>10</v>
      </c>
      <c r="Q661" s="20">
        <v>8</v>
      </c>
      <c r="R661" s="20" t="s">
        <v>592</v>
      </c>
      <c r="T661" s="20" t="s">
        <v>1144</v>
      </c>
      <c r="U661" s="20" t="s">
        <v>249</v>
      </c>
      <c r="V661" s="20" t="s">
        <v>2480</v>
      </c>
      <c r="W661" s="20" t="s">
        <v>2236</v>
      </c>
      <c r="X661" s="20" t="s">
        <v>835</v>
      </c>
      <c r="Y661" s="20">
        <v>5</v>
      </c>
      <c r="Z661" s="20">
        <v>7</v>
      </c>
      <c r="AA661" s="20" t="s">
        <v>592</v>
      </c>
      <c r="AC661" s="20" t="s">
        <v>1141</v>
      </c>
      <c r="AD661" s="20" t="s">
        <v>787</v>
      </c>
      <c r="AE661" s="20" t="s">
        <v>1597</v>
      </c>
      <c r="AF661" s="20" t="s">
        <v>2361</v>
      </c>
      <c r="AG661" s="20" t="s">
        <v>835</v>
      </c>
      <c r="AH661" s="20">
        <v>5</v>
      </c>
      <c r="AI661" s="20">
        <v>2</v>
      </c>
      <c r="AJ661" s="20" t="s">
        <v>593</v>
      </c>
      <c r="AL661" s="20" t="s">
        <v>1141</v>
      </c>
      <c r="AM661" s="20" t="s">
        <v>224</v>
      </c>
      <c r="AN661" s="20" t="s">
        <v>1942</v>
      </c>
      <c r="AO661" s="20" t="s">
        <v>3153</v>
      </c>
      <c r="AP661" s="20" t="s">
        <v>628</v>
      </c>
      <c r="AQ661" s="20">
        <v>10</v>
      </c>
      <c r="AR661" s="20">
        <v>36</v>
      </c>
      <c r="AS661" s="20" t="s">
        <v>592</v>
      </c>
    </row>
    <row r="662" spans="11:45" ht="15.75" customHeight="1" x14ac:dyDescent="0.2">
      <c r="K662" s="20" t="s">
        <v>1144</v>
      </c>
      <c r="L662" s="20" t="s">
        <v>1145</v>
      </c>
      <c r="M662" s="20" t="s">
        <v>1998</v>
      </c>
      <c r="N662" s="20" t="s">
        <v>1999</v>
      </c>
      <c r="O662" s="20" t="s">
        <v>628</v>
      </c>
      <c r="P662" s="20">
        <v>10</v>
      </c>
      <c r="Q662" s="20">
        <v>9</v>
      </c>
      <c r="R662" s="20" t="s">
        <v>592</v>
      </c>
      <c r="T662" s="20" t="s">
        <v>1144</v>
      </c>
      <c r="U662" s="20" t="s">
        <v>1145</v>
      </c>
      <c r="V662" s="20" t="s">
        <v>853</v>
      </c>
      <c r="W662" s="20" t="s">
        <v>2407</v>
      </c>
      <c r="X662" s="20" t="s">
        <v>628</v>
      </c>
      <c r="Y662" s="20">
        <v>10</v>
      </c>
      <c r="Z662" s="20">
        <v>1</v>
      </c>
      <c r="AA662" s="20" t="s">
        <v>592</v>
      </c>
      <c r="AC662" s="20" t="s">
        <v>1155</v>
      </c>
      <c r="AD662" s="20" t="s">
        <v>286</v>
      </c>
      <c r="AE662" s="20" t="s">
        <v>898</v>
      </c>
      <c r="AF662" s="20" t="s">
        <v>2660</v>
      </c>
      <c r="AG662" s="20" t="s">
        <v>835</v>
      </c>
      <c r="AH662" s="20">
        <v>5</v>
      </c>
      <c r="AI662" s="20">
        <v>1</v>
      </c>
      <c r="AJ662" s="20" t="s">
        <v>593</v>
      </c>
      <c r="AL662" s="20" t="s">
        <v>1141</v>
      </c>
      <c r="AM662" s="20" t="s">
        <v>218</v>
      </c>
      <c r="AN662" s="20" t="s">
        <v>1688</v>
      </c>
      <c r="AO662" s="20" t="s">
        <v>2426</v>
      </c>
      <c r="AP662" s="20" t="s">
        <v>628</v>
      </c>
      <c r="AQ662" s="20">
        <v>10</v>
      </c>
      <c r="AR662" s="20">
        <v>8</v>
      </c>
      <c r="AS662" s="20" t="s">
        <v>592</v>
      </c>
    </row>
    <row r="663" spans="11:45" ht="15.75" customHeight="1" x14ac:dyDescent="0.2">
      <c r="K663" s="20" t="s">
        <v>1144</v>
      </c>
      <c r="L663" s="20" t="s">
        <v>1145</v>
      </c>
      <c r="M663" s="20" t="s">
        <v>2000</v>
      </c>
      <c r="N663" s="20" t="s">
        <v>1999</v>
      </c>
      <c r="O663" s="20" t="s">
        <v>628</v>
      </c>
      <c r="P663" s="20">
        <v>10</v>
      </c>
      <c r="Q663" s="20">
        <v>1</v>
      </c>
      <c r="R663" s="20" t="s">
        <v>592</v>
      </c>
      <c r="T663" s="20" t="s">
        <v>1144</v>
      </c>
      <c r="U663" s="20" t="s">
        <v>1145</v>
      </c>
      <c r="V663" s="20" t="s">
        <v>853</v>
      </c>
      <c r="W663" s="20" t="s">
        <v>1251</v>
      </c>
      <c r="X663" s="20" t="s">
        <v>628</v>
      </c>
      <c r="Y663" s="20">
        <v>10</v>
      </c>
      <c r="Z663" s="20">
        <v>9</v>
      </c>
      <c r="AA663" s="20" t="s">
        <v>592</v>
      </c>
      <c r="AC663" s="20" t="s">
        <v>1147</v>
      </c>
      <c r="AD663" s="20" t="s">
        <v>244</v>
      </c>
      <c r="AE663" s="20" t="s">
        <v>1950</v>
      </c>
      <c r="AF663" s="20" t="s">
        <v>1949</v>
      </c>
      <c r="AG663" s="20" t="s">
        <v>835</v>
      </c>
      <c r="AH663" s="20">
        <v>5</v>
      </c>
      <c r="AI663" s="20">
        <v>1</v>
      </c>
      <c r="AJ663" s="20" t="s">
        <v>593</v>
      </c>
      <c r="AL663" s="20" t="s">
        <v>1141</v>
      </c>
      <c r="AM663" s="20" t="s">
        <v>780</v>
      </c>
      <c r="AN663" s="20" t="s">
        <v>1648</v>
      </c>
      <c r="AO663" s="20" t="s">
        <v>2240</v>
      </c>
      <c r="AP663" s="20" t="s">
        <v>628</v>
      </c>
      <c r="AQ663" s="20">
        <v>10</v>
      </c>
      <c r="AR663" s="20">
        <v>6</v>
      </c>
      <c r="AS663" s="20" t="s">
        <v>592</v>
      </c>
    </row>
    <row r="664" spans="11:45" ht="15.75" customHeight="1" x14ac:dyDescent="0.2">
      <c r="K664" s="20" t="s">
        <v>1163</v>
      </c>
      <c r="L664" s="20" t="s">
        <v>837</v>
      </c>
      <c r="M664" s="20" t="s">
        <v>2001</v>
      </c>
      <c r="N664" s="20" t="s">
        <v>358</v>
      </c>
      <c r="O664" s="20" t="s">
        <v>835</v>
      </c>
      <c r="P664" s="20">
        <v>5</v>
      </c>
      <c r="Q664" s="20">
        <v>2</v>
      </c>
      <c r="R664" s="20" t="s">
        <v>593</v>
      </c>
      <c r="T664" s="20" t="s">
        <v>1163</v>
      </c>
      <c r="U664" s="20" t="s">
        <v>1165</v>
      </c>
      <c r="V664" s="20" t="s">
        <v>631</v>
      </c>
      <c r="W664" s="20" t="s">
        <v>1365</v>
      </c>
      <c r="X664" s="20" t="s">
        <v>835</v>
      </c>
      <c r="Y664" s="20">
        <v>5</v>
      </c>
      <c r="Z664" s="20">
        <v>5</v>
      </c>
      <c r="AA664" s="20" t="s">
        <v>592</v>
      </c>
      <c r="AC664" s="20" t="s">
        <v>2099</v>
      </c>
      <c r="AD664" s="20" t="s">
        <v>2106</v>
      </c>
      <c r="AE664" s="20" t="s">
        <v>2531</v>
      </c>
      <c r="AF664" s="20" t="s">
        <v>2770</v>
      </c>
      <c r="AG664" s="20" t="s">
        <v>835</v>
      </c>
      <c r="AH664" s="20">
        <v>5</v>
      </c>
      <c r="AI664" s="20">
        <v>10</v>
      </c>
      <c r="AJ664" s="20" t="s">
        <v>592</v>
      </c>
      <c r="AL664" s="20" t="s">
        <v>1141</v>
      </c>
      <c r="AM664" s="20" t="s">
        <v>780</v>
      </c>
      <c r="AN664" s="20" t="s">
        <v>1648</v>
      </c>
      <c r="AO664" s="20" t="s">
        <v>3154</v>
      </c>
      <c r="AP664" s="20" t="s">
        <v>628</v>
      </c>
      <c r="AQ664" s="20">
        <v>10</v>
      </c>
      <c r="AR664" s="20">
        <v>14</v>
      </c>
      <c r="AS664" s="20" t="s">
        <v>592</v>
      </c>
    </row>
    <row r="665" spans="11:45" ht="15.75" customHeight="1" x14ac:dyDescent="0.2">
      <c r="K665" s="20" t="s">
        <v>1163</v>
      </c>
      <c r="L665" s="20" t="s">
        <v>837</v>
      </c>
      <c r="M665" s="20" t="s">
        <v>1608</v>
      </c>
      <c r="N665" s="20" t="s">
        <v>554</v>
      </c>
      <c r="O665" s="20" t="s">
        <v>835</v>
      </c>
      <c r="P665" s="20">
        <v>5</v>
      </c>
      <c r="Q665" s="20">
        <v>1</v>
      </c>
      <c r="R665" s="20" t="s">
        <v>593</v>
      </c>
      <c r="T665" s="20" t="s">
        <v>1147</v>
      </c>
      <c r="U665" s="20" t="s">
        <v>29</v>
      </c>
      <c r="V665" s="20" t="s">
        <v>420</v>
      </c>
      <c r="W665" s="20" t="s">
        <v>820</v>
      </c>
      <c r="X665" s="20" t="s">
        <v>835</v>
      </c>
      <c r="Y665" s="20">
        <v>5</v>
      </c>
      <c r="Z665" s="20">
        <v>5</v>
      </c>
      <c r="AA665" s="20" t="s">
        <v>592</v>
      </c>
      <c r="AC665" s="20" t="s">
        <v>1144</v>
      </c>
      <c r="AD665" s="20" t="s">
        <v>707</v>
      </c>
      <c r="AE665" s="20" t="s">
        <v>1955</v>
      </c>
      <c r="AF665" s="20" t="s">
        <v>1954</v>
      </c>
      <c r="AG665" s="20" t="s">
        <v>835</v>
      </c>
      <c r="AH665" s="20">
        <v>5</v>
      </c>
      <c r="AI665" s="20">
        <v>7</v>
      </c>
      <c r="AJ665" s="20" t="s">
        <v>592</v>
      </c>
      <c r="AL665" s="20" t="s">
        <v>1141</v>
      </c>
      <c r="AM665" s="20" t="s">
        <v>218</v>
      </c>
      <c r="AN665" s="20" t="s">
        <v>2459</v>
      </c>
      <c r="AO665" s="20" t="s">
        <v>3131</v>
      </c>
      <c r="AP665" s="20" t="s">
        <v>628</v>
      </c>
      <c r="AQ665" s="20">
        <v>10</v>
      </c>
      <c r="AR665" s="20">
        <v>5</v>
      </c>
      <c r="AS665" s="20" t="s">
        <v>592</v>
      </c>
    </row>
    <row r="666" spans="11:45" ht="15.75" customHeight="1" x14ac:dyDescent="0.2">
      <c r="K666" s="20" t="s">
        <v>1144</v>
      </c>
      <c r="L666" s="20" t="s">
        <v>249</v>
      </c>
      <c r="M666" s="20" t="s">
        <v>834</v>
      </c>
      <c r="N666" s="20" t="s">
        <v>564</v>
      </c>
      <c r="O666" s="20" t="s">
        <v>835</v>
      </c>
      <c r="P666" s="20">
        <v>5</v>
      </c>
      <c r="Q666" s="20">
        <v>6</v>
      </c>
      <c r="R666" s="20" t="s">
        <v>592</v>
      </c>
      <c r="T666" s="20" t="s">
        <v>1158</v>
      </c>
      <c r="U666" s="20" t="s">
        <v>925</v>
      </c>
      <c r="V666" s="20" t="s">
        <v>1584</v>
      </c>
      <c r="W666" s="20" t="s">
        <v>2064</v>
      </c>
      <c r="X666" s="20" t="s">
        <v>835</v>
      </c>
      <c r="Y666" s="20">
        <v>5</v>
      </c>
      <c r="Z666" s="20">
        <v>5</v>
      </c>
      <c r="AA666" s="20" t="s">
        <v>592</v>
      </c>
      <c r="AC666" s="20" t="s">
        <v>1161</v>
      </c>
      <c r="AD666" s="20" t="s">
        <v>2520</v>
      </c>
      <c r="AE666" s="20" t="s">
        <v>2461</v>
      </c>
      <c r="AF666" s="20" t="s">
        <v>2733</v>
      </c>
      <c r="AG666" s="20" t="s">
        <v>835</v>
      </c>
      <c r="AH666" s="20">
        <v>5</v>
      </c>
      <c r="AI666" s="20">
        <v>5</v>
      </c>
      <c r="AJ666" s="20" t="s">
        <v>592</v>
      </c>
      <c r="AL666" s="20" t="s">
        <v>1141</v>
      </c>
      <c r="AM666" s="20" t="s">
        <v>787</v>
      </c>
      <c r="AN666" s="20" t="s">
        <v>767</v>
      </c>
      <c r="AO666" s="20" t="s">
        <v>3155</v>
      </c>
      <c r="AP666" s="20" t="s">
        <v>628</v>
      </c>
      <c r="AQ666" s="20">
        <v>10</v>
      </c>
      <c r="AR666" s="20">
        <v>9</v>
      </c>
      <c r="AS666" s="20" t="s">
        <v>592</v>
      </c>
    </row>
    <row r="667" spans="11:45" ht="15.75" customHeight="1" x14ac:dyDescent="0.2">
      <c r="K667" s="20" t="s">
        <v>1163</v>
      </c>
      <c r="L667" s="20" t="s">
        <v>221</v>
      </c>
      <c r="M667" s="20" t="s">
        <v>2002</v>
      </c>
      <c r="N667" s="20" t="s">
        <v>2003</v>
      </c>
      <c r="O667" s="20" t="s">
        <v>835</v>
      </c>
      <c r="P667" s="20">
        <v>5</v>
      </c>
      <c r="Q667" s="20">
        <v>2</v>
      </c>
      <c r="R667" s="20" t="s">
        <v>593</v>
      </c>
      <c r="T667" s="20" t="s">
        <v>640</v>
      </c>
      <c r="U667" s="20" t="s">
        <v>705</v>
      </c>
      <c r="V667" s="20" t="s">
        <v>392</v>
      </c>
      <c r="W667" s="20" t="s">
        <v>993</v>
      </c>
      <c r="X667" s="20" t="s">
        <v>835</v>
      </c>
      <c r="Y667" s="20">
        <v>5</v>
      </c>
      <c r="Z667" s="20">
        <v>1</v>
      </c>
      <c r="AA667" s="20" t="s">
        <v>593</v>
      </c>
      <c r="AC667" s="20" t="s">
        <v>1149</v>
      </c>
      <c r="AD667" s="20" t="s">
        <v>63</v>
      </c>
      <c r="AE667" s="20" t="s">
        <v>1482</v>
      </c>
      <c r="AF667" s="20" t="s">
        <v>1481</v>
      </c>
      <c r="AG667" s="20" t="s">
        <v>835</v>
      </c>
      <c r="AH667" s="20">
        <v>5</v>
      </c>
      <c r="AI667" s="20">
        <v>2</v>
      </c>
      <c r="AJ667" s="20" t="s">
        <v>593</v>
      </c>
      <c r="AL667" s="20" t="s">
        <v>1141</v>
      </c>
      <c r="AM667" s="20" t="s">
        <v>218</v>
      </c>
      <c r="AN667" s="20" t="s">
        <v>2459</v>
      </c>
      <c r="AO667" s="20" t="s">
        <v>3132</v>
      </c>
      <c r="AP667" s="20" t="s">
        <v>628</v>
      </c>
      <c r="AQ667" s="20">
        <v>10</v>
      </c>
      <c r="AR667" s="20">
        <v>5</v>
      </c>
      <c r="AS667" s="20" t="s">
        <v>592</v>
      </c>
    </row>
    <row r="668" spans="11:45" ht="15.75" customHeight="1" x14ac:dyDescent="0.2">
      <c r="K668" s="20" t="s">
        <v>1141</v>
      </c>
      <c r="L668" s="20" t="s">
        <v>218</v>
      </c>
      <c r="M668" s="20" t="s">
        <v>1219</v>
      </c>
      <c r="N668" s="20" t="s">
        <v>732</v>
      </c>
      <c r="O668" s="20" t="s">
        <v>835</v>
      </c>
      <c r="P668" s="20">
        <v>5</v>
      </c>
      <c r="Q668" s="20">
        <v>1</v>
      </c>
      <c r="R668" s="20" t="s">
        <v>593</v>
      </c>
      <c r="T668" s="20" t="s">
        <v>1141</v>
      </c>
      <c r="U668" s="20" t="s">
        <v>780</v>
      </c>
      <c r="V668" s="20" t="s">
        <v>398</v>
      </c>
      <c r="W668" s="20" t="s">
        <v>2408</v>
      </c>
      <c r="X668" s="20" t="s">
        <v>835</v>
      </c>
      <c r="Y668" s="20">
        <v>5</v>
      </c>
      <c r="Z668" s="20">
        <v>6</v>
      </c>
      <c r="AA668" s="20" t="s">
        <v>592</v>
      </c>
      <c r="AC668" s="20" t="s">
        <v>640</v>
      </c>
      <c r="AD668" s="20" t="s">
        <v>31</v>
      </c>
      <c r="AE668" s="20" t="s">
        <v>850</v>
      </c>
      <c r="AF668" s="20" t="s">
        <v>1016</v>
      </c>
      <c r="AG668" s="20" t="s">
        <v>835</v>
      </c>
      <c r="AH668" s="20">
        <v>5</v>
      </c>
      <c r="AI668" s="20">
        <v>3</v>
      </c>
      <c r="AJ668" s="20" t="s">
        <v>593</v>
      </c>
      <c r="AL668" s="20" t="s">
        <v>1141</v>
      </c>
      <c r="AM668" s="20" t="s">
        <v>218</v>
      </c>
      <c r="AN668" s="20" t="s">
        <v>492</v>
      </c>
      <c r="AO668" s="20" t="s">
        <v>3130</v>
      </c>
      <c r="AP668" s="20" t="s">
        <v>628</v>
      </c>
      <c r="AQ668" s="20">
        <v>10</v>
      </c>
      <c r="AR668" s="20">
        <v>8</v>
      </c>
      <c r="AS668" s="20" t="s">
        <v>592</v>
      </c>
    </row>
    <row r="669" spans="11:45" ht="15.75" customHeight="1" x14ac:dyDescent="0.2">
      <c r="K669" s="20" t="s">
        <v>1144</v>
      </c>
      <c r="L669" s="20" t="s">
        <v>23</v>
      </c>
      <c r="M669" s="20" t="s">
        <v>2004</v>
      </c>
      <c r="N669" s="20" t="s">
        <v>1823</v>
      </c>
      <c r="O669" s="20" t="s">
        <v>628</v>
      </c>
      <c r="P669" s="20">
        <v>10</v>
      </c>
      <c r="Q669" s="20">
        <v>9</v>
      </c>
      <c r="R669" s="20" t="s">
        <v>592</v>
      </c>
      <c r="T669" s="20" t="s">
        <v>1162</v>
      </c>
      <c r="U669" s="20" t="s">
        <v>230</v>
      </c>
      <c r="V669" s="20" t="s">
        <v>418</v>
      </c>
      <c r="W669" s="20" t="s">
        <v>2173</v>
      </c>
      <c r="X669" s="20" t="s">
        <v>835</v>
      </c>
      <c r="Y669" s="20">
        <v>5</v>
      </c>
      <c r="Z669" s="20">
        <v>2</v>
      </c>
      <c r="AA669" s="20" t="s">
        <v>593</v>
      </c>
      <c r="AC669" s="20" t="s">
        <v>1147</v>
      </c>
      <c r="AD669" s="20" t="s">
        <v>70</v>
      </c>
      <c r="AE669" s="20" t="s">
        <v>1473</v>
      </c>
      <c r="AF669" s="20" t="s">
        <v>2606</v>
      </c>
      <c r="AG669" s="20" t="s">
        <v>835</v>
      </c>
      <c r="AH669" s="20">
        <v>5</v>
      </c>
      <c r="AI669" s="20">
        <v>5</v>
      </c>
      <c r="AJ669" s="20" t="s">
        <v>592</v>
      </c>
      <c r="AL669" s="20" t="s">
        <v>1141</v>
      </c>
      <c r="AM669" s="20" t="s">
        <v>224</v>
      </c>
      <c r="AN669" s="20" t="s">
        <v>386</v>
      </c>
      <c r="AO669" s="20" t="s">
        <v>2771</v>
      </c>
      <c r="AP669" s="20" t="s">
        <v>628</v>
      </c>
      <c r="AQ669" s="20">
        <v>10</v>
      </c>
      <c r="AR669" s="20">
        <v>5</v>
      </c>
      <c r="AS669" s="20" t="s">
        <v>592</v>
      </c>
    </row>
    <row r="670" spans="11:45" ht="15.75" customHeight="1" x14ac:dyDescent="0.2">
      <c r="K670" s="20" t="s">
        <v>1147</v>
      </c>
      <c r="L670" s="20" t="s">
        <v>70</v>
      </c>
      <c r="M670" s="20" t="s">
        <v>2005</v>
      </c>
      <c r="N670" s="20" t="s">
        <v>2006</v>
      </c>
      <c r="O670" s="20" t="s">
        <v>628</v>
      </c>
      <c r="P670" s="20">
        <v>10</v>
      </c>
      <c r="Q670" s="20">
        <v>8</v>
      </c>
      <c r="R670" s="20" t="s">
        <v>592</v>
      </c>
      <c r="T670" s="20" t="s">
        <v>1158</v>
      </c>
      <c r="U670" s="20" t="s">
        <v>1040</v>
      </c>
      <c r="V670" s="20" t="s">
        <v>2463</v>
      </c>
      <c r="W670" s="20" t="s">
        <v>2409</v>
      </c>
      <c r="X670" s="20" t="s">
        <v>835</v>
      </c>
      <c r="Y670" s="20">
        <v>5</v>
      </c>
      <c r="Z670" s="20">
        <v>1</v>
      </c>
      <c r="AA670" s="20" t="s">
        <v>593</v>
      </c>
      <c r="AC670" s="20" t="s">
        <v>2099</v>
      </c>
      <c r="AD670" s="20" t="s">
        <v>2103</v>
      </c>
      <c r="AE670" s="20" t="s">
        <v>2533</v>
      </c>
      <c r="AF670" s="20" t="s">
        <v>2581</v>
      </c>
      <c r="AG670" s="20" t="s">
        <v>2514</v>
      </c>
      <c r="AH670" s="20">
        <v>3</v>
      </c>
      <c r="AI670" s="20">
        <v>3</v>
      </c>
      <c r="AJ670" s="20" t="s">
        <v>592</v>
      </c>
      <c r="AL670" s="20" t="s">
        <v>1141</v>
      </c>
      <c r="AM670" s="20" t="s">
        <v>224</v>
      </c>
      <c r="AN670" s="20" t="s">
        <v>386</v>
      </c>
      <c r="AO670" s="20" t="s">
        <v>3156</v>
      </c>
      <c r="AP670" s="20" t="s">
        <v>628</v>
      </c>
      <c r="AQ670" s="20">
        <v>10</v>
      </c>
      <c r="AR670" s="20">
        <v>6</v>
      </c>
      <c r="AS670" s="20" t="s">
        <v>592</v>
      </c>
    </row>
    <row r="671" spans="11:45" ht="15.75" customHeight="1" x14ac:dyDescent="0.2">
      <c r="K671" s="20" t="s">
        <v>1161</v>
      </c>
      <c r="L671" s="20" t="s">
        <v>41</v>
      </c>
      <c r="M671" s="20" t="s">
        <v>2007</v>
      </c>
      <c r="N671" s="20" t="s">
        <v>538</v>
      </c>
      <c r="O671" s="20" t="s">
        <v>628</v>
      </c>
      <c r="P671" s="20">
        <v>10</v>
      </c>
      <c r="Q671" s="20">
        <v>2</v>
      </c>
      <c r="R671" s="20" t="s">
        <v>593</v>
      </c>
      <c r="T671" s="20" t="s">
        <v>1158</v>
      </c>
      <c r="U671" s="20" t="s">
        <v>925</v>
      </c>
      <c r="V671" s="20" t="s">
        <v>532</v>
      </c>
      <c r="W671" s="20" t="s">
        <v>1729</v>
      </c>
      <c r="X671" s="20" t="s">
        <v>835</v>
      </c>
      <c r="Y671" s="20">
        <v>5</v>
      </c>
      <c r="Z671" s="20">
        <v>5</v>
      </c>
      <c r="AA671" s="20" t="s">
        <v>592</v>
      </c>
      <c r="AC671" s="20" t="s">
        <v>2099</v>
      </c>
      <c r="AD671" s="20" t="s">
        <v>2103</v>
      </c>
      <c r="AE671" s="20" t="s">
        <v>2533</v>
      </c>
      <c r="AF671" s="20" t="s">
        <v>2706</v>
      </c>
      <c r="AG671" s="20" t="s">
        <v>835</v>
      </c>
      <c r="AH671" s="20">
        <v>5</v>
      </c>
      <c r="AI671" s="20">
        <v>5</v>
      </c>
      <c r="AJ671" s="20" t="s">
        <v>592</v>
      </c>
      <c r="AL671" s="20" t="s">
        <v>1141</v>
      </c>
      <c r="AM671" s="20" t="s">
        <v>224</v>
      </c>
      <c r="AN671" s="20" t="s">
        <v>1669</v>
      </c>
      <c r="AO671" s="20" t="s">
        <v>3137</v>
      </c>
      <c r="AP671" s="20" t="s">
        <v>628</v>
      </c>
      <c r="AQ671" s="20">
        <v>10</v>
      </c>
      <c r="AR671" s="20">
        <v>14</v>
      </c>
      <c r="AS671" s="20" t="s">
        <v>592</v>
      </c>
    </row>
    <row r="672" spans="11:45" ht="15.75" customHeight="1" x14ac:dyDescent="0.2">
      <c r="K672" s="20" t="s">
        <v>1161</v>
      </c>
      <c r="L672" s="20" t="s">
        <v>41</v>
      </c>
      <c r="M672" s="20" t="s">
        <v>859</v>
      </c>
      <c r="N672" s="20" t="s">
        <v>540</v>
      </c>
      <c r="O672" s="20" t="s">
        <v>628</v>
      </c>
      <c r="P672" s="20">
        <v>10</v>
      </c>
      <c r="Q672" s="20">
        <v>9</v>
      </c>
      <c r="R672" s="20" t="s">
        <v>592</v>
      </c>
      <c r="T672" s="20" t="s">
        <v>1144</v>
      </c>
      <c r="U672" s="20" t="s">
        <v>194</v>
      </c>
      <c r="V672" s="20" t="s">
        <v>442</v>
      </c>
      <c r="W672" s="20" t="s">
        <v>1662</v>
      </c>
      <c r="X672" s="20" t="s">
        <v>628</v>
      </c>
      <c r="Y672" s="20">
        <v>10</v>
      </c>
      <c r="Z672" s="20">
        <v>11</v>
      </c>
      <c r="AA672" s="20" t="s">
        <v>592</v>
      </c>
      <c r="AC672" s="20" t="s">
        <v>1141</v>
      </c>
      <c r="AD672" s="20" t="s">
        <v>224</v>
      </c>
      <c r="AE672" s="20" t="s">
        <v>386</v>
      </c>
      <c r="AF672" s="20" t="s">
        <v>2771</v>
      </c>
      <c r="AG672" s="20" t="s">
        <v>835</v>
      </c>
      <c r="AH672" s="20">
        <v>5</v>
      </c>
      <c r="AI672" s="20">
        <v>1</v>
      </c>
      <c r="AJ672" s="20" t="s">
        <v>593</v>
      </c>
      <c r="AL672" s="20" t="s">
        <v>1141</v>
      </c>
      <c r="AM672" s="20" t="s">
        <v>224</v>
      </c>
      <c r="AN672" s="20" t="s">
        <v>2457</v>
      </c>
      <c r="AO672" s="20" t="s">
        <v>3136</v>
      </c>
      <c r="AP672" s="20" t="s">
        <v>628</v>
      </c>
      <c r="AQ672" s="20">
        <v>10</v>
      </c>
      <c r="AR672" s="20">
        <v>8</v>
      </c>
      <c r="AS672" s="20" t="s">
        <v>592</v>
      </c>
    </row>
    <row r="673" spans="11:45" ht="15.75" customHeight="1" x14ac:dyDescent="0.2">
      <c r="K673" s="20" t="s">
        <v>1161</v>
      </c>
      <c r="L673" s="20" t="s">
        <v>304</v>
      </c>
      <c r="M673" s="20" t="s">
        <v>1631</v>
      </c>
      <c r="N673" s="20" t="s">
        <v>857</v>
      </c>
      <c r="O673" s="20" t="s">
        <v>628</v>
      </c>
      <c r="P673" s="20">
        <v>10</v>
      </c>
      <c r="Q673" s="20">
        <v>8</v>
      </c>
      <c r="R673" s="20" t="s">
        <v>592</v>
      </c>
      <c r="T673" s="20" t="s">
        <v>1155</v>
      </c>
      <c r="U673" s="20" t="s">
        <v>286</v>
      </c>
      <c r="V673" s="20" t="s">
        <v>2508</v>
      </c>
      <c r="W673" s="20" t="s">
        <v>2410</v>
      </c>
      <c r="X673" s="20" t="s">
        <v>628</v>
      </c>
      <c r="Y673" s="20">
        <v>10</v>
      </c>
      <c r="Z673" s="20">
        <v>1</v>
      </c>
      <c r="AA673" s="20" t="s">
        <v>592</v>
      </c>
      <c r="AC673" s="20" t="s">
        <v>1141</v>
      </c>
      <c r="AD673" s="20" t="s">
        <v>218</v>
      </c>
      <c r="AE673" s="20" t="s">
        <v>377</v>
      </c>
      <c r="AF673" s="20" t="s">
        <v>2772</v>
      </c>
      <c r="AG673" s="20" t="s">
        <v>835</v>
      </c>
      <c r="AH673" s="20">
        <v>5</v>
      </c>
      <c r="AI673" s="20">
        <v>1</v>
      </c>
      <c r="AJ673" s="20" t="s">
        <v>593</v>
      </c>
      <c r="AL673" s="20" t="s">
        <v>1141</v>
      </c>
      <c r="AM673" s="20" t="s">
        <v>224</v>
      </c>
      <c r="AN673" s="20" t="s">
        <v>2457</v>
      </c>
      <c r="AO673" s="20" t="s">
        <v>3138</v>
      </c>
      <c r="AP673" s="20" t="s">
        <v>628</v>
      </c>
      <c r="AQ673" s="20">
        <v>10</v>
      </c>
      <c r="AR673" s="20">
        <v>6</v>
      </c>
      <c r="AS673" s="20" t="s">
        <v>592</v>
      </c>
    </row>
    <row r="674" spans="11:45" ht="15.75" customHeight="1" x14ac:dyDescent="0.2">
      <c r="K674" s="20" t="s">
        <v>1161</v>
      </c>
      <c r="L674" s="20" t="s">
        <v>659</v>
      </c>
      <c r="M674" s="20" t="s">
        <v>1860</v>
      </c>
      <c r="N674" s="20" t="s">
        <v>389</v>
      </c>
      <c r="O674" s="20" t="s">
        <v>628</v>
      </c>
      <c r="P674" s="20">
        <v>10</v>
      </c>
      <c r="Q674" s="20">
        <v>13</v>
      </c>
      <c r="R674" s="20" t="s">
        <v>592</v>
      </c>
      <c r="T674" s="20" t="s">
        <v>1155</v>
      </c>
      <c r="U674" s="20" t="s">
        <v>286</v>
      </c>
      <c r="V674" s="20" t="s">
        <v>2508</v>
      </c>
      <c r="W674" s="20" t="s">
        <v>2411</v>
      </c>
      <c r="X674" s="20" t="s">
        <v>628</v>
      </c>
      <c r="Y674" s="20">
        <v>10</v>
      </c>
      <c r="Z674" s="20">
        <v>12</v>
      </c>
      <c r="AA674" s="20" t="s">
        <v>592</v>
      </c>
      <c r="AC674" s="20" t="s">
        <v>1147</v>
      </c>
      <c r="AD674" s="20" t="s">
        <v>29</v>
      </c>
      <c r="AE674" s="20" t="s">
        <v>420</v>
      </c>
      <c r="AF674" s="20" t="s">
        <v>820</v>
      </c>
      <c r="AG674" s="20" t="s">
        <v>835</v>
      </c>
      <c r="AH674" s="20">
        <v>5</v>
      </c>
      <c r="AI674" s="20">
        <v>1</v>
      </c>
      <c r="AJ674" s="20" t="s">
        <v>593</v>
      </c>
      <c r="AL674" s="20" t="s">
        <v>1141</v>
      </c>
      <c r="AM674" s="20" t="s">
        <v>224</v>
      </c>
      <c r="AN674" s="20" t="s">
        <v>1942</v>
      </c>
      <c r="AO674" s="20" t="s">
        <v>3157</v>
      </c>
      <c r="AP674" s="20" t="s">
        <v>628</v>
      </c>
      <c r="AQ674" s="20">
        <v>10</v>
      </c>
      <c r="AR674" s="20">
        <v>15</v>
      </c>
      <c r="AS674" s="20" t="s">
        <v>592</v>
      </c>
    </row>
    <row r="675" spans="11:45" ht="15.75" customHeight="1" x14ac:dyDescent="0.2">
      <c r="K675" s="20" t="s">
        <v>1161</v>
      </c>
      <c r="L675" s="20" t="s">
        <v>659</v>
      </c>
      <c r="M675" s="20" t="s">
        <v>909</v>
      </c>
      <c r="N675" s="20" t="s">
        <v>391</v>
      </c>
      <c r="O675" s="20" t="s">
        <v>628</v>
      </c>
      <c r="P675" s="20">
        <v>10</v>
      </c>
      <c r="Q675" s="20">
        <v>1</v>
      </c>
      <c r="R675" s="20" t="s">
        <v>593</v>
      </c>
      <c r="T675" s="20" t="s">
        <v>1143</v>
      </c>
      <c r="U675" s="20" t="s">
        <v>61</v>
      </c>
      <c r="V675" s="20" t="s">
        <v>525</v>
      </c>
      <c r="W675" s="20" t="s">
        <v>2412</v>
      </c>
      <c r="X675" s="20" t="s">
        <v>835</v>
      </c>
      <c r="Y675" s="20">
        <v>5</v>
      </c>
      <c r="Z675" s="20">
        <v>7</v>
      </c>
      <c r="AA675" s="20" t="s">
        <v>592</v>
      </c>
      <c r="AC675" s="20" t="s">
        <v>646</v>
      </c>
      <c r="AD675" s="20" t="s">
        <v>334</v>
      </c>
      <c r="AE675" s="20" t="s">
        <v>581</v>
      </c>
      <c r="AF675" s="20" t="s">
        <v>721</v>
      </c>
      <c r="AG675" s="20" t="s">
        <v>835</v>
      </c>
      <c r="AH675" s="20">
        <v>5</v>
      </c>
      <c r="AI675" s="20">
        <v>5</v>
      </c>
      <c r="AJ675" s="20" t="s">
        <v>592</v>
      </c>
      <c r="AL675" s="20" t="s">
        <v>1141</v>
      </c>
      <c r="AM675" s="20" t="s">
        <v>780</v>
      </c>
      <c r="AN675" s="20" t="s">
        <v>400</v>
      </c>
      <c r="AO675" s="20" t="s">
        <v>3158</v>
      </c>
      <c r="AP675" s="20" t="s">
        <v>835</v>
      </c>
      <c r="AQ675" s="20">
        <v>5</v>
      </c>
      <c r="AR675" s="20">
        <v>13</v>
      </c>
      <c r="AS675" s="20" t="s">
        <v>592</v>
      </c>
    </row>
    <row r="676" spans="11:45" ht="15.75" customHeight="1" x14ac:dyDescent="0.2">
      <c r="K676" s="20" t="s">
        <v>1161</v>
      </c>
      <c r="L676" s="20" t="s">
        <v>117</v>
      </c>
      <c r="M676" s="20" t="s">
        <v>1746</v>
      </c>
      <c r="N676" s="20" t="s">
        <v>456</v>
      </c>
      <c r="O676" s="20" t="s">
        <v>835</v>
      </c>
      <c r="P676" s="20">
        <v>5</v>
      </c>
      <c r="Q676" s="20">
        <v>2</v>
      </c>
      <c r="R676" s="20" t="s">
        <v>593</v>
      </c>
      <c r="T676" s="20" t="s">
        <v>1147</v>
      </c>
      <c r="U676" s="20" t="s">
        <v>222</v>
      </c>
      <c r="V676" s="20" t="s">
        <v>1620</v>
      </c>
      <c r="W676" s="20" t="s">
        <v>1619</v>
      </c>
      <c r="X676" s="20" t="s">
        <v>835</v>
      </c>
      <c r="Y676" s="20">
        <v>5</v>
      </c>
      <c r="Z676" s="20">
        <v>1</v>
      </c>
      <c r="AA676" s="20" t="s">
        <v>593</v>
      </c>
      <c r="AC676" s="20" t="s">
        <v>646</v>
      </c>
      <c r="AD676" s="20" t="s">
        <v>246</v>
      </c>
      <c r="AE676" s="20" t="s">
        <v>1880</v>
      </c>
      <c r="AF676" s="20" t="s">
        <v>2749</v>
      </c>
      <c r="AG676" s="20" t="s">
        <v>835</v>
      </c>
      <c r="AH676" s="20">
        <v>5</v>
      </c>
      <c r="AI676" s="20">
        <v>1</v>
      </c>
      <c r="AJ676" s="20" t="s">
        <v>593</v>
      </c>
      <c r="AL676" s="20" t="s">
        <v>1141</v>
      </c>
      <c r="AM676" s="20" t="s">
        <v>780</v>
      </c>
      <c r="AN676" s="20" t="s">
        <v>1846</v>
      </c>
      <c r="AO676" s="20" t="s">
        <v>3159</v>
      </c>
      <c r="AP676" s="20" t="s">
        <v>628</v>
      </c>
      <c r="AQ676" s="20">
        <v>10</v>
      </c>
      <c r="AR676" s="20">
        <v>11</v>
      </c>
      <c r="AS676" s="20" t="s">
        <v>592</v>
      </c>
    </row>
    <row r="677" spans="11:45" ht="15.75" customHeight="1" x14ac:dyDescent="0.2">
      <c r="K677" s="20" t="s">
        <v>1161</v>
      </c>
      <c r="L677" s="20" t="s">
        <v>304</v>
      </c>
      <c r="M677" s="20" t="s">
        <v>1517</v>
      </c>
      <c r="N677" s="20" t="s">
        <v>1518</v>
      </c>
      <c r="O677" s="20" t="s">
        <v>835</v>
      </c>
      <c r="P677" s="20">
        <v>5</v>
      </c>
      <c r="Q677" s="20">
        <v>3</v>
      </c>
      <c r="R677" s="20" t="s">
        <v>593</v>
      </c>
      <c r="T677" s="20" t="s">
        <v>1143</v>
      </c>
      <c r="U677" s="20" t="s">
        <v>706</v>
      </c>
      <c r="V677" s="20" t="s">
        <v>2509</v>
      </c>
      <c r="W677" s="20" t="s">
        <v>2413</v>
      </c>
      <c r="X677" s="20" t="s">
        <v>835</v>
      </c>
      <c r="Y677" s="20">
        <v>5</v>
      </c>
      <c r="Z677" s="20">
        <v>5</v>
      </c>
      <c r="AA677" s="20" t="s">
        <v>592</v>
      </c>
      <c r="AC677" s="20" t="s">
        <v>1147</v>
      </c>
      <c r="AD677" s="20" t="s">
        <v>699</v>
      </c>
      <c r="AE677" s="20" t="s">
        <v>2507</v>
      </c>
      <c r="AF677" s="20" t="s">
        <v>2399</v>
      </c>
      <c r="AG677" s="20" t="s">
        <v>835</v>
      </c>
      <c r="AH677" s="20">
        <v>5</v>
      </c>
      <c r="AI677" s="20">
        <v>3</v>
      </c>
      <c r="AJ677" s="20" t="s">
        <v>593</v>
      </c>
      <c r="AL677" s="20" t="s">
        <v>1141</v>
      </c>
      <c r="AM677" s="20" t="s">
        <v>224</v>
      </c>
      <c r="AN677" s="20" t="s">
        <v>399</v>
      </c>
      <c r="AO677" s="20" t="s">
        <v>1591</v>
      </c>
      <c r="AP677" s="20" t="s">
        <v>628</v>
      </c>
      <c r="AQ677" s="20">
        <v>10</v>
      </c>
      <c r="AR677" s="20">
        <v>6</v>
      </c>
      <c r="AS677" s="20" t="s">
        <v>592</v>
      </c>
    </row>
    <row r="678" spans="11:45" ht="15.75" customHeight="1" x14ac:dyDescent="0.2">
      <c r="K678" s="20" t="s">
        <v>1161</v>
      </c>
      <c r="L678" s="20" t="s">
        <v>117</v>
      </c>
      <c r="M678" s="20" t="s">
        <v>1906</v>
      </c>
      <c r="N678" s="20" t="s">
        <v>1907</v>
      </c>
      <c r="O678" s="20" t="s">
        <v>835</v>
      </c>
      <c r="P678" s="20">
        <v>5</v>
      </c>
      <c r="Q678" s="20">
        <v>3</v>
      </c>
      <c r="R678" s="20" t="s">
        <v>593</v>
      </c>
      <c r="T678" s="20" t="s">
        <v>1149</v>
      </c>
      <c r="U678" s="20" t="s">
        <v>301</v>
      </c>
      <c r="V678" s="20" t="s">
        <v>2477</v>
      </c>
      <c r="W678" s="20" t="s">
        <v>2231</v>
      </c>
      <c r="X678" s="20" t="s">
        <v>835</v>
      </c>
      <c r="Y678" s="20">
        <v>5</v>
      </c>
      <c r="Z678" s="20">
        <v>5</v>
      </c>
      <c r="AA678" s="20" t="s">
        <v>592</v>
      </c>
      <c r="AC678" s="20" t="s">
        <v>1141</v>
      </c>
      <c r="AD678" s="20" t="s">
        <v>780</v>
      </c>
      <c r="AE678" s="20" t="s">
        <v>2560</v>
      </c>
      <c r="AF678" s="20" t="s">
        <v>2745</v>
      </c>
      <c r="AG678" s="20" t="s">
        <v>835</v>
      </c>
      <c r="AH678" s="20">
        <v>5</v>
      </c>
      <c r="AI678" s="20">
        <v>4</v>
      </c>
      <c r="AJ678" s="20" t="s">
        <v>592</v>
      </c>
      <c r="AL678" s="20" t="s">
        <v>1141</v>
      </c>
      <c r="AM678" s="20" t="s">
        <v>224</v>
      </c>
      <c r="AN678" s="20" t="s">
        <v>399</v>
      </c>
      <c r="AO678" s="20" t="s">
        <v>966</v>
      </c>
      <c r="AP678" s="20" t="s">
        <v>628</v>
      </c>
      <c r="AQ678" s="20">
        <v>10</v>
      </c>
      <c r="AR678" s="20">
        <v>5</v>
      </c>
      <c r="AS678" s="20" t="s">
        <v>592</v>
      </c>
    </row>
    <row r="679" spans="11:45" ht="15.75" customHeight="1" x14ac:dyDescent="0.2">
      <c r="K679" s="20" t="s">
        <v>1161</v>
      </c>
      <c r="L679" s="20" t="s">
        <v>765</v>
      </c>
      <c r="M679" s="20" t="s">
        <v>2008</v>
      </c>
      <c r="N679" s="20" t="s">
        <v>1750</v>
      </c>
      <c r="O679" s="20" t="s">
        <v>835</v>
      </c>
      <c r="P679" s="20">
        <v>5</v>
      </c>
      <c r="Q679" s="20">
        <v>5</v>
      </c>
      <c r="R679" s="20" t="s">
        <v>592</v>
      </c>
      <c r="T679" s="20" t="s">
        <v>1149</v>
      </c>
      <c r="U679" s="20" t="s">
        <v>806</v>
      </c>
      <c r="V679" s="20" t="s">
        <v>2484</v>
      </c>
      <c r="W679" s="20" t="s">
        <v>2414</v>
      </c>
      <c r="X679" s="20" t="s">
        <v>835</v>
      </c>
      <c r="Y679" s="20">
        <v>5</v>
      </c>
      <c r="Z679" s="20">
        <v>5</v>
      </c>
      <c r="AA679" s="20" t="s">
        <v>592</v>
      </c>
      <c r="AC679" s="20" t="s">
        <v>1141</v>
      </c>
      <c r="AD679" s="20" t="s">
        <v>780</v>
      </c>
      <c r="AE679" s="20" t="s">
        <v>2560</v>
      </c>
      <c r="AF679" s="20" t="s">
        <v>2773</v>
      </c>
      <c r="AG679" s="20" t="s">
        <v>835</v>
      </c>
      <c r="AH679" s="20">
        <v>5</v>
      </c>
      <c r="AI679" s="20">
        <v>1</v>
      </c>
      <c r="AJ679" s="20" t="s">
        <v>592</v>
      </c>
      <c r="AL679" s="20" t="s">
        <v>1141</v>
      </c>
      <c r="AM679" s="20" t="s">
        <v>787</v>
      </c>
      <c r="AN679" s="20" t="s">
        <v>714</v>
      </c>
      <c r="AO679" s="20" t="s">
        <v>1580</v>
      </c>
      <c r="AP679" s="20" t="s">
        <v>628</v>
      </c>
      <c r="AQ679" s="20">
        <v>10</v>
      </c>
      <c r="AR679" s="20">
        <v>9</v>
      </c>
      <c r="AS679" s="20" t="s">
        <v>592</v>
      </c>
    </row>
    <row r="680" spans="11:45" ht="15.75" customHeight="1" x14ac:dyDescent="0.2">
      <c r="K680" s="20" t="s">
        <v>1161</v>
      </c>
      <c r="L680" s="20" t="s">
        <v>765</v>
      </c>
      <c r="M680" s="20" t="s">
        <v>1753</v>
      </c>
      <c r="N680" s="20" t="s">
        <v>858</v>
      </c>
      <c r="O680" s="20" t="s">
        <v>835</v>
      </c>
      <c r="P680" s="20">
        <v>5</v>
      </c>
      <c r="Q680" s="20">
        <v>5</v>
      </c>
      <c r="R680" s="20" t="s">
        <v>592</v>
      </c>
      <c r="T680" s="20" t="s">
        <v>1149</v>
      </c>
      <c r="U680" s="20" t="s">
        <v>63</v>
      </c>
      <c r="V680" s="20" t="s">
        <v>1482</v>
      </c>
      <c r="W680" s="20" t="s">
        <v>1481</v>
      </c>
      <c r="X680" s="20" t="s">
        <v>835</v>
      </c>
      <c r="Y680" s="20">
        <v>5</v>
      </c>
      <c r="Z680" s="20">
        <v>6</v>
      </c>
      <c r="AA680" s="20" t="s">
        <v>592</v>
      </c>
      <c r="AC680" s="20" t="s">
        <v>1163</v>
      </c>
      <c r="AD680" s="20" t="s">
        <v>207</v>
      </c>
      <c r="AE680" s="20" t="s">
        <v>1615</v>
      </c>
      <c r="AF680" s="20" t="s">
        <v>1614</v>
      </c>
      <c r="AG680" s="20" t="s">
        <v>835</v>
      </c>
      <c r="AH680" s="20">
        <v>5</v>
      </c>
      <c r="AI680" s="20">
        <v>3</v>
      </c>
      <c r="AJ680" s="20" t="s">
        <v>593</v>
      </c>
      <c r="AL680" s="20" t="s">
        <v>1141</v>
      </c>
      <c r="AM680" s="20" t="s">
        <v>780</v>
      </c>
      <c r="AN680" s="20" t="s">
        <v>2853</v>
      </c>
      <c r="AO680" s="20" t="s">
        <v>3146</v>
      </c>
      <c r="AP680" s="20" t="s">
        <v>835</v>
      </c>
      <c r="AQ680" s="20">
        <v>5</v>
      </c>
      <c r="AR680" s="20">
        <v>1</v>
      </c>
      <c r="AS680" s="20" t="s">
        <v>593</v>
      </c>
    </row>
    <row r="681" spans="11:45" ht="15.75" customHeight="1" x14ac:dyDescent="0.2">
      <c r="K681" s="20" t="s">
        <v>1161</v>
      </c>
      <c r="L681" s="20" t="s">
        <v>659</v>
      </c>
      <c r="M681" s="20" t="s">
        <v>974</v>
      </c>
      <c r="N681" s="20" t="s">
        <v>955</v>
      </c>
      <c r="O681" s="20" t="s">
        <v>835</v>
      </c>
      <c r="P681" s="20">
        <v>5</v>
      </c>
      <c r="Q681" s="20">
        <v>5</v>
      </c>
      <c r="R681" s="20" t="s">
        <v>592</v>
      </c>
      <c r="T681" s="20" t="s">
        <v>1149</v>
      </c>
      <c r="U681" s="20" t="s">
        <v>63</v>
      </c>
      <c r="V681" s="20" t="s">
        <v>2487</v>
      </c>
      <c r="W681" s="20" t="s">
        <v>2284</v>
      </c>
      <c r="X681" s="20" t="s">
        <v>835</v>
      </c>
      <c r="Y681" s="20">
        <v>5</v>
      </c>
      <c r="Z681" s="20">
        <v>5</v>
      </c>
      <c r="AA681" s="20" t="s">
        <v>592</v>
      </c>
      <c r="AC681" s="20" t="s">
        <v>2099</v>
      </c>
      <c r="AD681" s="20" t="s">
        <v>2112</v>
      </c>
      <c r="AE681" s="20" t="s">
        <v>2527</v>
      </c>
      <c r="AF681" s="20" t="s">
        <v>2246</v>
      </c>
      <c r="AG681" s="20" t="s">
        <v>2514</v>
      </c>
      <c r="AH681" s="20">
        <v>3</v>
      </c>
      <c r="AI681" s="20">
        <v>2</v>
      </c>
      <c r="AJ681" s="20" t="s">
        <v>592</v>
      </c>
      <c r="AL681" s="20" t="s">
        <v>1141</v>
      </c>
      <c r="AM681" s="20" t="s">
        <v>224</v>
      </c>
      <c r="AN681" s="20" t="s">
        <v>388</v>
      </c>
      <c r="AO681" s="20" t="s">
        <v>1119</v>
      </c>
      <c r="AP681" s="20" t="s">
        <v>628</v>
      </c>
      <c r="AQ681" s="20">
        <v>10</v>
      </c>
      <c r="AR681" s="20">
        <v>8</v>
      </c>
      <c r="AS681" s="20" t="s">
        <v>592</v>
      </c>
    </row>
    <row r="682" spans="11:45" ht="15.75" customHeight="1" x14ac:dyDescent="0.2">
      <c r="K682" s="20" t="s">
        <v>646</v>
      </c>
      <c r="L682" s="20" t="s">
        <v>209</v>
      </c>
      <c r="M682" s="20" t="s">
        <v>736</v>
      </c>
      <c r="N682" s="20" t="s">
        <v>730</v>
      </c>
      <c r="O682" s="20" t="s">
        <v>835</v>
      </c>
      <c r="P682" s="20">
        <v>5</v>
      </c>
      <c r="Q682" s="20">
        <v>5</v>
      </c>
      <c r="R682" s="20" t="s">
        <v>592</v>
      </c>
      <c r="T682" s="20" t="s">
        <v>1155</v>
      </c>
      <c r="U682" s="20" t="s">
        <v>657</v>
      </c>
      <c r="V682" s="20" t="s">
        <v>480</v>
      </c>
      <c r="W682" s="20" t="s">
        <v>889</v>
      </c>
      <c r="X682" s="20" t="s">
        <v>835</v>
      </c>
      <c r="Y682" s="20">
        <v>5</v>
      </c>
      <c r="Z682" s="20">
        <v>5</v>
      </c>
      <c r="AA682" s="20" t="s">
        <v>592</v>
      </c>
      <c r="AC682" s="20" t="s">
        <v>2099</v>
      </c>
      <c r="AD682" s="20" t="s">
        <v>2112</v>
      </c>
      <c r="AE682" s="20" t="s">
        <v>2527</v>
      </c>
      <c r="AF682" s="20" t="s">
        <v>2774</v>
      </c>
      <c r="AG682" s="20" t="s">
        <v>2514</v>
      </c>
      <c r="AH682" s="20">
        <v>3</v>
      </c>
      <c r="AI682" s="20">
        <v>1</v>
      </c>
      <c r="AJ682" s="20" t="s">
        <v>592</v>
      </c>
      <c r="AL682" s="20" t="s">
        <v>1141</v>
      </c>
      <c r="AM682" s="20" t="s">
        <v>780</v>
      </c>
      <c r="AN682" s="20" t="s">
        <v>1766</v>
      </c>
      <c r="AO682" s="20" t="s">
        <v>2357</v>
      </c>
      <c r="AP682" s="20" t="s">
        <v>835</v>
      </c>
      <c r="AQ682" s="20">
        <v>5</v>
      </c>
      <c r="AR682" s="20">
        <v>5</v>
      </c>
      <c r="AS682" s="20" t="s">
        <v>592</v>
      </c>
    </row>
    <row r="683" spans="11:45" ht="15.75" customHeight="1" x14ac:dyDescent="0.2">
      <c r="K683" s="20" t="s">
        <v>1144</v>
      </c>
      <c r="L683" s="20" t="s">
        <v>249</v>
      </c>
      <c r="M683" s="20" t="s">
        <v>2009</v>
      </c>
      <c r="N683" s="20" t="s">
        <v>563</v>
      </c>
      <c r="O683" s="20" t="s">
        <v>835</v>
      </c>
      <c r="P683" s="20">
        <v>5</v>
      </c>
      <c r="Q683" s="20">
        <v>6</v>
      </c>
      <c r="R683" s="20" t="s">
        <v>592</v>
      </c>
      <c r="T683" s="20" t="s">
        <v>1154</v>
      </c>
      <c r="U683" s="20" t="s">
        <v>217</v>
      </c>
      <c r="V683" s="20" t="s">
        <v>2045</v>
      </c>
      <c r="W683" s="20" t="s">
        <v>2044</v>
      </c>
      <c r="X683" s="20" t="s">
        <v>835</v>
      </c>
      <c r="Y683" s="20">
        <v>5</v>
      </c>
      <c r="Z683" s="20">
        <v>3</v>
      </c>
      <c r="AA683" s="20" t="s">
        <v>593</v>
      </c>
      <c r="AC683" s="20" t="s">
        <v>1149</v>
      </c>
      <c r="AD683" s="20" t="s">
        <v>1150</v>
      </c>
      <c r="AE683" s="20" t="s">
        <v>479</v>
      </c>
      <c r="AF683" s="20" t="s">
        <v>2418</v>
      </c>
      <c r="AG683" s="20" t="s">
        <v>835</v>
      </c>
      <c r="AH683" s="20">
        <v>5</v>
      </c>
      <c r="AI683" s="20">
        <v>1</v>
      </c>
      <c r="AJ683" s="20" t="s">
        <v>593</v>
      </c>
      <c r="AL683" s="20" t="s">
        <v>1169</v>
      </c>
      <c r="AM683" s="20" t="s">
        <v>216</v>
      </c>
      <c r="AN683" s="20" t="s">
        <v>680</v>
      </c>
      <c r="AO683" s="20" t="s">
        <v>738</v>
      </c>
      <c r="AP683" s="20" t="s">
        <v>628</v>
      </c>
      <c r="AQ683" s="20">
        <v>10</v>
      </c>
      <c r="AR683" s="20">
        <v>1</v>
      </c>
      <c r="AS683" s="20" t="s">
        <v>593</v>
      </c>
    </row>
    <row r="684" spans="11:45" ht="15.75" customHeight="1" x14ac:dyDescent="0.2">
      <c r="K684" s="20" t="s">
        <v>1155</v>
      </c>
      <c r="L684" s="20" t="s">
        <v>1156</v>
      </c>
      <c r="M684" s="20" t="s">
        <v>1834</v>
      </c>
      <c r="N684" s="20" t="s">
        <v>1835</v>
      </c>
      <c r="O684" s="20" t="s">
        <v>835</v>
      </c>
      <c r="P684" s="20">
        <v>5</v>
      </c>
      <c r="Q684" s="20">
        <v>5</v>
      </c>
      <c r="R684" s="20" t="s">
        <v>592</v>
      </c>
      <c r="T684" s="20" t="s">
        <v>1154</v>
      </c>
      <c r="U684" s="20" t="s">
        <v>1152</v>
      </c>
      <c r="V684" s="20" t="s">
        <v>624</v>
      </c>
      <c r="W684" s="20" t="s">
        <v>1290</v>
      </c>
      <c r="X684" s="20" t="s">
        <v>835</v>
      </c>
      <c r="Y684" s="20">
        <v>5</v>
      </c>
      <c r="Z684" s="20">
        <v>2</v>
      </c>
      <c r="AA684" s="20" t="s">
        <v>593</v>
      </c>
      <c r="AC684" s="20" t="s">
        <v>2099</v>
      </c>
      <c r="AD684" s="20" t="s">
        <v>350</v>
      </c>
      <c r="AE684" s="20"/>
      <c r="AF684" s="20" t="s">
        <v>2669</v>
      </c>
      <c r="AG684" s="20" t="s">
        <v>2514</v>
      </c>
      <c r="AH684" s="20">
        <v>3</v>
      </c>
      <c r="AI684" s="20">
        <v>3</v>
      </c>
      <c r="AJ684" s="20" t="s">
        <v>592</v>
      </c>
      <c r="AL684" s="20" t="s">
        <v>1169</v>
      </c>
      <c r="AM684" s="20" t="s">
        <v>701</v>
      </c>
      <c r="AN684" s="20" t="s">
        <v>681</v>
      </c>
      <c r="AO684" s="20" t="s">
        <v>967</v>
      </c>
      <c r="AP684" s="20" t="s">
        <v>628</v>
      </c>
      <c r="AQ684" s="20">
        <v>10</v>
      </c>
      <c r="AR684" s="20">
        <v>12</v>
      </c>
      <c r="AS684" s="20" t="s">
        <v>592</v>
      </c>
    </row>
    <row r="685" spans="11:45" ht="15.75" customHeight="1" x14ac:dyDescent="0.2">
      <c r="K685" s="20" t="s">
        <v>1161</v>
      </c>
      <c r="L685" s="20" t="s">
        <v>1432</v>
      </c>
      <c r="M685" s="20" t="s">
        <v>2010</v>
      </c>
      <c r="N685" s="20" t="s">
        <v>959</v>
      </c>
      <c r="O685" s="20" t="s">
        <v>628</v>
      </c>
      <c r="P685" s="20">
        <v>10</v>
      </c>
      <c r="Q685" s="20">
        <v>8</v>
      </c>
      <c r="R685" s="20" t="s">
        <v>592</v>
      </c>
      <c r="T685" s="20" t="s">
        <v>1154</v>
      </c>
      <c r="U685" s="20" t="s">
        <v>217</v>
      </c>
      <c r="V685" s="20" t="s">
        <v>579</v>
      </c>
      <c r="W685" s="20" t="s">
        <v>881</v>
      </c>
      <c r="X685" s="20" t="s">
        <v>835</v>
      </c>
      <c r="Y685" s="20">
        <v>5</v>
      </c>
      <c r="Z685" s="20">
        <v>1</v>
      </c>
      <c r="AA685" s="20" t="s">
        <v>593</v>
      </c>
      <c r="AC685" s="20" t="s">
        <v>2099</v>
      </c>
      <c r="AD685" s="20" t="s">
        <v>2106</v>
      </c>
      <c r="AE685" s="20"/>
      <c r="AF685" s="20" t="s">
        <v>2654</v>
      </c>
      <c r="AG685" s="20" t="s">
        <v>2514</v>
      </c>
      <c r="AH685" s="20">
        <v>3</v>
      </c>
      <c r="AI685" s="20">
        <v>7</v>
      </c>
      <c r="AJ685" s="20" t="s">
        <v>592</v>
      </c>
      <c r="AL685" s="20" t="s">
        <v>1169</v>
      </c>
      <c r="AM685" s="20" t="s">
        <v>701</v>
      </c>
      <c r="AN685" s="20" t="s">
        <v>2855</v>
      </c>
      <c r="AO685" s="20" t="s">
        <v>3160</v>
      </c>
      <c r="AP685" s="20" t="s">
        <v>628</v>
      </c>
      <c r="AQ685" s="20">
        <v>10</v>
      </c>
      <c r="AR685" s="20">
        <v>16</v>
      </c>
      <c r="AS685" s="20" t="s">
        <v>592</v>
      </c>
    </row>
    <row r="686" spans="11:45" ht="15.75" customHeight="1" x14ac:dyDescent="0.2">
      <c r="K686" s="20" t="s">
        <v>1161</v>
      </c>
      <c r="L686" s="20" t="s">
        <v>1432</v>
      </c>
      <c r="M686" s="20" t="s">
        <v>2011</v>
      </c>
      <c r="N686" s="20" t="s">
        <v>2012</v>
      </c>
      <c r="O686" s="20" t="s">
        <v>835</v>
      </c>
      <c r="P686" s="20">
        <v>5</v>
      </c>
      <c r="Q686" s="20">
        <v>5</v>
      </c>
      <c r="R686" s="20" t="s">
        <v>592</v>
      </c>
      <c r="T686" s="20" t="s">
        <v>1144</v>
      </c>
      <c r="U686" s="20" t="s">
        <v>1107</v>
      </c>
      <c r="V686" s="20" t="s">
        <v>1909</v>
      </c>
      <c r="W686" s="20" t="s">
        <v>2415</v>
      </c>
      <c r="X686" s="20" t="s">
        <v>835</v>
      </c>
      <c r="Y686" s="20">
        <v>5</v>
      </c>
      <c r="Z686" s="20">
        <v>6</v>
      </c>
      <c r="AA686" s="20" t="s">
        <v>592</v>
      </c>
      <c r="AC686" s="20" t="s">
        <v>2099</v>
      </c>
      <c r="AD686" s="20" t="s">
        <v>2112</v>
      </c>
      <c r="AE686" s="20"/>
      <c r="AF686" s="20" t="s">
        <v>2653</v>
      </c>
      <c r="AG686" s="20" t="s">
        <v>2514</v>
      </c>
      <c r="AH686" s="20">
        <v>3</v>
      </c>
      <c r="AI686" s="20">
        <v>7</v>
      </c>
      <c r="AJ686" s="20" t="s">
        <v>592</v>
      </c>
      <c r="AL686" s="20" t="s">
        <v>1169</v>
      </c>
      <c r="AM686" s="20" t="s">
        <v>701</v>
      </c>
      <c r="AN686" s="20" t="s">
        <v>2856</v>
      </c>
      <c r="AO686" s="20" t="s">
        <v>3161</v>
      </c>
      <c r="AP686" s="20" t="s">
        <v>628</v>
      </c>
      <c r="AQ686" s="20">
        <v>10</v>
      </c>
      <c r="AR686" s="20">
        <v>7</v>
      </c>
      <c r="AS686" s="20" t="s">
        <v>592</v>
      </c>
    </row>
    <row r="687" spans="11:45" ht="15.75" customHeight="1" x14ac:dyDescent="0.2">
      <c r="K687" s="20" t="s">
        <v>640</v>
      </c>
      <c r="L687" s="20" t="s">
        <v>756</v>
      </c>
      <c r="M687" s="20" t="s">
        <v>2013</v>
      </c>
      <c r="N687" s="20" t="s">
        <v>1531</v>
      </c>
      <c r="O687" s="20" t="s">
        <v>835</v>
      </c>
      <c r="P687" s="20">
        <v>5</v>
      </c>
      <c r="Q687" s="20">
        <v>7</v>
      </c>
      <c r="R687" s="20" t="s">
        <v>592</v>
      </c>
      <c r="T687" s="20" t="s">
        <v>1144</v>
      </c>
      <c r="U687" s="20" t="s">
        <v>1107</v>
      </c>
      <c r="V687" s="20" t="s">
        <v>1909</v>
      </c>
      <c r="W687" s="20" t="s">
        <v>2416</v>
      </c>
      <c r="X687" s="20" t="s">
        <v>835</v>
      </c>
      <c r="Y687" s="20">
        <v>5</v>
      </c>
      <c r="Z687" s="20">
        <v>1</v>
      </c>
      <c r="AA687" s="20" t="s">
        <v>592</v>
      </c>
      <c r="AC687" s="20" t="s">
        <v>2099</v>
      </c>
      <c r="AD687" s="20" t="s">
        <v>2117</v>
      </c>
      <c r="AE687" s="20"/>
      <c r="AF687" s="20" t="s">
        <v>2656</v>
      </c>
      <c r="AG687" s="20" t="s">
        <v>2514</v>
      </c>
      <c r="AH687" s="20">
        <v>3</v>
      </c>
      <c r="AI687" s="20">
        <v>3</v>
      </c>
      <c r="AJ687" s="20" t="s">
        <v>592</v>
      </c>
      <c r="AL687" s="20" t="s">
        <v>1169</v>
      </c>
      <c r="AM687" s="20" t="s">
        <v>701</v>
      </c>
      <c r="AN687" s="20" t="s">
        <v>2856</v>
      </c>
      <c r="AO687" s="20" t="s">
        <v>3162</v>
      </c>
      <c r="AP687" s="20" t="s">
        <v>628</v>
      </c>
      <c r="AQ687" s="20">
        <v>10</v>
      </c>
      <c r="AR687" s="20">
        <v>5</v>
      </c>
      <c r="AS687" s="20" t="s">
        <v>592</v>
      </c>
    </row>
    <row r="688" spans="11:45" ht="15.75" customHeight="1" x14ac:dyDescent="0.2">
      <c r="K688" s="20" t="s">
        <v>640</v>
      </c>
      <c r="L688" s="20" t="s">
        <v>191</v>
      </c>
      <c r="M688" s="20" t="s">
        <v>1755</v>
      </c>
      <c r="N688" s="20" t="s">
        <v>572</v>
      </c>
      <c r="O688" s="20" t="s">
        <v>835</v>
      </c>
      <c r="P688" s="20">
        <v>5</v>
      </c>
      <c r="Q688" s="20">
        <v>3</v>
      </c>
      <c r="R688" s="20" t="s">
        <v>593</v>
      </c>
      <c r="T688" s="20" t="s">
        <v>1149</v>
      </c>
      <c r="U688" s="20" t="s">
        <v>1150</v>
      </c>
      <c r="V688" s="20" t="s">
        <v>476</v>
      </c>
      <c r="W688" s="20" t="s">
        <v>2264</v>
      </c>
      <c r="X688" s="20" t="s">
        <v>835</v>
      </c>
      <c r="Y688" s="20">
        <v>5</v>
      </c>
      <c r="Z688" s="20">
        <v>6</v>
      </c>
      <c r="AA688" s="20" t="s">
        <v>592</v>
      </c>
      <c r="AC688" s="20" t="s">
        <v>2099</v>
      </c>
      <c r="AD688" s="20" t="s">
        <v>2109</v>
      </c>
      <c r="AE688" s="20"/>
      <c r="AF688" s="20" t="s">
        <v>2672</v>
      </c>
      <c r="AG688" s="20" t="s">
        <v>2514</v>
      </c>
      <c r="AH688" s="20">
        <v>3</v>
      </c>
      <c r="AI688" s="20">
        <v>2</v>
      </c>
      <c r="AJ688" s="20" t="s">
        <v>593</v>
      </c>
      <c r="AL688" s="20" t="s">
        <v>1169</v>
      </c>
      <c r="AM688" s="20" t="s">
        <v>701</v>
      </c>
      <c r="AN688" s="20" t="s">
        <v>2067</v>
      </c>
      <c r="AO688" s="20" t="s">
        <v>3163</v>
      </c>
      <c r="AP688" s="20" t="s">
        <v>628</v>
      </c>
      <c r="AQ688" s="20">
        <v>10</v>
      </c>
      <c r="AR688" s="20">
        <v>8</v>
      </c>
      <c r="AS688" s="20" t="s">
        <v>592</v>
      </c>
    </row>
    <row r="689" spans="11:45" ht="15.75" customHeight="1" x14ac:dyDescent="0.2">
      <c r="K689" s="20" t="s">
        <v>1149</v>
      </c>
      <c r="L689" s="20" t="s">
        <v>1150</v>
      </c>
      <c r="M689" s="20" t="s">
        <v>1389</v>
      </c>
      <c r="N689" s="20" t="s">
        <v>893</v>
      </c>
      <c r="O689" s="20" t="s">
        <v>835</v>
      </c>
      <c r="P689" s="20">
        <v>5</v>
      </c>
      <c r="Q689" s="20">
        <v>3</v>
      </c>
      <c r="R689" s="20" t="s">
        <v>593</v>
      </c>
      <c r="T689" s="20" t="s">
        <v>1161</v>
      </c>
      <c r="U689" s="20" t="s">
        <v>1432</v>
      </c>
      <c r="V689" s="20" t="s">
        <v>2012</v>
      </c>
      <c r="W689" s="20" t="s">
        <v>2226</v>
      </c>
      <c r="X689" s="20" t="s">
        <v>835</v>
      </c>
      <c r="Y689" s="20">
        <v>5</v>
      </c>
      <c r="Z689" s="20">
        <v>6</v>
      </c>
      <c r="AA689" s="20" t="s">
        <v>592</v>
      </c>
      <c r="AC689" s="20" t="s">
        <v>2099</v>
      </c>
      <c r="AD689" s="20" t="s">
        <v>2144</v>
      </c>
      <c r="AE689" s="20"/>
      <c r="AF689" s="20" t="s">
        <v>2652</v>
      </c>
      <c r="AG689" s="20" t="s">
        <v>2514</v>
      </c>
      <c r="AH689" s="20">
        <v>3</v>
      </c>
      <c r="AI689" s="20">
        <v>17</v>
      </c>
      <c r="AJ689" s="20" t="s">
        <v>592</v>
      </c>
      <c r="AL689" s="20" t="s">
        <v>1169</v>
      </c>
      <c r="AM689" s="20" t="s">
        <v>701</v>
      </c>
      <c r="AN689" s="20" t="s">
        <v>2503</v>
      </c>
      <c r="AO689" s="20" t="s">
        <v>2367</v>
      </c>
      <c r="AP689" s="20" t="s">
        <v>628</v>
      </c>
      <c r="AQ689" s="20">
        <v>10</v>
      </c>
      <c r="AR689" s="20">
        <v>11</v>
      </c>
      <c r="AS689" s="20" t="s">
        <v>592</v>
      </c>
    </row>
    <row r="690" spans="11:45" ht="15.75" customHeight="1" x14ac:dyDescent="0.2">
      <c r="K690" s="20" t="s">
        <v>1162</v>
      </c>
      <c r="L690" s="20" t="s">
        <v>352</v>
      </c>
      <c r="M690" s="20" t="s">
        <v>2014</v>
      </c>
      <c r="N690" s="20" t="s">
        <v>2015</v>
      </c>
      <c r="O690" s="20" t="s">
        <v>628</v>
      </c>
      <c r="P690" s="20">
        <v>10</v>
      </c>
      <c r="Q690" s="20">
        <v>1</v>
      </c>
      <c r="R690" s="20" t="s">
        <v>592</v>
      </c>
      <c r="T690" s="20" t="s">
        <v>1144</v>
      </c>
      <c r="U690" s="20" t="s">
        <v>249</v>
      </c>
      <c r="V690" s="20" t="s">
        <v>564</v>
      </c>
      <c r="W690" s="20" t="s">
        <v>2417</v>
      </c>
      <c r="X690" s="20" t="s">
        <v>835</v>
      </c>
      <c r="Y690" s="20">
        <v>5</v>
      </c>
      <c r="Z690" s="20">
        <v>7</v>
      </c>
      <c r="AA690" s="20" t="s">
        <v>592</v>
      </c>
      <c r="AL690" s="20" t="s">
        <v>1169</v>
      </c>
      <c r="AM690" s="20" t="s">
        <v>701</v>
      </c>
      <c r="AN690" s="20" t="s">
        <v>2857</v>
      </c>
      <c r="AO690" s="20" t="s">
        <v>3164</v>
      </c>
      <c r="AP690" s="20" t="s">
        <v>628</v>
      </c>
      <c r="AQ690" s="20">
        <v>10</v>
      </c>
      <c r="AR690" s="20">
        <v>3</v>
      </c>
      <c r="AS690" s="20" t="s">
        <v>593</v>
      </c>
    </row>
    <row r="691" spans="11:45" ht="15.75" customHeight="1" x14ac:dyDescent="0.2">
      <c r="K691" s="20" t="s">
        <v>1162</v>
      </c>
      <c r="L691" s="20" t="s">
        <v>352</v>
      </c>
      <c r="M691" s="20" t="s">
        <v>2016</v>
      </c>
      <c r="N691" s="20" t="s">
        <v>2015</v>
      </c>
      <c r="O691" s="20" t="s">
        <v>628</v>
      </c>
      <c r="P691" s="20">
        <v>10</v>
      </c>
      <c r="Q691" s="20">
        <v>7</v>
      </c>
      <c r="R691" s="20" t="s">
        <v>592</v>
      </c>
      <c r="T691" s="20" t="s">
        <v>1149</v>
      </c>
      <c r="U691" s="20" t="s">
        <v>1150</v>
      </c>
      <c r="V691" s="20" t="s">
        <v>479</v>
      </c>
      <c r="W691" s="20" t="s">
        <v>2418</v>
      </c>
      <c r="X691" s="20" t="s">
        <v>835</v>
      </c>
      <c r="Y691" s="20">
        <v>5</v>
      </c>
      <c r="Z691" s="20">
        <v>6</v>
      </c>
      <c r="AA691" s="20" t="s">
        <v>592</v>
      </c>
      <c r="AL691" s="20" t="s">
        <v>1169</v>
      </c>
      <c r="AM691" s="20" t="s">
        <v>19</v>
      </c>
      <c r="AN691" s="20" t="s">
        <v>499</v>
      </c>
      <c r="AO691" s="20" t="s">
        <v>826</v>
      </c>
      <c r="AP691" s="20" t="s">
        <v>628</v>
      </c>
      <c r="AQ691" s="20">
        <v>10</v>
      </c>
      <c r="AR691" s="20">
        <v>18</v>
      </c>
      <c r="AS691" s="20" t="s">
        <v>592</v>
      </c>
    </row>
    <row r="692" spans="11:45" ht="15.75" customHeight="1" x14ac:dyDescent="0.2">
      <c r="K692" s="20" t="s">
        <v>646</v>
      </c>
      <c r="L692" s="20" t="s">
        <v>334</v>
      </c>
      <c r="M692" s="20" t="s">
        <v>1807</v>
      </c>
      <c r="N692" s="20" t="s">
        <v>581</v>
      </c>
      <c r="O692" s="20" t="s">
        <v>835</v>
      </c>
      <c r="P692" s="20">
        <v>5</v>
      </c>
      <c r="Q692" s="20">
        <v>11</v>
      </c>
      <c r="R692" s="20" t="s">
        <v>592</v>
      </c>
      <c r="T692" s="20" t="s">
        <v>1144</v>
      </c>
      <c r="U692" s="20" t="s">
        <v>313</v>
      </c>
      <c r="V692" s="20" t="s">
        <v>528</v>
      </c>
      <c r="W692" s="20" t="s">
        <v>998</v>
      </c>
      <c r="X692" s="20" t="s">
        <v>835</v>
      </c>
      <c r="Y692" s="20">
        <v>5</v>
      </c>
      <c r="Z692" s="20">
        <v>5</v>
      </c>
      <c r="AA692" s="20" t="s">
        <v>592</v>
      </c>
      <c r="AL692" s="20" t="s">
        <v>1169</v>
      </c>
      <c r="AM692" s="20" t="s">
        <v>19</v>
      </c>
      <c r="AN692" s="20" t="s">
        <v>500</v>
      </c>
      <c r="AO692" s="20" t="s">
        <v>2348</v>
      </c>
      <c r="AP692" s="20" t="s">
        <v>628</v>
      </c>
      <c r="AQ692" s="20">
        <v>10</v>
      </c>
      <c r="AR692" s="20">
        <v>23</v>
      </c>
      <c r="AS692" s="20" t="s">
        <v>592</v>
      </c>
    </row>
    <row r="693" spans="11:45" ht="15.75" customHeight="1" x14ac:dyDescent="0.2">
      <c r="K693" s="20" t="s">
        <v>646</v>
      </c>
      <c r="L693" s="20" t="s">
        <v>334</v>
      </c>
      <c r="M693" s="20" t="s">
        <v>2017</v>
      </c>
      <c r="N693" s="20" t="s">
        <v>1545</v>
      </c>
      <c r="O693" s="20" t="s">
        <v>835</v>
      </c>
      <c r="P693" s="20">
        <v>5</v>
      </c>
      <c r="Q693" s="20">
        <v>16</v>
      </c>
      <c r="R693" s="20" t="s">
        <v>592</v>
      </c>
      <c r="T693" s="20" t="s">
        <v>1144</v>
      </c>
      <c r="U693" s="20" t="s">
        <v>707</v>
      </c>
      <c r="V693" s="20" t="s">
        <v>1992</v>
      </c>
      <c r="W693" s="20" t="s">
        <v>1991</v>
      </c>
      <c r="X693" s="20" t="s">
        <v>628</v>
      </c>
      <c r="Y693" s="20">
        <v>10</v>
      </c>
      <c r="Z693" s="20">
        <v>9</v>
      </c>
      <c r="AA693" s="20" t="s">
        <v>592</v>
      </c>
      <c r="AL693" s="20" t="s">
        <v>1169</v>
      </c>
      <c r="AM693" s="20" t="s">
        <v>19</v>
      </c>
      <c r="AN693" s="20" t="s">
        <v>2449</v>
      </c>
      <c r="AO693" s="20" t="s">
        <v>2101</v>
      </c>
      <c r="AP693" s="20" t="s">
        <v>628</v>
      </c>
      <c r="AQ693" s="20">
        <v>10</v>
      </c>
      <c r="AR693" s="20">
        <v>18</v>
      </c>
      <c r="AS693" s="20" t="s">
        <v>592</v>
      </c>
    </row>
    <row r="694" spans="11:45" ht="15.75" customHeight="1" x14ac:dyDescent="0.2">
      <c r="K694" s="20" t="s">
        <v>646</v>
      </c>
      <c r="L694" s="20" t="s">
        <v>334</v>
      </c>
      <c r="M694" s="20" t="s">
        <v>1771</v>
      </c>
      <c r="N694" s="20" t="s">
        <v>1772</v>
      </c>
      <c r="O694" s="20" t="s">
        <v>835</v>
      </c>
      <c r="P694" s="20">
        <v>5</v>
      </c>
      <c r="Q694" s="20">
        <v>6</v>
      </c>
      <c r="R694" s="20" t="s">
        <v>592</v>
      </c>
      <c r="T694" s="20" t="s">
        <v>1147</v>
      </c>
      <c r="U694" s="20" t="s">
        <v>70</v>
      </c>
      <c r="V694" s="20" t="s">
        <v>2510</v>
      </c>
      <c r="W694" s="20" t="s">
        <v>2419</v>
      </c>
      <c r="X694" s="20" t="s">
        <v>835</v>
      </c>
      <c r="Y694" s="20">
        <v>5</v>
      </c>
      <c r="Z694" s="20">
        <v>5</v>
      </c>
      <c r="AA694" s="20" t="s">
        <v>592</v>
      </c>
      <c r="AL694" s="20" t="s">
        <v>1169</v>
      </c>
      <c r="AM694" s="20" t="s">
        <v>19</v>
      </c>
      <c r="AN694" s="20" t="s">
        <v>1857</v>
      </c>
      <c r="AO694" s="20" t="s">
        <v>3165</v>
      </c>
      <c r="AP694" s="20" t="s">
        <v>628</v>
      </c>
      <c r="AQ694" s="20">
        <v>10</v>
      </c>
      <c r="AR694" s="20">
        <v>15</v>
      </c>
      <c r="AS694" s="20" t="s">
        <v>592</v>
      </c>
    </row>
    <row r="695" spans="11:45" ht="15.75" customHeight="1" x14ac:dyDescent="0.2">
      <c r="K695" s="20" t="s">
        <v>646</v>
      </c>
      <c r="L695" s="20" t="s">
        <v>334</v>
      </c>
      <c r="M695" s="20" t="s">
        <v>1938</v>
      </c>
      <c r="N695" s="20" t="s">
        <v>507</v>
      </c>
      <c r="O695" s="20" t="s">
        <v>835</v>
      </c>
      <c r="P695" s="20">
        <v>5</v>
      </c>
      <c r="Q695" s="20">
        <v>5</v>
      </c>
      <c r="R695" s="20" t="s">
        <v>592</v>
      </c>
      <c r="T695" s="20" t="s">
        <v>1147</v>
      </c>
      <c r="U695" s="20" t="s">
        <v>225</v>
      </c>
      <c r="V695" s="20" t="s">
        <v>860</v>
      </c>
      <c r="W695" s="20" t="s">
        <v>1099</v>
      </c>
      <c r="X695" s="20" t="s">
        <v>835</v>
      </c>
      <c r="Y695" s="20">
        <v>5</v>
      </c>
      <c r="Z695" s="20">
        <v>5</v>
      </c>
      <c r="AA695" s="20" t="s">
        <v>592</v>
      </c>
      <c r="AL695" s="20" t="s">
        <v>1169</v>
      </c>
      <c r="AM695" s="20" t="s">
        <v>19</v>
      </c>
      <c r="AN695" s="20" t="s">
        <v>2494</v>
      </c>
      <c r="AO695" s="20" t="s">
        <v>3166</v>
      </c>
      <c r="AP695" s="20" t="s">
        <v>628</v>
      </c>
      <c r="AQ695" s="20">
        <v>10</v>
      </c>
      <c r="AR695" s="20">
        <v>21</v>
      </c>
      <c r="AS695" s="20" t="s">
        <v>592</v>
      </c>
    </row>
    <row r="696" spans="11:45" ht="15.75" customHeight="1" x14ac:dyDescent="0.2">
      <c r="K696" s="20" t="s">
        <v>1149</v>
      </c>
      <c r="L696" s="20" t="s">
        <v>1150</v>
      </c>
      <c r="M696" s="20" t="s">
        <v>1402</v>
      </c>
      <c r="N696" s="20" t="s">
        <v>478</v>
      </c>
      <c r="O696" s="20" t="s">
        <v>835</v>
      </c>
      <c r="P696" s="20">
        <v>5</v>
      </c>
      <c r="Q696" s="20">
        <v>5</v>
      </c>
      <c r="R696" s="20" t="s">
        <v>592</v>
      </c>
      <c r="T696" s="20" t="s">
        <v>1161</v>
      </c>
      <c r="U696" s="20" t="s">
        <v>1432</v>
      </c>
      <c r="V696" s="20" t="s">
        <v>510</v>
      </c>
      <c r="W696" s="20" t="s">
        <v>2212</v>
      </c>
      <c r="X696" s="20" t="s">
        <v>835</v>
      </c>
      <c r="Y696" s="20">
        <v>5</v>
      </c>
      <c r="Z696" s="20">
        <v>5</v>
      </c>
      <c r="AA696" s="20" t="s">
        <v>592</v>
      </c>
      <c r="AL696" s="20" t="s">
        <v>1169</v>
      </c>
      <c r="AM696" s="20" t="s">
        <v>19</v>
      </c>
      <c r="AN696" s="20" t="s">
        <v>2450</v>
      </c>
      <c r="AO696" s="20" t="s">
        <v>2102</v>
      </c>
      <c r="AP696" s="20" t="s">
        <v>628</v>
      </c>
      <c r="AQ696" s="20">
        <v>10</v>
      </c>
      <c r="AR696" s="20">
        <v>9</v>
      </c>
      <c r="AS696" s="20" t="s">
        <v>592</v>
      </c>
    </row>
    <row r="697" spans="11:45" ht="15.75" customHeight="1" x14ac:dyDescent="0.2">
      <c r="K697" s="20" t="s">
        <v>1149</v>
      </c>
      <c r="L697" s="20" t="s">
        <v>1150</v>
      </c>
      <c r="M697" s="20" t="s">
        <v>2018</v>
      </c>
      <c r="N697" s="20" t="s">
        <v>479</v>
      </c>
      <c r="O697" s="20" t="s">
        <v>835</v>
      </c>
      <c r="P697" s="20">
        <v>5</v>
      </c>
      <c r="Q697" s="20">
        <v>3</v>
      </c>
      <c r="R697" s="20" t="s">
        <v>593</v>
      </c>
      <c r="T697" s="20" t="s">
        <v>1141</v>
      </c>
      <c r="U697" s="20" t="s">
        <v>787</v>
      </c>
      <c r="V697" s="20" t="s">
        <v>1643</v>
      </c>
      <c r="W697" s="20" t="s">
        <v>2276</v>
      </c>
      <c r="X697" s="20" t="s">
        <v>835</v>
      </c>
      <c r="Y697" s="20">
        <v>5</v>
      </c>
      <c r="Z697" s="20">
        <v>4</v>
      </c>
      <c r="AA697" s="20" t="s">
        <v>593</v>
      </c>
      <c r="AL697" s="20" t="s">
        <v>1169</v>
      </c>
      <c r="AM697" s="20" t="s">
        <v>671</v>
      </c>
      <c r="AN697" s="20" t="s">
        <v>608</v>
      </c>
      <c r="AO697" s="20" t="s">
        <v>1122</v>
      </c>
      <c r="AP697" s="20" t="s">
        <v>628</v>
      </c>
      <c r="AQ697" s="20">
        <v>10</v>
      </c>
      <c r="AR697" s="20">
        <v>23</v>
      </c>
      <c r="AS697" s="20" t="s">
        <v>592</v>
      </c>
    </row>
    <row r="698" spans="11:45" ht="15.75" customHeight="1" x14ac:dyDescent="0.2">
      <c r="K698" s="20" t="s">
        <v>1163</v>
      </c>
      <c r="L698" s="20" t="s">
        <v>299</v>
      </c>
      <c r="M698" s="20" t="s">
        <v>2019</v>
      </c>
      <c r="N698" s="20" t="s">
        <v>362</v>
      </c>
      <c r="O698" s="20" t="s">
        <v>835</v>
      </c>
      <c r="P698" s="20">
        <v>5</v>
      </c>
      <c r="Q698" s="20">
        <v>6</v>
      </c>
      <c r="R698" s="20" t="s">
        <v>592</v>
      </c>
      <c r="T698" s="20" t="s">
        <v>1161</v>
      </c>
      <c r="U698" s="20" t="s">
        <v>1432</v>
      </c>
      <c r="V698" s="20" t="s">
        <v>511</v>
      </c>
      <c r="W698" s="20" t="s">
        <v>2313</v>
      </c>
      <c r="X698" s="20" t="s">
        <v>835</v>
      </c>
      <c r="Y698" s="20">
        <v>5</v>
      </c>
      <c r="Z698" s="20">
        <v>1</v>
      </c>
      <c r="AA698" s="20" t="s">
        <v>593</v>
      </c>
      <c r="AL698" s="20" t="s">
        <v>1169</v>
      </c>
      <c r="AM698" s="20" t="s">
        <v>671</v>
      </c>
      <c r="AN698" s="20" t="s">
        <v>608</v>
      </c>
      <c r="AO698" s="20" t="s">
        <v>3167</v>
      </c>
      <c r="AP698" s="20" t="s">
        <v>628</v>
      </c>
      <c r="AQ698" s="20">
        <v>10</v>
      </c>
      <c r="AR698" s="20">
        <v>46</v>
      </c>
      <c r="AS698" s="20" t="s">
        <v>592</v>
      </c>
    </row>
    <row r="699" spans="11:45" ht="15.75" customHeight="1" x14ac:dyDescent="0.2">
      <c r="K699" s="20" t="s">
        <v>1147</v>
      </c>
      <c r="L699" s="20" t="s">
        <v>70</v>
      </c>
      <c r="M699" s="20" t="s">
        <v>1221</v>
      </c>
      <c r="N699" s="20" t="s">
        <v>632</v>
      </c>
      <c r="O699" s="20" t="s">
        <v>835</v>
      </c>
      <c r="P699" s="20">
        <v>5</v>
      </c>
      <c r="Q699" s="20">
        <v>5</v>
      </c>
      <c r="R699" s="20" t="s">
        <v>592</v>
      </c>
      <c r="T699" s="20" t="s">
        <v>1143</v>
      </c>
      <c r="U699" s="20" t="s">
        <v>689</v>
      </c>
      <c r="V699" s="20" t="s">
        <v>402</v>
      </c>
      <c r="W699" s="20" t="s">
        <v>2420</v>
      </c>
      <c r="X699" s="20" t="s">
        <v>628</v>
      </c>
      <c r="Y699" s="20">
        <v>10</v>
      </c>
      <c r="Z699" s="20">
        <v>12</v>
      </c>
      <c r="AA699" s="20" t="s">
        <v>592</v>
      </c>
      <c r="AL699" s="20" t="s">
        <v>1169</v>
      </c>
      <c r="AM699" s="20" t="s">
        <v>671</v>
      </c>
      <c r="AN699" s="20" t="s">
        <v>470</v>
      </c>
      <c r="AO699" s="20" t="s">
        <v>3168</v>
      </c>
      <c r="AP699" s="20" t="s">
        <v>628</v>
      </c>
      <c r="AQ699" s="20">
        <v>10</v>
      </c>
      <c r="AR699" s="20">
        <v>28</v>
      </c>
      <c r="AS699" s="20" t="s">
        <v>592</v>
      </c>
    </row>
    <row r="700" spans="11:45" ht="15.75" customHeight="1" x14ac:dyDescent="0.2">
      <c r="K700" s="20" t="s">
        <v>1155</v>
      </c>
      <c r="L700" s="20" t="s">
        <v>1156</v>
      </c>
      <c r="M700" s="20" t="s">
        <v>1323</v>
      </c>
      <c r="N700" s="20" t="s">
        <v>518</v>
      </c>
      <c r="O700" s="20" t="s">
        <v>835</v>
      </c>
      <c r="P700" s="20">
        <v>5</v>
      </c>
      <c r="Q700" s="20">
        <v>4</v>
      </c>
      <c r="R700" s="20" t="s">
        <v>593</v>
      </c>
      <c r="T700" s="20" t="s">
        <v>2099</v>
      </c>
      <c r="U700" s="20" t="s">
        <v>2106</v>
      </c>
      <c r="V700" s="20" t="s">
        <v>2452</v>
      </c>
      <c r="W700" s="20" t="s">
        <v>2421</v>
      </c>
      <c r="X700" s="20" t="s">
        <v>835</v>
      </c>
      <c r="Y700" s="20">
        <v>5</v>
      </c>
      <c r="Z700" s="20">
        <v>4</v>
      </c>
      <c r="AA700" s="20" t="s">
        <v>592</v>
      </c>
      <c r="AL700" s="20" t="s">
        <v>1169</v>
      </c>
      <c r="AM700" s="20" t="s">
        <v>671</v>
      </c>
      <c r="AN700" s="20" t="s">
        <v>471</v>
      </c>
      <c r="AO700" s="20" t="s">
        <v>2663</v>
      </c>
      <c r="AP700" s="20" t="s">
        <v>628</v>
      </c>
      <c r="AQ700" s="20">
        <v>10</v>
      </c>
      <c r="AR700" s="20">
        <v>5</v>
      </c>
      <c r="AS700" s="20" t="s">
        <v>592</v>
      </c>
    </row>
    <row r="701" spans="11:45" ht="15.75" customHeight="1" x14ac:dyDescent="0.2">
      <c r="K701" s="20" t="s">
        <v>1155</v>
      </c>
      <c r="L701" s="20" t="s">
        <v>286</v>
      </c>
      <c r="M701" s="20" t="s">
        <v>1717</v>
      </c>
      <c r="N701" s="20" t="s">
        <v>1512</v>
      </c>
      <c r="O701" s="20" t="s">
        <v>628</v>
      </c>
      <c r="P701" s="20">
        <v>10</v>
      </c>
      <c r="Q701" s="20">
        <v>7</v>
      </c>
      <c r="R701" s="20" t="s">
        <v>592</v>
      </c>
      <c r="T701" s="20" t="s">
        <v>2099</v>
      </c>
      <c r="U701" s="20" t="s">
        <v>2106</v>
      </c>
      <c r="V701" s="20" t="s">
        <v>2452</v>
      </c>
      <c r="W701" s="20" t="s">
        <v>2422</v>
      </c>
      <c r="X701" s="20" t="s">
        <v>835</v>
      </c>
      <c r="Y701" s="20">
        <v>5</v>
      </c>
      <c r="Z701" s="20">
        <v>1</v>
      </c>
      <c r="AA701" s="20" t="s">
        <v>592</v>
      </c>
      <c r="AL701" s="20" t="s">
        <v>1169</v>
      </c>
      <c r="AM701" s="20" t="s">
        <v>671</v>
      </c>
      <c r="AN701" s="20" t="s">
        <v>471</v>
      </c>
      <c r="AO701" s="20" t="s">
        <v>3169</v>
      </c>
      <c r="AP701" s="20" t="s">
        <v>628</v>
      </c>
      <c r="AQ701" s="20">
        <v>10</v>
      </c>
      <c r="AR701" s="20">
        <v>8</v>
      </c>
      <c r="AS701" s="20" t="s">
        <v>592</v>
      </c>
    </row>
    <row r="702" spans="11:45" ht="15.75" customHeight="1" x14ac:dyDescent="0.2">
      <c r="K702" s="20" t="s">
        <v>1155</v>
      </c>
      <c r="L702" s="20" t="s">
        <v>286</v>
      </c>
      <c r="M702" s="20" t="s">
        <v>1718</v>
      </c>
      <c r="N702" s="20" t="s">
        <v>1512</v>
      </c>
      <c r="O702" s="20" t="s">
        <v>628</v>
      </c>
      <c r="P702" s="20">
        <v>10</v>
      </c>
      <c r="Q702" s="20">
        <v>1</v>
      </c>
      <c r="R702" s="20" t="s">
        <v>592</v>
      </c>
      <c r="T702" s="20" t="s">
        <v>1155</v>
      </c>
      <c r="U702" s="20" t="s">
        <v>1156</v>
      </c>
      <c r="V702" s="20" t="s">
        <v>1538</v>
      </c>
      <c r="W702" s="20" t="s">
        <v>1537</v>
      </c>
      <c r="X702" s="20" t="s">
        <v>835</v>
      </c>
      <c r="Y702" s="20">
        <v>5</v>
      </c>
      <c r="Z702" s="20">
        <v>5</v>
      </c>
      <c r="AA702" s="20" t="s">
        <v>592</v>
      </c>
      <c r="AL702" s="20" t="s">
        <v>1169</v>
      </c>
      <c r="AM702" s="20" t="s">
        <v>671</v>
      </c>
      <c r="AN702" s="20" t="s">
        <v>471</v>
      </c>
      <c r="AO702" s="20" t="s">
        <v>1329</v>
      </c>
      <c r="AP702" s="20" t="s">
        <v>628</v>
      </c>
      <c r="AQ702" s="20">
        <v>10</v>
      </c>
      <c r="AR702" s="20">
        <v>5</v>
      </c>
      <c r="AS702" s="20" t="s">
        <v>592</v>
      </c>
    </row>
    <row r="703" spans="11:45" ht="15.75" customHeight="1" x14ac:dyDescent="0.2">
      <c r="K703" s="20" t="s">
        <v>640</v>
      </c>
      <c r="L703" s="20" t="s">
        <v>191</v>
      </c>
      <c r="M703" s="20" t="s">
        <v>2020</v>
      </c>
      <c r="N703" s="20" t="s">
        <v>1842</v>
      </c>
      <c r="O703" s="20" t="s">
        <v>835</v>
      </c>
      <c r="P703" s="20">
        <v>5</v>
      </c>
      <c r="Q703" s="20">
        <v>6</v>
      </c>
      <c r="R703" s="20" t="s">
        <v>592</v>
      </c>
      <c r="T703" s="20" t="s">
        <v>1155</v>
      </c>
      <c r="U703" s="20" t="s">
        <v>1156</v>
      </c>
      <c r="V703" s="20" t="s">
        <v>1538</v>
      </c>
      <c r="W703" s="20" t="s">
        <v>2423</v>
      </c>
      <c r="X703" s="20" t="s">
        <v>835</v>
      </c>
      <c r="Y703" s="20">
        <v>5</v>
      </c>
      <c r="Z703" s="20">
        <v>1</v>
      </c>
      <c r="AA703" s="20" t="s">
        <v>592</v>
      </c>
      <c r="AL703" s="20" t="s">
        <v>1169</v>
      </c>
      <c r="AM703" s="20" t="s">
        <v>671</v>
      </c>
      <c r="AN703" s="20" t="s">
        <v>710</v>
      </c>
      <c r="AO703" s="20" t="s">
        <v>3170</v>
      </c>
      <c r="AP703" s="20" t="s">
        <v>628</v>
      </c>
      <c r="AQ703" s="20">
        <v>10</v>
      </c>
      <c r="AR703" s="20">
        <v>18</v>
      </c>
      <c r="AS703" s="20" t="s">
        <v>592</v>
      </c>
    </row>
    <row r="704" spans="11:45" ht="15.75" customHeight="1" x14ac:dyDescent="0.2">
      <c r="K704" s="20" t="s">
        <v>1144</v>
      </c>
      <c r="L704" s="20" t="s">
        <v>23</v>
      </c>
      <c r="M704" s="20" t="s">
        <v>1369</v>
      </c>
      <c r="N704" s="20" t="s">
        <v>543</v>
      </c>
      <c r="O704" s="20" t="s">
        <v>835</v>
      </c>
      <c r="P704" s="20">
        <v>5</v>
      </c>
      <c r="Q704" s="20">
        <v>5</v>
      </c>
      <c r="R704" s="20" t="s">
        <v>592</v>
      </c>
      <c r="T704" s="20" t="s">
        <v>1154</v>
      </c>
      <c r="U704" s="20" t="s">
        <v>335</v>
      </c>
      <c r="V704" s="20" t="s">
        <v>566</v>
      </c>
      <c r="W704" s="20" t="s">
        <v>985</v>
      </c>
      <c r="X704" s="20" t="s">
        <v>835</v>
      </c>
      <c r="Y704" s="20">
        <v>5</v>
      </c>
      <c r="Z704" s="20">
        <v>8</v>
      </c>
      <c r="AA704" s="20" t="s">
        <v>592</v>
      </c>
      <c r="AL704" s="20" t="s">
        <v>1169</v>
      </c>
      <c r="AM704" s="20" t="s">
        <v>671</v>
      </c>
      <c r="AN704" s="20" t="s">
        <v>1111</v>
      </c>
      <c r="AO704" s="20" t="s">
        <v>3171</v>
      </c>
      <c r="AP704" s="20" t="s">
        <v>628</v>
      </c>
      <c r="AQ704" s="20">
        <v>10</v>
      </c>
      <c r="AR704" s="20">
        <v>8</v>
      </c>
      <c r="AS704" s="20" t="s">
        <v>592</v>
      </c>
    </row>
    <row r="705" spans="11:45" ht="15.75" customHeight="1" x14ac:dyDescent="0.2">
      <c r="K705" s="20" t="s">
        <v>1144</v>
      </c>
      <c r="L705" s="20" t="s">
        <v>23</v>
      </c>
      <c r="M705" s="20" t="s">
        <v>2021</v>
      </c>
      <c r="N705" s="20" t="s">
        <v>2022</v>
      </c>
      <c r="O705" s="20" t="s">
        <v>628</v>
      </c>
      <c r="P705" s="20">
        <v>10</v>
      </c>
      <c r="Q705" s="20">
        <v>8</v>
      </c>
      <c r="R705" s="20" t="s">
        <v>592</v>
      </c>
      <c r="T705" s="20" t="s">
        <v>1154</v>
      </c>
      <c r="U705" s="20" t="s">
        <v>335</v>
      </c>
      <c r="V705" s="20" t="s">
        <v>474</v>
      </c>
      <c r="W705" s="20" t="s">
        <v>1455</v>
      </c>
      <c r="X705" s="20" t="s">
        <v>835</v>
      </c>
      <c r="Y705" s="20">
        <v>5</v>
      </c>
      <c r="Z705" s="20">
        <v>8</v>
      </c>
      <c r="AA705" s="20" t="s">
        <v>592</v>
      </c>
      <c r="AL705" s="20" t="s">
        <v>1169</v>
      </c>
      <c r="AM705" s="20" t="s">
        <v>671</v>
      </c>
      <c r="AN705" s="20" t="s">
        <v>1111</v>
      </c>
      <c r="AO705" s="20" t="s">
        <v>3172</v>
      </c>
      <c r="AP705" s="20" t="s">
        <v>628</v>
      </c>
      <c r="AQ705" s="20">
        <v>10</v>
      </c>
      <c r="AR705" s="20">
        <v>5</v>
      </c>
      <c r="AS705" s="20" t="s">
        <v>592</v>
      </c>
    </row>
    <row r="706" spans="11:45" ht="15.75" customHeight="1" x14ac:dyDescent="0.2">
      <c r="K706" s="20" t="s">
        <v>1144</v>
      </c>
      <c r="L706" s="20" t="s">
        <v>249</v>
      </c>
      <c r="M706" s="20" t="s">
        <v>1918</v>
      </c>
      <c r="N706" s="20" t="s">
        <v>622</v>
      </c>
      <c r="O706" s="20" t="s">
        <v>835</v>
      </c>
      <c r="P706" s="20">
        <v>5</v>
      </c>
      <c r="Q706" s="20">
        <v>4</v>
      </c>
      <c r="R706" s="20" t="s">
        <v>592</v>
      </c>
      <c r="T706" s="20" t="s">
        <v>1154</v>
      </c>
      <c r="U706" s="20" t="s">
        <v>335</v>
      </c>
      <c r="V706" s="20" t="s">
        <v>1501</v>
      </c>
      <c r="W706" s="20" t="s">
        <v>1500</v>
      </c>
      <c r="X706" s="20" t="s">
        <v>835</v>
      </c>
      <c r="Y706" s="20">
        <v>5</v>
      </c>
      <c r="Z706" s="20">
        <v>6</v>
      </c>
      <c r="AA706" s="20" t="s">
        <v>592</v>
      </c>
      <c r="AL706" s="20" t="s">
        <v>1169</v>
      </c>
      <c r="AM706" s="20" t="s">
        <v>671</v>
      </c>
      <c r="AN706" s="20" t="s">
        <v>2556</v>
      </c>
      <c r="AO706" s="20" t="s">
        <v>2705</v>
      </c>
      <c r="AP706" s="20" t="s">
        <v>628</v>
      </c>
      <c r="AQ706" s="20">
        <v>10</v>
      </c>
      <c r="AR706" s="20">
        <v>9</v>
      </c>
      <c r="AS706" s="20" t="s">
        <v>592</v>
      </c>
    </row>
    <row r="707" spans="11:45" ht="15.75" customHeight="1" x14ac:dyDescent="0.2">
      <c r="K707" s="20" t="s">
        <v>1144</v>
      </c>
      <c r="L707" s="20" t="s">
        <v>249</v>
      </c>
      <c r="M707" s="20" t="s">
        <v>2023</v>
      </c>
      <c r="N707" s="20" t="s">
        <v>622</v>
      </c>
      <c r="O707" s="20" t="s">
        <v>835</v>
      </c>
      <c r="P707" s="20">
        <v>5</v>
      </c>
      <c r="Q707" s="20">
        <v>1</v>
      </c>
      <c r="R707" s="20" t="s">
        <v>592</v>
      </c>
      <c r="T707" s="20" t="s">
        <v>1154</v>
      </c>
      <c r="U707" s="20" t="s">
        <v>335</v>
      </c>
      <c r="V707" s="20" t="s">
        <v>548</v>
      </c>
      <c r="W707" s="20" t="s">
        <v>1397</v>
      </c>
      <c r="X707" s="20" t="s">
        <v>835</v>
      </c>
      <c r="Y707" s="20">
        <v>5</v>
      </c>
      <c r="Z707" s="20">
        <v>1</v>
      </c>
      <c r="AA707" s="20" t="s">
        <v>593</v>
      </c>
      <c r="AL707" s="20" t="s">
        <v>1169</v>
      </c>
      <c r="AM707" s="20" t="s">
        <v>671</v>
      </c>
      <c r="AN707" s="20" t="s">
        <v>2499</v>
      </c>
      <c r="AO707" s="20" t="s">
        <v>2328</v>
      </c>
      <c r="AP707" s="20" t="s">
        <v>628</v>
      </c>
      <c r="AQ707" s="20">
        <v>10</v>
      </c>
      <c r="AR707" s="20">
        <v>10</v>
      </c>
      <c r="AS707" s="20" t="s">
        <v>592</v>
      </c>
    </row>
    <row r="708" spans="11:45" ht="15.75" customHeight="1" x14ac:dyDescent="0.2">
      <c r="K708" s="20" t="s">
        <v>1163</v>
      </c>
      <c r="L708" s="20" t="s">
        <v>837</v>
      </c>
      <c r="M708" s="20" t="s">
        <v>2024</v>
      </c>
      <c r="N708" s="20" t="s">
        <v>555</v>
      </c>
      <c r="O708" s="20" t="s">
        <v>835</v>
      </c>
      <c r="P708" s="20">
        <v>5</v>
      </c>
      <c r="Q708" s="20">
        <v>3</v>
      </c>
      <c r="R708" s="20" t="s">
        <v>593</v>
      </c>
      <c r="T708" s="20" t="s">
        <v>1154</v>
      </c>
      <c r="U708" s="20" t="s">
        <v>335</v>
      </c>
      <c r="V708" s="20" t="s">
        <v>575</v>
      </c>
      <c r="W708" s="20" t="s">
        <v>1029</v>
      </c>
      <c r="X708" s="20" t="s">
        <v>628</v>
      </c>
      <c r="Y708" s="20">
        <v>10</v>
      </c>
      <c r="Z708" s="20">
        <v>4</v>
      </c>
      <c r="AA708" s="20" t="s">
        <v>593</v>
      </c>
      <c r="AL708" s="20" t="s">
        <v>1169</v>
      </c>
      <c r="AM708" s="20" t="s">
        <v>216</v>
      </c>
      <c r="AN708" s="20" t="s">
        <v>708</v>
      </c>
      <c r="AO708" s="20" t="s">
        <v>1118</v>
      </c>
      <c r="AP708" s="20" t="s">
        <v>628</v>
      </c>
      <c r="AQ708" s="20">
        <v>10</v>
      </c>
      <c r="AR708" s="20">
        <v>2</v>
      </c>
      <c r="AS708" s="20" t="s">
        <v>593</v>
      </c>
    </row>
    <row r="709" spans="11:45" ht="15.75" customHeight="1" x14ac:dyDescent="0.2">
      <c r="K709" s="20" t="s">
        <v>646</v>
      </c>
      <c r="L709" s="20" t="s">
        <v>209</v>
      </c>
      <c r="M709" s="20" t="s">
        <v>2025</v>
      </c>
      <c r="N709" s="20" t="s">
        <v>411</v>
      </c>
      <c r="O709" s="20" t="s">
        <v>835</v>
      </c>
      <c r="P709" s="20">
        <v>5</v>
      </c>
      <c r="Q709" s="20">
        <v>7</v>
      </c>
      <c r="R709" s="20" t="s">
        <v>592</v>
      </c>
      <c r="T709" s="20" t="s">
        <v>1154</v>
      </c>
      <c r="U709" s="20" t="s">
        <v>335</v>
      </c>
      <c r="V709" s="20" t="s">
        <v>623</v>
      </c>
      <c r="W709" s="20" t="s">
        <v>2424</v>
      </c>
      <c r="X709" s="20" t="s">
        <v>835</v>
      </c>
      <c r="Y709" s="20">
        <v>5</v>
      </c>
      <c r="Z709" s="20">
        <v>5</v>
      </c>
      <c r="AA709" s="20" t="s">
        <v>592</v>
      </c>
      <c r="AL709" s="20" t="s">
        <v>1169</v>
      </c>
      <c r="AM709" s="20" t="s">
        <v>216</v>
      </c>
      <c r="AN709" s="20" t="s">
        <v>1946</v>
      </c>
      <c r="AO709" s="20" t="s">
        <v>2115</v>
      </c>
      <c r="AP709" s="20" t="s">
        <v>628</v>
      </c>
      <c r="AQ709" s="20">
        <v>10</v>
      </c>
      <c r="AR709" s="20">
        <v>3</v>
      </c>
      <c r="AS709" s="20" t="s">
        <v>593</v>
      </c>
    </row>
    <row r="710" spans="11:45" ht="15.75" customHeight="1" x14ac:dyDescent="0.2">
      <c r="K710" s="20" t="s">
        <v>1144</v>
      </c>
      <c r="L710" s="20" t="s">
        <v>313</v>
      </c>
      <c r="M710" s="20" t="s">
        <v>998</v>
      </c>
      <c r="N710" s="20" t="s">
        <v>528</v>
      </c>
      <c r="O710" s="20" t="s">
        <v>628</v>
      </c>
      <c r="P710" s="20">
        <v>10</v>
      </c>
      <c r="Q710" s="20">
        <v>11</v>
      </c>
      <c r="R710" s="20" t="s">
        <v>592</v>
      </c>
      <c r="T710" s="20" t="s">
        <v>1154</v>
      </c>
      <c r="U710" s="20" t="s">
        <v>307</v>
      </c>
      <c r="V710" s="20" t="s">
        <v>567</v>
      </c>
      <c r="W710" s="20" t="s">
        <v>2168</v>
      </c>
      <c r="X710" s="20" t="s">
        <v>835</v>
      </c>
      <c r="Y710" s="20">
        <v>5</v>
      </c>
      <c r="Z710" s="20">
        <v>2</v>
      </c>
      <c r="AA710" s="20" t="s">
        <v>593</v>
      </c>
      <c r="AL710" s="20" t="s">
        <v>1169</v>
      </c>
      <c r="AM710" s="20" t="s">
        <v>216</v>
      </c>
      <c r="AN710" s="20" t="s">
        <v>1899</v>
      </c>
      <c r="AO710" s="20" t="s">
        <v>1898</v>
      </c>
      <c r="AP710" s="20" t="s">
        <v>628</v>
      </c>
      <c r="AQ710" s="20">
        <v>10</v>
      </c>
      <c r="AR710" s="20">
        <v>9</v>
      </c>
      <c r="AS710" s="20" t="s">
        <v>592</v>
      </c>
    </row>
    <row r="711" spans="11:45" ht="15.75" customHeight="1" x14ac:dyDescent="0.2">
      <c r="K711" s="20" t="s">
        <v>1144</v>
      </c>
      <c r="L711" s="20" t="s">
        <v>313</v>
      </c>
      <c r="M711" s="20" t="s">
        <v>2026</v>
      </c>
      <c r="N711" s="20" t="s">
        <v>529</v>
      </c>
      <c r="O711" s="20" t="s">
        <v>835</v>
      </c>
      <c r="P711" s="20">
        <v>5</v>
      </c>
      <c r="Q711" s="20">
        <v>8</v>
      </c>
      <c r="R711" s="20" t="s">
        <v>592</v>
      </c>
      <c r="T711" s="20" t="s">
        <v>1154</v>
      </c>
      <c r="U711" s="20" t="s">
        <v>335</v>
      </c>
      <c r="V711" s="20" t="s">
        <v>550</v>
      </c>
      <c r="W711" s="20" t="s">
        <v>720</v>
      </c>
      <c r="X711" s="20" t="s">
        <v>835</v>
      </c>
      <c r="Y711" s="20">
        <v>5</v>
      </c>
      <c r="Z711" s="20">
        <v>7</v>
      </c>
      <c r="AA711" s="20" t="s">
        <v>592</v>
      </c>
      <c r="AL711" s="20" t="s">
        <v>1169</v>
      </c>
      <c r="AM711" s="20" t="s">
        <v>2091</v>
      </c>
      <c r="AN711" s="20" t="s">
        <v>875</v>
      </c>
      <c r="AO711" s="20" t="s">
        <v>2619</v>
      </c>
      <c r="AP711" s="20" t="s">
        <v>628</v>
      </c>
      <c r="AQ711" s="20">
        <v>10</v>
      </c>
      <c r="AR711" s="20">
        <v>10</v>
      </c>
      <c r="AS711" s="20" t="s">
        <v>592</v>
      </c>
    </row>
    <row r="712" spans="11:45" ht="15.75" customHeight="1" x14ac:dyDescent="0.2">
      <c r="K712" s="20" t="s">
        <v>1149</v>
      </c>
      <c r="L712" s="20" t="s">
        <v>1150</v>
      </c>
      <c r="M712" s="20" t="s">
        <v>1403</v>
      </c>
      <c r="N712" s="20" t="s">
        <v>476</v>
      </c>
      <c r="O712" s="20" t="s">
        <v>835</v>
      </c>
      <c r="P712" s="20">
        <v>5</v>
      </c>
      <c r="Q712" s="20">
        <v>4</v>
      </c>
      <c r="R712" s="20" t="s">
        <v>593</v>
      </c>
      <c r="T712" s="20" t="s">
        <v>1141</v>
      </c>
      <c r="U712" s="20" t="s">
        <v>218</v>
      </c>
      <c r="V712" s="20" t="s">
        <v>494</v>
      </c>
      <c r="W712" s="20" t="s">
        <v>2425</v>
      </c>
      <c r="X712" s="20" t="s">
        <v>835</v>
      </c>
      <c r="Y712" s="20">
        <v>5</v>
      </c>
      <c r="Z712" s="20">
        <v>5</v>
      </c>
      <c r="AA712" s="20" t="s">
        <v>592</v>
      </c>
      <c r="AL712" s="20" t="s">
        <v>1169</v>
      </c>
      <c r="AM712" s="20" t="s">
        <v>2091</v>
      </c>
      <c r="AN712" s="20" t="s">
        <v>2496</v>
      </c>
      <c r="AO712" s="20" t="s">
        <v>3173</v>
      </c>
      <c r="AP712" s="20" t="s">
        <v>628</v>
      </c>
      <c r="AQ712" s="20">
        <v>10</v>
      </c>
      <c r="AR712" s="20">
        <v>8</v>
      </c>
      <c r="AS712" s="20" t="s">
        <v>592</v>
      </c>
    </row>
    <row r="713" spans="11:45" ht="15.75" customHeight="1" x14ac:dyDescent="0.2">
      <c r="K713" s="20" t="s">
        <v>1149</v>
      </c>
      <c r="L713" s="20" t="s">
        <v>301</v>
      </c>
      <c r="M713" s="20" t="s">
        <v>2027</v>
      </c>
      <c r="N713" s="20" t="s">
        <v>501</v>
      </c>
      <c r="O713" s="20" t="s">
        <v>628</v>
      </c>
      <c r="P713" s="20">
        <v>10</v>
      </c>
      <c r="Q713" s="20">
        <v>10</v>
      </c>
      <c r="R713" s="20" t="s">
        <v>592</v>
      </c>
      <c r="T713" s="20" t="s">
        <v>646</v>
      </c>
      <c r="U713" s="20" t="s">
        <v>303</v>
      </c>
      <c r="V713" s="20" t="s">
        <v>426</v>
      </c>
      <c r="W713" s="20" t="s">
        <v>2137</v>
      </c>
      <c r="X713" s="20" t="s">
        <v>835</v>
      </c>
      <c r="Y713" s="20">
        <v>5</v>
      </c>
      <c r="Z713" s="20">
        <v>5</v>
      </c>
      <c r="AA713" s="20" t="s">
        <v>592</v>
      </c>
      <c r="AL713" s="20" t="s">
        <v>1169</v>
      </c>
      <c r="AM713" s="20" t="s">
        <v>2091</v>
      </c>
      <c r="AN713" s="20" t="s">
        <v>760</v>
      </c>
      <c r="AO713" s="20" t="s">
        <v>2637</v>
      </c>
      <c r="AP713" s="20" t="s">
        <v>628</v>
      </c>
      <c r="AQ713" s="20">
        <v>10</v>
      </c>
      <c r="AR713" s="20">
        <v>8</v>
      </c>
      <c r="AS713" s="20" t="s">
        <v>592</v>
      </c>
    </row>
    <row r="714" spans="11:45" ht="15.75" customHeight="1" x14ac:dyDescent="0.2">
      <c r="K714" s="20" t="s">
        <v>1149</v>
      </c>
      <c r="L714" s="20" t="s">
        <v>301</v>
      </c>
      <c r="M714" s="20" t="s">
        <v>2028</v>
      </c>
      <c r="N714" s="20" t="s">
        <v>503</v>
      </c>
      <c r="O714" s="20" t="s">
        <v>835</v>
      </c>
      <c r="P714" s="20">
        <v>5</v>
      </c>
      <c r="Q714" s="20">
        <v>1</v>
      </c>
      <c r="R714" s="20" t="s">
        <v>593</v>
      </c>
      <c r="T714" s="20" t="s">
        <v>646</v>
      </c>
      <c r="U714" s="20" t="s">
        <v>334</v>
      </c>
      <c r="V714" s="20" t="s">
        <v>507</v>
      </c>
      <c r="W714" s="20" t="s">
        <v>1938</v>
      </c>
      <c r="X714" s="20" t="s">
        <v>835</v>
      </c>
      <c r="Y714" s="20">
        <v>5</v>
      </c>
      <c r="Z714" s="20">
        <v>6</v>
      </c>
      <c r="AA714" s="20" t="s">
        <v>592</v>
      </c>
      <c r="AL714" s="20" t="s">
        <v>1169</v>
      </c>
      <c r="AM714" s="20" t="s">
        <v>216</v>
      </c>
      <c r="AN714" s="20" t="s">
        <v>2858</v>
      </c>
      <c r="AO714" s="20" t="s">
        <v>3174</v>
      </c>
      <c r="AP714" s="20" t="s">
        <v>628</v>
      </c>
      <c r="AQ714" s="20">
        <v>10</v>
      </c>
      <c r="AR714" s="20">
        <v>8</v>
      </c>
      <c r="AS714" s="20" t="s">
        <v>592</v>
      </c>
    </row>
    <row r="715" spans="11:45" ht="15.75" customHeight="1" x14ac:dyDescent="0.2">
      <c r="K715" s="20" t="s">
        <v>1149</v>
      </c>
      <c r="L715" s="20" t="s">
        <v>301</v>
      </c>
      <c r="M715" s="20" t="s">
        <v>1460</v>
      </c>
      <c r="N715" s="20" t="s">
        <v>1461</v>
      </c>
      <c r="O715" s="20" t="s">
        <v>835</v>
      </c>
      <c r="P715" s="20">
        <v>5</v>
      </c>
      <c r="Q715" s="20">
        <v>2</v>
      </c>
      <c r="R715" s="20" t="s">
        <v>593</v>
      </c>
      <c r="T715" s="20" t="s">
        <v>1149</v>
      </c>
      <c r="U715" s="20" t="s">
        <v>806</v>
      </c>
      <c r="V715" s="20" t="s">
        <v>1504</v>
      </c>
      <c r="W715" s="20" t="s">
        <v>1503</v>
      </c>
      <c r="X715" s="20" t="s">
        <v>835</v>
      </c>
      <c r="Y715" s="20">
        <v>5</v>
      </c>
      <c r="Z715" s="20">
        <v>5</v>
      </c>
      <c r="AA715" s="20" t="s">
        <v>592</v>
      </c>
      <c r="AL715" s="20" t="s">
        <v>1169</v>
      </c>
      <c r="AM715" s="20" t="s">
        <v>216</v>
      </c>
      <c r="AN715" s="20" t="s">
        <v>1852</v>
      </c>
      <c r="AO715" s="20" t="s">
        <v>1851</v>
      </c>
      <c r="AP715" s="20" t="s">
        <v>628</v>
      </c>
      <c r="AQ715" s="20">
        <v>10</v>
      </c>
      <c r="AR715" s="20">
        <v>9</v>
      </c>
      <c r="AS715" s="20" t="s">
        <v>592</v>
      </c>
    </row>
    <row r="716" spans="11:45" ht="15.75" customHeight="1" x14ac:dyDescent="0.2">
      <c r="K716" s="20" t="s">
        <v>1149</v>
      </c>
      <c r="L716" s="20" t="s">
        <v>301</v>
      </c>
      <c r="M716" s="20" t="s">
        <v>1632</v>
      </c>
      <c r="N716" s="20" t="s">
        <v>1633</v>
      </c>
      <c r="O716" s="20" t="s">
        <v>835</v>
      </c>
      <c r="P716" s="20">
        <v>5</v>
      </c>
      <c r="Q716" s="20">
        <v>5</v>
      </c>
      <c r="R716" s="20" t="s">
        <v>592</v>
      </c>
      <c r="T716" s="20" t="s">
        <v>1141</v>
      </c>
      <c r="U716" s="20" t="s">
        <v>218</v>
      </c>
      <c r="V716" s="20" t="s">
        <v>1688</v>
      </c>
      <c r="W716" s="20" t="s">
        <v>2426</v>
      </c>
      <c r="X716" s="20" t="s">
        <v>835</v>
      </c>
      <c r="Y716" s="20">
        <v>5</v>
      </c>
      <c r="Z716" s="20">
        <v>1</v>
      </c>
      <c r="AA716" s="20" t="s">
        <v>593</v>
      </c>
      <c r="AL716" s="20" t="s">
        <v>1169</v>
      </c>
      <c r="AM716" s="20" t="s">
        <v>216</v>
      </c>
      <c r="AN716" s="20" t="s">
        <v>1854</v>
      </c>
      <c r="AO716" s="20" t="s">
        <v>3175</v>
      </c>
      <c r="AP716" s="20" t="s">
        <v>628</v>
      </c>
      <c r="AQ716" s="20">
        <v>10</v>
      </c>
      <c r="AR716" s="20">
        <v>9</v>
      </c>
      <c r="AS716" s="20" t="s">
        <v>592</v>
      </c>
    </row>
    <row r="717" spans="11:45" ht="15.75" customHeight="1" x14ac:dyDescent="0.2">
      <c r="K717" s="20" t="s">
        <v>1149</v>
      </c>
      <c r="L717" s="20" t="s">
        <v>301</v>
      </c>
      <c r="M717" s="20" t="s">
        <v>2029</v>
      </c>
      <c r="N717" s="20" t="s">
        <v>2030</v>
      </c>
      <c r="O717" s="20" t="s">
        <v>835</v>
      </c>
      <c r="P717" s="20">
        <v>5</v>
      </c>
      <c r="Q717" s="20">
        <v>6</v>
      </c>
      <c r="R717" s="20" t="s">
        <v>592</v>
      </c>
      <c r="T717" s="20" t="s">
        <v>1144</v>
      </c>
      <c r="U717" s="20" t="s">
        <v>313</v>
      </c>
      <c r="V717" s="20" t="s">
        <v>619</v>
      </c>
      <c r="W717" s="20" t="s">
        <v>739</v>
      </c>
      <c r="X717" s="20" t="s">
        <v>835</v>
      </c>
      <c r="Y717" s="20">
        <v>5</v>
      </c>
      <c r="Z717" s="20">
        <v>6</v>
      </c>
      <c r="AA717" s="20" t="s">
        <v>592</v>
      </c>
      <c r="AL717" s="20" t="s">
        <v>1169</v>
      </c>
      <c r="AM717" s="20" t="s">
        <v>216</v>
      </c>
      <c r="AN717" s="20" t="s">
        <v>680</v>
      </c>
      <c r="AO717" s="20" t="s">
        <v>738</v>
      </c>
      <c r="AP717" s="20" t="s">
        <v>628</v>
      </c>
      <c r="AQ717" s="20">
        <v>10</v>
      </c>
      <c r="AR717" s="20">
        <v>4</v>
      </c>
      <c r="AS717" s="20" t="s">
        <v>593</v>
      </c>
    </row>
    <row r="718" spans="11:45" ht="15.75" customHeight="1" x14ac:dyDescent="0.2">
      <c r="K718" s="20" t="s">
        <v>1149</v>
      </c>
      <c r="L718" s="20" t="s">
        <v>301</v>
      </c>
      <c r="M718" s="20" t="s">
        <v>2031</v>
      </c>
      <c r="N718" s="20" t="s">
        <v>2032</v>
      </c>
      <c r="O718" s="20" t="s">
        <v>835</v>
      </c>
      <c r="P718" s="20">
        <v>5</v>
      </c>
      <c r="Q718" s="20">
        <v>5</v>
      </c>
      <c r="R718" s="20" t="s">
        <v>592</v>
      </c>
      <c r="T718" s="20" t="s">
        <v>1154</v>
      </c>
      <c r="U718" s="20" t="s">
        <v>307</v>
      </c>
      <c r="V718" s="20" t="s">
        <v>1574</v>
      </c>
      <c r="W718" s="20" t="s">
        <v>1573</v>
      </c>
      <c r="X718" s="20" t="s">
        <v>835</v>
      </c>
      <c r="Y718" s="20">
        <v>5</v>
      </c>
      <c r="Z718" s="20">
        <v>5</v>
      </c>
      <c r="AA718" s="20" t="s">
        <v>592</v>
      </c>
      <c r="AL718" s="20" t="s">
        <v>1169</v>
      </c>
      <c r="AM718" s="20" t="s">
        <v>2091</v>
      </c>
      <c r="AN718" s="20" t="s">
        <v>453</v>
      </c>
      <c r="AO718" s="20" t="s">
        <v>3176</v>
      </c>
      <c r="AP718" s="20" t="s">
        <v>628</v>
      </c>
      <c r="AQ718" s="20">
        <v>10</v>
      </c>
      <c r="AR718" s="20">
        <v>1</v>
      </c>
      <c r="AS718" s="20" t="s">
        <v>593</v>
      </c>
    </row>
    <row r="719" spans="11:45" ht="15.75" customHeight="1" x14ac:dyDescent="0.2">
      <c r="K719" s="20" t="s">
        <v>1161</v>
      </c>
      <c r="L719" s="20" t="s">
        <v>765</v>
      </c>
      <c r="M719" s="20" t="s">
        <v>1245</v>
      </c>
      <c r="N719" s="20" t="s">
        <v>537</v>
      </c>
      <c r="O719" s="20" t="s">
        <v>835</v>
      </c>
      <c r="P719" s="20">
        <v>5</v>
      </c>
      <c r="Q719" s="20">
        <v>2</v>
      </c>
      <c r="R719" s="20" t="s">
        <v>593</v>
      </c>
      <c r="T719" s="20" t="s">
        <v>1144</v>
      </c>
      <c r="U719" s="20" t="s">
        <v>804</v>
      </c>
      <c r="V719" s="20" t="s">
        <v>1604</v>
      </c>
      <c r="W719" s="20" t="s">
        <v>1603</v>
      </c>
      <c r="X719" s="20" t="s">
        <v>835</v>
      </c>
      <c r="Y719" s="20">
        <v>5</v>
      </c>
      <c r="Z719" s="20">
        <v>6</v>
      </c>
      <c r="AA719" s="20" t="s">
        <v>592</v>
      </c>
      <c r="AL719" s="20" t="s">
        <v>1169</v>
      </c>
      <c r="AM719" s="20" t="s">
        <v>701</v>
      </c>
      <c r="AN719" s="20" t="s">
        <v>2067</v>
      </c>
      <c r="AO719" s="20" t="s">
        <v>3163</v>
      </c>
      <c r="AP719" s="20" t="s">
        <v>628</v>
      </c>
      <c r="AQ719" s="20">
        <v>10</v>
      </c>
      <c r="AR719" s="20">
        <v>10</v>
      </c>
      <c r="AS719" s="20" t="s">
        <v>592</v>
      </c>
    </row>
    <row r="720" spans="11:45" ht="15.75" customHeight="1" x14ac:dyDescent="0.2">
      <c r="K720" s="20" t="s">
        <v>1161</v>
      </c>
      <c r="L720" s="20" t="s">
        <v>765</v>
      </c>
      <c r="M720" s="20" t="s">
        <v>991</v>
      </c>
      <c r="N720" s="20" t="s">
        <v>463</v>
      </c>
      <c r="O720" s="20" t="s">
        <v>835</v>
      </c>
      <c r="P720" s="20">
        <v>5</v>
      </c>
      <c r="Q720" s="20">
        <v>1</v>
      </c>
      <c r="R720" s="20" t="s">
        <v>593</v>
      </c>
      <c r="T720" s="20" t="s">
        <v>640</v>
      </c>
      <c r="U720" s="20" t="s">
        <v>191</v>
      </c>
      <c r="V720" s="20" t="s">
        <v>1528</v>
      </c>
      <c r="W720" s="20" t="s">
        <v>2427</v>
      </c>
      <c r="X720" s="20" t="s">
        <v>835</v>
      </c>
      <c r="Y720" s="20">
        <v>5</v>
      </c>
      <c r="Z720" s="20">
        <v>6</v>
      </c>
      <c r="AA720" s="20" t="s">
        <v>592</v>
      </c>
      <c r="AL720" s="20" t="s">
        <v>1169</v>
      </c>
      <c r="AM720" s="20" t="s">
        <v>216</v>
      </c>
      <c r="AN720" s="20" t="s">
        <v>680</v>
      </c>
      <c r="AO720" s="20" t="s">
        <v>738</v>
      </c>
      <c r="AP720" s="20" t="s">
        <v>628</v>
      </c>
      <c r="AQ720" s="20">
        <v>10</v>
      </c>
      <c r="AR720" s="20">
        <v>8</v>
      </c>
      <c r="AS720" s="20" t="s">
        <v>592</v>
      </c>
    </row>
    <row r="721" spans="11:45" ht="15.75" customHeight="1" x14ac:dyDescent="0.2">
      <c r="K721" s="20" t="s">
        <v>1161</v>
      </c>
      <c r="L721" s="20" t="s">
        <v>765</v>
      </c>
      <c r="M721" s="20" t="s">
        <v>2033</v>
      </c>
      <c r="N721" s="20" t="s">
        <v>2034</v>
      </c>
      <c r="O721" s="20" t="s">
        <v>835</v>
      </c>
      <c r="P721" s="20">
        <v>5</v>
      </c>
      <c r="Q721" s="20">
        <v>4</v>
      </c>
      <c r="R721" s="20" t="s">
        <v>592</v>
      </c>
      <c r="T721" s="20" t="s">
        <v>1149</v>
      </c>
      <c r="U721" s="20" t="s">
        <v>63</v>
      </c>
      <c r="V721" s="20" t="s">
        <v>472</v>
      </c>
      <c r="W721" s="20" t="s">
        <v>1549</v>
      </c>
      <c r="X721" s="20" t="s">
        <v>835</v>
      </c>
      <c r="Y721" s="20">
        <v>5</v>
      </c>
      <c r="Z721" s="20">
        <v>7</v>
      </c>
      <c r="AA721" s="20" t="s">
        <v>592</v>
      </c>
      <c r="AL721" s="20" t="s">
        <v>1169</v>
      </c>
      <c r="AM721" s="20" t="s">
        <v>671</v>
      </c>
      <c r="AN721" s="20" t="s">
        <v>710</v>
      </c>
      <c r="AO721" s="20" t="s">
        <v>975</v>
      </c>
      <c r="AP721" s="20" t="s">
        <v>628</v>
      </c>
      <c r="AQ721" s="20">
        <v>10</v>
      </c>
      <c r="AR721" s="20">
        <v>9</v>
      </c>
      <c r="AS721" s="20" t="s">
        <v>592</v>
      </c>
    </row>
    <row r="722" spans="11:45" ht="15.75" customHeight="1" x14ac:dyDescent="0.2">
      <c r="K722" s="20" t="s">
        <v>1161</v>
      </c>
      <c r="L722" s="20" t="s">
        <v>765</v>
      </c>
      <c r="M722" s="20" t="s">
        <v>2035</v>
      </c>
      <c r="N722" s="20" t="s">
        <v>2034</v>
      </c>
      <c r="O722" s="20" t="s">
        <v>835</v>
      </c>
      <c r="P722" s="20">
        <v>5</v>
      </c>
      <c r="Q722" s="20">
        <v>1</v>
      </c>
      <c r="R722" s="20" t="s">
        <v>592</v>
      </c>
      <c r="T722" s="20" t="s">
        <v>646</v>
      </c>
      <c r="U722" s="20" t="s">
        <v>246</v>
      </c>
      <c r="V722" s="20" t="s">
        <v>1802</v>
      </c>
      <c r="W722" s="20" t="s">
        <v>2428</v>
      </c>
      <c r="X722" s="20" t="s">
        <v>835</v>
      </c>
      <c r="Y722" s="20">
        <v>5</v>
      </c>
      <c r="Z722" s="20">
        <v>7</v>
      </c>
      <c r="AA722" s="20" t="s">
        <v>592</v>
      </c>
      <c r="AL722" s="20" t="s">
        <v>1169</v>
      </c>
      <c r="AM722" s="20" t="s">
        <v>2091</v>
      </c>
      <c r="AN722" s="20" t="s">
        <v>2859</v>
      </c>
      <c r="AO722" s="20" t="s">
        <v>3177</v>
      </c>
      <c r="AP722" s="20" t="s">
        <v>628</v>
      </c>
      <c r="AQ722" s="20">
        <v>10</v>
      </c>
      <c r="AR722" s="20">
        <v>2</v>
      </c>
      <c r="AS722" s="20" t="s">
        <v>593</v>
      </c>
    </row>
    <row r="723" spans="11:45" ht="15.75" customHeight="1" x14ac:dyDescent="0.2">
      <c r="K723" s="20" t="s">
        <v>1143</v>
      </c>
      <c r="L723" s="20" t="s">
        <v>61</v>
      </c>
      <c r="M723" s="20" t="s">
        <v>722</v>
      </c>
      <c r="N723" s="20" t="s">
        <v>604</v>
      </c>
      <c r="O723" s="20" t="s">
        <v>835</v>
      </c>
      <c r="P723" s="20">
        <v>5</v>
      </c>
      <c r="Q723" s="20">
        <v>7</v>
      </c>
      <c r="R723" s="20" t="s">
        <v>592</v>
      </c>
      <c r="T723" s="20" t="s">
        <v>646</v>
      </c>
      <c r="U723" s="20" t="s">
        <v>285</v>
      </c>
      <c r="V723" s="20" t="s">
        <v>461</v>
      </c>
      <c r="W723" s="20" t="s">
        <v>864</v>
      </c>
      <c r="X723" s="20" t="s">
        <v>835</v>
      </c>
      <c r="Y723" s="20">
        <v>5</v>
      </c>
      <c r="Z723" s="20">
        <v>3</v>
      </c>
      <c r="AA723" s="20" t="s">
        <v>593</v>
      </c>
      <c r="AL723" s="20" t="s">
        <v>1169</v>
      </c>
      <c r="AM723" s="20" t="s">
        <v>2091</v>
      </c>
      <c r="AN723" s="20" t="s">
        <v>453</v>
      </c>
      <c r="AO723" s="20" t="s">
        <v>3178</v>
      </c>
      <c r="AP723" s="20" t="s">
        <v>628</v>
      </c>
      <c r="AQ723" s="20">
        <v>10</v>
      </c>
      <c r="AR723" s="20">
        <v>5</v>
      </c>
      <c r="AS723" s="20" t="s">
        <v>593</v>
      </c>
    </row>
    <row r="724" spans="11:45" ht="15.75" customHeight="1" x14ac:dyDescent="0.2">
      <c r="K724" s="20" t="s">
        <v>1143</v>
      </c>
      <c r="L724" s="20" t="s">
        <v>61</v>
      </c>
      <c r="M724" s="20" t="s">
        <v>1424</v>
      </c>
      <c r="N724" s="20" t="s">
        <v>405</v>
      </c>
      <c r="O724" s="20" t="s">
        <v>835</v>
      </c>
      <c r="P724" s="20">
        <v>5</v>
      </c>
      <c r="Q724" s="20">
        <v>6</v>
      </c>
      <c r="R724" s="20" t="s">
        <v>592</v>
      </c>
      <c r="T724" s="20" t="s">
        <v>646</v>
      </c>
      <c r="U724" s="20" t="s">
        <v>285</v>
      </c>
      <c r="V724" s="20" t="s">
        <v>458</v>
      </c>
      <c r="W724" s="20" t="s">
        <v>1902</v>
      </c>
      <c r="X724" s="20" t="s">
        <v>835</v>
      </c>
      <c r="Y724" s="20">
        <v>5</v>
      </c>
      <c r="Z724" s="20">
        <v>5</v>
      </c>
      <c r="AA724" s="20" t="s">
        <v>592</v>
      </c>
      <c r="AL724" s="20" t="s">
        <v>1169</v>
      </c>
      <c r="AM724" s="20" t="s">
        <v>19</v>
      </c>
      <c r="AN724" s="20" t="s">
        <v>2494</v>
      </c>
      <c r="AO724" s="20" t="s">
        <v>2309</v>
      </c>
      <c r="AP724" s="20" t="s">
        <v>628</v>
      </c>
      <c r="AQ724" s="20">
        <v>10</v>
      </c>
      <c r="AR724" s="20">
        <v>1</v>
      </c>
      <c r="AS724" s="20" t="s">
        <v>593</v>
      </c>
    </row>
    <row r="725" spans="11:45" ht="15.75" customHeight="1" x14ac:dyDescent="0.2">
      <c r="K725" s="20" t="s">
        <v>1155</v>
      </c>
      <c r="L725" s="20" t="s">
        <v>657</v>
      </c>
      <c r="M725" s="20" t="s">
        <v>1630</v>
      </c>
      <c r="N725" s="20" t="s">
        <v>483</v>
      </c>
      <c r="O725" s="20" t="s">
        <v>835</v>
      </c>
      <c r="P725" s="20">
        <v>5</v>
      </c>
      <c r="Q725" s="20">
        <v>8</v>
      </c>
      <c r="R725" s="20" t="s">
        <v>592</v>
      </c>
      <c r="T725" s="20" t="s">
        <v>1143</v>
      </c>
      <c r="U725" s="20" t="s">
        <v>706</v>
      </c>
      <c r="V725" s="20" t="s">
        <v>2511</v>
      </c>
      <c r="W725" s="20" t="s">
        <v>2429</v>
      </c>
      <c r="X725" s="20" t="s">
        <v>835</v>
      </c>
      <c r="Y725" s="20">
        <v>5</v>
      </c>
      <c r="Z725" s="20">
        <v>1</v>
      </c>
      <c r="AA725" s="20" t="s">
        <v>593</v>
      </c>
      <c r="AL725" s="20" t="s">
        <v>1169</v>
      </c>
      <c r="AM725" s="20" t="s">
        <v>216</v>
      </c>
      <c r="AN725" s="20" t="s">
        <v>1854</v>
      </c>
      <c r="AO725" s="20" t="s">
        <v>3175</v>
      </c>
      <c r="AP725" s="20" t="s">
        <v>628</v>
      </c>
      <c r="AQ725" s="20">
        <v>10</v>
      </c>
      <c r="AR725" s="20">
        <v>8</v>
      </c>
      <c r="AS725" s="20" t="s">
        <v>592</v>
      </c>
    </row>
    <row r="726" spans="11:45" ht="15.75" customHeight="1" x14ac:dyDescent="0.2">
      <c r="K726" s="20" t="s">
        <v>1162</v>
      </c>
      <c r="L726" s="20" t="s">
        <v>240</v>
      </c>
      <c r="M726" s="20" t="s">
        <v>1783</v>
      </c>
      <c r="N726" s="20" t="s">
        <v>365</v>
      </c>
      <c r="O726" s="20" t="s">
        <v>628</v>
      </c>
      <c r="P726" s="20">
        <v>10</v>
      </c>
      <c r="Q726" s="20">
        <v>4</v>
      </c>
      <c r="R726" s="20" t="s">
        <v>593</v>
      </c>
      <c r="T726" s="20" t="s">
        <v>1144</v>
      </c>
      <c r="U726" s="20" t="s">
        <v>1145</v>
      </c>
      <c r="V726" s="20" t="s">
        <v>847</v>
      </c>
      <c r="W726" s="20" t="s">
        <v>2147</v>
      </c>
      <c r="X726" s="20" t="s">
        <v>835</v>
      </c>
      <c r="Y726" s="20">
        <v>5</v>
      </c>
      <c r="Z726" s="20">
        <v>1</v>
      </c>
      <c r="AA726" s="20" t="s">
        <v>593</v>
      </c>
      <c r="AL726" s="20" t="s">
        <v>1163</v>
      </c>
      <c r="AM726" s="20" t="s">
        <v>207</v>
      </c>
      <c r="AN726" s="20" t="s">
        <v>600</v>
      </c>
      <c r="AO726" s="20" t="s">
        <v>863</v>
      </c>
      <c r="AP726" s="20" t="s">
        <v>628</v>
      </c>
      <c r="AQ726" s="20">
        <v>10</v>
      </c>
      <c r="AR726" s="20">
        <v>16</v>
      </c>
      <c r="AS726" s="20" t="s">
        <v>592</v>
      </c>
    </row>
    <row r="727" spans="11:45" ht="15.75" customHeight="1" x14ac:dyDescent="0.2">
      <c r="K727" s="20" t="s">
        <v>1162</v>
      </c>
      <c r="L727" s="20" t="s">
        <v>240</v>
      </c>
      <c r="M727" s="20" t="s">
        <v>1637</v>
      </c>
      <c r="N727" s="20" t="s">
        <v>1638</v>
      </c>
      <c r="O727" s="20" t="s">
        <v>835</v>
      </c>
      <c r="P727" s="20">
        <v>5</v>
      </c>
      <c r="Q727" s="20">
        <v>5</v>
      </c>
      <c r="R727" s="20" t="s">
        <v>592</v>
      </c>
      <c r="T727" s="20" t="s">
        <v>2099</v>
      </c>
      <c r="U727" s="20" t="s">
        <v>2117</v>
      </c>
      <c r="V727" s="20" t="s">
        <v>2455</v>
      </c>
      <c r="W727" s="20" t="s">
        <v>2430</v>
      </c>
      <c r="X727" s="20" t="s">
        <v>835</v>
      </c>
      <c r="Y727" s="20">
        <v>5</v>
      </c>
      <c r="Z727" s="20">
        <v>4</v>
      </c>
      <c r="AA727" s="20" t="s">
        <v>592</v>
      </c>
      <c r="AL727" s="20" t="s">
        <v>1163</v>
      </c>
      <c r="AM727" s="20" t="s">
        <v>207</v>
      </c>
      <c r="AN727" s="20" t="s">
        <v>1615</v>
      </c>
      <c r="AO727" s="20" t="s">
        <v>3179</v>
      </c>
      <c r="AP727" s="20" t="s">
        <v>628</v>
      </c>
      <c r="AQ727" s="20">
        <v>10</v>
      </c>
      <c r="AR727" s="20">
        <v>10</v>
      </c>
      <c r="AS727" s="20" t="s">
        <v>592</v>
      </c>
    </row>
    <row r="728" spans="11:45" ht="15.75" customHeight="1" x14ac:dyDescent="0.2">
      <c r="K728" s="20" t="s">
        <v>646</v>
      </c>
      <c r="L728" s="20" t="s">
        <v>303</v>
      </c>
      <c r="M728" s="20" t="s">
        <v>2036</v>
      </c>
      <c r="N728" s="20" t="s">
        <v>409</v>
      </c>
      <c r="O728" s="20" t="s">
        <v>628</v>
      </c>
      <c r="P728" s="20">
        <v>10</v>
      </c>
      <c r="Q728" s="20">
        <v>1</v>
      </c>
      <c r="R728" s="20" t="s">
        <v>592</v>
      </c>
      <c r="T728" s="20" t="s">
        <v>2099</v>
      </c>
      <c r="U728" s="20" t="s">
        <v>2117</v>
      </c>
      <c r="V728" s="20" t="s">
        <v>2455</v>
      </c>
      <c r="W728" s="20" t="s">
        <v>2431</v>
      </c>
      <c r="X728" s="20" t="s">
        <v>835</v>
      </c>
      <c r="Y728" s="20">
        <v>5</v>
      </c>
      <c r="Z728" s="20">
        <v>1</v>
      </c>
      <c r="AA728" s="20" t="s">
        <v>592</v>
      </c>
      <c r="AL728" s="20" t="s">
        <v>1163</v>
      </c>
      <c r="AM728" s="20" t="s">
        <v>207</v>
      </c>
      <c r="AN728" s="20" t="s">
        <v>2860</v>
      </c>
      <c r="AO728" s="20" t="s">
        <v>3180</v>
      </c>
      <c r="AP728" s="20" t="s">
        <v>628</v>
      </c>
      <c r="AQ728" s="20">
        <v>10</v>
      </c>
      <c r="AR728" s="20">
        <v>8</v>
      </c>
      <c r="AS728" s="20" t="s">
        <v>592</v>
      </c>
    </row>
    <row r="729" spans="11:45" ht="15.75" customHeight="1" x14ac:dyDescent="0.2">
      <c r="K729" s="20" t="s">
        <v>646</v>
      </c>
      <c r="L729" s="20" t="s">
        <v>303</v>
      </c>
      <c r="M729" s="20" t="s">
        <v>636</v>
      </c>
      <c r="N729" s="20" t="s">
        <v>409</v>
      </c>
      <c r="O729" s="20" t="s">
        <v>628</v>
      </c>
      <c r="P729" s="20">
        <v>10</v>
      </c>
      <c r="Q729" s="20">
        <v>7</v>
      </c>
      <c r="R729" s="20" t="s">
        <v>592</v>
      </c>
      <c r="T729" s="20" t="s">
        <v>2099</v>
      </c>
      <c r="U729" s="20" t="s">
        <v>2144</v>
      </c>
      <c r="V729" s="20" t="s">
        <v>2460</v>
      </c>
      <c r="W729" s="20" t="s">
        <v>2317</v>
      </c>
      <c r="X729" s="20" t="s">
        <v>2514</v>
      </c>
      <c r="Y729" s="20">
        <v>3</v>
      </c>
      <c r="Z729" s="20">
        <v>4</v>
      </c>
      <c r="AA729" s="20" t="s">
        <v>592</v>
      </c>
      <c r="AL729" s="20" t="s">
        <v>1163</v>
      </c>
      <c r="AM729" s="20" t="s">
        <v>207</v>
      </c>
      <c r="AN729" s="20" t="s">
        <v>1566</v>
      </c>
      <c r="AO729" s="20" t="s">
        <v>2203</v>
      </c>
      <c r="AP729" s="20" t="s">
        <v>628</v>
      </c>
      <c r="AQ729" s="20">
        <v>10</v>
      </c>
      <c r="AR729" s="20">
        <v>8</v>
      </c>
      <c r="AS729" s="20" t="s">
        <v>592</v>
      </c>
    </row>
    <row r="730" spans="11:45" ht="15.75" customHeight="1" x14ac:dyDescent="0.2">
      <c r="K730" s="20" t="s">
        <v>646</v>
      </c>
      <c r="L730" s="20" t="s">
        <v>303</v>
      </c>
      <c r="M730" s="20" t="s">
        <v>2037</v>
      </c>
      <c r="N730" s="20" t="s">
        <v>1774</v>
      </c>
      <c r="O730" s="20" t="s">
        <v>835</v>
      </c>
      <c r="P730" s="20">
        <v>5</v>
      </c>
      <c r="Q730" s="20">
        <v>1</v>
      </c>
      <c r="R730" s="20" t="s">
        <v>593</v>
      </c>
      <c r="T730" s="20" t="s">
        <v>1144</v>
      </c>
      <c r="U730" s="20" t="s">
        <v>194</v>
      </c>
      <c r="V730" s="20" t="s">
        <v>561</v>
      </c>
      <c r="W730" s="20" t="s">
        <v>1586</v>
      </c>
      <c r="X730" s="20" t="s">
        <v>835</v>
      </c>
      <c r="Y730" s="20">
        <v>5</v>
      </c>
      <c r="Z730" s="20">
        <v>6</v>
      </c>
      <c r="AA730" s="20" t="s">
        <v>592</v>
      </c>
      <c r="AL730" s="20" t="s">
        <v>1163</v>
      </c>
      <c r="AM730" s="20" t="s">
        <v>207</v>
      </c>
      <c r="AN730" s="20" t="s">
        <v>1566</v>
      </c>
      <c r="AO730" s="20" t="s">
        <v>2685</v>
      </c>
      <c r="AP730" s="20" t="s">
        <v>628</v>
      </c>
      <c r="AQ730" s="20">
        <v>10</v>
      </c>
      <c r="AR730" s="20">
        <v>13</v>
      </c>
      <c r="AS730" s="20" t="s">
        <v>592</v>
      </c>
    </row>
    <row r="731" spans="11:45" ht="15.75" customHeight="1" x14ac:dyDescent="0.2">
      <c r="K731" s="20" t="s">
        <v>646</v>
      </c>
      <c r="L731" s="20" t="s">
        <v>303</v>
      </c>
      <c r="M731" s="20" t="s">
        <v>1905</v>
      </c>
      <c r="N731" s="20" t="s">
        <v>428</v>
      </c>
      <c r="O731" s="20" t="s">
        <v>835</v>
      </c>
      <c r="P731" s="20">
        <v>5</v>
      </c>
      <c r="Q731" s="20">
        <v>6</v>
      </c>
      <c r="R731" s="20" t="s">
        <v>592</v>
      </c>
      <c r="T731" s="20" t="s">
        <v>1144</v>
      </c>
      <c r="U731" s="20" t="s">
        <v>23</v>
      </c>
      <c r="V731" s="20" t="s">
        <v>545</v>
      </c>
      <c r="W731" s="20" t="s">
        <v>1120</v>
      </c>
      <c r="X731" s="20" t="s">
        <v>835</v>
      </c>
      <c r="Y731" s="20">
        <v>5</v>
      </c>
      <c r="Z731" s="20">
        <v>5</v>
      </c>
      <c r="AA731" s="20" t="s">
        <v>592</v>
      </c>
      <c r="AL731" s="20" t="s">
        <v>1163</v>
      </c>
      <c r="AM731" s="20" t="s">
        <v>207</v>
      </c>
      <c r="AN731" s="20" t="s">
        <v>2861</v>
      </c>
      <c r="AO731" s="20" t="s">
        <v>3181</v>
      </c>
      <c r="AP731" s="20" t="s">
        <v>628</v>
      </c>
      <c r="AQ731" s="20">
        <v>10</v>
      </c>
      <c r="AR731" s="20">
        <v>8</v>
      </c>
      <c r="AS731" s="20" t="s">
        <v>592</v>
      </c>
    </row>
    <row r="732" spans="11:45" ht="15.75" customHeight="1" x14ac:dyDescent="0.2">
      <c r="K732" s="20" t="s">
        <v>646</v>
      </c>
      <c r="L732" s="20" t="s">
        <v>303</v>
      </c>
      <c r="M732" s="20" t="s">
        <v>1400</v>
      </c>
      <c r="N732" s="20" t="s">
        <v>429</v>
      </c>
      <c r="O732" s="20" t="s">
        <v>835</v>
      </c>
      <c r="P732" s="20">
        <v>5</v>
      </c>
      <c r="Q732" s="20">
        <v>1</v>
      </c>
      <c r="R732" s="20" t="s">
        <v>593</v>
      </c>
      <c r="T732" s="20" t="s">
        <v>1144</v>
      </c>
      <c r="U732" s="20" t="s">
        <v>23</v>
      </c>
      <c r="V732" s="20" t="s">
        <v>545</v>
      </c>
      <c r="W732" s="20" t="s">
        <v>1121</v>
      </c>
      <c r="X732" s="20" t="s">
        <v>835</v>
      </c>
      <c r="Y732" s="20">
        <v>5</v>
      </c>
      <c r="Z732" s="20">
        <v>1</v>
      </c>
      <c r="AA732" s="20" t="s">
        <v>592</v>
      </c>
      <c r="AL732" s="20" t="s">
        <v>1163</v>
      </c>
      <c r="AM732" s="20" t="s">
        <v>207</v>
      </c>
      <c r="AN732" s="20" t="s">
        <v>363</v>
      </c>
      <c r="AO732" s="20" t="s">
        <v>904</v>
      </c>
      <c r="AP732" s="20" t="s">
        <v>628</v>
      </c>
      <c r="AQ732" s="20">
        <v>10</v>
      </c>
      <c r="AR732" s="20">
        <v>8</v>
      </c>
      <c r="AS732" s="20" t="s">
        <v>592</v>
      </c>
    </row>
    <row r="733" spans="11:45" ht="15.75" customHeight="1" x14ac:dyDescent="0.2">
      <c r="K733" s="20" t="s">
        <v>1143</v>
      </c>
      <c r="L733" s="20" t="s">
        <v>689</v>
      </c>
      <c r="M733" s="20" t="s">
        <v>1659</v>
      </c>
      <c r="N733" s="20" t="s">
        <v>1660</v>
      </c>
      <c r="O733" s="20" t="s">
        <v>835</v>
      </c>
      <c r="P733" s="20">
        <v>5</v>
      </c>
      <c r="Q733" s="20">
        <v>7</v>
      </c>
      <c r="R733" s="20" t="s">
        <v>592</v>
      </c>
      <c r="T733" s="20" t="s">
        <v>646</v>
      </c>
      <c r="U733" s="20" t="s">
        <v>1109</v>
      </c>
      <c r="V733" s="20" t="s">
        <v>369</v>
      </c>
      <c r="W733" s="20" t="s">
        <v>1417</v>
      </c>
      <c r="X733" s="20" t="s">
        <v>835</v>
      </c>
      <c r="Y733" s="20">
        <v>5</v>
      </c>
      <c r="Z733" s="20">
        <v>4</v>
      </c>
      <c r="AA733" s="20" t="s">
        <v>592</v>
      </c>
      <c r="AL733" s="20" t="s">
        <v>1163</v>
      </c>
      <c r="AM733" s="20" t="s">
        <v>207</v>
      </c>
      <c r="AN733" s="20" t="s">
        <v>1894</v>
      </c>
      <c r="AO733" s="20" t="s">
        <v>1893</v>
      </c>
      <c r="AP733" s="20" t="s">
        <v>628</v>
      </c>
      <c r="AQ733" s="20">
        <v>10</v>
      </c>
      <c r="AR733" s="20">
        <v>3</v>
      </c>
      <c r="AS733" s="20" t="s">
        <v>593</v>
      </c>
    </row>
    <row r="734" spans="11:45" ht="15.75" customHeight="1" x14ac:dyDescent="0.2">
      <c r="K734" s="20" t="s">
        <v>1143</v>
      </c>
      <c r="L734" s="20" t="s">
        <v>689</v>
      </c>
      <c r="M734" s="20" t="s">
        <v>2038</v>
      </c>
      <c r="N734" s="20" t="s">
        <v>1589</v>
      </c>
      <c r="O734" s="20" t="s">
        <v>835</v>
      </c>
      <c r="P734" s="20">
        <v>5</v>
      </c>
      <c r="Q734" s="20">
        <v>5</v>
      </c>
      <c r="R734" s="20" t="s">
        <v>592</v>
      </c>
      <c r="T734" s="20" t="s">
        <v>646</v>
      </c>
      <c r="U734" s="20" t="s">
        <v>1109</v>
      </c>
      <c r="V734" s="20" t="s">
        <v>369</v>
      </c>
      <c r="W734" s="20" t="s">
        <v>2432</v>
      </c>
      <c r="X734" s="20" t="s">
        <v>835</v>
      </c>
      <c r="Y734" s="20">
        <v>5</v>
      </c>
      <c r="Z734" s="20">
        <v>1</v>
      </c>
      <c r="AA734" s="20" t="s">
        <v>592</v>
      </c>
      <c r="AL734" s="20" t="s">
        <v>1163</v>
      </c>
      <c r="AM734" s="20" t="s">
        <v>207</v>
      </c>
      <c r="AN734" s="20" t="s">
        <v>1612</v>
      </c>
      <c r="AO734" s="20" t="s">
        <v>3182</v>
      </c>
      <c r="AP734" s="20" t="s">
        <v>628</v>
      </c>
      <c r="AQ734" s="20">
        <v>10</v>
      </c>
      <c r="AR734" s="20">
        <v>8</v>
      </c>
      <c r="AS734" s="20" t="s">
        <v>592</v>
      </c>
    </row>
    <row r="735" spans="11:45" ht="15.75" customHeight="1" x14ac:dyDescent="0.2">
      <c r="K735" s="20" t="s">
        <v>1149</v>
      </c>
      <c r="L735" s="20" t="s">
        <v>1150</v>
      </c>
      <c r="M735" s="20" t="s">
        <v>2039</v>
      </c>
      <c r="N735" s="20" t="s">
        <v>2040</v>
      </c>
      <c r="O735" s="20" t="s">
        <v>835</v>
      </c>
      <c r="P735" s="20">
        <v>5</v>
      </c>
      <c r="Q735" s="20">
        <v>4</v>
      </c>
      <c r="R735" s="20" t="s">
        <v>593</v>
      </c>
      <c r="T735" s="20" t="s">
        <v>1147</v>
      </c>
      <c r="U735" s="20" t="s">
        <v>225</v>
      </c>
      <c r="V735" s="20" t="s">
        <v>383</v>
      </c>
      <c r="W735" s="20" t="s">
        <v>2292</v>
      </c>
      <c r="X735" s="20" t="s">
        <v>835</v>
      </c>
      <c r="Y735" s="20">
        <v>5</v>
      </c>
      <c r="Z735" s="20">
        <v>6</v>
      </c>
      <c r="AA735" s="20" t="s">
        <v>592</v>
      </c>
      <c r="AL735" s="20" t="s">
        <v>1163</v>
      </c>
      <c r="AM735" s="20" t="s">
        <v>299</v>
      </c>
      <c r="AN735" s="20" t="s">
        <v>362</v>
      </c>
      <c r="AO735" s="20" t="s">
        <v>981</v>
      </c>
      <c r="AP735" s="20" t="s">
        <v>628</v>
      </c>
      <c r="AQ735" s="20">
        <v>10</v>
      </c>
      <c r="AR735" s="20">
        <v>8</v>
      </c>
      <c r="AS735" s="20" t="s">
        <v>592</v>
      </c>
    </row>
    <row r="736" spans="11:45" ht="15.75" customHeight="1" x14ac:dyDescent="0.2">
      <c r="K736" s="20" t="s">
        <v>1155</v>
      </c>
      <c r="L736" s="20" t="s">
        <v>1156</v>
      </c>
      <c r="M736" s="20" t="s">
        <v>1732</v>
      </c>
      <c r="N736" s="20" t="s">
        <v>1733</v>
      </c>
      <c r="O736" s="20" t="s">
        <v>835</v>
      </c>
      <c r="P736" s="20">
        <v>5</v>
      </c>
      <c r="Q736" s="20">
        <v>6</v>
      </c>
      <c r="R736" s="20" t="s">
        <v>592</v>
      </c>
      <c r="T736" s="20" t="s">
        <v>1147</v>
      </c>
      <c r="U736" s="20" t="s">
        <v>70</v>
      </c>
      <c r="V736" s="20" t="s">
        <v>632</v>
      </c>
      <c r="W736" s="20" t="s">
        <v>1221</v>
      </c>
      <c r="X736" s="20" t="s">
        <v>835</v>
      </c>
      <c r="Y736" s="20">
        <v>5</v>
      </c>
      <c r="Z736" s="20">
        <v>3</v>
      </c>
      <c r="AA736" s="20" t="s">
        <v>593</v>
      </c>
      <c r="AL736" s="20" t="s">
        <v>1163</v>
      </c>
      <c r="AM736" s="20" t="s">
        <v>299</v>
      </c>
      <c r="AN736" s="20" t="s">
        <v>2862</v>
      </c>
      <c r="AO736" s="20" t="s">
        <v>3183</v>
      </c>
      <c r="AP736" s="20" t="s">
        <v>628</v>
      </c>
      <c r="AQ736" s="20">
        <v>10</v>
      </c>
      <c r="AR736" s="20">
        <v>8</v>
      </c>
      <c r="AS736" s="20" t="s">
        <v>592</v>
      </c>
    </row>
    <row r="737" spans="11:45" ht="15.75" customHeight="1" x14ac:dyDescent="0.2">
      <c r="K737" s="20" t="s">
        <v>1161</v>
      </c>
      <c r="L737" s="20" t="s">
        <v>41</v>
      </c>
      <c r="M737" s="20" t="s">
        <v>2041</v>
      </c>
      <c r="N737" s="20" t="s">
        <v>1930</v>
      </c>
      <c r="O737" s="20" t="s">
        <v>835</v>
      </c>
      <c r="P737" s="20">
        <v>5</v>
      </c>
      <c r="Q737" s="20">
        <v>5</v>
      </c>
      <c r="R737" s="20" t="s">
        <v>592</v>
      </c>
      <c r="T737" s="20" t="s">
        <v>646</v>
      </c>
      <c r="U737" s="20" t="s">
        <v>246</v>
      </c>
      <c r="V737" s="20" t="s">
        <v>1543</v>
      </c>
      <c r="W737" s="20" t="s">
        <v>2290</v>
      </c>
      <c r="X737" s="20" t="s">
        <v>835</v>
      </c>
      <c r="Y737" s="20">
        <v>5</v>
      </c>
      <c r="Z737" s="20">
        <v>5</v>
      </c>
      <c r="AA737" s="20" t="s">
        <v>592</v>
      </c>
      <c r="AL737" s="20" t="s">
        <v>1163</v>
      </c>
      <c r="AM737" s="20" t="s">
        <v>299</v>
      </c>
      <c r="AN737" s="20" t="s">
        <v>2863</v>
      </c>
      <c r="AO737" s="20" t="s">
        <v>3184</v>
      </c>
      <c r="AP737" s="20" t="s">
        <v>628</v>
      </c>
      <c r="AQ737" s="20">
        <v>10</v>
      </c>
      <c r="AR737" s="20">
        <v>5</v>
      </c>
      <c r="AS737" s="20" t="s">
        <v>593</v>
      </c>
    </row>
    <row r="738" spans="11:45" ht="15.75" customHeight="1" x14ac:dyDescent="0.2">
      <c r="K738" s="20" t="s">
        <v>1162</v>
      </c>
      <c r="L738" s="20" t="s">
        <v>230</v>
      </c>
      <c r="M738" s="20" t="s">
        <v>2042</v>
      </c>
      <c r="N738" s="20" t="s">
        <v>413</v>
      </c>
      <c r="O738" s="20" t="s">
        <v>835</v>
      </c>
      <c r="P738" s="20">
        <v>5</v>
      </c>
      <c r="Q738" s="20">
        <v>1</v>
      </c>
      <c r="R738" s="20" t="s">
        <v>593</v>
      </c>
      <c r="T738" s="20" t="s">
        <v>646</v>
      </c>
      <c r="U738" s="20" t="s">
        <v>25</v>
      </c>
      <c r="V738" s="20" t="s">
        <v>524</v>
      </c>
      <c r="W738" s="20" t="s">
        <v>1013</v>
      </c>
      <c r="X738" s="20" t="s">
        <v>835</v>
      </c>
      <c r="Y738" s="20">
        <v>5</v>
      </c>
      <c r="Z738" s="20">
        <v>7</v>
      </c>
      <c r="AA738" s="20" t="s">
        <v>592</v>
      </c>
      <c r="AL738" s="20" t="s">
        <v>1163</v>
      </c>
      <c r="AM738" s="20" t="s">
        <v>299</v>
      </c>
      <c r="AN738" s="20" t="s">
        <v>2864</v>
      </c>
      <c r="AO738" s="20" t="s">
        <v>3185</v>
      </c>
      <c r="AP738" s="20" t="s">
        <v>628</v>
      </c>
      <c r="AQ738" s="20">
        <v>10</v>
      </c>
      <c r="AR738" s="20">
        <v>1</v>
      </c>
      <c r="AS738" s="20" t="s">
        <v>593</v>
      </c>
    </row>
    <row r="739" spans="11:45" ht="15.75" customHeight="1" x14ac:dyDescent="0.2">
      <c r="K739" s="20" t="s">
        <v>1162</v>
      </c>
      <c r="L739" s="20" t="s">
        <v>230</v>
      </c>
      <c r="M739" s="20" t="s">
        <v>2043</v>
      </c>
      <c r="N739" s="20" t="s">
        <v>414</v>
      </c>
      <c r="O739" s="20" t="s">
        <v>835</v>
      </c>
      <c r="P739" s="20">
        <v>5</v>
      </c>
      <c r="Q739" s="20">
        <v>4</v>
      </c>
      <c r="R739" s="20" t="s">
        <v>593</v>
      </c>
      <c r="T739" s="20" t="s">
        <v>2099</v>
      </c>
      <c r="U739" s="20" t="s">
        <v>2109</v>
      </c>
      <c r="V739" s="20" t="s">
        <v>2453</v>
      </c>
      <c r="W739" s="20" t="s">
        <v>2433</v>
      </c>
      <c r="X739" s="20" t="s">
        <v>2514</v>
      </c>
      <c r="Y739" s="20">
        <v>3</v>
      </c>
      <c r="Z739" s="20">
        <v>3</v>
      </c>
      <c r="AA739" s="20" t="s">
        <v>592</v>
      </c>
      <c r="AL739" s="20" t="s">
        <v>1163</v>
      </c>
      <c r="AM739" s="20" t="s">
        <v>299</v>
      </c>
      <c r="AN739" s="20" t="s">
        <v>408</v>
      </c>
      <c r="AO739" s="20" t="s">
        <v>1025</v>
      </c>
      <c r="AP739" s="20" t="s">
        <v>628</v>
      </c>
      <c r="AQ739" s="20">
        <v>10</v>
      </c>
      <c r="AR739" s="20">
        <v>5</v>
      </c>
      <c r="AS739" s="20" t="s">
        <v>592</v>
      </c>
    </row>
    <row r="740" spans="11:45" ht="15.75" customHeight="1" x14ac:dyDescent="0.2">
      <c r="K740" s="20" t="s">
        <v>1154</v>
      </c>
      <c r="L740" s="20" t="s">
        <v>217</v>
      </c>
      <c r="M740" s="20" t="s">
        <v>881</v>
      </c>
      <c r="N740" s="20" t="s">
        <v>579</v>
      </c>
      <c r="O740" s="20" t="s">
        <v>835</v>
      </c>
      <c r="P740" s="20">
        <v>5</v>
      </c>
      <c r="Q740" s="20">
        <v>5</v>
      </c>
      <c r="R740" s="20" t="s">
        <v>592</v>
      </c>
      <c r="T740" s="20" t="s">
        <v>1155</v>
      </c>
      <c r="U740" s="20" t="s">
        <v>1156</v>
      </c>
      <c r="V740" s="20" t="s">
        <v>518</v>
      </c>
      <c r="W740" s="20" t="s">
        <v>2434</v>
      </c>
      <c r="X740" s="20" t="s">
        <v>835</v>
      </c>
      <c r="Y740" s="20">
        <v>5</v>
      </c>
      <c r="Z740" s="20">
        <v>1</v>
      </c>
      <c r="AA740" s="20" t="s">
        <v>592</v>
      </c>
      <c r="AL740" s="20" t="s">
        <v>1163</v>
      </c>
      <c r="AM740" s="20" t="s">
        <v>299</v>
      </c>
      <c r="AN740" s="20" t="s">
        <v>1569</v>
      </c>
      <c r="AO740" s="20" t="s">
        <v>3186</v>
      </c>
      <c r="AP740" s="20" t="s">
        <v>628</v>
      </c>
      <c r="AQ740" s="20">
        <v>10</v>
      </c>
      <c r="AR740" s="20">
        <v>11</v>
      </c>
      <c r="AS740" s="20" t="s">
        <v>592</v>
      </c>
    </row>
    <row r="741" spans="11:45" ht="15.75" customHeight="1" x14ac:dyDescent="0.2">
      <c r="K741" s="20" t="s">
        <v>1154</v>
      </c>
      <c r="L741" s="20" t="s">
        <v>217</v>
      </c>
      <c r="M741" s="20" t="s">
        <v>1556</v>
      </c>
      <c r="N741" s="20" t="s">
        <v>1557</v>
      </c>
      <c r="O741" s="20" t="s">
        <v>835</v>
      </c>
      <c r="P741" s="20">
        <v>5</v>
      </c>
      <c r="Q741" s="20">
        <v>5</v>
      </c>
      <c r="R741" s="20" t="s">
        <v>592</v>
      </c>
      <c r="T741" s="20" t="s">
        <v>1155</v>
      </c>
      <c r="U741" s="20" t="s">
        <v>1156</v>
      </c>
      <c r="V741" s="20" t="s">
        <v>518</v>
      </c>
      <c r="W741" s="20" t="s">
        <v>1323</v>
      </c>
      <c r="X741" s="20" t="s">
        <v>835</v>
      </c>
      <c r="Y741" s="20">
        <v>5</v>
      </c>
      <c r="Z741" s="20">
        <v>6</v>
      </c>
      <c r="AA741" s="20" t="s">
        <v>592</v>
      </c>
      <c r="AL741" s="20" t="s">
        <v>1163</v>
      </c>
      <c r="AM741" s="20" t="s">
        <v>299</v>
      </c>
      <c r="AN741" s="20" t="s">
        <v>408</v>
      </c>
      <c r="AO741" s="20" t="s">
        <v>1567</v>
      </c>
      <c r="AP741" s="20" t="s">
        <v>628</v>
      </c>
      <c r="AQ741" s="20">
        <v>10</v>
      </c>
      <c r="AR741" s="20">
        <v>11</v>
      </c>
      <c r="AS741" s="20" t="s">
        <v>592</v>
      </c>
    </row>
    <row r="742" spans="11:45" ht="15.75" customHeight="1" x14ac:dyDescent="0.2">
      <c r="K742" s="20" t="s">
        <v>1154</v>
      </c>
      <c r="L742" s="20" t="s">
        <v>217</v>
      </c>
      <c r="M742" s="20" t="s">
        <v>1477</v>
      </c>
      <c r="N742" s="20" t="s">
        <v>578</v>
      </c>
      <c r="O742" s="20" t="s">
        <v>835</v>
      </c>
      <c r="P742" s="20">
        <v>5</v>
      </c>
      <c r="Q742" s="20">
        <v>3</v>
      </c>
      <c r="R742" s="20" t="s">
        <v>593</v>
      </c>
      <c r="T742" s="20" t="s">
        <v>646</v>
      </c>
      <c r="U742" s="20" t="s">
        <v>209</v>
      </c>
      <c r="V742" s="20" t="s">
        <v>1714</v>
      </c>
      <c r="W742" s="20" t="s">
        <v>1713</v>
      </c>
      <c r="X742" s="20" t="s">
        <v>835</v>
      </c>
      <c r="Y742" s="20">
        <v>5</v>
      </c>
      <c r="Z742" s="20">
        <v>1</v>
      </c>
      <c r="AA742" s="20" t="s">
        <v>593</v>
      </c>
      <c r="AL742" s="20" t="s">
        <v>1163</v>
      </c>
      <c r="AM742" s="20" t="s">
        <v>299</v>
      </c>
      <c r="AN742" s="20" t="s">
        <v>557</v>
      </c>
      <c r="AO742" s="20" t="s">
        <v>3187</v>
      </c>
      <c r="AP742" s="20" t="s">
        <v>628</v>
      </c>
      <c r="AQ742" s="20">
        <v>10</v>
      </c>
      <c r="AR742" s="20">
        <v>11</v>
      </c>
      <c r="AS742" s="20" t="s">
        <v>592</v>
      </c>
    </row>
    <row r="743" spans="11:45" ht="15.75" customHeight="1" x14ac:dyDescent="0.2">
      <c r="K743" s="20" t="s">
        <v>1154</v>
      </c>
      <c r="L743" s="20" t="s">
        <v>217</v>
      </c>
      <c r="M743" s="20" t="s">
        <v>1870</v>
      </c>
      <c r="N743" s="20" t="s">
        <v>1871</v>
      </c>
      <c r="O743" s="20" t="s">
        <v>835</v>
      </c>
      <c r="P743" s="20">
        <v>5</v>
      </c>
      <c r="Q743" s="20">
        <v>1</v>
      </c>
      <c r="R743" s="20" t="s">
        <v>593</v>
      </c>
      <c r="T743" s="20" t="s">
        <v>646</v>
      </c>
      <c r="U743" s="20" t="s">
        <v>209</v>
      </c>
      <c r="V743" s="20" t="s">
        <v>730</v>
      </c>
      <c r="W743" s="20" t="s">
        <v>736</v>
      </c>
      <c r="X743" s="20" t="s">
        <v>835</v>
      </c>
      <c r="Y743" s="20">
        <v>5</v>
      </c>
      <c r="Z743" s="20">
        <v>5</v>
      </c>
      <c r="AA743" s="20" t="s">
        <v>592</v>
      </c>
      <c r="AL743" s="20" t="s">
        <v>1163</v>
      </c>
      <c r="AM743" s="20" t="s">
        <v>299</v>
      </c>
      <c r="AN743" s="20" t="s">
        <v>557</v>
      </c>
      <c r="AO743" s="20" t="s">
        <v>1024</v>
      </c>
      <c r="AP743" s="20" t="s">
        <v>628</v>
      </c>
      <c r="AQ743" s="20">
        <v>10</v>
      </c>
      <c r="AR743" s="20">
        <v>10</v>
      </c>
      <c r="AS743" s="20" t="s">
        <v>592</v>
      </c>
    </row>
    <row r="744" spans="11:45" ht="15.75" customHeight="1" x14ac:dyDescent="0.2">
      <c r="K744" s="20" t="s">
        <v>1154</v>
      </c>
      <c r="L744" s="20" t="s">
        <v>217</v>
      </c>
      <c r="M744" s="20" t="s">
        <v>2044</v>
      </c>
      <c r="N744" s="20" t="s">
        <v>2045</v>
      </c>
      <c r="O744" s="20" t="s">
        <v>835</v>
      </c>
      <c r="P744" s="20">
        <v>5</v>
      </c>
      <c r="Q744" s="20">
        <v>3</v>
      </c>
      <c r="R744" s="20" t="s">
        <v>593</v>
      </c>
      <c r="T744" s="20" t="s">
        <v>1147</v>
      </c>
      <c r="U744" s="20" t="s">
        <v>70</v>
      </c>
      <c r="V744" s="20" t="s">
        <v>1473</v>
      </c>
      <c r="W744" s="20" t="s">
        <v>1795</v>
      </c>
      <c r="X744" s="20" t="s">
        <v>835</v>
      </c>
      <c r="Y744" s="20">
        <v>5</v>
      </c>
      <c r="Z744" s="20">
        <v>4</v>
      </c>
      <c r="AA744" s="20" t="s">
        <v>593</v>
      </c>
      <c r="AL744" s="20" t="s">
        <v>1163</v>
      </c>
      <c r="AM744" s="20" t="s">
        <v>1165</v>
      </c>
      <c r="AN744" s="20" t="s">
        <v>1448</v>
      </c>
      <c r="AO744" s="20" t="s">
        <v>3188</v>
      </c>
      <c r="AP744" s="20" t="s">
        <v>628</v>
      </c>
      <c r="AQ744" s="20">
        <v>10</v>
      </c>
      <c r="AR744" s="20">
        <v>9</v>
      </c>
      <c r="AS744" s="20" t="s">
        <v>592</v>
      </c>
    </row>
    <row r="745" spans="11:45" ht="15.75" customHeight="1" x14ac:dyDescent="0.2">
      <c r="K745" s="20" t="s">
        <v>1154</v>
      </c>
      <c r="L745" s="20" t="s">
        <v>1152</v>
      </c>
      <c r="M745" s="20" t="s">
        <v>1290</v>
      </c>
      <c r="N745" s="20" t="s">
        <v>624</v>
      </c>
      <c r="O745" s="20" t="s">
        <v>835</v>
      </c>
      <c r="P745" s="20">
        <v>5</v>
      </c>
      <c r="Q745" s="20">
        <v>5</v>
      </c>
      <c r="R745" s="20" t="s">
        <v>592</v>
      </c>
      <c r="T745" s="20" t="s">
        <v>1154</v>
      </c>
      <c r="U745" s="20" t="s">
        <v>217</v>
      </c>
      <c r="V745" s="20" t="s">
        <v>1871</v>
      </c>
      <c r="W745" s="20" t="s">
        <v>1870</v>
      </c>
      <c r="X745" s="20" t="s">
        <v>835</v>
      </c>
      <c r="Y745" s="20">
        <v>5</v>
      </c>
      <c r="Z745" s="20">
        <v>5</v>
      </c>
      <c r="AA745" s="20" t="s">
        <v>592</v>
      </c>
      <c r="AL745" s="20" t="s">
        <v>1163</v>
      </c>
      <c r="AM745" s="20" t="s">
        <v>1165</v>
      </c>
      <c r="AN745" s="20" t="s">
        <v>504</v>
      </c>
      <c r="AO745" s="20" t="s">
        <v>1262</v>
      </c>
      <c r="AP745" s="20" t="s">
        <v>835</v>
      </c>
      <c r="AQ745" s="20">
        <v>5</v>
      </c>
      <c r="AR745" s="20">
        <v>5</v>
      </c>
      <c r="AS745" s="20" t="s">
        <v>592</v>
      </c>
    </row>
    <row r="746" spans="11:45" ht="15.75" customHeight="1" x14ac:dyDescent="0.2">
      <c r="K746" s="20" t="s">
        <v>1154</v>
      </c>
      <c r="L746" s="20" t="s">
        <v>1152</v>
      </c>
      <c r="M746" s="20" t="s">
        <v>1398</v>
      </c>
      <c r="N746" s="20" t="s">
        <v>574</v>
      </c>
      <c r="O746" s="20" t="s">
        <v>835</v>
      </c>
      <c r="P746" s="20">
        <v>5</v>
      </c>
      <c r="Q746" s="20">
        <v>2</v>
      </c>
      <c r="R746" s="20" t="s">
        <v>593</v>
      </c>
      <c r="T746" s="20" t="s">
        <v>1154</v>
      </c>
      <c r="U746" s="20" t="s">
        <v>217</v>
      </c>
      <c r="V746" s="20" t="s">
        <v>2512</v>
      </c>
      <c r="W746" s="20" t="s">
        <v>2435</v>
      </c>
      <c r="X746" s="20" t="s">
        <v>835</v>
      </c>
      <c r="Y746" s="20">
        <v>5</v>
      </c>
      <c r="Z746" s="20">
        <v>4</v>
      </c>
      <c r="AA746" s="20" t="s">
        <v>592</v>
      </c>
      <c r="AL746" s="20" t="s">
        <v>1163</v>
      </c>
      <c r="AM746" s="20" t="s">
        <v>1165</v>
      </c>
      <c r="AN746" s="20" t="s">
        <v>2865</v>
      </c>
      <c r="AO746" s="20" t="s">
        <v>3189</v>
      </c>
      <c r="AP746" s="20" t="s">
        <v>628</v>
      </c>
      <c r="AQ746" s="20">
        <v>10</v>
      </c>
      <c r="AR746" s="20">
        <v>27</v>
      </c>
      <c r="AS746" s="20" t="s">
        <v>592</v>
      </c>
    </row>
    <row r="747" spans="11:45" ht="15.75" customHeight="1" x14ac:dyDescent="0.2">
      <c r="K747" s="20" t="s">
        <v>1154</v>
      </c>
      <c r="L747" s="20" t="s">
        <v>307</v>
      </c>
      <c r="M747" s="20" t="s">
        <v>1265</v>
      </c>
      <c r="N747" s="20" t="s">
        <v>513</v>
      </c>
      <c r="O747" s="20" t="s">
        <v>835</v>
      </c>
      <c r="P747" s="20">
        <v>5</v>
      </c>
      <c r="Q747" s="20">
        <v>3</v>
      </c>
      <c r="R747" s="20" t="s">
        <v>593</v>
      </c>
      <c r="T747" s="20" t="s">
        <v>1154</v>
      </c>
      <c r="U747" s="20" t="s">
        <v>217</v>
      </c>
      <c r="V747" s="20" t="s">
        <v>2512</v>
      </c>
      <c r="W747" s="20" t="s">
        <v>2436</v>
      </c>
      <c r="X747" s="20" t="s">
        <v>835</v>
      </c>
      <c r="Y747" s="20">
        <v>5</v>
      </c>
      <c r="Z747" s="20">
        <v>1</v>
      </c>
      <c r="AA747" s="20" t="s">
        <v>592</v>
      </c>
      <c r="AL747" s="20" t="s">
        <v>1163</v>
      </c>
      <c r="AM747" s="20" t="s">
        <v>1165</v>
      </c>
      <c r="AN747" s="20" t="s">
        <v>360</v>
      </c>
      <c r="AO747" s="20" t="s">
        <v>1209</v>
      </c>
      <c r="AP747" s="20" t="s">
        <v>628</v>
      </c>
      <c r="AQ747" s="20">
        <v>10</v>
      </c>
      <c r="AR747" s="20">
        <v>24</v>
      </c>
      <c r="AS747" s="20" t="s">
        <v>592</v>
      </c>
    </row>
    <row r="748" spans="11:45" ht="15.75" customHeight="1" x14ac:dyDescent="0.2">
      <c r="K748" s="20" t="s">
        <v>1154</v>
      </c>
      <c r="L748" s="20" t="s">
        <v>335</v>
      </c>
      <c r="M748" s="20" t="s">
        <v>2046</v>
      </c>
      <c r="N748" s="20" t="s">
        <v>566</v>
      </c>
      <c r="O748" s="20" t="s">
        <v>835</v>
      </c>
      <c r="P748" s="20">
        <v>5</v>
      </c>
      <c r="Q748" s="20">
        <v>1</v>
      </c>
      <c r="R748" s="20" t="s">
        <v>593</v>
      </c>
      <c r="T748" s="20" t="s">
        <v>1149</v>
      </c>
      <c r="U748" s="20" t="s">
        <v>806</v>
      </c>
      <c r="V748" s="20" t="s">
        <v>467</v>
      </c>
      <c r="W748" s="20" t="s">
        <v>976</v>
      </c>
      <c r="X748" s="20" t="s">
        <v>835</v>
      </c>
      <c r="Y748" s="20">
        <v>5</v>
      </c>
      <c r="Z748" s="20">
        <v>4</v>
      </c>
      <c r="AA748" s="20" t="s">
        <v>592</v>
      </c>
      <c r="AL748" s="20" t="s">
        <v>1163</v>
      </c>
      <c r="AM748" s="20" t="s">
        <v>1165</v>
      </c>
      <c r="AN748" s="20" t="s">
        <v>360</v>
      </c>
      <c r="AO748" s="20" t="s">
        <v>3190</v>
      </c>
      <c r="AP748" s="20" t="s">
        <v>628</v>
      </c>
      <c r="AQ748" s="20">
        <v>10</v>
      </c>
      <c r="AR748" s="20">
        <v>51</v>
      </c>
      <c r="AS748" s="20" t="s">
        <v>592</v>
      </c>
    </row>
    <row r="749" spans="11:45" ht="15.75" customHeight="1" x14ac:dyDescent="0.2">
      <c r="K749" s="20" t="s">
        <v>1154</v>
      </c>
      <c r="L749" s="20" t="s">
        <v>335</v>
      </c>
      <c r="M749" s="20" t="s">
        <v>1868</v>
      </c>
      <c r="N749" s="20" t="s">
        <v>548</v>
      </c>
      <c r="O749" s="20" t="s">
        <v>835</v>
      </c>
      <c r="P749" s="20">
        <v>5</v>
      </c>
      <c r="Q749" s="20">
        <v>3</v>
      </c>
      <c r="R749" s="20" t="s">
        <v>593</v>
      </c>
      <c r="T749" s="20" t="s">
        <v>1149</v>
      </c>
      <c r="U749" s="20" t="s">
        <v>806</v>
      </c>
      <c r="V749" s="20" t="s">
        <v>467</v>
      </c>
      <c r="W749" s="20" t="s">
        <v>1349</v>
      </c>
      <c r="X749" s="20" t="s">
        <v>835</v>
      </c>
      <c r="Y749" s="20">
        <v>5</v>
      </c>
      <c r="Z749" s="20">
        <v>1</v>
      </c>
      <c r="AA749" s="20" t="s">
        <v>592</v>
      </c>
      <c r="AL749" s="20" t="s">
        <v>1163</v>
      </c>
      <c r="AM749" s="20" t="s">
        <v>1165</v>
      </c>
      <c r="AN749" s="20" t="s">
        <v>1560</v>
      </c>
      <c r="AO749" s="20" t="s">
        <v>1559</v>
      </c>
      <c r="AP749" s="20" t="s">
        <v>835</v>
      </c>
      <c r="AQ749" s="20">
        <v>5</v>
      </c>
      <c r="AR749" s="20">
        <v>4</v>
      </c>
      <c r="AS749" s="20" t="s">
        <v>593</v>
      </c>
    </row>
    <row r="750" spans="11:45" ht="15.75" customHeight="1" x14ac:dyDescent="0.2">
      <c r="K750" s="20" t="s">
        <v>1154</v>
      </c>
      <c r="L750" s="20" t="s">
        <v>335</v>
      </c>
      <c r="M750" s="20" t="s">
        <v>1411</v>
      </c>
      <c r="N750" s="20" t="s">
        <v>474</v>
      </c>
      <c r="O750" s="20" t="s">
        <v>835</v>
      </c>
      <c r="P750" s="20">
        <v>5</v>
      </c>
      <c r="Q750" s="20">
        <v>3</v>
      </c>
      <c r="R750" s="20" t="s">
        <v>593</v>
      </c>
      <c r="T750" s="20" t="s">
        <v>646</v>
      </c>
      <c r="U750" s="20" t="s">
        <v>246</v>
      </c>
      <c r="V750" s="20" t="s">
        <v>1880</v>
      </c>
      <c r="W750" s="20" t="s">
        <v>2437</v>
      </c>
      <c r="X750" s="20" t="s">
        <v>835</v>
      </c>
      <c r="Y750" s="20">
        <v>5</v>
      </c>
      <c r="Z750" s="20">
        <v>7</v>
      </c>
      <c r="AA750" s="20" t="s">
        <v>592</v>
      </c>
      <c r="AL750" s="20" t="s">
        <v>1163</v>
      </c>
      <c r="AM750" s="20" t="s">
        <v>1165</v>
      </c>
      <c r="AN750" s="20" t="s">
        <v>2866</v>
      </c>
      <c r="AO750" s="20" t="s">
        <v>3191</v>
      </c>
      <c r="AP750" s="20" t="s">
        <v>835</v>
      </c>
      <c r="AQ750" s="20">
        <v>5</v>
      </c>
      <c r="AR750" s="20">
        <v>5</v>
      </c>
      <c r="AS750" s="20" t="s">
        <v>592</v>
      </c>
    </row>
    <row r="751" spans="11:45" ht="15.75" customHeight="1" x14ac:dyDescent="0.2">
      <c r="K751" s="20" t="s">
        <v>1154</v>
      </c>
      <c r="L751" s="20" t="s">
        <v>335</v>
      </c>
      <c r="M751" s="20" t="s">
        <v>2047</v>
      </c>
      <c r="N751" s="20" t="s">
        <v>2048</v>
      </c>
      <c r="O751" s="20" t="s">
        <v>835</v>
      </c>
      <c r="P751" s="20">
        <v>5</v>
      </c>
      <c r="Q751" s="20">
        <v>2</v>
      </c>
      <c r="R751" s="20" t="s">
        <v>593</v>
      </c>
      <c r="T751" s="20" t="s">
        <v>1144</v>
      </c>
      <c r="U751" s="20" t="s">
        <v>313</v>
      </c>
      <c r="V751" s="20" t="s">
        <v>713</v>
      </c>
      <c r="W751" s="20" t="s">
        <v>741</v>
      </c>
      <c r="X751" s="20" t="s">
        <v>628</v>
      </c>
      <c r="Y751" s="20">
        <v>10</v>
      </c>
      <c r="Z751" s="20">
        <v>8</v>
      </c>
      <c r="AA751" s="20" t="s">
        <v>592</v>
      </c>
      <c r="AL751" s="20" t="s">
        <v>1163</v>
      </c>
      <c r="AM751" s="20" t="s">
        <v>1165</v>
      </c>
      <c r="AN751" s="20" t="s">
        <v>1562</v>
      </c>
      <c r="AO751" s="20" t="s">
        <v>2078</v>
      </c>
      <c r="AP751" s="20" t="s">
        <v>628</v>
      </c>
      <c r="AQ751" s="20">
        <v>10</v>
      </c>
      <c r="AR751" s="20">
        <v>28</v>
      </c>
      <c r="AS751" s="20" t="s">
        <v>592</v>
      </c>
    </row>
    <row r="752" spans="11:45" ht="15.75" customHeight="1" x14ac:dyDescent="0.2">
      <c r="K752" s="20" t="s">
        <v>1154</v>
      </c>
      <c r="L752" s="20" t="s">
        <v>335</v>
      </c>
      <c r="M752" s="20" t="s">
        <v>1454</v>
      </c>
      <c r="N752" s="20" t="s">
        <v>475</v>
      </c>
      <c r="O752" s="20" t="s">
        <v>835</v>
      </c>
      <c r="P752" s="20">
        <v>5</v>
      </c>
      <c r="Q752" s="20">
        <v>4</v>
      </c>
      <c r="R752" s="20" t="s">
        <v>593</v>
      </c>
      <c r="T752" s="20" t="s">
        <v>1141</v>
      </c>
      <c r="U752" s="20" t="s">
        <v>218</v>
      </c>
      <c r="V752" s="20" t="s">
        <v>492</v>
      </c>
      <c r="W752" s="20" t="s">
        <v>2438</v>
      </c>
      <c r="X752" s="20" t="s">
        <v>628</v>
      </c>
      <c r="Y752" s="20">
        <v>10</v>
      </c>
      <c r="Z752" s="20">
        <v>9</v>
      </c>
      <c r="AA752" s="20" t="s">
        <v>592</v>
      </c>
      <c r="AL752" s="20" t="s">
        <v>1163</v>
      </c>
      <c r="AM752" s="20" t="s">
        <v>1165</v>
      </c>
      <c r="AN752" s="20" t="s">
        <v>631</v>
      </c>
      <c r="AO752" s="20" t="s">
        <v>1261</v>
      </c>
      <c r="AP752" s="20" t="s">
        <v>835</v>
      </c>
      <c r="AQ752" s="20">
        <v>5</v>
      </c>
      <c r="AR752" s="20">
        <v>11</v>
      </c>
      <c r="AS752" s="20" t="s">
        <v>592</v>
      </c>
    </row>
    <row r="753" spans="11:45" ht="15.75" customHeight="1" x14ac:dyDescent="0.2">
      <c r="K753" s="20" t="s">
        <v>1154</v>
      </c>
      <c r="L753" s="20" t="s">
        <v>335</v>
      </c>
      <c r="M753" s="20" t="s">
        <v>2049</v>
      </c>
      <c r="N753" s="20" t="s">
        <v>711</v>
      </c>
      <c r="O753" s="20" t="s">
        <v>835</v>
      </c>
      <c r="P753" s="20">
        <v>5</v>
      </c>
      <c r="Q753" s="20">
        <v>2</v>
      </c>
      <c r="R753" s="20" t="s">
        <v>593</v>
      </c>
      <c r="T753" s="20" t="s">
        <v>1144</v>
      </c>
      <c r="U753" s="20" t="s">
        <v>707</v>
      </c>
      <c r="V753" s="20" t="s">
        <v>854</v>
      </c>
      <c r="W753" s="20" t="s">
        <v>2148</v>
      </c>
      <c r="X753" s="20" t="s">
        <v>628</v>
      </c>
      <c r="Y753" s="20">
        <v>10</v>
      </c>
      <c r="Z753" s="20">
        <v>9</v>
      </c>
      <c r="AA753" s="20" t="s">
        <v>592</v>
      </c>
      <c r="AL753" s="20" t="s">
        <v>1163</v>
      </c>
      <c r="AM753" s="20" t="s">
        <v>57</v>
      </c>
      <c r="AN753" s="20" t="s">
        <v>811</v>
      </c>
      <c r="AO753" s="20" t="s">
        <v>1326</v>
      </c>
      <c r="AP753" s="20" t="s">
        <v>628</v>
      </c>
      <c r="AQ753" s="20">
        <v>10</v>
      </c>
      <c r="AR753" s="20">
        <v>5</v>
      </c>
      <c r="AS753" s="20" t="s">
        <v>593</v>
      </c>
    </row>
    <row r="754" spans="11:45" ht="15.75" customHeight="1" x14ac:dyDescent="0.2">
      <c r="K754" s="20" t="s">
        <v>1154</v>
      </c>
      <c r="L754" s="20" t="s">
        <v>335</v>
      </c>
      <c r="M754" s="20" t="s">
        <v>1029</v>
      </c>
      <c r="N754" s="20" t="s">
        <v>575</v>
      </c>
      <c r="O754" s="20" t="s">
        <v>835</v>
      </c>
      <c r="P754" s="20">
        <v>5</v>
      </c>
      <c r="Q754" s="20">
        <v>1</v>
      </c>
      <c r="R754" s="20" t="s">
        <v>593</v>
      </c>
      <c r="T754" s="20" t="s">
        <v>1144</v>
      </c>
      <c r="U754" s="20" t="s">
        <v>707</v>
      </c>
      <c r="V754" s="20" t="s">
        <v>496</v>
      </c>
      <c r="W754" s="20" t="s">
        <v>2439</v>
      </c>
      <c r="X754" s="20" t="s">
        <v>835</v>
      </c>
      <c r="Y754" s="20">
        <v>5</v>
      </c>
      <c r="Z754" s="20">
        <v>5</v>
      </c>
      <c r="AA754" s="20" t="s">
        <v>592</v>
      </c>
      <c r="AL754" s="20" t="s">
        <v>1163</v>
      </c>
      <c r="AM754" s="20" t="s">
        <v>57</v>
      </c>
      <c r="AN754" s="20" t="s">
        <v>359</v>
      </c>
      <c r="AO754" s="20" t="s">
        <v>3192</v>
      </c>
      <c r="AP754" s="20" t="s">
        <v>628</v>
      </c>
      <c r="AQ754" s="20">
        <v>10</v>
      </c>
      <c r="AR754" s="20">
        <v>55</v>
      </c>
      <c r="AS754" s="20" t="s">
        <v>592</v>
      </c>
    </row>
    <row r="755" spans="11:45" ht="15.75" customHeight="1" x14ac:dyDescent="0.2">
      <c r="K755" s="20" t="s">
        <v>640</v>
      </c>
      <c r="L755" s="20" t="s">
        <v>191</v>
      </c>
      <c r="M755" s="20" t="s">
        <v>815</v>
      </c>
      <c r="N755" s="20" t="s">
        <v>568</v>
      </c>
      <c r="O755" s="20" t="s">
        <v>835</v>
      </c>
      <c r="P755" s="20">
        <v>5</v>
      </c>
      <c r="Q755" s="20">
        <v>3</v>
      </c>
      <c r="R755" s="20" t="s">
        <v>593</v>
      </c>
      <c r="T755" s="20" t="s">
        <v>1169</v>
      </c>
      <c r="U755" s="20" t="s">
        <v>19</v>
      </c>
      <c r="V755" s="20" t="s">
        <v>499</v>
      </c>
      <c r="W755" s="20" t="s">
        <v>826</v>
      </c>
      <c r="X755" s="20" t="s">
        <v>628</v>
      </c>
      <c r="Y755" s="20">
        <v>10</v>
      </c>
      <c r="Z755" s="20">
        <v>8</v>
      </c>
      <c r="AA755" s="20" t="s">
        <v>592</v>
      </c>
      <c r="AL755" s="20" t="s">
        <v>1163</v>
      </c>
      <c r="AM755" s="20" t="s">
        <v>57</v>
      </c>
      <c r="AN755" s="20" t="s">
        <v>2087</v>
      </c>
      <c r="AO755" s="20" t="s">
        <v>3193</v>
      </c>
      <c r="AP755" s="20" t="s">
        <v>628</v>
      </c>
      <c r="AQ755" s="20">
        <v>10</v>
      </c>
      <c r="AR755" s="20">
        <v>2</v>
      </c>
      <c r="AS755" s="20" t="s">
        <v>593</v>
      </c>
    </row>
    <row r="756" spans="11:45" ht="15.75" customHeight="1" x14ac:dyDescent="0.2">
      <c r="K756" s="20" t="s">
        <v>1149</v>
      </c>
      <c r="L756" s="20" t="s">
        <v>806</v>
      </c>
      <c r="M756" s="20" t="s">
        <v>1133</v>
      </c>
      <c r="N756" s="20" t="s">
        <v>502</v>
      </c>
      <c r="O756" s="20" t="s">
        <v>628</v>
      </c>
      <c r="P756" s="20">
        <v>10</v>
      </c>
      <c r="Q756" s="20">
        <v>9</v>
      </c>
      <c r="R756" s="20" t="s">
        <v>592</v>
      </c>
      <c r="T756" s="20" t="s">
        <v>1161</v>
      </c>
      <c r="U756" s="20" t="s">
        <v>765</v>
      </c>
      <c r="V756" s="20" t="s">
        <v>1782</v>
      </c>
      <c r="W756" s="20" t="s">
        <v>2440</v>
      </c>
      <c r="X756" s="20" t="s">
        <v>835</v>
      </c>
      <c r="Y756" s="20">
        <v>5</v>
      </c>
      <c r="Z756" s="20">
        <v>5</v>
      </c>
      <c r="AA756" s="20" t="s">
        <v>592</v>
      </c>
      <c r="AL756" s="20" t="s">
        <v>1163</v>
      </c>
      <c r="AM756" s="20" t="s">
        <v>57</v>
      </c>
      <c r="AN756" s="20" t="s">
        <v>2867</v>
      </c>
      <c r="AO756" s="20" t="s">
        <v>3194</v>
      </c>
      <c r="AP756" s="20" t="s">
        <v>835</v>
      </c>
      <c r="AQ756" s="20">
        <v>5</v>
      </c>
      <c r="AR756" s="20">
        <v>1</v>
      </c>
      <c r="AS756" s="20" t="s">
        <v>593</v>
      </c>
    </row>
    <row r="757" spans="11:45" ht="15.75" customHeight="1" x14ac:dyDescent="0.2">
      <c r="K757" s="20" t="s">
        <v>1149</v>
      </c>
      <c r="L757" s="20" t="s">
        <v>63</v>
      </c>
      <c r="M757" s="20" t="s">
        <v>906</v>
      </c>
      <c r="N757" s="20" t="s">
        <v>880</v>
      </c>
      <c r="O757" s="20" t="s">
        <v>835</v>
      </c>
      <c r="P757" s="20">
        <v>5</v>
      </c>
      <c r="Q757" s="20">
        <v>1</v>
      </c>
      <c r="R757" s="20" t="s">
        <v>593</v>
      </c>
      <c r="T757" s="20" t="s">
        <v>646</v>
      </c>
      <c r="U757" s="20" t="s">
        <v>298</v>
      </c>
      <c r="V757" s="20" t="s">
        <v>370</v>
      </c>
      <c r="W757" s="20" t="s">
        <v>2068</v>
      </c>
      <c r="X757" s="20" t="s">
        <v>835</v>
      </c>
      <c r="Y757" s="20">
        <v>5</v>
      </c>
      <c r="Z757" s="20">
        <v>1</v>
      </c>
      <c r="AA757" s="20" t="s">
        <v>593</v>
      </c>
      <c r="AL757" s="20" t="s">
        <v>1163</v>
      </c>
      <c r="AM757" s="20" t="s">
        <v>57</v>
      </c>
      <c r="AN757" s="20" t="s">
        <v>2868</v>
      </c>
      <c r="AO757" s="20" t="s">
        <v>3195</v>
      </c>
      <c r="AP757" s="20" t="s">
        <v>835</v>
      </c>
      <c r="AQ757" s="20">
        <v>5</v>
      </c>
      <c r="AR757" s="20">
        <v>1</v>
      </c>
      <c r="AS757" s="20" t="s">
        <v>593</v>
      </c>
    </row>
    <row r="758" spans="11:45" ht="15.75" customHeight="1" x14ac:dyDescent="0.2">
      <c r="K758" s="20" t="s">
        <v>1149</v>
      </c>
      <c r="L758" s="20" t="s">
        <v>63</v>
      </c>
      <c r="M758" s="20" t="s">
        <v>1549</v>
      </c>
      <c r="N758" s="20" t="s">
        <v>472</v>
      </c>
      <c r="O758" s="20" t="s">
        <v>835</v>
      </c>
      <c r="P758" s="20">
        <v>5</v>
      </c>
      <c r="Q758" s="20">
        <v>1</v>
      </c>
      <c r="R758" s="20" t="s">
        <v>593</v>
      </c>
      <c r="T758" s="20" t="s">
        <v>646</v>
      </c>
      <c r="U758" s="20" t="s">
        <v>298</v>
      </c>
      <c r="V758" s="20" t="s">
        <v>424</v>
      </c>
      <c r="W758" s="20" t="s">
        <v>2441</v>
      </c>
      <c r="X758" s="20" t="s">
        <v>835</v>
      </c>
      <c r="Y758" s="20">
        <v>5</v>
      </c>
      <c r="Z758" s="20">
        <v>1</v>
      </c>
      <c r="AA758" s="20" t="s">
        <v>593</v>
      </c>
      <c r="AL758" s="20" t="s">
        <v>1163</v>
      </c>
      <c r="AM758" s="20" t="s">
        <v>837</v>
      </c>
      <c r="AN758" s="20" t="s">
        <v>2869</v>
      </c>
      <c r="AO758" s="20" t="s">
        <v>3196</v>
      </c>
      <c r="AP758" s="20" t="s">
        <v>835</v>
      </c>
      <c r="AQ758" s="20">
        <v>5</v>
      </c>
      <c r="AR758" s="20">
        <v>5</v>
      </c>
      <c r="AS758" s="20" t="s">
        <v>592</v>
      </c>
    </row>
    <row r="759" spans="11:45" ht="15.75" customHeight="1" x14ac:dyDescent="0.2">
      <c r="K759" s="20" t="s">
        <v>1149</v>
      </c>
      <c r="L759" s="20" t="s">
        <v>63</v>
      </c>
      <c r="M759" s="20" t="s">
        <v>2050</v>
      </c>
      <c r="N759" s="20" t="s">
        <v>1711</v>
      </c>
      <c r="O759" s="20" t="s">
        <v>835</v>
      </c>
      <c r="P759" s="20">
        <v>5</v>
      </c>
      <c r="Q759" s="20">
        <v>1</v>
      </c>
      <c r="R759" s="20" t="s">
        <v>593</v>
      </c>
      <c r="T759" s="20" t="s">
        <v>1144</v>
      </c>
      <c r="U759" s="20" t="s">
        <v>23</v>
      </c>
      <c r="V759" s="20" t="s">
        <v>558</v>
      </c>
      <c r="W759" s="20" t="s">
        <v>1117</v>
      </c>
      <c r="X759" s="20" t="s">
        <v>835</v>
      </c>
      <c r="Y759" s="20">
        <v>5</v>
      </c>
      <c r="Z759" s="20">
        <v>7</v>
      </c>
      <c r="AA759" s="20" t="s">
        <v>592</v>
      </c>
      <c r="AL759" s="20" t="s">
        <v>1163</v>
      </c>
      <c r="AM759" s="20" t="s">
        <v>837</v>
      </c>
      <c r="AN759" s="20" t="s">
        <v>786</v>
      </c>
      <c r="AO759" s="20" t="s">
        <v>1395</v>
      </c>
      <c r="AP759" s="20" t="s">
        <v>835</v>
      </c>
      <c r="AQ759" s="20">
        <v>5</v>
      </c>
      <c r="AR759" s="20">
        <v>1</v>
      </c>
      <c r="AS759" s="20" t="s">
        <v>593</v>
      </c>
    </row>
    <row r="760" spans="11:45" ht="15.75" customHeight="1" x14ac:dyDescent="0.2">
      <c r="K760" s="20" t="s">
        <v>1149</v>
      </c>
      <c r="L760" s="20" t="s">
        <v>63</v>
      </c>
      <c r="M760" s="20" t="s">
        <v>1000</v>
      </c>
      <c r="N760" s="20" t="s">
        <v>473</v>
      </c>
      <c r="O760" s="20" t="s">
        <v>835</v>
      </c>
      <c r="P760" s="20">
        <v>5</v>
      </c>
      <c r="Q760" s="20">
        <v>7</v>
      </c>
      <c r="R760" s="20" t="s">
        <v>592</v>
      </c>
      <c r="T760" s="20" t="s">
        <v>1144</v>
      </c>
      <c r="U760" s="20" t="s">
        <v>23</v>
      </c>
      <c r="V760" s="20" t="s">
        <v>2513</v>
      </c>
      <c r="W760" s="20" t="s">
        <v>2442</v>
      </c>
      <c r="X760" s="20" t="s">
        <v>835</v>
      </c>
      <c r="Y760" s="20">
        <v>5</v>
      </c>
      <c r="Z760" s="20">
        <v>6</v>
      </c>
      <c r="AA760" s="20" t="s">
        <v>592</v>
      </c>
      <c r="AL760" s="20" t="s">
        <v>1163</v>
      </c>
      <c r="AM760" s="20" t="s">
        <v>57</v>
      </c>
      <c r="AN760" s="20" t="s">
        <v>768</v>
      </c>
      <c r="AO760" s="20" t="s">
        <v>1279</v>
      </c>
      <c r="AP760" s="20" t="s">
        <v>628</v>
      </c>
      <c r="AQ760" s="20">
        <v>10</v>
      </c>
      <c r="AR760" s="20">
        <v>1</v>
      </c>
      <c r="AS760" s="20" t="s">
        <v>593</v>
      </c>
    </row>
    <row r="761" spans="11:45" ht="15.75" customHeight="1" x14ac:dyDescent="0.2">
      <c r="K761" s="20" t="s">
        <v>1149</v>
      </c>
      <c r="L761" s="20" t="s">
        <v>63</v>
      </c>
      <c r="M761" s="20" t="s">
        <v>2051</v>
      </c>
      <c r="N761" s="20" t="s">
        <v>473</v>
      </c>
      <c r="O761" s="20" t="s">
        <v>835</v>
      </c>
      <c r="P761" s="20">
        <v>5</v>
      </c>
      <c r="Q761" s="20">
        <v>1</v>
      </c>
      <c r="R761" s="20" t="s">
        <v>592</v>
      </c>
      <c r="T761" s="20" t="s">
        <v>1144</v>
      </c>
      <c r="U761" s="20" t="s">
        <v>249</v>
      </c>
      <c r="V761" s="20" t="s">
        <v>436</v>
      </c>
      <c r="W761" s="20" t="s">
        <v>1002</v>
      </c>
      <c r="X761" s="20" t="s">
        <v>835</v>
      </c>
      <c r="Y761" s="20">
        <v>5</v>
      </c>
      <c r="Z761" s="20">
        <v>4</v>
      </c>
      <c r="AA761" s="20" t="s">
        <v>592</v>
      </c>
      <c r="AL761" s="20" t="s">
        <v>1163</v>
      </c>
      <c r="AM761" s="20" t="s">
        <v>57</v>
      </c>
      <c r="AN761" s="20" t="s">
        <v>768</v>
      </c>
      <c r="AO761" s="20" t="s">
        <v>3197</v>
      </c>
      <c r="AP761" s="20" t="s">
        <v>628</v>
      </c>
      <c r="AQ761" s="20">
        <v>10</v>
      </c>
      <c r="AR761" s="20">
        <v>21</v>
      </c>
      <c r="AS761" s="20" t="s">
        <v>592</v>
      </c>
    </row>
    <row r="762" spans="11:45" ht="15.75" customHeight="1" x14ac:dyDescent="0.2">
      <c r="K762" s="20" t="s">
        <v>1149</v>
      </c>
      <c r="L762" s="20" t="s">
        <v>806</v>
      </c>
      <c r="M762" s="20" t="s">
        <v>1503</v>
      </c>
      <c r="N762" s="20" t="s">
        <v>1504</v>
      </c>
      <c r="O762" s="20" t="s">
        <v>835</v>
      </c>
      <c r="P762" s="20">
        <v>5</v>
      </c>
      <c r="Q762" s="20">
        <v>5</v>
      </c>
      <c r="R762" s="20" t="s">
        <v>592</v>
      </c>
      <c r="T762" s="20" t="s">
        <v>1144</v>
      </c>
      <c r="U762" s="20" t="s">
        <v>249</v>
      </c>
      <c r="V762" s="20" t="s">
        <v>436</v>
      </c>
      <c r="W762" s="20" t="s">
        <v>2128</v>
      </c>
      <c r="X762" s="20" t="s">
        <v>835</v>
      </c>
      <c r="Y762" s="20">
        <v>5</v>
      </c>
      <c r="Z762" s="20">
        <v>1</v>
      </c>
      <c r="AA762" s="20" t="s">
        <v>592</v>
      </c>
      <c r="AL762" s="20" t="s">
        <v>1163</v>
      </c>
      <c r="AM762" s="20" t="s">
        <v>57</v>
      </c>
      <c r="AN762" s="20" t="s">
        <v>2082</v>
      </c>
      <c r="AO762" s="20" t="s">
        <v>3198</v>
      </c>
      <c r="AP762" s="20" t="s">
        <v>628</v>
      </c>
      <c r="AQ762" s="20">
        <v>10</v>
      </c>
      <c r="AR762" s="20">
        <v>6</v>
      </c>
      <c r="AS762" s="20" t="s">
        <v>593</v>
      </c>
    </row>
    <row r="763" spans="11:45" ht="15.75" customHeight="1" x14ac:dyDescent="0.2">
      <c r="K763" s="20" t="s">
        <v>1149</v>
      </c>
      <c r="L763" s="20" t="s">
        <v>806</v>
      </c>
      <c r="M763" s="20" t="s">
        <v>2052</v>
      </c>
      <c r="N763" s="20" t="s">
        <v>468</v>
      </c>
      <c r="O763" s="20" t="s">
        <v>835</v>
      </c>
      <c r="P763" s="20">
        <v>5</v>
      </c>
      <c r="Q763" s="20">
        <v>5</v>
      </c>
      <c r="R763" s="20" t="s">
        <v>592</v>
      </c>
      <c r="T763" s="20" t="s">
        <v>1158</v>
      </c>
      <c r="U763" s="20" t="s">
        <v>928</v>
      </c>
      <c r="V763" s="20" t="s">
        <v>612</v>
      </c>
      <c r="W763" s="20" t="s">
        <v>2443</v>
      </c>
      <c r="X763" s="20" t="s">
        <v>835</v>
      </c>
      <c r="Y763" s="20">
        <v>5</v>
      </c>
      <c r="Z763" s="20">
        <v>1</v>
      </c>
      <c r="AA763" s="20" t="s">
        <v>593</v>
      </c>
      <c r="AL763" s="20" t="s">
        <v>1163</v>
      </c>
      <c r="AM763" s="20" t="s">
        <v>57</v>
      </c>
      <c r="AN763" s="20" t="s">
        <v>505</v>
      </c>
      <c r="AO763" s="20" t="s">
        <v>1061</v>
      </c>
      <c r="AP763" s="20" t="s">
        <v>628</v>
      </c>
      <c r="AQ763" s="20">
        <v>10</v>
      </c>
      <c r="AR763" s="20">
        <v>5</v>
      </c>
      <c r="AS763" s="20" t="s">
        <v>593</v>
      </c>
    </row>
    <row r="764" spans="11:45" ht="15.75" customHeight="1" x14ac:dyDescent="0.2">
      <c r="K764" s="20" t="s">
        <v>1149</v>
      </c>
      <c r="L764" s="20" t="s">
        <v>63</v>
      </c>
      <c r="M764" s="20" t="s">
        <v>2053</v>
      </c>
      <c r="N764" s="20" t="s">
        <v>1655</v>
      </c>
      <c r="O764" s="20" t="s">
        <v>835</v>
      </c>
      <c r="P764" s="20">
        <v>5</v>
      </c>
      <c r="Q764" s="20">
        <v>1</v>
      </c>
      <c r="R764" s="20" t="s">
        <v>593</v>
      </c>
      <c r="T764" s="20" t="s">
        <v>1147</v>
      </c>
      <c r="U764" s="20" t="s">
        <v>244</v>
      </c>
      <c r="V764" s="20" t="s">
        <v>2495</v>
      </c>
      <c r="W764" s="20" t="s">
        <v>2444</v>
      </c>
      <c r="X764" s="20" t="s">
        <v>835</v>
      </c>
      <c r="Y764" s="20">
        <v>5</v>
      </c>
      <c r="Z764" s="20">
        <v>6</v>
      </c>
      <c r="AA764" s="20" t="s">
        <v>592</v>
      </c>
      <c r="AL764" s="20" t="s">
        <v>1163</v>
      </c>
      <c r="AM764" s="20" t="s">
        <v>57</v>
      </c>
      <c r="AN764" s="20" t="s">
        <v>506</v>
      </c>
      <c r="AO764" s="20" t="s">
        <v>1493</v>
      </c>
      <c r="AP764" s="20" t="s">
        <v>628</v>
      </c>
      <c r="AQ764" s="20">
        <v>10</v>
      </c>
      <c r="AR764" s="20">
        <v>3</v>
      </c>
      <c r="AS764" s="20" t="s">
        <v>593</v>
      </c>
    </row>
    <row r="765" spans="11:45" ht="15.75" customHeight="1" x14ac:dyDescent="0.2">
      <c r="K765" s="20" t="s">
        <v>1158</v>
      </c>
      <c r="L765" s="20" t="s">
        <v>726</v>
      </c>
      <c r="M765" s="20" t="s">
        <v>2054</v>
      </c>
      <c r="N765" s="20" t="s">
        <v>679</v>
      </c>
      <c r="O765" s="20" t="s">
        <v>835</v>
      </c>
      <c r="P765" s="20">
        <v>5</v>
      </c>
      <c r="Q765" s="20">
        <v>5</v>
      </c>
      <c r="R765" s="20" t="s">
        <v>592</v>
      </c>
      <c r="T765" s="20" t="s">
        <v>646</v>
      </c>
      <c r="U765" s="20" t="s">
        <v>25</v>
      </c>
      <c r="V765" s="20" t="s">
        <v>372</v>
      </c>
      <c r="W765" s="20" t="s">
        <v>1305</v>
      </c>
      <c r="X765" s="20" t="s">
        <v>835</v>
      </c>
      <c r="Y765" s="20">
        <v>5</v>
      </c>
      <c r="Z765" s="20">
        <v>1</v>
      </c>
      <c r="AA765" s="20" t="s">
        <v>593</v>
      </c>
      <c r="AL765" s="20" t="s">
        <v>1163</v>
      </c>
      <c r="AM765" s="20" t="s">
        <v>57</v>
      </c>
      <c r="AN765" s="20" t="s">
        <v>361</v>
      </c>
      <c r="AO765" s="20" t="s">
        <v>1497</v>
      </c>
      <c r="AP765" s="20" t="s">
        <v>628</v>
      </c>
      <c r="AQ765" s="20">
        <v>10</v>
      </c>
      <c r="AR765" s="20">
        <v>10</v>
      </c>
      <c r="AS765" s="20" t="s">
        <v>592</v>
      </c>
    </row>
    <row r="766" spans="11:45" ht="15.75" customHeight="1" x14ac:dyDescent="0.2">
      <c r="K766" s="20" t="s">
        <v>1158</v>
      </c>
      <c r="L766" s="20" t="s">
        <v>726</v>
      </c>
      <c r="M766" s="20" t="s">
        <v>1730</v>
      </c>
      <c r="N766" s="20" t="s">
        <v>1731</v>
      </c>
      <c r="O766" s="20" t="s">
        <v>835</v>
      </c>
      <c r="P766" s="20">
        <v>5</v>
      </c>
      <c r="Q766" s="20">
        <v>4</v>
      </c>
      <c r="R766" s="20" t="s">
        <v>592</v>
      </c>
      <c r="T766" s="20" t="s">
        <v>1169</v>
      </c>
      <c r="U766" s="20" t="s">
        <v>216</v>
      </c>
      <c r="V766" s="20" t="s">
        <v>680</v>
      </c>
      <c r="W766" s="20" t="s">
        <v>738</v>
      </c>
      <c r="X766" s="20" t="s">
        <v>628</v>
      </c>
      <c r="Y766" s="20">
        <v>10</v>
      </c>
      <c r="Z766" s="20">
        <v>3</v>
      </c>
      <c r="AA766" s="20" t="s">
        <v>593</v>
      </c>
      <c r="AL766" s="20" t="s">
        <v>1163</v>
      </c>
      <c r="AM766" s="20" t="s">
        <v>57</v>
      </c>
      <c r="AN766" s="20" t="s">
        <v>361</v>
      </c>
      <c r="AO766" s="20" t="s">
        <v>3199</v>
      </c>
      <c r="AP766" s="20" t="s">
        <v>628</v>
      </c>
      <c r="AQ766" s="20">
        <v>10</v>
      </c>
      <c r="AR766" s="20">
        <v>13</v>
      </c>
      <c r="AS766" s="20" t="s">
        <v>592</v>
      </c>
    </row>
    <row r="767" spans="11:45" ht="15.75" customHeight="1" x14ac:dyDescent="0.2">
      <c r="K767" s="20" t="s">
        <v>1158</v>
      </c>
      <c r="L767" s="20" t="s">
        <v>726</v>
      </c>
      <c r="M767" s="20" t="s">
        <v>2055</v>
      </c>
      <c r="N767" s="20" t="s">
        <v>1731</v>
      </c>
      <c r="O767" s="20" t="s">
        <v>835</v>
      </c>
      <c r="P767" s="20">
        <v>5</v>
      </c>
      <c r="Q767" s="20">
        <v>1</v>
      </c>
      <c r="R767" s="20" t="s">
        <v>592</v>
      </c>
      <c r="T767" s="20" t="s">
        <v>1155</v>
      </c>
      <c r="U767" s="20" t="s">
        <v>1156</v>
      </c>
      <c r="V767" s="20" t="s">
        <v>1835</v>
      </c>
      <c r="W767" s="20" t="s">
        <v>2338</v>
      </c>
      <c r="X767" s="20" t="s">
        <v>835</v>
      </c>
      <c r="Y767" s="20">
        <v>5</v>
      </c>
      <c r="Z767" s="20">
        <v>6</v>
      </c>
      <c r="AA767" s="20" t="s">
        <v>592</v>
      </c>
      <c r="AL767" s="20" t="s">
        <v>1163</v>
      </c>
      <c r="AM767" s="20" t="s">
        <v>837</v>
      </c>
      <c r="AN767" s="20" t="s">
        <v>358</v>
      </c>
      <c r="AO767" s="20" t="s">
        <v>1889</v>
      </c>
      <c r="AP767" s="20" t="s">
        <v>628</v>
      </c>
      <c r="AQ767" s="20">
        <v>10</v>
      </c>
      <c r="AR767" s="20">
        <v>21</v>
      </c>
      <c r="AS767" s="20" t="s">
        <v>592</v>
      </c>
    </row>
    <row r="768" spans="11:45" ht="15.75" customHeight="1" x14ac:dyDescent="0.2">
      <c r="K768" s="20" t="s">
        <v>1158</v>
      </c>
      <c r="L768" s="20" t="s">
        <v>1040</v>
      </c>
      <c r="M768" s="20" t="s">
        <v>1138</v>
      </c>
      <c r="N768" s="20" t="s">
        <v>611</v>
      </c>
      <c r="O768" s="20" t="s">
        <v>835</v>
      </c>
      <c r="P768" s="20">
        <v>5</v>
      </c>
      <c r="Q768" s="20">
        <v>1</v>
      </c>
      <c r="R768" s="20" t="s">
        <v>593</v>
      </c>
      <c r="T768" s="20" t="s">
        <v>1158</v>
      </c>
      <c r="U768" s="20" t="s">
        <v>925</v>
      </c>
      <c r="V768" s="20" t="s">
        <v>614</v>
      </c>
      <c r="W768" s="20" t="s">
        <v>2445</v>
      </c>
      <c r="X768" s="20" t="s">
        <v>835</v>
      </c>
      <c r="Y768" s="20">
        <v>5</v>
      </c>
      <c r="Z768" s="20">
        <v>1</v>
      </c>
      <c r="AA768" s="20" t="s">
        <v>593</v>
      </c>
      <c r="AL768" s="20" t="s">
        <v>1163</v>
      </c>
      <c r="AM768" s="20" t="s">
        <v>837</v>
      </c>
      <c r="AN768" s="20" t="s">
        <v>1937</v>
      </c>
      <c r="AO768" s="20" t="s">
        <v>1936</v>
      </c>
      <c r="AP768" s="20" t="s">
        <v>628</v>
      </c>
      <c r="AQ768" s="20">
        <v>10</v>
      </c>
      <c r="AR768" s="20">
        <v>10</v>
      </c>
      <c r="AS768" s="20" t="s">
        <v>592</v>
      </c>
    </row>
    <row r="769" spans="11:45" ht="15.75" customHeight="1" x14ac:dyDescent="0.2">
      <c r="K769" s="20" t="s">
        <v>1158</v>
      </c>
      <c r="L769" s="20" t="s">
        <v>291</v>
      </c>
      <c r="M769" s="20" t="s">
        <v>2056</v>
      </c>
      <c r="N769" s="20" t="s">
        <v>1724</v>
      </c>
      <c r="O769" s="20" t="s">
        <v>835</v>
      </c>
      <c r="P769" s="20">
        <v>5</v>
      </c>
      <c r="Q769" s="20">
        <v>4</v>
      </c>
      <c r="R769" s="20" t="s">
        <v>592</v>
      </c>
      <c r="T769" s="20" t="s">
        <v>646</v>
      </c>
      <c r="U769" s="20" t="s">
        <v>334</v>
      </c>
      <c r="V769" s="20" t="s">
        <v>581</v>
      </c>
      <c r="W769" s="20" t="s">
        <v>721</v>
      </c>
      <c r="X769" s="20" t="s">
        <v>835</v>
      </c>
      <c r="Y769" s="20">
        <v>5</v>
      </c>
      <c r="Z769" s="20">
        <v>5</v>
      </c>
      <c r="AA769" s="20" t="s">
        <v>592</v>
      </c>
      <c r="AL769" s="20" t="s">
        <v>1163</v>
      </c>
      <c r="AM769" s="20" t="s">
        <v>837</v>
      </c>
      <c r="AN769" s="20" t="s">
        <v>554</v>
      </c>
      <c r="AO769" s="20" t="s">
        <v>1280</v>
      </c>
      <c r="AP769" s="20" t="s">
        <v>628</v>
      </c>
      <c r="AQ769" s="20">
        <v>10</v>
      </c>
      <c r="AR769" s="20">
        <v>30</v>
      </c>
      <c r="AS769" s="20" t="s">
        <v>592</v>
      </c>
    </row>
    <row r="770" spans="11:45" ht="15.75" customHeight="1" x14ac:dyDescent="0.2">
      <c r="K770" s="20" t="s">
        <v>1158</v>
      </c>
      <c r="L770" s="20" t="s">
        <v>291</v>
      </c>
      <c r="M770" s="20" t="s">
        <v>2057</v>
      </c>
      <c r="N770" s="20" t="s">
        <v>1724</v>
      </c>
      <c r="O770" s="20" t="s">
        <v>835</v>
      </c>
      <c r="P770" s="20">
        <v>5</v>
      </c>
      <c r="Q770" s="20">
        <v>1</v>
      </c>
      <c r="R770" s="20" t="s">
        <v>592</v>
      </c>
      <c r="T770" s="20" t="s">
        <v>640</v>
      </c>
      <c r="U770" s="20" t="s">
        <v>31</v>
      </c>
      <c r="V770" s="20" t="s">
        <v>850</v>
      </c>
      <c r="W770" s="20" t="s">
        <v>1016</v>
      </c>
      <c r="X770" s="20" t="s">
        <v>835</v>
      </c>
      <c r="Y770" s="20">
        <v>5</v>
      </c>
      <c r="Z770" s="20">
        <v>6</v>
      </c>
      <c r="AA770" s="20" t="s">
        <v>592</v>
      </c>
      <c r="AL770" s="20" t="s">
        <v>1163</v>
      </c>
      <c r="AM770" s="20" t="s">
        <v>837</v>
      </c>
      <c r="AN770" s="20" t="s">
        <v>555</v>
      </c>
      <c r="AO770" s="20" t="s">
        <v>3200</v>
      </c>
      <c r="AP770" s="20" t="s">
        <v>628</v>
      </c>
      <c r="AQ770" s="20">
        <v>10</v>
      </c>
      <c r="AR770" s="20">
        <v>14</v>
      </c>
      <c r="AS770" s="20" t="s">
        <v>592</v>
      </c>
    </row>
    <row r="771" spans="11:45" ht="15.75" customHeight="1" x14ac:dyDescent="0.2">
      <c r="K771" s="20" t="s">
        <v>640</v>
      </c>
      <c r="L771" s="20" t="s">
        <v>191</v>
      </c>
      <c r="M771" s="20" t="s">
        <v>783</v>
      </c>
      <c r="N771" s="20" t="s">
        <v>569</v>
      </c>
      <c r="O771" s="20" t="s">
        <v>835</v>
      </c>
      <c r="P771" s="20">
        <v>5</v>
      </c>
      <c r="Q771" s="20">
        <v>5</v>
      </c>
      <c r="R771" s="20" t="s">
        <v>592</v>
      </c>
      <c r="T771" s="20" t="s">
        <v>1147</v>
      </c>
      <c r="U771" s="20" t="s">
        <v>244</v>
      </c>
      <c r="V771" s="20" t="s">
        <v>1948</v>
      </c>
      <c r="W771" s="20" t="s">
        <v>2446</v>
      </c>
      <c r="X771" s="20" t="s">
        <v>835</v>
      </c>
      <c r="Y771" s="20">
        <v>5</v>
      </c>
      <c r="Z771" s="20">
        <v>3</v>
      </c>
      <c r="AA771" s="20" t="s">
        <v>593</v>
      </c>
      <c r="AL771" s="20" t="s">
        <v>1163</v>
      </c>
      <c r="AM771" s="20" t="s">
        <v>837</v>
      </c>
      <c r="AN771" s="20" t="s">
        <v>2870</v>
      </c>
      <c r="AO771" s="20" t="s">
        <v>3201</v>
      </c>
      <c r="AP771" s="20" t="s">
        <v>628</v>
      </c>
      <c r="AQ771" s="20">
        <v>10</v>
      </c>
      <c r="AR771" s="20">
        <v>3</v>
      </c>
      <c r="AS771" s="20" t="s">
        <v>593</v>
      </c>
    </row>
    <row r="772" spans="11:45" ht="15.75" customHeight="1" x14ac:dyDescent="0.2">
      <c r="K772" s="20" t="s">
        <v>640</v>
      </c>
      <c r="L772" s="20" t="s">
        <v>191</v>
      </c>
      <c r="M772" s="20" t="s">
        <v>2058</v>
      </c>
      <c r="N772" s="20" t="s">
        <v>569</v>
      </c>
      <c r="O772" s="20" t="s">
        <v>835</v>
      </c>
      <c r="P772" s="20">
        <v>5</v>
      </c>
      <c r="Q772" s="20">
        <v>1</v>
      </c>
      <c r="R772" s="20" t="s">
        <v>592</v>
      </c>
      <c r="T772" s="20" t="s">
        <v>1144</v>
      </c>
      <c r="U772" s="20" t="s">
        <v>707</v>
      </c>
      <c r="V772" s="20" t="s">
        <v>846</v>
      </c>
      <c r="W772" s="20" t="s">
        <v>2149</v>
      </c>
      <c r="X772" s="20" t="s">
        <v>628</v>
      </c>
      <c r="Y772" s="20">
        <v>10</v>
      </c>
      <c r="Z772" s="20">
        <v>15</v>
      </c>
      <c r="AA772" s="20" t="s">
        <v>592</v>
      </c>
      <c r="AL772" s="20" t="s">
        <v>1163</v>
      </c>
      <c r="AM772" s="20" t="s">
        <v>837</v>
      </c>
      <c r="AN772" s="20" t="s">
        <v>2871</v>
      </c>
      <c r="AO772" s="20" t="s">
        <v>3202</v>
      </c>
      <c r="AP772" s="20" t="s">
        <v>628</v>
      </c>
      <c r="AQ772" s="20">
        <v>10</v>
      </c>
      <c r="AR772" s="20">
        <v>8</v>
      </c>
      <c r="AS772" s="20" t="s">
        <v>592</v>
      </c>
    </row>
    <row r="773" spans="11:45" ht="15.75" customHeight="1" x14ac:dyDescent="0.2">
      <c r="K773" s="20" t="s">
        <v>640</v>
      </c>
      <c r="L773" s="20" t="s">
        <v>248</v>
      </c>
      <c r="M773" s="20" t="s">
        <v>2059</v>
      </c>
      <c r="N773" s="20" t="s">
        <v>2060</v>
      </c>
      <c r="O773" s="20" t="s">
        <v>835</v>
      </c>
      <c r="P773" s="20">
        <v>5</v>
      </c>
      <c r="Q773" s="20">
        <v>5</v>
      </c>
      <c r="R773" s="20" t="s">
        <v>592</v>
      </c>
      <c r="T773" s="20" t="s">
        <v>1143</v>
      </c>
      <c r="U773" s="20" t="s">
        <v>706</v>
      </c>
      <c r="V773" s="20" t="s">
        <v>404</v>
      </c>
      <c r="W773" s="20" t="s">
        <v>1257</v>
      </c>
      <c r="X773" s="20" t="s">
        <v>835</v>
      </c>
      <c r="Y773" s="20">
        <v>5</v>
      </c>
      <c r="Z773" s="20">
        <v>1</v>
      </c>
      <c r="AA773" s="20" t="s">
        <v>593</v>
      </c>
      <c r="AL773" s="20" t="s">
        <v>1163</v>
      </c>
      <c r="AM773" s="20" t="s">
        <v>837</v>
      </c>
      <c r="AN773" s="20" t="s">
        <v>407</v>
      </c>
      <c r="AO773" s="20" t="s">
        <v>1216</v>
      </c>
      <c r="AP773" s="20" t="s">
        <v>628</v>
      </c>
      <c r="AQ773" s="20">
        <v>10</v>
      </c>
      <c r="AR773" s="20">
        <v>12</v>
      </c>
      <c r="AS773" s="20" t="s">
        <v>592</v>
      </c>
    </row>
    <row r="774" spans="11:45" ht="15.75" customHeight="1" x14ac:dyDescent="0.2">
      <c r="K774" s="20" t="s">
        <v>640</v>
      </c>
      <c r="L774" s="20" t="s">
        <v>248</v>
      </c>
      <c r="M774" s="20" t="s">
        <v>2061</v>
      </c>
      <c r="N774" s="20" t="s">
        <v>844</v>
      </c>
      <c r="O774" s="20" t="s">
        <v>835</v>
      </c>
      <c r="P774" s="20">
        <v>5</v>
      </c>
      <c r="Q774" s="20">
        <v>1</v>
      </c>
      <c r="R774" s="20" t="s">
        <v>592</v>
      </c>
      <c r="T774" s="20" t="s">
        <v>1143</v>
      </c>
      <c r="U774" s="20" t="s">
        <v>706</v>
      </c>
      <c r="V774" s="20" t="s">
        <v>2076</v>
      </c>
      <c r="W774" s="20" t="s">
        <v>2075</v>
      </c>
      <c r="X774" s="20" t="s">
        <v>835</v>
      </c>
      <c r="Y774" s="20">
        <v>5</v>
      </c>
      <c r="Z774" s="20">
        <v>1</v>
      </c>
      <c r="AA774" s="20" t="s">
        <v>593</v>
      </c>
      <c r="AL774" s="20" t="s">
        <v>1163</v>
      </c>
      <c r="AM774" s="20" t="s">
        <v>221</v>
      </c>
      <c r="AN774" s="20" t="s">
        <v>2872</v>
      </c>
      <c r="AO774" s="20" t="s">
        <v>3203</v>
      </c>
      <c r="AP774" s="20" t="s">
        <v>628</v>
      </c>
      <c r="AQ774" s="20">
        <v>10</v>
      </c>
      <c r="AR774" s="20">
        <v>8</v>
      </c>
      <c r="AS774" s="20" t="s">
        <v>592</v>
      </c>
    </row>
    <row r="775" spans="11:45" ht="15.75" customHeight="1" x14ac:dyDescent="0.2">
      <c r="K775" s="20" t="s">
        <v>640</v>
      </c>
      <c r="L775" s="20" t="s">
        <v>248</v>
      </c>
      <c r="M775" s="20" t="s">
        <v>1374</v>
      </c>
      <c r="N775" s="20" t="s">
        <v>844</v>
      </c>
      <c r="O775" s="20" t="s">
        <v>835</v>
      </c>
      <c r="P775" s="20">
        <v>5</v>
      </c>
      <c r="Q775" s="20">
        <v>6</v>
      </c>
      <c r="R775" s="20" t="s">
        <v>592</v>
      </c>
      <c r="T775" s="20" t="s">
        <v>2099</v>
      </c>
      <c r="U775" s="20" t="s">
        <v>2103</v>
      </c>
      <c r="V775" s="20"/>
      <c r="W775" s="20" t="s">
        <v>2220</v>
      </c>
      <c r="X775" s="20" t="s">
        <v>2514</v>
      </c>
      <c r="Y775" s="20">
        <v>3</v>
      </c>
      <c r="Z775" s="20">
        <v>6</v>
      </c>
      <c r="AA775" s="20" t="s">
        <v>592</v>
      </c>
      <c r="AL775" s="20" t="s">
        <v>1163</v>
      </c>
      <c r="AM775" s="20" t="s">
        <v>221</v>
      </c>
      <c r="AN775" s="20" t="s">
        <v>2873</v>
      </c>
      <c r="AO775" s="20" t="s">
        <v>3204</v>
      </c>
      <c r="AP775" s="20" t="s">
        <v>628</v>
      </c>
      <c r="AQ775" s="20">
        <v>10</v>
      </c>
      <c r="AR775" s="20">
        <v>2</v>
      </c>
      <c r="AS775" s="20" t="s">
        <v>593</v>
      </c>
    </row>
    <row r="776" spans="11:45" ht="15.75" customHeight="1" x14ac:dyDescent="0.2">
      <c r="K776" s="20" t="s">
        <v>640</v>
      </c>
      <c r="L776" s="20" t="s">
        <v>191</v>
      </c>
      <c r="M776" s="20" t="s">
        <v>1754</v>
      </c>
      <c r="N776" s="20" t="s">
        <v>570</v>
      </c>
      <c r="O776" s="20" t="s">
        <v>835</v>
      </c>
      <c r="P776" s="20">
        <v>5</v>
      </c>
      <c r="Q776" s="20">
        <v>4</v>
      </c>
      <c r="R776" s="20" t="s">
        <v>593</v>
      </c>
      <c r="T776" s="20" t="s">
        <v>2099</v>
      </c>
      <c r="U776" s="20" t="s">
        <v>2112</v>
      </c>
      <c r="V776" s="20"/>
      <c r="W776" s="20" t="s">
        <v>2245</v>
      </c>
      <c r="X776" s="20" t="s">
        <v>2514</v>
      </c>
      <c r="Y776" s="20">
        <v>3</v>
      </c>
      <c r="Z776" s="20">
        <v>3</v>
      </c>
      <c r="AA776" s="20" t="s">
        <v>592</v>
      </c>
      <c r="AL776" s="20" t="s">
        <v>1163</v>
      </c>
      <c r="AM776" s="20" t="s">
        <v>221</v>
      </c>
      <c r="AN776" s="20" t="s">
        <v>2534</v>
      </c>
      <c r="AO776" s="20" t="s">
        <v>3205</v>
      </c>
      <c r="AP776" s="20" t="s">
        <v>628</v>
      </c>
      <c r="AQ776" s="20">
        <v>10</v>
      </c>
      <c r="AR776" s="20">
        <v>9</v>
      </c>
      <c r="AS776" s="20" t="s">
        <v>592</v>
      </c>
    </row>
    <row r="777" spans="11:45" ht="15.75" customHeight="1" x14ac:dyDescent="0.2">
      <c r="K777" s="20" t="s">
        <v>640</v>
      </c>
      <c r="L777" s="20" t="s">
        <v>31</v>
      </c>
      <c r="M777" s="20" t="s">
        <v>1016</v>
      </c>
      <c r="N777" s="20" t="s">
        <v>850</v>
      </c>
      <c r="O777" s="20" t="s">
        <v>835</v>
      </c>
      <c r="P777" s="20">
        <v>5</v>
      </c>
      <c r="Q777" s="20">
        <v>5</v>
      </c>
      <c r="R777" s="20" t="s">
        <v>592</v>
      </c>
      <c r="T777" s="20" t="s">
        <v>2099</v>
      </c>
      <c r="U777" s="20" t="s">
        <v>2106</v>
      </c>
      <c r="V777" s="20"/>
      <c r="W777" s="20" t="s">
        <v>2229</v>
      </c>
      <c r="X777" s="20" t="s">
        <v>2514</v>
      </c>
      <c r="Y777" s="20">
        <v>3</v>
      </c>
      <c r="Z777" s="20">
        <v>3</v>
      </c>
      <c r="AA777" s="20" t="s">
        <v>592</v>
      </c>
      <c r="AL777" s="20" t="s">
        <v>1163</v>
      </c>
      <c r="AM777" s="20" t="s">
        <v>221</v>
      </c>
      <c r="AN777" s="20" t="s">
        <v>621</v>
      </c>
      <c r="AO777" s="20" t="s">
        <v>3206</v>
      </c>
      <c r="AP777" s="20" t="s">
        <v>628</v>
      </c>
      <c r="AQ777" s="20">
        <v>10</v>
      </c>
      <c r="AR777" s="20">
        <v>8</v>
      </c>
      <c r="AS777" s="20" t="s">
        <v>592</v>
      </c>
    </row>
    <row r="778" spans="11:45" ht="15.75" customHeight="1" x14ac:dyDescent="0.2">
      <c r="K778" s="20" t="s">
        <v>640</v>
      </c>
      <c r="L778" s="20" t="s">
        <v>756</v>
      </c>
      <c r="M778" s="20" t="s">
        <v>2062</v>
      </c>
      <c r="N778" s="20" t="s">
        <v>2063</v>
      </c>
      <c r="O778" s="20" t="s">
        <v>835</v>
      </c>
      <c r="P778" s="20">
        <v>5</v>
      </c>
      <c r="Q778" s="20">
        <v>5</v>
      </c>
      <c r="R778" s="20" t="s">
        <v>592</v>
      </c>
      <c r="T778" s="20" t="s">
        <v>2099</v>
      </c>
      <c r="U778" s="20" t="s">
        <v>2117</v>
      </c>
      <c r="V778" s="20"/>
      <c r="W778" s="20" t="s">
        <v>2447</v>
      </c>
      <c r="X778" s="20" t="s">
        <v>2514</v>
      </c>
      <c r="Y778" s="20">
        <v>3</v>
      </c>
      <c r="Z778" s="20">
        <v>3</v>
      </c>
      <c r="AA778" s="20" t="s">
        <v>592</v>
      </c>
      <c r="AL778" s="20" t="s">
        <v>1163</v>
      </c>
      <c r="AM778" s="20" t="s">
        <v>221</v>
      </c>
      <c r="AN778" s="20" t="s">
        <v>2874</v>
      </c>
      <c r="AO778" s="20" t="s">
        <v>3207</v>
      </c>
      <c r="AP778" s="20" t="s">
        <v>628</v>
      </c>
      <c r="AQ778" s="20">
        <v>10</v>
      </c>
      <c r="AR778" s="20">
        <v>2</v>
      </c>
      <c r="AS778" s="20" t="s">
        <v>593</v>
      </c>
    </row>
    <row r="779" spans="11:45" ht="15.75" customHeight="1" x14ac:dyDescent="0.2">
      <c r="K779" s="20" t="s">
        <v>646</v>
      </c>
      <c r="L779" s="20" t="s">
        <v>285</v>
      </c>
      <c r="M779" s="20" t="s">
        <v>1902</v>
      </c>
      <c r="N779" s="20" t="s">
        <v>458</v>
      </c>
      <c r="O779" s="20" t="s">
        <v>835</v>
      </c>
      <c r="P779" s="20">
        <v>5</v>
      </c>
      <c r="Q779" s="20">
        <v>7</v>
      </c>
      <c r="R779" s="20" t="s">
        <v>592</v>
      </c>
      <c r="T779" s="20" t="s">
        <v>2099</v>
      </c>
      <c r="U779" s="20" t="s">
        <v>350</v>
      </c>
      <c r="V779" s="20"/>
      <c r="W779" s="20" t="s">
        <v>2448</v>
      </c>
      <c r="X779" s="20" t="s">
        <v>2514</v>
      </c>
      <c r="Y779" s="20">
        <v>3</v>
      </c>
      <c r="Z779" s="20">
        <v>2</v>
      </c>
      <c r="AA779" s="20" t="s">
        <v>593</v>
      </c>
      <c r="AL779" s="20" t="s">
        <v>1163</v>
      </c>
      <c r="AM779" s="20" t="s">
        <v>221</v>
      </c>
      <c r="AN779" s="20" t="s">
        <v>1572</v>
      </c>
      <c r="AO779" s="20" t="s">
        <v>1571</v>
      </c>
      <c r="AP779" s="20" t="s">
        <v>628</v>
      </c>
      <c r="AQ779" s="20">
        <v>10</v>
      </c>
      <c r="AR779" s="20">
        <v>13</v>
      </c>
      <c r="AS779" s="20" t="s">
        <v>592</v>
      </c>
    </row>
    <row r="780" spans="11:45" ht="15.75" customHeight="1" x14ac:dyDescent="0.2">
      <c r="K780" s="20" t="s">
        <v>646</v>
      </c>
      <c r="L780" s="20" t="s">
        <v>285</v>
      </c>
      <c r="M780" s="20" t="s">
        <v>1479</v>
      </c>
      <c r="N780" s="20" t="s">
        <v>1480</v>
      </c>
      <c r="O780" s="20" t="s">
        <v>835</v>
      </c>
      <c r="P780" s="20">
        <v>5</v>
      </c>
      <c r="Q780" s="20">
        <v>6</v>
      </c>
      <c r="R780" s="20" t="s">
        <v>592</v>
      </c>
      <c r="T780" s="20" t="s">
        <v>2099</v>
      </c>
      <c r="U780" s="20" t="s">
        <v>2144</v>
      </c>
      <c r="V780" s="20"/>
      <c r="W780" s="20" t="s">
        <v>2317</v>
      </c>
      <c r="X780" s="20" t="s">
        <v>2514</v>
      </c>
      <c r="Y780" s="20">
        <v>3</v>
      </c>
      <c r="Z780" s="20">
        <v>3</v>
      </c>
      <c r="AA780" s="20" t="s">
        <v>592</v>
      </c>
      <c r="AL780" s="20" t="s">
        <v>1163</v>
      </c>
      <c r="AM780" s="20" t="s">
        <v>221</v>
      </c>
      <c r="AN780" s="20" t="s">
        <v>1572</v>
      </c>
      <c r="AO780" s="20" t="s">
        <v>3208</v>
      </c>
      <c r="AP780" s="20" t="s">
        <v>628</v>
      </c>
      <c r="AQ780" s="20">
        <v>10</v>
      </c>
      <c r="AR780" s="20">
        <v>9</v>
      </c>
      <c r="AS780" s="20" t="s">
        <v>592</v>
      </c>
    </row>
    <row r="781" spans="11:45" ht="15.75" customHeight="1" x14ac:dyDescent="0.2">
      <c r="K781" s="20" t="s">
        <v>646</v>
      </c>
      <c r="L781" s="20" t="s">
        <v>285</v>
      </c>
      <c r="M781" s="20" t="s">
        <v>822</v>
      </c>
      <c r="N781" s="20" t="s">
        <v>462</v>
      </c>
      <c r="O781" s="20" t="s">
        <v>835</v>
      </c>
      <c r="P781" s="20">
        <v>5</v>
      </c>
      <c r="Q781" s="20">
        <v>6</v>
      </c>
      <c r="R781" s="20" t="s">
        <v>592</v>
      </c>
      <c r="T781" s="20" t="s">
        <v>2099</v>
      </c>
      <c r="U781" s="20" t="s">
        <v>2117</v>
      </c>
      <c r="V781" s="20"/>
      <c r="W781" s="20" t="s">
        <v>2447</v>
      </c>
      <c r="X781" s="20" t="s">
        <v>2514</v>
      </c>
      <c r="Y781" s="20">
        <v>3</v>
      </c>
      <c r="Z781" s="20">
        <v>3</v>
      </c>
      <c r="AA781" s="20" t="s">
        <v>592</v>
      </c>
      <c r="AL781" s="20" t="s">
        <v>1163</v>
      </c>
      <c r="AM781" s="20" t="s">
        <v>221</v>
      </c>
      <c r="AN781" s="20" t="s">
        <v>1645</v>
      </c>
      <c r="AO781" s="20" t="s">
        <v>2708</v>
      </c>
      <c r="AP781" s="20" t="s">
        <v>628</v>
      </c>
      <c r="AQ781" s="20">
        <v>10</v>
      </c>
      <c r="AR781" s="20">
        <v>8</v>
      </c>
      <c r="AS781" s="20" t="s">
        <v>592</v>
      </c>
    </row>
    <row r="782" spans="11:45" ht="15.75" customHeight="1" x14ac:dyDescent="0.2">
      <c r="K782" s="20" t="s">
        <v>1155</v>
      </c>
      <c r="L782" s="20" t="s">
        <v>286</v>
      </c>
      <c r="M782" s="20" t="s">
        <v>1831</v>
      </c>
      <c r="N782" s="20" t="s">
        <v>1832</v>
      </c>
      <c r="O782" s="20" t="s">
        <v>628</v>
      </c>
      <c r="P782" s="20">
        <v>10</v>
      </c>
      <c r="Q782" s="20">
        <v>1</v>
      </c>
      <c r="R782" s="20" t="s">
        <v>593</v>
      </c>
      <c r="AL782" s="20" t="s">
        <v>1163</v>
      </c>
      <c r="AM782" s="20" t="s">
        <v>221</v>
      </c>
      <c r="AN782" s="20" t="s">
        <v>556</v>
      </c>
      <c r="AO782" s="20" t="s">
        <v>3209</v>
      </c>
      <c r="AP782" s="20" t="s">
        <v>628</v>
      </c>
      <c r="AQ782" s="20">
        <v>10</v>
      </c>
      <c r="AR782" s="20">
        <v>54</v>
      </c>
      <c r="AS782" s="20" t="s">
        <v>592</v>
      </c>
    </row>
    <row r="783" spans="11:45" ht="15.75" customHeight="1" x14ac:dyDescent="0.2">
      <c r="K783" s="20" t="s">
        <v>1163</v>
      </c>
      <c r="L783" s="20" t="s">
        <v>207</v>
      </c>
      <c r="M783" s="20" t="s">
        <v>863</v>
      </c>
      <c r="N783" s="20" t="s">
        <v>600</v>
      </c>
      <c r="O783" s="20" t="s">
        <v>835</v>
      </c>
      <c r="P783" s="20">
        <v>5</v>
      </c>
      <c r="Q783" s="20">
        <v>5</v>
      </c>
      <c r="R783" s="20" t="s">
        <v>592</v>
      </c>
      <c r="AL783" s="20" t="s">
        <v>1163</v>
      </c>
      <c r="AM783" s="20" t="s">
        <v>207</v>
      </c>
      <c r="AN783" s="20" t="s">
        <v>1496</v>
      </c>
      <c r="AO783" s="20" t="s">
        <v>3210</v>
      </c>
      <c r="AP783" s="20" t="s">
        <v>628</v>
      </c>
      <c r="AQ783" s="20">
        <v>10</v>
      </c>
      <c r="AR783" s="20">
        <v>8</v>
      </c>
      <c r="AS783" s="20" t="s">
        <v>592</v>
      </c>
    </row>
    <row r="784" spans="11:45" ht="15.75" customHeight="1" x14ac:dyDescent="0.2">
      <c r="K784" s="20" t="s">
        <v>1158</v>
      </c>
      <c r="L784" s="20" t="s">
        <v>72</v>
      </c>
      <c r="M784" s="20" t="s">
        <v>1913</v>
      </c>
      <c r="N784" s="20" t="s">
        <v>1914</v>
      </c>
      <c r="O784" s="20" t="s">
        <v>835</v>
      </c>
      <c r="P784" s="20">
        <v>5</v>
      </c>
      <c r="Q784" s="20">
        <v>1</v>
      </c>
      <c r="R784" s="20" t="s">
        <v>593</v>
      </c>
      <c r="AL784" s="20" t="s">
        <v>1163</v>
      </c>
      <c r="AM784" s="20" t="s">
        <v>221</v>
      </c>
      <c r="AN784" s="20" t="s">
        <v>2003</v>
      </c>
      <c r="AO784" s="20" t="s">
        <v>3211</v>
      </c>
      <c r="AP784" s="20" t="s">
        <v>628</v>
      </c>
      <c r="AQ784" s="20">
        <v>10</v>
      </c>
      <c r="AR784" s="20">
        <v>8</v>
      </c>
      <c r="AS784" s="20" t="s">
        <v>592</v>
      </c>
    </row>
    <row r="785" spans="11:45" ht="15.75" customHeight="1" x14ac:dyDescent="0.2">
      <c r="K785" s="20" t="s">
        <v>1163</v>
      </c>
      <c r="L785" s="20" t="s">
        <v>837</v>
      </c>
      <c r="M785" s="20" t="s">
        <v>1888</v>
      </c>
      <c r="N785" s="20" t="s">
        <v>407</v>
      </c>
      <c r="O785" s="20" t="s">
        <v>835</v>
      </c>
      <c r="P785" s="20">
        <v>5</v>
      </c>
      <c r="Q785" s="20">
        <v>4</v>
      </c>
      <c r="R785" s="20" t="s">
        <v>593</v>
      </c>
      <c r="AL785" s="20" t="s">
        <v>1163</v>
      </c>
      <c r="AM785" s="20" t="s">
        <v>221</v>
      </c>
      <c r="AN785" s="20" t="s">
        <v>1572</v>
      </c>
      <c r="AO785" s="20" t="s">
        <v>3208</v>
      </c>
      <c r="AP785" s="20" t="s">
        <v>835</v>
      </c>
      <c r="AQ785" s="20">
        <v>5</v>
      </c>
      <c r="AR785" s="20">
        <v>1</v>
      </c>
      <c r="AS785" s="20" t="s">
        <v>593</v>
      </c>
    </row>
    <row r="786" spans="11:45" ht="15.75" customHeight="1" x14ac:dyDescent="0.2">
      <c r="K786" s="20" t="s">
        <v>1158</v>
      </c>
      <c r="L786" s="20" t="s">
        <v>72</v>
      </c>
      <c r="M786" s="20" t="s">
        <v>1225</v>
      </c>
      <c r="N786" s="20" t="s">
        <v>620</v>
      </c>
      <c r="O786" s="20" t="s">
        <v>835</v>
      </c>
      <c r="P786" s="20">
        <v>5</v>
      </c>
      <c r="Q786" s="20">
        <v>1</v>
      </c>
      <c r="R786" s="20" t="s">
        <v>593</v>
      </c>
      <c r="AL786" s="20" t="s">
        <v>1163</v>
      </c>
      <c r="AM786" s="20" t="s">
        <v>221</v>
      </c>
      <c r="AN786" s="20" t="s">
        <v>556</v>
      </c>
      <c r="AO786" s="20" t="s">
        <v>3209</v>
      </c>
      <c r="AP786" s="20" t="s">
        <v>835</v>
      </c>
      <c r="AQ786" s="20">
        <v>5</v>
      </c>
      <c r="AR786" s="20">
        <v>8</v>
      </c>
      <c r="AS786" s="20" t="s">
        <v>592</v>
      </c>
    </row>
    <row r="787" spans="11:45" ht="15.75" customHeight="1" x14ac:dyDescent="0.2">
      <c r="K787" s="20" t="s">
        <v>1158</v>
      </c>
      <c r="L787" s="20" t="s">
        <v>925</v>
      </c>
      <c r="M787" s="20" t="s">
        <v>1418</v>
      </c>
      <c r="N787" s="20" t="s">
        <v>533</v>
      </c>
      <c r="O787" s="20" t="s">
        <v>835</v>
      </c>
      <c r="P787" s="20">
        <v>5</v>
      </c>
      <c r="Q787" s="20">
        <v>6</v>
      </c>
      <c r="R787" s="20" t="s">
        <v>592</v>
      </c>
      <c r="AL787" s="20" t="s">
        <v>1163</v>
      </c>
      <c r="AM787" s="20" t="s">
        <v>837</v>
      </c>
      <c r="AN787" s="20" t="s">
        <v>554</v>
      </c>
      <c r="AO787" s="20" t="s">
        <v>3212</v>
      </c>
      <c r="AP787" s="20" t="s">
        <v>628</v>
      </c>
      <c r="AQ787" s="20">
        <v>10</v>
      </c>
      <c r="AR787" s="20">
        <v>8</v>
      </c>
      <c r="AS787" s="20" t="s">
        <v>592</v>
      </c>
    </row>
    <row r="788" spans="11:45" ht="15.75" customHeight="1" x14ac:dyDescent="0.2">
      <c r="K788" s="20" t="s">
        <v>1158</v>
      </c>
      <c r="L788" s="20" t="s">
        <v>925</v>
      </c>
      <c r="M788" s="20" t="s">
        <v>2064</v>
      </c>
      <c r="N788" s="20" t="s">
        <v>1584</v>
      </c>
      <c r="O788" s="20" t="s">
        <v>835</v>
      </c>
      <c r="P788" s="20">
        <v>5</v>
      </c>
      <c r="Q788" s="20">
        <v>6</v>
      </c>
      <c r="R788" s="20" t="s">
        <v>592</v>
      </c>
      <c r="AL788" s="20" t="s">
        <v>1163</v>
      </c>
      <c r="AM788" s="20" t="s">
        <v>1165</v>
      </c>
      <c r="AN788" s="20" t="s">
        <v>360</v>
      </c>
      <c r="AO788" s="20" t="s">
        <v>1209</v>
      </c>
      <c r="AP788" s="20" t="s">
        <v>835</v>
      </c>
      <c r="AQ788" s="20">
        <v>5</v>
      </c>
      <c r="AR788" s="20">
        <v>10</v>
      </c>
      <c r="AS788" s="20" t="s">
        <v>592</v>
      </c>
    </row>
    <row r="789" spans="11:45" ht="15.75" customHeight="1" x14ac:dyDescent="0.2">
      <c r="K789" s="20" t="s">
        <v>1158</v>
      </c>
      <c r="L789" s="20" t="s">
        <v>925</v>
      </c>
      <c r="M789" s="20" t="s">
        <v>1729</v>
      </c>
      <c r="N789" s="20" t="s">
        <v>532</v>
      </c>
      <c r="O789" s="20" t="s">
        <v>835</v>
      </c>
      <c r="P789" s="20">
        <v>5</v>
      </c>
      <c r="Q789" s="20">
        <v>1</v>
      </c>
      <c r="R789" s="20" t="s">
        <v>593</v>
      </c>
      <c r="AL789" s="20" t="s">
        <v>1163</v>
      </c>
      <c r="AM789" s="20" t="s">
        <v>1165</v>
      </c>
      <c r="AN789" s="20" t="s">
        <v>2865</v>
      </c>
      <c r="AO789" s="20" t="s">
        <v>3213</v>
      </c>
      <c r="AP789" s="20" t="s">
        <v>835</v>
      </c>
      <c r="AQ789" s="20">
        <v>5</v>
      </c>
      <c r="AR789" s="20">
        <v>8</v>
      </c>
      <c r="AS789" s="20" t="s">
        <v>592</v>
      </c>
    </row>
    <row r="790" spans="11:45" ht="15.75" customHeight="1" x14ac:dyDescent="0.2">
      <c r="K790" s="20" t="s">
        <v>1158</v>
      </c>
      <c r="L790" s="20" t="s">
        <v>925</v>
      </c>
      <c r="M790" s="20" t="s">
        <v>914</v>
      </c>
      <c r="N790" s="20" t="s">
        <v>534</v>
      </c>
      <c r="O790" s="20" t="s">
        <v>835</v>
      </c>
      <c r="P790" s="20">
        <v>5</v>
      </c>
      <c r="Q790" s="20">
        <v>6</v>
      </c>
      <c r="R790" s="20" t="s">
        <v>592</v>
      </c>
      <c r="AL790" s="20" t="s">
        <v>1163</v>
      </c>
      <c r="AM790" s="20" t="s">
        <v>1165</v>
      </c>
      <c r="AN790" s="20" t="s">
        <v>1562</v>
      </c>
      <c r="AO790" s="20" t="s">
        <v>2078</v>
      </c>
      <c r="AP790" s="20" t="s">
        <v>835</v>
      </c>
      <c r="AQ790" s="20">
        <v>5</v>
      </c>
      <c r="AR790" s="20">
        <v>4</v>
      </c>
      <c r="AS790" s="20" t="s">
        <v>592</v>
      </c>
    </row>
    <row r="791" spans="11:45" ht="15.75" customHeight="1" x14ac:dyDescent="0.2">
      <c r="K791" s="20" t="s">
        <v>1158</v>
      </c>
      <c r="L791" s="20" t="s">
        <v>1073</v>
      </c>
      <c r="M791" s="20" t="s">
        <v>2065</v>
      </c>
      <c r="N791" s="20" t="s">
        <v>1923</v>
      </c>
      <c r="O791" s="20" t="s">
        <v>835</v>
      </c>
      <c r="P791" s="20">
        <v>5</v>
      </c>
      <c r="Q791" s="20">
        <v>7</v>
      </c>
      <c r="R791" s="20" t="s">
        <v>592</v>
      </c>
      <c r="AL791" s="20" t="s">
        <v>1163</v>
      </c>
      <c r="AM791" s="20" t="s">
        <v>1165</v>
      </c>
      <c r="AN791" s="20" t="s">
        <v>1562</v>
      </c>
      <c r="AO791" s="20" t="s">
        <v>3214</v>
      </c>
      <c r="AP791" s="20" t="s">
        <v>835</v>
      </c>
      <c r="AQ791" s="20">
        <v>5</v>
      </c>
      <c r="AR791" s="20">
        <v>1</v>
      </c>
      <c r="AS791" s="20" t="s">
        <v>592</v>
      </c>
    </row>
    <row r="792" spans="11:45" ht="15.75" customHeight="1" x14ac:dyDescent="0.2">
      <c r="K792" s="20" t="s">
        <v>1158</v>
      </c>
      <c r="L792" s="20" t="s">
        <v>1073</v>
      </c>
      <c r="M792" s="20" t="s">
        <v>1606</v>
      </c>
      <c r="N792" s="20" t="s">
        <v>1607</v>
      </c>
      <c r="O792" s="20" t="s">
        <v>835</v>
      </c>
      <c r="P792" s="20">
        <v>5</v>
      </c>
      <c r="Q792" s="20">
        <v>7</v>
      </c>
      <c r="R792" s="20" t="s">
        <v>592</v>
      </c>
      <c r="AL792" s="20" t="s">
        <v>1163</v>
      </c>
      <c r="AM792" s="20" t="s">
        <v>1165</v>
      </c>
      <c r="AN792" s="20" t="s">
        <v>631</v>
      </c>
      <c r="AO792" s="20" t="s">
        <v>1261</v>
      </c>
      <c r="AP792" s="20" t="s">
        <v>835</v>
      </c>
      <c r="AQ792" s="20">
        <v>5</v>
      </c>
      <c r="AR792" s="20">
        <v>5</v>
      </c>
      <c r="AS792" s="20" t="s">
        <v>592</v>
      </c>
    </row>
    <row r="793" spans="11:45" ht="15.75" customHeight="1" x14ac:dyDescent="0.2">
      <c r="K793" s="20" t="s">
        <v>646</v>
      </c>
      <c r="L793" s="20" t="s">
        <v>285</v>
      </c>
      <c r="M793" s="20" t="s">
        <v>902</v>
      </c>
      <c r="N793" s="20" t="s">
        <v>457</v>
      </c>
      <c r="O793" s="20" t="s">
        <v>835</v>
      </c>
      <c r="P793" s="20">
        <v>5</v>
      </c>
      <c r="Q793" s="20">
        <v>2</v>
      </c>
      <c r="R793" s="20" t="s">
        <v>593</v>
      </c>
      <c r="AL793" s="20" t="s">
        <v>1163</v>
      </c>
      <c r="AM793" s="20" t="s">
        <v>57</v>
      </c>
      <c r="AN793" s="20" t="s">
        <v>2867</v>
      </c>
      <c r="AO793" s="20" t="s">
        <v>3194</v>
      </c>
      <c r="AP793" s="20" t="s">
        <v>835</v>
      </c>
      <c r="AQ793" s="20">
        <v>5</v>
      </c>
      <c r="AR793" s="20">
        <v>1</v>
      </c>
      <c r="AS793" s="20" t="s">
        <v>593</v>
      </c>
    </row>
    <row r="794" spans="11:45" ht="15.75" customHeight="1" x14ac:dyDescent="0.2">
      <c r="K794" s="20" t="s">
        <v>640</v>
      </c>
      <c r="L794" s="20" t="s">
        <v>31</v>
      </c>
      <c r="M794" s="20" t="s">
        <v>1757</v>
      </c>
      <c r="N794" s="20" t="s">
        <v>1758</v>
      </c>
      <c r="O794" s="20" t="s">
        <v>835</v>
      </c>
      <c r="P794" s="20">
        <v>5</v>
      </c>
      <c r="Q794" s="20">
        <v>6</v>
      </c>
      <c r="R794" s="20" t="s">
        <v>592</v>
      </c>
      <c r="AL794" s="20" t="s">
        <v>1163</v>
      </c>
      <c r="AM794" s="20" t="s">
        <v>221</v>
      </c>
      <c r="AN794" s="20" t="s">
        <v>1572</v>
      </c>
      <c r="AO794" s="20" t="s">
        <v>1571</v>
      </c>
      <c r="AP794" s="20" t="s">
        <v>628</v>
      </c>
      <c r="AQ794" s="20">
        <v>10</v>
      </c>
      <c r="AR794" s="20">
        <v>6</v>
      </c>
      <c r="AS794" s="20" t="s">
        <v>593</v>
      </c>
    </row>
    <row r="795" spans="11:45" ht="15.75" customHeight="1" x14ac:dyDescent="0.2">
      <c r="K795" s="20" t="s">
        <v>1158</v>
      </c>
      <c r="L795" s="20" t="s">
        <v>72</v>
      </c>
      <c r="M795" s="20" t="s">
        <v>1776</v>
      </c>
      <c r="N795" s="20" t="s">
        <v>1777</v>
      </c>
      <c r="O795" s="20" t="s">
        <v>835</v>
      </c>
      <c r="P795" s="20">
        <v>5</v>
      </c>
      <c r="Q795" s="20">
        <v>1</v>
      </c>
      <c r="R795" s="20" t="s">
        <v>593</v>
      </c>
      <c r="AL795" s="20" t="s">
        <v>1163</v>
      </c>
      <c r="AM795" s="20" t="s">
        <v>221</v>
      </c>
      <c r="AN795" s="20" t="s">
        <v>556</v>
      </c>
      <c r="AO795" s="20" t="s">
        <v>3209</v>
      </c>
      <c r="AP795" s="20" t="s">
        <v>628</v>
      </c>
      <c r="AQ795" s="20">
        <v>10</v>
      </c>
      <c r="AR795" s="20">
        <v>2</v>
      </c>
      <c r="AS795" s="20" t="s">
        <v>593</v>
      </c>
    </row>
    <row r="796" spans="11:45" ht="15.75" customHeight="1" x14ac:dyDescent="0.2">
      <c r="K796" s="20" t="s">
        <v>646</v>
      </c>
      <c r="L796" s="20" t="s">
        <v>334</v>
      </c>
      <c r="M796" s="20" t="s">
        <v>1598</v>
      </c>
      <c r="N796" s="20" t="s">
        <v>522</v>
      </c>
      <c r="O796" s="20" t="s">
        <v>835</v>
      </c>
      <c r="P796" s="20">
        <v>5</v>
      </c>
      <c r="Q796" s="20">
        <v>5</v>
      </c>
      <c r="R796" s="20" t="s">
        <v>592</v>
      </c>
      <c r="AL796" s="20" t="s">
        <v>1163</v>
      </c>
      <c r="AM796" s="20" t="s">
        <v>221</v>
      </c>
      <c r="AN796" s="20" t="s">
        <v>2534</v>
      </c>
      <c r="AO796" s="20" t="s">
        <v>3205</v>
      </c>
      <c r="AP796" s="20" t="s">
        <v>628</v>
      </c>
      <c r="AQ796" s="20">
        <v>10</v>
      </c>
      <c r="AR796" s="20">
        <v>8</v>
      </c>
      <c r="AS796" s="20" t="s">
        <v>592</v>
      </c>
    </row>
    <row r="797" spans="11:45" ht="15.75" customHeight="1" x14ac:dyDescent="0.2">
      <c r="K797" s="20" t="s">
        <v>646</v>
      </c>
      <c r="L797" s="20" t="s">
        <v>246</v>
      </c>
      <c r="M797" s="20" t="s">
        <v>1769</v>
      </c>
      <c r="N797" s="20" t="s">
        <v>1770</v>
      </c>
      <c r="O797" s="20" t="s">
        <v>835</v>
      </c>
      <c r="P797" s="20">
        <v>5</v>
      </c>
      <c r="Q797" s="20">
        <v>1</v>
      </c>
      <c r="R797" s="20" t="s">
        <v>593</v>
      </c>
      <c r="AL797" s="20" t="s">
        <v>1163</v>
      </c>
      <c r="AM797" s="20" t="s">
        <v>299</v>
      </c>
      <c r="AN797" s="20" t="s">
        <v>362</v>
      </c>
      <c r="AO797" s="20" t="s">
        <v>2266</v>
      </c>
      <c r="AP797" s="20" t="s">
        <v>628</v>
      </c>
      <c r="AQ797" s="20">
        <v>10</v>
      </c>
      <c r="AR797" s="20">
        <v>8</v>
      </c>
      <c r="AS797" s="20" t="s">
        <v>592</v>
      </c>
    </row>
    <row r="798" spans="11:45" ht="15.75" customHeight="1" x14ac:dyDescent="0.2">
      <c r="K798" s="20" t="s">
        <v>1158</v>
      </c>
      <c r="L798" s="20" t="s">
        <v>928</v>
      </c>
      <c r="M798" s="20" t="s">
        <v>1250</v>
      </c>
      <c r="N798" s="20" t="s">
        <v>879</v>
      </c>
      <c r="O798" s="20" t="s">
        <v>835</v>
      </c>
      <c r="P798" s="20">
        <v>5</v>
      </c>
      <c r="Q798" s="20">
        <v>2</v>
      </c>
      <c r="R798" s="20" t="s">
        <v>593</v>
      </c>
      <c r="AL798" s="20" t="s">
        <v>1163</v>
      </c>
      <c r="AM798" s="20" t="s">
        <v>299</v>
      </c>
      <c r="AN798" s="20" t="s">
        <v>408</v>
      </c>
      <c r="AO798" s="20" t="s">
        <v>1567</v>
      </c>
      <c r="AP798" s="20" t="s">
        <v>628</v>
      </c>
      <c r="AQ798" s="20">
        <v>10</v>
      </c>
      <c r="AR798" s="20">
        <v>1</v>
      </c>
      <c r="AS798" s="20" t="s">
        <v>593</v>
      </c>
    </row>
    <row r="799" spans="11:45" ht="15.75" customHeight="1" x14ac:dyDescent="0.2">
      <c r="K799" s="20" t="s">
        <v>1169</v>
      </c>
      <c r="L799" s="20" t="s">
        <v>701</v>
      </c>
      <c r="M799" s="20" t="s">
        <v>2066</v>
      </c>
      <c r="N799" s="20" t="s">
        <v>2067</v>
      </c>
      <c r="O799" s="20" t="s">
        <v>835</v>
      </c>
      <c r="P799" s="20">
        <v>5</v>
      </c>
      <c r="Q799" s="20">
        <v>3</v>
      </c>
      <c r="R799" s="20" t="s">
        <v>593</v>
      </c>
      <c r="AL799" s="20" t="s">
        <v>1163</v>
      </c>
      <c r="AM799" s="20" t="s">
        <v>299</v>
      </c>
      <c r="AN799" s="20" t="s">
        <v>557</v>
      </c>
      <c r="AO799" s="20" t="s">
        <v>1024</v>
      </c>
      <c r="AP799" s="20" t="s">
        <v>628</v>
      </c>
      <c r="AQ799" s="20">
        <v>10</v>
      </c>
      <c r="AR799" s="20">
        <v>1</v>
      </c>
      <c r="AS799" s="20" t="s">
        <v>593</v>
      </c>
    </row>
    <row r="800" spans="11:45" ht="15.75" customHeight="1" x14ac:dyDescent="0.2">
      <c r="K800" s="20" t="s">
        <v>1154</v>
      </c>
      <c r="L800" s="20" t="s">
        <v>307</v>
      </c>
      <c r="M800" s="20" t="s">
        <v>723</v>
      </c>
      <c r="N800" s="20" t="s">
        <v>514</v>
      </c>
      <c r="O800" s="20" t="s">
        <v>835</v>
      </c>
      <c r="P800" s="20">
        <v>5</v>
      </c>
      <c r="Q800" s="20">
        <v>5</v>
      </c>
      <c r="R800" s="20" t="s">
        <v>592</v>
      </c>
      <c r="AL800" s="20" t="s">
        <v>1163</v>
      </c>
      <c r="AM800" s="20" t="s">
        <v>299</v>
      </c>
      <c r="AN800" s="20" t="s">
        <v>2862</v>
      </c>
      <c r="AO800" s="20" t="s">
        <v>3183</v>
      </c>
      <c r="AP800" s="20" t="s">
        <v>628</v>
      </c>
      <c r="AQ800" s="20">
        <v>10</v>
      </c>
      <c r="AR800" s="20">
        <v>1</v>
      </c>
      <c r="AS800" s="20" t="s">
        <v>593</v>
      </c>
    </row>
    <row r="801" spans="11:45" ht="15.75" customHeight="1" x14ac:dyDescent="0.2">
      <c r="K801" s="20" t="s">
        <v>646</v>
      </c>
      <c r="L801" s="20" t="s">
        <v>298</v>
      </c>
      <c r="M801" s="20" t="s">
        <v>2068</v>
      </c>
      <c r="N801" s="20" t="s">
        <v>370</v>
      </c>
      <c r="O801" s="20" t="s">
        <v>835</v>
      </c>
      <c r="P801" s="20">
        <v>5</v>
      </c>
      <c r="Q801" s="20">
        <v>5</v>
      </c>
      <c r="R801" s="20" t="s">
        <v>592</v>
      </c>
      <c r="AL801" s="20" t="s">
        <v>1163</v>
      </c>
      <c r="AM801" s="20" t="s">
        <v>837</v>
      </c>
      <c r="AN801" s="20" t="s">
        <v>554</v>
      </c>
      <c r="AO801" s="20" t="s">
        <v>1608</v>
      </c>
      <c r="AP801" s="20" t="s">
        <v>628</v>
      </c>
      <c r="AQ801" s="20">
        <v>10</v>
      </c>
      <c r="AR801" s="20">
        <v>17</v>
      </c>
      <c r="AS801" s="20" t="s">
        <v>592</v>
      </c>
    </row>
    <row r="802" spans="11:45" ht="15.75" customHeight="1" x14ac:dyDescent="0.2">
      <c r="K802" s="20" t="s">
        <v>646</v>
      </c>
      <c r="L802" s="20" t="s">
        <v>298</v>
      </c>
      <c r="M802" s="20" t="s">
        <v>1809</v>
      </c>
      <c r="N802" s="20" t="s">
        <v>1810</v>
      </c>
      <c r="O802" s="20" t="s">
        <v>835</v>
      </c>
      <c r="P802" s="20">
        <v>5</v>
      </c>
      <c r="Q802" s="20">
        <v>2</v>
      </c>
      <c r="R802" s="20" t="s">
        <v>593</v>
      </c>
      <c r="AL802" s="20" t="s">
        <v>1163</v>
      </c>
      <c r="AM802" s="20" t="s">
        <v>837</v>
      </c>
      <c r="AN802" s="20" t="s">
        <v>786</v>
      </c>
      <c r="AO802" s="20" t="s">
        <v>1395</v>
      </c>
      <c r="AP802" s="20" t="s">
        <v>628</v>
      </c>
      <c r="AQ802" s="20">
        <v>10</v>
      </c>
      <c r="AR802" s="20">
        <v>1</v>
      </c>
      <c r="AS802" s="20" t="s">
        <v>593</v>
      </c>
    </row>
    <row r="803" spans="11:45" ht="15.75" customHeight="1" x14ac:dyDescent="0.2">
      <c r="K803" s="20" t="s">
        <v>646</v>
      </c>
      <c r="L803" s="20" t="s">
        <v>298</v>
      </c>
      <c r="M803" s="20" t="s">
        <v>2069</v>
      </c>
      <c r="N803" s="20" t="s">
        <v>424</v>
      </c>
      <c r="O803" s="20" t="s">
        <v>835</v>
      </c>
      <c r="P803" s="20">
        <v>5</v>
      </c>
      <c r="Q803" s="20">
        <v>5</v>
      </c>
      <c r="R803" s="20" t="s">
        <v>592</v>
      </c>
      <c r="AL803" s="20" t="s">
        <v>1163</v>
      </c>
      <c r="AM803" s="20" t="s">
        <v>57</v>
      </c>
      <c r="AN803" s="20" t="s">
        <v>359</v>
      </c>
      <c r="AO803" s="20" t="s">
        <v>3192</v>
      </c>
      <c r="AP803" s="20" t="s">
        <v>628</v>
      </c>
      <c r="AQ803" s="20">
        <v>10</v>
      </c>
      <c r="AR803" s="20">
        <v>4</v>
      </c>
      <c r="AS803" s="20" t="s">
        <v>593</v>
      </c>
    </row>
    <row r="804" spans="11:45" ht="15.75" customHeight="1" x14ac:dyDescent="0.2">
      <c r="K804" s="20" t="s">
        <v>1162</v>
      </c>
      <c r="L804" s="20" t="s">
        <v>230</v>
      </c>
      <c r="M804" s="20" t="s">
        <v>2070</v>
      </c>
      <c r="N804" s="20" t="s">
        <v>413</v>
      </c>
      <c r="O804" s="20" t="s">
        <v>835</v>
      </c>
      <c r="P804" s="20">
        <v>5</v>
      </c>
      <c r="Q804" s="20">
        <v>1</v>
      </c>
      <c r="R804" s="20" t="s">
        <v>593</v>
      </c>
      <c r="AL804" s="20" t="s">
        <v>1163</v>
      </c>
      <c r="AM804" s="20" t="s">
        <v>57</v>
      </c>
      <c r="AN804" s="20" t="s">
        <v>768</v>
      </c>
      <c r="AO804" s="20" t="s">
        <v>1279</v>
      </c>
      <c r="AP804" s="20" t="s">
        <v>628</v>
      </c>
      <c r="AQ804" s="20">
        <v>10</v>
      </c>
      <c r="AR804" s="20">
        <v>5</v>
      </c>
      <c r="AS804" s="20" t="s">
        <v>593</v>
      </c>
    </row>
    <row r="805" spans="11:45" ht="15.75" customHeight="1" x14ac:dyDescent="0.2">
      <c r="K805" s="20" t="s">
        <v>1158</v>
      </c>
      <c r="L805" s="20" t="s">
        <v>1073</v>
      </c>
      <c r="M805" s="20" t="s">
        <v>1609</v>
      </c>
      <c r="N805" s="20" t="s">
        <v>1610</v>
      </c>
      <c r="O805" s="20" t="s">
        <v>835</v>
      </c>
      <c r="P805" s="20">
        <v>5</v>
      </c>
      <c r="Q805" s="20">
        <v>2</v>
      </c>
      <c r="R805" s="20" t="s">
        <v>593</v>
      </c>
      <c r="AL805" s="20" t="s">
        <v>1163</v>
      </c>
      <c r="AM805" s="20" t="s">
        <v>57</v>
      </c>
      <c r="AN805" s="20" t="s">
        <v>505</v>
      </c>
      <c r="AO805" s="20" t="s">
        <v>1061</v>
      </c>
      <c r="AP805" s="20" t="s">
        <v>628</v>
      </c>
      <c r="AQ805" s="20">
        <v>10</v>
      </c>
      <c r="AR805" s="20">
        <v>2</v>
      </c>
      <c r="AS805" s="20" t="s">
        <v>593</v>
      </c>
    </row>
    <row r="806" spans="11:45" ht="15.75" customHeight="1" x14ac:dyDescent="0.2">
      <c r="K806" s="20" t="s">
        <v>1163</v>
      </c>
      <c r="L806" s="20" t="s">
        <v>57</v>
      </c>
      <c r="M806" s="20" t="s">
        <v>1600</v>
      </c>
      <c r="N806" s="20" t="s">
        <v>505</v>
      </c>
      <c r="O806" s="20" t="s">
        <v>628</v>
      </c>
      <c r="P806" s="20">
        <v>10</v>
      </c>
      <c r="Q806" s="20">
        <v>4</v>
      </c>
      <c r="R806" s="20" t="s">
        <v>593</v>
      </c>
      <c r="AL806" s="20" t="s">
        <v>1163</v>
      </c>
      <c r="AM806" s="20" t="s">
        <v>57</v>
      </c>
      <c r="AN806" s="20" t="s">
        <v>2082</v>
      </c>
      <c r="AO806" s="20" t="s">
        <v>3215</v>
      </c>
      <c r="AP806" s="20" t="s">
        <v>628</v>
      </c>
      <c r="AQ806" s="20">
        <v>10</v>
      </c>
      <c r="AR806" s="20">
        <v>1</v>
      </c>
      <c r="AS806" s="20" t="s">
        <v>593</v>
      </c>
    </row>
    <row r="807" spans="11:45" ht="15.75" customHeight="1" x14ac:dyDescent="0.2">
      <c r="K807" s="20" t="s">
        <v>1147</v>
      </c>
      <c r="L807" s="20" t="s">
        <v>222</v>
      </c>
      <c r="M807" s="20" t="s">
        <v>2071</v>
      </c>
      <c r="N807" s="20" t="s">
        <v>552</v>
      </c>
      <c r="O807" s="20" t="s">
        <v>628</v>
      </c>
      <c r="P807" s="20">
        <v>10</v>
      </c>
      <c r="Q807" s="20">
        <v>8</v>
      </c>
      <c r="R807" s="20" t="s">
        <v>592</v>
      </c>
      <c r="AL807" s="20" t="s">
        <v>1163</v>
      </c>
      <c r="AM807" s="20" t="s">
        <v>207</v>
      </c>
      <c r="AN807" s="20" t="s">
        <v>1894</v>
      </c>
      <c r="AO807" s="20" t="s">
        <v>1893</v>
      </c>
      <c r="AP807" s="20" t="s">
        <v>628</v>
      </c>
      <c r="AQ807" s="20">
        <v>10</v>
      </c>
      <c r="AR807" s="20">
        <v>8</v>
      </c>
      <c r="AS807" s="20" t="s">
        <v>592</v>
      </c>
    </row>
    <row r="808" spans="11:45" ht="15.75" customHeight="1" x14ac:dyDescent="0.2">
      <c r="K808" s="20" t="s">
        <v>1169</v>
      </c>
      <c r="L808" s="20" t="s">
        <v>216</v>
      </c>
      <c r="M808" s="20" t="s">
        <v>2072</v>
      </c>
      <c r="N808" s="20" t="s">
        <v>708</v>
      </c>
      <c r="O808" s="20" t="s">
        <v>628</v>
      </c>
      <c r="P808" s="20">
        <v>10</v>
      </c>
      <c r="Q808" s="20">
        <v>5</v>
      </c>
      <c r="R808" s="20" t="s">
        <v>593</v>
      </c>
      <c r="AL808" s="20" t="s">
        <v>1163</v>
      </c>
      <c r="AM808" s="20" t="s">
        <v>207</v>
      </c>
      <c r="AN808" s="20" t="s">
        <v>1566</v>
      </c>
      <c r="AO808" s="20" t="s">
        <v>3216</v>
      </c>
      <c r="AP808" s="20" t="s">
        <v>628</v>
      </c>
      <c r="AQ808" s="20">
        <v>10</v>
      </c>
      <c r="AR808" s="20">
        <v>9</v>
      </c>
      <c r="AS808" s="20" t="s">
        <v>592</v>
      </c>
    </row>
    <row r="809" spans="11:45" ht="15.75" customHeight="1" x14ac:dyDescent="0.2">
      <c r="K809" s="20" t="s">
        <v>1141</v>
      </c>
      <c r="L809" s="20" t="s">
        <v>224</v>
      </c>
      <c r="M809" s="20" t="s">
        <v>1797</v>
      </c>
      <c r="N809" s="20" t="s">
        <v>1798</v>
      </c>
      <c r="O809" s="20" t="s">
        <v>835</v>
      </c>
      <c r="P809" s="20">
        <v>5</v>
      </c>
      <c r="Q809" s="20">
        <v>5</v>
      </c>
      <c r="R809" s="20" t="s">
        <v>592</v>
      </c>
      <c r="AL809" s="20" t="s">
        <v>1163</v>
      </c>
      <c r="AM809" s="20" t="s">
        <v>207</v>
      </c>
      <c r="AN809" s="20" t="s">
        <v>1566</v>
      </c>
      <c r="AO809" s="20" t="s">
        <v>3217</v>
      </c>
      <c r="AP809" s="20" t="s">
        <v>628</v>
      </c>
      <c r="AQ809" s="20">
        <v>10</v>
      </c>
      <c r="AR809" s="20">
        <v>1</v>
      </c>
      <c r="AS809" s="20" t="s">
        <v>592</v>
      </c>
    </row>
    <row r="810" spans="11:45" ht="15.75" customHeight="1" x14ac:dyDescent="0.2">
      <c r="K810" s="20" t="s">
        <v>1141</v>
      </c>
      <c r="L810" s="20" t="s">
        <v>224</v>
      </c>
      <c r="M810" s="20" t="s">
        <v>2073</v>
      </c>
      <c r="N810" s="20" t="s">
        <v>386</v>
      </c>
      <c r="O810" s="20" t="s">
        <v>835</v>
      </c>
      <c r="P810" s="20">
        <v>5</v>
      </c>
      <c r="Q810" s="20">
        <v>1</v>
      </c>
      <c r="R810" s="20" t="s">
        <v>592</v>
      </c>
      <c r="AL810" s="20" t="s">
        <v>1163</v>
      </c>
      <c r="AM810" s="20" t="s">
        <v>207</v>
      </c>
      <c r="AN810" s="20" t="s">
        <v>363</v>
      </c>
      <c r="AO810" s="20" t="s">
        <v>904</v>
      </c>
      <c r="AP810" s="20" t="s">
        <v>628</v>
      </c>
      <c r="AQ810" s="20">
        <v>10</v>
      </c>
      <c r="AR810" s="20">
        <v>3</v>
      </c>
      <c r="AS810" s="20" t="s">
        <v>593</v>
      </c>
    </row>
    <row r="811" spans="11:45" ht="15.75" customHeight="1" x14ac:dyDescent="0.2">
      <c r="K811" s="20" t="s">
        <v>1141</v>
      </c>
      <c r="L811" s="20" t="s">
        <v>224</v>
      </c>
      <c r="M811" s="20" t="s">
        <v>2074</v>
      </c>
      <c r="N811" s="20" t="s">
        <v>386</v>
      </c>
      <c r="O811" s="20" t="s">
        <v>835</v>
      </c>
      <c r="P811" s="20">
        <v>5</v>
      </c>
      <c r="Q811" s="20">
        <v>5</v>
      </c>
      <c r="R811" s="20" t="s">
        <v>592</v>
      </c>
      <c r="AL811" s="20" t="s">
        <v>1163</v>
      </c>
      <c r="AM811" s="20" t="s">
        <v>837</v>
      </c>
      <c r="AN811" s="20" t="s">
        <v>786</v>
      </c>
      <c r="AO811" s="20" t="s">
        <v>3218</v>
      </c>
      <c r="AP811" s="20" t="s">
        <v>628</v>
      </c>
      <c r="AQ811" s="20">
        <v>10</v>
      </c>
      <c r="AR811" s="20">
        <v>14</v>
      </c>
      <c r="AS811" s="20" t="s">
        <v>592</v>
      </c>
    </row>
    <row r="812" spans="11:45" ht="15.75" customHeight="1" x14ac:dyDescent="0.2">
      <c r="K812" s="20" t="s">
        <v>1143</v>
      </c>
      <c r="L812" s="20" t="s">
        <v>706</v>
      </c>
      <c r="M812" s="20" t="s">
        <v>2075</v>
      </c>
      <c r="N812" s="20" t="s">
        <v>2076</v>
      </c>
      <c r="O812" s="20" t="s">
        <v>835</v>
      </c>
      <c r="P812" s="20">
        <v>5</v>
      </c>
      <c r="Q812" s="20">
        <v>5</v>
      </c>
      <c r="R812" s="20" t="s">
        <v>592</v>
      </c>
      <c r="AL812" s="20" t="s">
        <v>1163</v>
      </c>
      <c r="AM812" s="20" t="s">
        <v>299</v>
      </c>
      <c r="AN812" s="20" t="s">
        <v>1569</v>
      </c>
      <c r="AO812" s="20" t="s">
        <v>3219</v>
      </c>
      <c r="AP812" s="20" t="s">
        <v>628</v>
      </c>
      <c r="AQ812" s="20">
        <v>10</v>
      </c>
      <c r="AR812" s="20">
        <v>9</v>
      </c>
      <c r="AS812" s="20" t="s">
        <v>592</v>
      </c>
    </row>
    <row r="813" spans="11:45" ht="15.75" customHeight="1" x14ac:dyDescent="0.2">
      <c r="K813" s="20" t="s">
        <v>1163</v>
      </c>
      <c r="L813" s="20" t="s">
        <v>1165</v>
      </c>
      <c r="M813" s="20" t="s">
        <v>1539</v>
      </c>
      <c r="N813" s="20" t="s">
        <v>360</v>
      </c>
      <c r="O813" s="20" t="s">
        <v>835</v>
      </c>
      <c r="P813" s="20">
        <v>5</v>
      </c>
      <c r="Q813" s="20">
        <v>5</v>
      </c>
      <c r="R813" s="20" t="s">
        <v>592</v>
      </c>
      <c r="AL813" s="20" t="s">
        <v>1163</v>
      </c>
      <c r="AM813" s="20" t="s">
        <v>57</v>
      </c>
      <c r="AN813" s="20" t="s">
        <v>361</v>
      </c>
      <c r="AO813" s="20" t="s">
        <v>1497</v>
      </c>
      <c r="AP813" s="20" t="s">
        <v>628</v>
      </c>
      <c r="AQ813" s="20">
        <v>10</v>
      </c>
      <c r="AR813" s="20">
        <v>2</v>
      </c>
      <c r="AS813" s="20" t="s">
        <v>593</v>
      </c>
    </row>
    <row r="814" spans="11:45" ht="15.75" customHeight="1" x14ac:dyDescent="0.2">
      <c r="K814" s="20" t="s">
        <v>1163</v>
      </c>
      <c r="L814" s="20" t="s">
        <v>1165</v>
      </c>
      <c r="M814" s="20" t="s">
        <v>2077</v>
      </c>
      <c r="N814" s="20" t="s">
        <v>1560</v>
      </c>
      <c r="O814" s="20" t="s">
        <v>835</v>
      </c>
      <c r="P814" s="20">
        <v>5</v>
      </c>
      <c r="Q814" s="20">
        <v>2</v>
      </c>
      <c r="R814" s="20" t="s">
        <v>593</v>
      </c>
      <c r="AL814" s="20" t="s">
        <v>1162</v>
      </c>
      <c r="AM814" s="20" t="s">
        <v>352</v>
      </c>
      <c r="AN814" s="20" t="s">
        <v>869</v>
      </c>
      <c r="AO814" s="20" t="s">
        <v>2172</v>
      </c>
      <c r="AP814" s="20" t="s">
        <v>835</v>
      </c>
      <c r="AQ814" s="20">
        <v>5</v>
      </c>
      <c r="AR814" s="20">
        <v>5</v>
      </c>
      <c r="AS814" s="20" t="s">
        <v>592</v>
      </c>
    </row>
    <row r="815" spans="11:45" ht="15.75" customHeight="1" x14ac:dyDescent="0.2">
      <c r="K815" s="20" t="s">
        <v>1163</v>
      </c>
      <c r="L815" s="20" t="s">
        <v>1165</v>
      </c>
      <c r="M815" s="20" t="s">
        <v>2078</v>
      </c>
      <c r="N815" s="20" t="s">
        <v>1562</v>
      </c>
      <c r="O815" s="20" t="s">
        <v>835</v>
      </c>
      <c r="P815" s="20">
        <v>5</v>
      </c>
      <c r="Q815" s="20">
        <v>5</v>
      </c>
      <c r="R815" s="20" t="s">
        <v>592</v>
      </c>
      <c r="AL815" s="20" t="s">
        <v>1162</v>
      </c>
      <c r="AM815" s="20" t="s">
        <v>352</v>
      </c>
      <c r="AN815" s="20" t="s">
        <v>894</v>
      </c>
      <c r="AO815" s="20" t="s">
        <v>3220</v>
      </c>
      <c r="AP815" s="20" t="s">
        <v>835</v>
      </c>
      <c r="AQ815" s="20">
        <v>5</v>
      </c>
      <c r="AR815" s="20">
        <v>5</v>
      </c>
      <c r="AS815" s="20" t="s">
        <v>592</v>
      </c>
    </row>
    <row r="816" spans="11:45" ht="15.75" customHeight="1" x14ac:dyDescent="0.2">
      <c r="K816" s="20" t="s">
        <v>1158</v>
      </c>
      <c r="L816" s="20" t="s">
        <v>72</v>
      </c>
      <c r="M816" s="20" t="s">
        <v>1317</v>
      </c>
      <c r="N816" s="20" t="s">
        <v>634</v>
      </c>
      <c r="O816" s="20" t="s">
        <v>835</v>
      </c>
      <c r="P816" s="20">
        <v>5</v>
      </c>
      <c r="Q816" s="20">
        <v>2</v>
      </c>
      <c r="R816" s="20" t="s">
        <v>593</v>
      </c>
      <c r="AL816" s="20" t="s">
        <v>1162</v>
      </c>
      <c r="AM816" s="20" t="s">
        <v>240</v>
      </c>
      <c r="AN816" s="20" t="s">
        <v>2472</v>
      </c>
      <c r="AO816" s="20" t="s">
        <v>3221</v>
      </c>
      <c r="AP816" s="20" t="s">
        <v>628</v>
      </c>
      <c r="AQ816" s="20">
        <v>10</v>
      </c>
      <c r="AR816" s="20">
        <v>16</v>
      </c>
      <c r="AS816" s="20" t="s">
        <v>592</v>
      </c>
    </row>
    <row r="817" spans="11:45" ht="15.75" customHeight="1" x14ac:dyDescent="0.2">
      <c r="K817" s="20" t="s">
        <v>1154</v>
      </c>
      <c r="L817" s="20" t="s">
        <v>307</v>
      </c>
      <c r="M817" s="20" t="s">
        <v>1335</v>
      </c>
      <c r="N817" s="20" t="s">
        <v>549</v>
      </c>
      <c r="O817" s="20" t="s">
        <v>835</v>
      </c>
      <c r="P817" s="20">
        <v>5</v>
      </c>
      <c r="Q817" s="20">
        <v>1</v>
      </c>
      <c r="R817" s="20" t="s">
        <v>593</v>
      </c>
      <c r="AL817" s="20" t="s">
        <v>1162</v>
      </c>
      <c r="AM817" s="20" t="s">
        <v>240</v>
      </c>
      <c r="AN817" s="20" t="s">
        <v>848</v>
      </c>
      <c r="AO817" s="20" t="s">
        <v>3222</v>
      </c>
      <c r="AP817" s="20" t="s">
        <v>628</v>
      </c>
      <c r="AQ817" s="20">
        <v>10</v>
      </c>
      <c r="AR817" s="20">
        <v>16</v>
      </c>
      <c r="AS817" s="20" t="s">
        <v>592</v>
      </c>
    </row>
    <row r="818" spans="11:45" ht="15.75" customHeight="1" x14ac:dyDescent="0.2">
      <c r="K818" s="20" t="s">
        <v>1149</v>
      </c>
      <c r="L818" s="20" t="s">
        <v>806</v>
      </c>
      <c r="M818" s="20" t="s">
        <v>1689</v>
      </c>
      <c r="N818" s="20" t="s">
        <v>1690</v>
      </c>
      <c r="O818" s="20" t="s">
        <v>835</v>
      </c>
      <c r="P818" s="20">
        <v>5</v>
      </c>
      <c r="Q818" s="20">
        <v>1</v>
      </c>
      <c r="R818" s="20" t="s">
        <v>593</v>
      </c>
      <c r="AL818" s="20" t="s">
        <v>1162</v>
      </c>
      <c r="AM818" s="20" t="s">
        <v>240</v>
      </c>
      <c r="AN818" s="20" t="s">
        <v>1786</v>
      </c>
      <c r="AO818" s="20" t="s">
        <v>1785</v>
      </c>
      <c r="AP818" s="20" t="s">
        <v>628</v>
      </c>
      <c r="AQ818" s="20">
        <v>10</v>
      </c>
      <c r="AR818" s="20">
        <v>12</v>
      </c>
      <c r="AS818" s="20" t="s">
        <v>592</v>
      </c>
    </row>
    <row r="819" spans="11:45" ht="15.75" customHeight="1" x14ac:dyDescent="0.2">
      <c r="K819" s="20" t="s">
        <v>1161</v>
      </c>
      <c r="L819" s="20" t="s">
        <v>41</v>
      </c>
      <c r="M819" s="20" t="s">
        <v>2079</v>
      </c>
      <c r="N819" s="20" t="s">
        <v>536</v>
      </c>
      <c r="O819" s="20" t="s">
        <v>628</v>
      </c>
      <c r="P819" s="20">
        <v>10</v>
      </c>
      <c r="Q819" s="20">
        <v>9</v>
      </c>
      <c r="R819" s="20" t="s">
        <v>592</v>
      </c>
      <c r="AL819" s="20" t="s">
        <v>1162</v>
      </c>
      <c r="AM819" s="20" t="s">
        <v>240</v>
      </c>
      <c r="AN819" s="20" t="s">
        <v>1638</v>
      </c>
      <c r="AO819" s="20" t="s">
        <v>1637</v>
      </c>
      <c r="AP819" s="20" t="s">
        <v>628</v>
      </c>
      <c r="AQ819" s="20">
        <v>10</v>
      </c>
      <c r="AR819" s="20">
        <v>8</v>
      </c>
      <c r="AS819" s="20" t="s">
        <v>592</v>
      </c>
    </row>
    <row r="820" spans="11:45" ht="15.75" customHeight="1" x14ac:dyDescent="0.2">
      <c r="K820" s="20" t="s">
        <v>1154</v>
      </c>
      <c r="L820" s="20" t="s">
        <v>1152</v>
      </c>
      <c r="M820" s="20" t="s">
        <v>1502</v>
      </c>
      <c r="N820" s="20" t="s">
        <v>520</v>
      </c>
      <c r="O820" s="20" t="s">
        <v>835</v>
      </c>
      <c r="P820" s="20">
        <v>5</v>
      </c>
      <c r="Q820" s="20">
        <v>2</v>
      </c>
      <c r="R820" s="20" t="s">
        <v>593</v>
      </c>
      <c r="AL820" s="20" t="s">
        <v>1162</v>
      </c>
      <c r="AM820" s="20" t="s">
        <v>240</v>
      </c>
      <c r="AN820" s="20" t="s">
        <v>364</v>
      </c>
      <c r="AO820" s="20" t="s">
        <v>626</v>
      </c>
      <c r="AP820" s="20" t="s">
        <v>628</v>
      </c>
      <c r="AQ820" s="20">
        <v>10</v>
      </c>
      <c r="AR820" s="20">
        <v>11</v>
      </c>
      <c r="AS820" s="20" t="s">
        <v>592</v>
      </c>
    </row>
    <row r="821" spans="11:45" ht="15.75" customHeight="1" x14ac:dyDescent="0.2">
      <c r="K821" s="20" t="s">
        <v>1162</v>
      </c>
      <c r="L821" s="20" t="s">
        <v>352</v>
      </c>
      <c r="M821" s="20" t="s">
        <v>2080</v>
      </c>
      <c r="N821" s="20" t="s">
        <v>1469</v>
      </c>
      <c r="O821" s="20" t="s">
        <v>835</v>
      </c>
      <c r="P821" s="20">
        <v>5</v>
      </c>
      <c r="Q821" s="20">
        <v>1</v>
      </c>
      <c r="R821" s="20" t="s">
        <v>593</v>
      </c>
      <c r="AL821" s="20" t="s">
        <v>1162</v>
      </c>
      <c r="AM821" s="20" t="s">
        <v>240</v>
      </c>
      <c r="AN821" s="20" t="s">
        <v>416</v>
      </c>
      <c r="AO821" s="20" t="s">
        <v>962</v>
      </c>
      <c r="AP821" s="20" t="s">
        <v>628</v>
      </c>
      <c r="AQ821" s="20">
        <v>10</v>
      </c>
      <c r="AR821" s="20">
        <v>15</v>
      </c>
      <c r="AS821" s="20" t="s">
        <v>592</v>
      </c>
    </row>
    <row r="822" spans="11:45" ht="15.75" customHeight="1" x14ac:dyDescent="0.2">
      <c r="K822" s="20" t="s">
        <v>1144</v>
      </c>
      <c r="L822" s="20" t="s">
        <v>23</v>
      </c>
      <c r="M822" s="20" t="s">
        <v>1117</v>
      </c>
      <c r="N822" s="20" t="s">
        <v>558</v>
      </c>
      <c r="O822" s="20" t="s">
        <v>835</v>
      </c>
      <c r="P822" s="20">
        <v>5</v>
      </c>
      <c r="Q822" s="20">
        <v>6</v>
      </c>
      <c r="R822" s="20" t="s">
        <v>592</v>
      </c>
      <c r="AL822" s="20" t="s">
        <v>1162</v>
      </c>
      <c r="AM822" s="20" t="s">
        <v>240</v>
      </c>
      <c r="AN822" s="20" t="s">
        <v>2500</v>
      </c>
      <c r="AO822" s="20" t="s">
        <v>2350</v>
      </c>
      <c r="AP822" s="20" t="s">
        <v>628</v>
      </c>
      <c r="AQ822" s="20">
        <v>10</v>
      </c>
      <c r="AR822" s="20">
        <v>3</v>
      </c>
      <c r="AS822" s="20" t="s">
        <v>593</v>
      </c>
    </row>
    <row r="823" spans="11:45" ht="15.75" customHeight="1" x14ac:dyDescent="0.2">
      <c r="K823" s="20" t="s">
        <v>1163</v>
      </c>
      <c r="L823" s="20" t="s">
        <v>57</v>
      </c>
      <c r="M823" s="20" t="s">
        <v>1279</v>
      </c>
      <c r="N823" s="20" t="s">
        <v>768</v>
      </c>
      <c r="O823" s="20" t="s">
        <v>628</v>
      </c>
      <c r="P823" s="20">
        <v>10</v>
      </c>
      <c r="Q823" s="20">
        <v>1</v>
      </c>
      <c r="R823" s="20" t="s">
        <v>593</v>
      </c>
      <c r="AL823" s="20" t="s">
        <v>1162</v>
      </c>
      <c r="AM823" s="20" t="s">
        <v>240</v>
      </c>
      <c r="AN823" s="20" t="s">
        <v>2497</v>
      </c>
      <c r="AO823" s="20" t="s">
        <v>2322</v>
      </c>
      <c r="AP823" s="20" t="s">
        <v>628</v>
      </c>
      <c r="AQ823" s="20">
        <v>10</v>
      </c>
      <c r="AR823" s="20">
        <v>4</v>
      </c>
      <c r="AS823" s="20" t="s">
        <v>593</v>
      </c>
    </row>
    <row r="824" spans="11:45" ht="15.75" customHeight="1" x14ac:dyDescent="0.2">
      <c r="K824" s="20" t="s">
        <v>1163</v>
      </c>
      <c r="L824" s="20" t="s">
        <v>57</v>
      </c>
      <c r="M824" s="20" t="s">
        <v>2081</v>
      </c>
      <c r="N824" s="20" t="s">
        <v>2082</v>
      </c>
      <c r="O824" s="20" t="s">
        <v>835</v>
      </c>
      <c r="P824" s="20">
        <v>5</v>
      </c>
      <c r="Q824" s="20">
        <v>3</v>
      </c>
      <c r="R824" s="20" t="s">
        <v>593</v>
      </c>
      <c r="AL824" s="20" t="s">
        <v>1162</v>
      </c>
      <c r="AM824" s="20" t="s">
        <v>230</v>
      </c>
      <c r="AN824" s="20" t="s">
        <v>2875</v>
      </c>
      <c r="AO824" s="20" t="s">
        <v>3223</v>
      </c>
      <c r="AP824" s="20" t="s">
        <v>835</v>
      </c>
      <c r="AQ824" s="20">
        <v>5</v>
      </c>
      <c r="AR824" s="20">
        <v>1</v>
      </c>
      <c r="AS824" s="20" t="s">
        <v>593</v>
      </c>
    </row>
    <row r="825" spans="11:45" ht="15.75" customHeight="1" x14ac:dyDescent="0.2">
      <c r="K825" s="20" t="s">
        <v>1144</v>
      </c>
      <c r="L825" s="20" t="s">
        <v>23</v>
      </c>
      <c r="M825" s="20" t="s">
        <v>1120</v>
      </c>
      <c r="N825" s="20" t="s">
        <v>545</v>
      </c>
      <c r="O825" s="20" t="s">
        <v>628</v>
      </c>
      <c r="P825" s="20">
        <v>10</v>
      </c>
      <c r="Q825" s="20">
        <v>6</v>
      </c>
      <c r="R825" s="20" t="s">
        <v>592</v>
      </c>
      <c r="AL825" s="20" t="s">
        <v>1162</v>
      </c>
      <c r="AM825" s="20" t="s">
        <v>230</v>
      </c>
      <c r="AN825" s="20" t="s">
        <v>414</v>
      </c>
      <c r="AO825" s="20" t="s">
        <v>1238</v>
      </c>
      <c r="AP825" s="20" t="s">
        <v>628</v>
      </c>
      <c r="AQ825" s="20">
        <v>10</v>
      </c>
      <c r="AR825" s="20">
        <v>11</v>
      </c>
      <c r="AS825" s="20" t="s">
        <v>592</v>
      </c>
    </row>
    <row r="826" spans="11:45" ht="15.75" customHeight="1" x14ac:dyDescent="0.2">
      <c r="K826" s="20" t="s">
        <v>1144</v>
      </c>
      <c r="L826" s="20" t="s">
        <v>23</v>
      </c>
      <c r="M826" s="20" t="s">
        <v>1121</v>
      </c>
      <c r="N826" s="20" t="s">
        <v>545</v>
      </c>
      <c r="O826" s="20" t="s">
        <v>628</v>
      </c>
      <c r="P826" s="20">
        <v>10</v>
      </c>
      <c r="Q826" s="20">
        <v>2</v>
      </c>
      <c r="R826" s="20" t="s">
        <v>592</v>
      </c>
      <c r="AL826" s="20" t="s">
        <v>1162</v>
      </c>
      <c r="AM826" s="20" t="s">
        <v>230</v>
      </c>
      <c r="AN826" s="20" t="s">
        <v>417</v>
      </c>
      <c r="AO826" s="20" t="s">
        <v>3224</v>
      </c>
      <c r="AP826" s="20" t="s">
        <v>628</v>
      </c>
      <c r="AQ826" s="20">
        <v>10</v>
      </c>
      <c r="AR826" s="20">
        <v>18</v>
      </c>
      <c r="AS826" s="20" t="s">
        <v>592</v>
      </c>
    </row>
    <row r="827" spans="11:45" ht="15.75" customHeight="1" x14ac:dyDescent="0.2">
      <c r="K827" s="20" t="s">
        <v>1143</v>
      </c>
      <c r="L827" s="20" t="s">
        <v>61</v>
      </c>
      <c r="M827" s="20" t="s">
        <v>588</v>
      </c>
      <c r="N827" s="20" t="s">
        <v>526</v>
      </c>
      <c r="O827" s="20" t="s">
        <v>835</v>
      </c>
      <c r="P827" s="20">
        <v>5</v>
      </c>
      <c r="Q827" s="20">
        <v>2</v>
      </c>
      <c r="R827" s="20" t="s">
        <v>593</v>
      </c>
      <c r="AL827" s="20" t="s">
        <v>1162</v>
      </c>
      <c r="AM827" s="20" t="s">
        <v>230</v>
      </c>
      <c r="AN827" s="20" t="s">
        <v>415</v>
      </c>
      <c r="AO827" s="20" t="s">
        <v>1837</v>
      </c>
      <c r="AP827" s="20" t="s">
        <v>628</v>
      </c>
      <c r="AQ827" s="20">
        <v>10</v>
      </c>
      <c r="AR827" s="20">
        <v>8</v>
      </c>
      <c r="AS827" s="20" t="s">
        <v>592</v>
      </c>
    </row>
    <row r="828" spans="11:45" ht="15.75" customHeight="1" x14ac:dyDescent="0.2">
      <c r="K828" s="20" t="s">
        <v>1161</v>
      </c>
      <c r="L828" s="20" t="s">
        <v>41</v>
      </c>
      <c r="M828" s="20" t="s">
        <v>1780</v>
      </c>
      <c r="N828" s="20" t="s">
        <v>535</v>
      </c>
      <c r="O828" s="20" t="s">
        <v>835</v>
      </c>
      <c r="P828" s="20">
        <v>5</v>
      </c>
      <c r="Q828" s="20">
        <v>5</v>
      </c>
      <c r="R828" s="20" t="s">
        <v>592</v>
      </c>
      <c r="AL828" s="20" t="s">
        <v>1162</v>
      </c>
      <c r="AM828" s="20" t="s">
        <v>230</v>
      </c>
      <c r="AN828" s="20" t="s">
        <v>415</v>
      </c>
      <c r="AO828" s="20" t="s">
        <v>3225</v>
      </c>
      <c r="AP828" s="20" t="s">
        <v>628</v>
      </c>
      <c r="AQ828" s="20">
        <v>10</v>
      </c>
      <c r="AR828" s="20">
        <v>1</v>
      </c>
      <c r="AS828" s="20" t="s">
        <v>592</v>
      </c>
    </row>
    <row r="829" spans="11:45" ht="15.75" customHeight="1" x14ac:dyDescent="0.2">
      <c r="K829" s="20" t="s">
        <v>1141</v>
      </c>
      <c r="L829" s="20" t="s">
        <v>218</v>
      </c>
      <c r="M829" s="20" t="s">
        <v>1677</v>
      </c>
      <c r="N829" s="20" t="s">
        <v>494</v>
      </c>
      <c r="O829" s="20" t="s">
        <v>835</v>
      </c>
      <c r="P829" s="20">
        <v>5</v>
      </c>
      <c r="Q829" s="20">
        <v>1</v>
      </c>
      <c r="R829" s="20" t="s">
        <v>593</v>
      </c>
      <c r="AL829" s="20" t="s">
        <v>1162</v>
      </c>
      <c r="AM829" s="20" t="s">
        <v>230</v>
      </c>
      <c r="AN829" s="20" t="s">
        <v>2876</v>
      </c>
      <c r="AO829" s="20" t="s">
        <v>3226</v>
      </c>
      <c r="AP829" s="20" t="s">
        <v>628</v>
      </c>
      <c r="AQ829" s="20">
        <v>10</v>
      </c>
      <c r="AR829" s="20">
        <v>8</v>
      </c>
      <c r="AS829" s="20" t="s">
        <v>592</v>
      </c>
    </row>
    <row r="830" spans="11:45" ht="15.75" customHeight="1" x14ac:dyDescent="0.2">
      <c r="K830" s="20" t="s">
        <v>1154</v>
      </c>
      <c r="L830" s="20" t="s">
        <v>217</v>
      </c>
      <c r="M830" s="20" t="s">
        <v>1036</v>
      </c>
      <c r="N830" s="20" t="s">
        <v>625</v>
      </c>
      <c r="O830" s="20" t="s">
        <v>835</v>
      </c>
      <c r="P830" s="20">
        <v>5</v>
      </c>
      <c r="Q830" s="20">
        <v>2</v>
      </c>
      <c r="R830" s="20" t="s">
        <v>593</v>
      </c>
      <c r="AL830" s="20" t="s">
        <v>1162</v>
      </c>
      <c r="AM830" s="20" t="s">
        <v>240</v>
      </c>
      <c r="AN830" s="20" t="s">
        <v>2877</v>
      </c>
      <c r="AO830" s="20" t="s">
        <v>3227</v>
      </c>
      <c r="AP830" s="20" t="s">
        <v>628</v>
      </c>
      <c r="AQ830" s="20">
        <v>10</v>
      </c>
      <c r="AR830" s="20">
        <v>14</v>
      </c>
      <c r="AS830" s="20" t="s">
        <v>592</v>
      </c>
    </row>
    <row r="831" spans="11:45" ht="15.75" customHeight="1" x14ac:dyDescent="0.2">
      <c r="K831" s="20" t="s">
        <v>1158</v>
      </c>
      <c r="L831" s="20" t="s">
        <v>1040</v>
      </c>
      <c r="M831" s="20" t="s">
        <v>2083</v>
      </c>
      <c r="N831" s="20" t="s">
        <v>2084</v>
      </c>
      <c r="O831" s="20" t="s">
        <v>835</v>
      </c>
      <c r="P831" s="20">
        <v>5</v>
      </c>
      <c r="Q831" s="20">
        <v>2</v>
      </c>
      <c r="R831" s="20" t="s">
        <v>593</v>
      </c>
      <c r="AL831" s="20" t="s">
        <v>1162</v>
      </c>
      <c r="AM831" s="20" t="s">
        <v>230</v>
      </c>
      <c r="AN831" s="20" t="s">
        <v>2502</v>
      </c>
      <c r="AO831" s="20" t="s">
        <v>3228</v>
      </c>
      <c r="AP831" s="20" t="s">
        <v>628</v>
      </c>
      <c r="AQ831" s="20">
        <v>10</v>
      </c>
      <c r="AR831" s="20">
        <v>4</v>
      </c>
      <c r="AS831" s="20" t="s">
        <v>593</v>
      </c>
    </row>
    <row r="832" spans="11:45" ht="15.75" customHeight="1" x14ac:dyDescent="0.2">
      <c r="K832" s="20" t="s">
        <v>1158</v>
      </c>
      <c r="L832" s="20" t="s">
        <v>1040</v>
      </c>
      <c r="M832" s="20" t="s">
        <v>2085</v>
      </c>
      <c r="N832" s="20" t="s">
        <v>2084</v>
      </c>
      <c r="O832" s="20" t="s">
        <v>835</v>
      </c>
      <c r="P832" s="20">
        <v>5</v>
      </c>
      <c r="Q832" s="20">
        <v>1</v>
      </c>
      <c r="R832" s="20" t="s">
        <v>593</v>
      </c>
      <c r="AL832" s="20" t="s">
        <v>1162</v>
      </c>
      <c r="AM832" s="20" t="s">
        <v>230</v>
      </c>
      <c r="AN832" s="20" t="s">
        <v>418</v>
      </c>
      <c r="AO832" s="20" t="s">
        <v>2173</v>
      </c>
      <c r="AP832" s="20" t="s">
        <v>628</v>
      </c>
      <c r="AQ832" s="20">
        <v>10</v>
      </c>
      <c r="AR832" s="20">
        <v>5</v>
      </c>
      <c r="AS832" s="20" t="s">
        <v>593</v>
      </c>
    </row>
    <row r="833" spans="11:45" ht="15.75" customHeight="1" x14ac:dyDescent="0.2">
      <c r="K833" s="20" t="s">
        <v>1163</v>
      </c>
      <c r="L833" s="20" t="s">
        <v>57</v>
      </c>
      <c r="M833" s="20" t="s">
        <v>2086</v>
      </c>
      <c r="N833" s="20" t="s">
        <v>2087</v>
      </c>
      <c r="O833" s="20" t="s">
        <v>835</v>
      </c>
      <c r="P833" s="20">
        <v>5</v>
      </c>
      <c r="Q833" s="20">
        <v>1</v>
      </c>
      <c r="R833" s="20" t="s">
        <v>593</v>
      </c>
      <c r="AL833" s="20" t="s">
        <v>1162</v>
      </c>
      <c r="AM833" s="20" t="s">
        <v>352</v>
      </c>
      <c r="AN833" s="20" t="s">
        <v>1469</v>
      </c>
      <c r="AO833" s="20" t="s">
        <v>3229</v>
      </c>
      <c r="AP833" s="20" t="s">
        <v>628</v>
      </c>
      <c r="AQ833" s="20">
        <v>10</v>
      </c>
      <c r="AR833" s="20">
        <v>35</v>
      </c>
      <c r="AS833" s="20" t="s">
        <v>592</v>
      </c>
    </row>
    <row r="834" spans="11:45" ht="15.75" customHeight="1" x14ac:dyDescent="0.2">
      <c r="K834" s="20" t="s">
        <v>1162</v>
      </c>
      <c r="L834" s="20" t="s">
        <v>230</v>
      </c>
      <c r="M834" s="20" t="s">
        <v>1836</v>
      </c>
      <c r="N834" s="20" t="s">
        <v>417</v>
      </c>
      <c r="O834" s="20" t="s">
        <v>835</v>
      </c>
      <c r="P834" s="20">
        <v>5</v>
      </c>
      <c r="Q834" s="20">
        <v>2</v>
      </c>
      <c r="R834" s="20" t="s">
        <v>593</v>
      </c>
      <c r="AL834" s="20" t="s">
        <v>1162</v>
      </c>
      <c r="AM834" s="20" t="s">
        <v>352</v>
      </c>
      <c r="AN834" s="20" t="s">
        <v>443</v>
      </c>
      <c r="AO834" s="20" t="s">
        <v>2163</v>
      </c>
      <c r="AP834" s="20" t="s">
        <v>628</v>
      </c>
      <c r="AQ834" s="20">
        <v>10</v>
      </c>
      <c r="AR834" s="20">
        <v>9</v>
      </c>
      <c r="AS834" s="20" t="s">
        <v>592</v>
      </c>
    </row>
    <row r="835" spans="11:45" ht="15.75" customHeight="1" x14ac:dyDescent="0.2">
      <c r="AL835" s="20" t="s">
        <v>1162</v>
      </c>
      <c r="AM835" s="20" t="s">
        <v>352</v>
      </c>
      <c r="AN835" s="20" t="s">
        <v>2538</v>
      </c>
      <c r="AO835" s="20" t="s">
        <v>3230</v>
      </c>
      <c r="AP835" s="20" t="s">
        <v>628</v>
      </c>
      <c r="AQ835" s="20">
        <v>10</v>
      </c>
      <c r="AR835" s="20">
        <v>16</v>
      </c>
      <c r="AS835" s="20" t="s">
        <v>592</v>
      </c>
    </row>
    <row r="836" spans="11:45" ht="15.75" customHeight="1" x14ac:dyDescent="0.2">
      <c r="AL836" s="20" t="s">
        <v>1162</v>
      </c>
      <c r="AM836" s="20" t="s">
        <v>352</v>
      </c>
      <c r="AN836" s="20" t="s">
        <v>1469</v>
      </c>
      <c r="AO836" s="20" t="s">
        <v>3231</v>
      </c>
      <c r="AP836" s="20" t="s">
        <v>628</v>
      </c>
      <c r="AQ836" s="20">
        <v>10</v>
      </c>
      <c r="AR836" s="20">
        <v>10</v>
      </c>
      <c r="AS836" s="20" t="s">
        <v>592</v>
      </c>
    </row>
    <row r="837" spans="11:45" ht="15.75" customHeight="1" x14ac:dyDescent="0.2">
      <c r="AL837" s="20" t="s">
        <v>1162</v>
      </c>
      <c r="AM837" s="20" t="s">
        <v>352</v>
      </c>
      <c r="AN837" s="20" t="s">
        <v>894</v>
      </c>
      <c r="AO837" s="20" t="s">
        <v>3232</v>
      </c>
      <c r="AP837" s="20" t="s">
        <v>628</v>
      </c>
      <c r="AQ837" s="20">
        <v>10</v>
      </c>
      <c r="AR837" s="20">
        <v>2</v>
      </c>
      <c r="AS837" s="20" t="s">
        <v>593</v>
      </c>
    </row>
    <row r="838" spans="11:45" ht="15.75" customHeight="1" x14ac:dyDescent="0.2">
      <c r="AL838" s="20" t="s">
        <v>1162</v>
      </c>
      <c r="AM838" s="20" t="s">
        <v>352</v>
      </c>
      <c r="AN838" s="20" t="s">
        <v>445</v>
      </c>
      <c r="AO838" s="20" t="s">
        <v>2584</v>
      </c>
      <c r="AP838" s="20" t="s">
        <v>628</v>
      </c>
      <c r="AQ838" s="20">
        <v>10</v>
      </c>
      <c r="AR838" s="20">
        <v>9</v>
      </c>
      <c r="AS838" s="20" t="s">
        <v>592</v>
      </c>
    </row>
    <row r="839" spans="11:45" ht="15.75" customHeight="1" x14ac:dyDescent="0.2">
      <c r="AL839" s="20" t="s">
        <v>1162</v>
      </c>
      <c r="AM839" s="20" t="s">
        <v>352</v>
      </c>
      <c r="AN839" s="20" t="s">
        <v>2878</v>
      </c>
      <c r="AO839" s="20" t="s">
        <v>3233</v>
      </c>
      <c r="AP839" s="20" t="s">
        <v>628</v>
      </c>
      <c r="AQ839" s="20">
        <v>10</v>
      </c>
      <c r="AR839" s="20">
        <v>3</v>
      </c>
      <c r="AS839" s="20" t="s">
        <v>593</v>
      </c>
    </row>
    <row r="840" spans="11:45" ht="15.75" customHeight="1" x14ac:dyDescent="0.2">
      <c r="AL840" s="20" t="s">
        <v>1162</v>
      </c>
      <c r="AM840" s="20" t="s">
        <v>352</v>
      </c>
      <c r="AN840" s="20" t="s">
        <v>444</v>
      </c>
      <c r="AO840" s="20" t="s">
        <v>3234</v>
      </c>
      <c r="AP840" s="20" t="s">
        <v>628</v>
      </c>
      <c r="AQ840" s="20">
        <v>10</v>
      </c>
      <c r="AR840" s="20">
        <v>8</v>
      </c>
      <c r="AS840" s="20" t="s">
        <v>592</v>
      </c>
    </row>
    <row r="841" spans="11:45" ht="15.75" customHeight="1" x14ac:dyDescent="0.2">
      <c r="AL841" s="20" t="s">
        <v>1162</v>
      </c>
      <c r="AM841" s="20" t="s">
        <v>240</v>
      </c>
      <c r="AN841" s="20" t="s">
        <v>365</v>
      </c>
      <c r="AO841" s="20" t="s">
        <v>1783</v>
      </c>
      <c r="AP841" s="20" t="s">
        <v>628</v>
      </c>
      <c r="AQ841" s="20">
        <v>10</v>
      </c>
      <c r="AR841" s="20">
        <v>25</v>
      </c>
      <c r="AS841" s="20" t="s">
        <v>592</v>
      </c>
    </row>
    <row r="842" spans="11:45" ht="15.75" customHeight="1" x14ac:dyDescent="0.2">
      <c r="AL842" s="20" t="s">
        <v>1162</v>
      </c>
      <c r="AM842" s="20" t="s">
        <v>352</v>
      </c>
      <c r="AN842" s="20" t="s">
        <v>869</v>
      </c>
      <c r="AO842" s="20" t="s">
        <v>2172</v>
      </c>
      <c r="AP842" s="20" t="s">
        <v>628</v>
      </c>
      <c r="AQ842" s="20">
        <v>10</v>
      </c>
      <c r="AR842" s="20">
        <v>14</v>
      </c>
      <c r="AS842" s="20" t="s">
        <v>592</v>
      </c>
    </row>
    <row r="843" spans="11:45" ht="15.75" customHeight="1" x14ac:dyDescent="0.2">
      <c r="AL843" s="20" t="s">
        <v>1162</v>
      </c>
      <c r="AM843" s="20" t="s">
        <v>352</v>
      </c>
      <c r="AN843" s="20" t="s">
        <v>2015</v>
      </c>
      <c r="AO843" s="20" t="s">
        <v>2250</v>
      </c>
      <c r="AP843" s="20" t="s">
        <v>628</v>
      </c>
      <c r="AQ843" s="20">
        <v>10</v>
      </c>
      <c r="AR843" s="20">
        <v>4</v>
      </c>
      <c r="AS843" s="20" t="s">
        <v>593</v>
      </c>
    </row>
    <row r="844" spans="11:45" ht="15.75" customHeight="1" x14ac:dyDescent="0.2">
      <c r="AL844" s="20" t="s">
        <v>1162</v>
      </c>
      <c r="AM844" s="20" t="s">
        <v>352</v>
      </c>
      <c r="AN844" s="20" t="s">
        <v>1933</v>
      </c>
      <c r="AO844" s="20" t="s">
        <v>3235</v>
      </c>
      <c r="AP844" s="20" t="s">
        <v>628</v>
      </c>
      <c r="AQ844" s="20">
        <v>10</v>
      </c>
      <c r="AR844" s="20">
        <v>2</v>
      </c>
      <c r="AS844" s="20" t="s">
        <v>593</v>
      </c>
    </row>
    <row r="845" spans="11:45" ht="15.75" customHeight="1" x14ac:dyDescent="0.2">
      <c r="AL845" s="20" t="s">
        <v>1162</v>
      </c>
      <c r="AM845" s="20" t="s">
        <v>352</v>
      </c>
      <c r="AN845" s="20" t="s">
        <v>2467</v>
      </c>
      <c r="AO845" s="20" t="s">
        <v>2190</v>
      </c>
      <c r="AP845" s="20" t="s">
        <v>628</v>
      </c>
      <c r="AQ845" s="20">
        <v>10</v>
      </c>
      <c r="AR845" s="20">
        <v>10</v>
      </c>
      <c r="AS845" s="20" t="s">
        <v>592</v>
      </c>
    </row>
    <row r="846" spans="11:45" ht="15.75" customHeight="1" x14ac:dyDescent="0.2">
      <c r="AL846" s="20" t="s">
        <v>1162</v>
      </c>
      <c r="AM846" s="20" t="s">
        <v>230</v>
      </c>
      <c r="AN846" s="20" t="s">
        <v>1926</v>
      </c>
      <c r="AO846" s="20" t="s">
        <v>1925</v>
      </c>
      <c r="AP846" s="20" t="s">
        <v>628</v>
      </c>
      <c r="AQ846" s="20">
        <v>10</v>
      </c>
      <c r="AR846" s="20">
        <v>3</v>
      </c>
      <c r="AS846" s="20" t="s">
        <v>593</v>
      </c>
    </row>
    <row r="847" spans="11:45" ht="15.75" customHeight="1" x14ac:dyDescent="0.2">
      <c r="AL847" s="20" t="s">
        <v>1162</v>
      </c>
      <c r="AM847" s="20" t="s">
        <v>230</v>
      </c>
      <c r="AN847" s="20" t="s">
        <v>610</v>
      </c>
      <c r="AO847" s="20" t="s">
        <v>2294</v>
      </c>
      <c r="AP847" s="20" t="s">
        <v>628</v>
      </c>
      <c r="AQ847" s="20">
        <v>10</v>
      </c>
      <c r="AR847" s="20">
        <v>3</v>
      </c>
      <c r="AS847" s="20" t="s">
        <v>593</v>
      </c>
    </row>
    <row r="848" spans="11:45" ht="15.75" customHeight="1" x14ac:dyDescent="0.2">
      <c r="AL848" s="20" t="s">
        <v>1162</v>
      </c>
      <c r="AM848" s="20" t="s">
        <v>230</v>
      </c>
      <c r="AN848" s="20" t="s">
        <v>366</v>
      </c>
      <c r="AO848" s="20" t="s">
        <v>3236</v>
      </c>
      <c r="AP848" s="20" t="s">
        <v>628</v>
      </c>
      <c r="AQ848" s="20">
        <v>10</v>
      </c>
      <c r="AR848" s="20">
        <v>5</v>
      </c>
      <c r="AS848" s="20" t="s">
        <v>593</v>
      </c>
    </row>
    <row r="849" spans="38:45" ht="15.75" customHeight="1" x14ac:dyDescent="0.2">
      <c r="AL849" s="20" t="s">
        <v>1162</v>
      </c>
      <c r="AM849" s="20" t="s">
        <v>352</v>
      </c>
      <c r="AN849" s="20" t="s">
        <v>2548</v>
      </c>
      <c r="AO849" s="20" t="s">
        <v>3237</v>
      </c>
      <c r="AP849" s="20" t="s">
        <v>835</v>
      </c>
      <c r="AQ849" s="20">
        <v>5</v>
      </c>
      <c r="AR849" s="20">
        <v>6</v>
      </c>
      <c r="AS849" s="20" t="s">
        <v>592</v>
      </c>
    </row>
    <row r="850" spans="38:45" ht="15.75" customHeight="1" x14ac:dyDescent="0.2">
      <c r="AL850" s="20" t="s">
        <v>1162</v>
      </c>
      <c r="AM850" s="20" t="s">
        <v>240</v>
      </c>
      <c r="AN850" s="20" t="s">
        <v>365</v>
      </c>
      <c r="AO850" s="20" t="s">
        <v>1783</v>
      </c>
      <c r="AP850" s="20" t="s">
        <v>835</v>
      </c>
      <c r="AQ850" s="20">
        <v>5</v>
      </c>
      <c r="AR850" s="20">
        <v>1</v>
      </c>
      <c r="AS850" s="20" t="s">
        <v>593</v>
      </c>
    </row>
    <row r="851" spans="38:45" ht="15.75" customHeight="1" x14ac:dyDescent="0.2">
      <c r="AL851" s="20" t="s">
        <v>1162</v>
      </c>
      <c r="AM851" s="20" t="s">
        <v>352</v>
      </c>
      <c r="AN851" s="20" t="s">
        <v>443</v>
      </c>
      <c r="AO851" s="20" t="s">
        <v>3238</v>
      </c>
      <c r="AP851" s="20" t="s">
        <v>628</v>
      </c>
      <c r="AQ851" s="20">
        <v>10</v>
      </c>
      <c r="AR851" s="20">
        <v>9</v>
      </c>
      <c r="AS851" s="20" t="s">
        <v>592</v>
      </c>
    </row>
    <row r="852" spans="38:45" ht="15.75" customHeight="1" x14ac:dyDescent="0.2">
      <c r="AL852" s="20" t="s">
        <v>1162</v>
      </c>
      <c r="AM852" s="20" t="s">
        <v>240</v>
      </c>
      <c r="AN852" s="20" t="s">
        <v>1638</v>
      </c>
      <c r="AO852" s="20" t="s">
        <v>1637</v>
      </c>
      <c r="AP852" s="20" t="s">
        <v>835</v>
      </c>
      <c r="AQ852" s="20">
        <v>5</v>
      </c>
      <c r="AR852" s="20">
        <v>2</v>
      </c>
      <c r="AS852" s="20" t="s">
        <v>593</v>
      </c>
    </row>
    <row r="853" spans="38:45" ht="15.75" customHeight="1" x14ac:dyDescent="0.2">
      <c r="AL853" s="20" t="s">
        <v>1162</v>
      </c>
      <c r="AM853" s="20" t="s">
        <v>352</v>
      </c>
      <c r="AN853" s="20" t="s">
        <v>1933</v>
      </c>
      <c r="AO853" s="20" t="s">
        <v>3235</v>
      </c>
      <c r="AP853" s="20" t="s">
        <v>835</v>
      </c>
      <c r="AQ853" s="20">
        <v>5</v>
      </c>
      <c r="AR853" s="20">
        <v>1</v>
      </c>
      <c r="AS853" s="20" t="s">
        <v>593</v>
      </c>
    </row>
    <row r="854" spans="38:45" ht="15.75" customHeight="1" x14ac:dyDescent="0.2">
      <c r="AL854" s="20" t="s">
        <v>1162</v>
      </c>
      <c r="AM854" s="20" t="s">
        <v>240</v>
      </c>
      <c r="AN854" s="20" t="s">
        <v>2497</v>
      </c>
      <c r="AO854" s="20" t="s">
        <v>2322</v>
      </c>
      <c r="AP854" s="20" t="s">
        <v>628</v>
      </c>
      <c r="AQ854" s="20">
        <v>10</v>
      </c>
      <c r="AR854" s="20">
        <v>8</v>
      </c>
      <c r="AS854" s="20" t="s">
        <v>592</v>
      </c>
    </row>
    <row r="855" spans="38:45" ht="15.75" customHeight="1" x14ac:dyDescent="0.2">
      <c r="AL855" s="20" t="s">
        <v>1162</v>
      </c>
      <c r="AM855" s="20" t="s">
        <v>240</v>
      </c>
      <c r="AN855" s="20" t="s">
        <v>416</v>
      </c>
      <c r="AO855" s="20" t="s">
        <v>962</v>
      </c>
      <c r="AP855" s="20" t="s">
        <v>628</v>
      </c>
      <c r="AQ855" s="20">
        <v>10</v>
      </c>
      <c r="AR855" s="20">
        <v>8</v>
      </c>
      <c r="AS855" s="20" t="s">
        <v>592</v>
      </c>
    </row>
    <row r="856" spans="38:45" ht="15.75" customHeight="1" x14ac:dyDescent="0.2">
      <c r="AL856" s="20" t="s">
        <v>1162</v>
      </c>
      <c r="AM856" s="20" t="s">
        <v>230</v>
      </c>
      <c r="AN856" s="20" t="s">
        <v>418</v>
      </c>
      <c r="AO856" s="20" t="s">
        <v>2173</v>
      </c>
      <c r="AP856" s="20" t="s">
        <v>628</v>
      </c>
      <c r="AQ856" s="20">
        <v>10</v>
      </c>
      <c r="AR856" s="20">
        <v>10</v>
      </c>
      <c r="AS856" s="20" t="s">
        <v>592</v>
      </c>
    </row>
    <row r="857" spans="38:45" ht="15.75" customHeight="1" x14ac:dyDescent="0.2">
      <c r="AL857" s="20" t="s">
        <v>1162</v>
      </c>
      <c r="AM857" s="20" t="s">
        <v>352</v>
      </c>
      <c r="AN857" s="20" t="s">
        <v>894</v>
      </c>
      <c r="AO857" s="20" t="s">
        <v>3232</v>
      </c>
      <c r="AP857" s="20" t="s">
        <v>628</v>
      </c>
      <c r="AQ857" s="20">
        <v>10</v>
      </c>
      <c r="AR857" s="20">
        <v>9</v>
      </c>
      <c r="AS857" s="20" t="s">
        <v>592</v>
      </c>
    </row>
    <row r="858" spans="38:45" ht="15.75" customHeight="1" x14ac:dyDescent="0.2">
      <c r="AL858" s="20" t="s">
        <v>1162</v>
      </c>
      <c r="AM858" s="20" t="s">
        <v>230</v>
      </c>
      <c r="AN858" s="20" t="s">
        <v>610</v>
      </c>
      <c r="AO858" s="20" t="s">
        <v>1976</v>
      </c>
      <c r="AP858" s="20" t="s">
        <v>628</v>
      </c>
      <c r="AQ858" s="20">
        <v>10</v>
      </c>
      <c r="AR858" s="20">
        <v>11</v>
      </c>
      <c r="AS858" s="20" t="s">
        <v>592</v>
      </c>
    </row>
    <row r="859" spans="38:45" ht="15.75" customHeight="1" x14ac:dyDescent="0.2">
      <c r="AL859" s="20" t="s">
        <v>1162</v>
      </c>
      <c r="AM859" s="20" t="s">
        <v>230</v>
      </c>
      <c r="AN859" s="20" t="s">
        <v>1926</v>
      </c>
      <c r="AO859" s="20" t="s">
        <v>3239</v>
      </c>
      <c r="AP859" s="20" t="s">
        <v>628</v>
      </c>
      <c r="AQ859" s="20">
        <v>10</v>
      </c>
      <c r="AR859" s="20">
        <v>8</v>
      </c>
      <c r="AS859" s="20" t="s">
        <v>592</v>
      </c>
    </row>
    <row r="860" spans="38:45" ht="15.75" customHeight="1" x14ac:dyDescent="0.2">
      <c r="AL860" s="20" t="s">
        <v>1162</v>
      </c>
      <c r="AM860" s="20" t="s">
        <v>230</v>
      </c>
      <c r="AN860" s="20" t="s">
        <v>366</v>
      </c>
      <c r="AO860" s="20" t="s">
        <v>3236</v>
      </c>
      <c r="AP860" s="20" t="s">
        <v>628</v>
      </c>
      <c r="AQ860" s="20">
        <v>10</v>
      </c>
      <c r="AR860" s="20">
        <v>4</v>
      </c>
      <c r="AS860" s="20" t="s">
        <v>593</v>
      </c>
    </row>
    <row r="861" spans="38:45" ht="15.75" customHeight="1" x14ac:dyDescent="0.2">
      <c r="AL861" s="20" t="s">
        <v>1162</v>
      </c>
      <c r="AM861" s="20" t="s">
        <v>352</v>
      </c>
      <c r="AN861" s="20" t="s">
        <v>1469</v>
      </c>
      <c r="AO861" s="20" t="s">
        <v>2754</v>
      </c>
      <c r="AP861" s="20" t="s">
        <v>835</v>
      </c>
      <c r="AQ861" s="20">
        <v>5</v>
      </c>
      <c r="AR861" s="20">
        <v>9</v>
      </c>
      <c r="AS861" s="20" t="s">
        <v>592</v>
      </c>
    </row>
    <row r="862" spans="38:45" ht="15.75" customHeight="1" x14ac:dyDescent="0.2">
      <c r="AL862" s="20" t="s">
        <v>1161</v>
      </c>
      <c r="AM862" s="20" t="s">
        <v>1432</v>
      </c>
      <c r="AN862" s="20" t="s">
        <v>2012</v>
      </c>
      <c r="AO862" s="20" t="s">
        <v>2011</v>
      </c>
      <c r="AP862" s="20" t="s">
        <v>628</v>
      </c>
      <c r="AQ862" s="20">
        <v>10</v>
      </c>
      <c r="AR862" s="20">
        <v>9</v>
      </c>
      <c r="AS862" s="20" t="s">
        <v>592</v>
      </c>
    </row>
    <row r="863" spans="38:45" ht="15.75" customHeight="1" x14ac:dyDescent="0.2">
      <c r="AL863" s="20" t="s">
        <v>1161</v>
      </c>
      <c r="AM863" s="20" t="s">
        <v>41</v>
      </c>
      <c r="AN863" s="20" t="s">
        <v>536</v>
      </c>
      <c r="AO863" s="20" t="s">
        <v>2603</v>
      </c>
      <c r="AP863" s="20" t="s">
        <v>628</v>
      </c>
      <c r="AQ863" s="20">
        <v>10</v>
      </c>
      <c r="AR863" s="20">
        <v>73</v>
      </c>
      <c r="AS863" s="20" t="s">
        <v>592</v>
      </c>
    </row>
    <row r="864" spans="38:45" ht="15.75" customHeight="1" x14ac:dyDescent="0.2">
      <c r="AL864" s="20" t="s">
        <v>1161</v>
      </c>
      <c r="AM864" s="20" t="s">
        <v>41</v>
      </c>
      <c r="AN864" s="20" t="s">
        <v>540</v>
      </c>
      <c r="AO864" s="20" t="s">
        <v>3240</v>
      </c>
      <c r="AP864" s="20" t="s">
        <v>628</v>
      </c>
      <c r="AQ864" s="20">
        <v>10</v>
      </c>
      <c r="AR864" s="20">
        <v>24</v>
      </c>
      <c r="AS864" s="20" t="s">
        <v>592</v>
      </c>
    </row>
    <row r="865" spans="38:45" ht="15.75" customHeight="1" x14ac:dyDescent="0.2">
      <c r="AL865" s="20" t="s">
        <v>1161</v>
      </c>
      <c r="AM865" s="20" t="s">
        <v>41</v>
      </c>
      <c r="AN865" s="20" t="s">
        <v>538</v>
      </c>
      <c r="AO865" s="20" t="s">
        <v>1419</v>
      </c>
      <c r="AP865" s="20" t="s">
        <v>628</v>
      </c>
      <c r="AQ865" s="20">
        <v>10</v>
      </c>
      <c r="AR865" s="20">
        <v>13</v>
      </c>
      <c r="AS865" s="20" t="s">
        <v>592</v>
      </c>
    </row>
    <row r="866" spans="38:45" ht="15.75" customHeight="1" x14ac:dyDescent="0.2">
      <c r="AL866" s="20" t="s">
        <v>1161</v>
      </c>
      <c r="AM866" s="20" t="s">
        <v>41</v>
      </c>
      <c r="AN866" s="20" t="s">
        <v>539</v>
      </c>
      <c r="AO866" s="20" t="s">
        <v>997</v>
      </c>
      <c r="AP866" s="20" t="s">
        <v>628</v>
      </c>
      <c r="AQ866" s="20">
        <v>10</v>
      </c>
      <c r="AR866" s="20">
        <v>14</v>
      </c>
      <c r="AS866" s="20" t="s">
        <v>592</v>
      </c>
    </row>
    <row r="867" spans="38:45" ht="15.75" customHeight="1" x14ac:dyDescent="0.2">
      <c r="AL867" s="20" t="s">
        <v>1161</v>
      </c>
      <c r="AM867" s="20" t="s">
        <v>41</v>
      </c>
      <c r="AN867" s="20" t="s">
        <v>1779</v>
      </c>
      <c r="AO867" s="20" t="s">
        <v>2386</v>
      </c>
      <c r="AP867" s="20" t="s">
        <v>628</v>
      </c>
      <c r="AQ867" s="20">
        <v>10</v>
      </c>
      <c r="AR867" s="20">
        <v>8</v>
      </c>
      <c r="AS867" s="20" t="s">
        <v>592</v>
      </c>
    </row>
    <row r="868" spans="38:45" ht="15.75" customHeight="1" x14ac:dyDescent="0.2">
      <c r="AL868" s="20" t="s">
        <v>1161</v>
      </c>
      <c r="AM868" s="20" t="s">
        <v>659</v>
      </c>
      <c r="AN868" s="20" t="s">
        <v>955</v>
      </c>
      <c r="AO868" s="20" t="s">
        <v>2380</v>
      </c>
      <c r="AP868" s="20" t="s">
        <v>835</v>
      </c>
      <c r="AQ868" s="20">
        <v>5</v>
      </c>
      <c r="AR868" s="20">
        <v>2</v>
      </c>
      <c r="AS868" s="20" t="s">
        <v>593</v>
      </c>
    </row>
    <row r="869" spans="38:45" ht="15.75" customHeight="1" x14ac:dyDescent="0.2">
      <c r="AL869" s="20" t="s">
        <v>1161</v>
      </c>
      <c r="AM869" s="20" t="s">
        <v>659</v>
      </c>
      <c r="AN869" s="20" t="s">
        <v>2554</v>
      </c>
      <c r="AO869" s="20" t="s">
        <v>2697</v>
      </c>
      <c r="AP869" s="20" t="s">
        <v>835</v>
      </c>
      <c r="AQ869" s="20">
        <v>5</v>
      </c>
      <c r="AR869" s="20">
        <v>1</v>
      </c>
      <c r="AS869" s="20" t="s">
        <v>593</v>
      </c>
    </row>
    <row r="870" spans="38:45" ht="15.75" customHeight="1" x14ac:dyDescent="0.2">
      <c r="AL870" s="20" t="s">
        <v>1161</v>
      </c>
      <c r="AM870" s="20" t="s">
        <v>117</v>
      </c>
      <c r="AN870" s="20" t="s">
        <v>541</v>
      </c>
      <c r="AO870" s="20" t="s">
        <v>3241</v>
      </c>
      <c r="AP870" s="20" t="s">
        <v>628</v>
      </c>
      <c r="AQ870" s="20">
        <v>10</v>
      </c>
      <c r="AR870" s="20">
        <v>9</v>
      </c>
      <c r="AS870" s="20" t="s">
        <v>592</v>
      </c>
    </row>
    <row r="871" spans="38:45" ht="15.75" customHeight="1" x14ac:dyDescent="0.2">
      <c r="AL871" s="20" t="s">
        <v>1161</v>
      </c>
      <c r="AM871" s="20" t="s">
        <v>117</v>
      </c>
      <c r="AN871" s="20" t="s">
        <v>456</v>
      </c>
      <c r="AO871" s="20" t="s">
        <v>2378</v>
      </c>
      <c r="AP871" s="20" t="s">
        <v>628</v>
      </c>
      <c r="AQ871" s="20">
        <v>10</v>
      </c>
      <c r="AR871" s="20">
        <v>15</v>
      </c>
      <c r="AS871" s="20" t="s">
        <v>592</v>
      </c>
    </row>
    <row r="872" spans="38:45" ht="15.75" customHeight="1" x14ac:dyDescent="0.2">
      <c r="AL872" s="20" t="s">
        <v>1161</v>
      </c>
      <c r="AM872" s="20" t="s">
        <v>117</v>
      </c>
      <c r="AN872" s="20" t="s">
        <v>1518</v>
      </c>
      <c r="AO872" s="20" t="s">
        <v>2737</v>
      </c>
      <c r="AP872" s="20" t="s">
        <v>628</v>
      </c>
      <c r="AQ872" s="20">
        <v>10</v>
      </c>
      <c r="AR872" s="20">
        <v>8</v>
      </c>
      <c r="AS872" s="20" t="s">
        <v>592</v>
      </c>
    </row>
    <row r="873" spans="38:45" ht="15.75" customHeight="1" x14ac:dyDescent="0.2">
      <c r="AL873" s="20" t="s">
        <v>1161</v>
      </c>
      <c r="AM873" s="20" t="s">
        <v>117</v>
      </c>
      <c r="AN873" s="20" t="s">
        <v>2879</v>
      </c>
      <c r="AO873" s="20" t="s">
        <v>3242</v>
      </c>
      <c r="AP873" s="20" t="s">
        <v>628</v>
      </c>
      <c r="AQ873" s="20">
        <v>10</v>
      </c>
      <c r="AR873" s="20">
        <v>8</v>
      </c>
      <c r="AS873" s="20" t="s">
        <v>592</v>
      </c>
    </row>
    <row r="874" spans="38:45" ht="15.75" customHeight="1" x14ac:dyDescent="0.2">
      <c r="AL874" s="20" t="s">
        <v>1161</v>
      </c>
      <c r="AM874" s="20" t="s">
        <v>659</v>
      </c>
      <c r="AN874" s="20" t="s">
        <v>389</v>
      </c>
      <c r="AO874" s="20" t="s">
        <v>3243</v>
      </c>
      <c r="AP874" s="20" t="s">
        <v>628</v>
      </c>
      <c r="AQ874" s="20">
        <v>10</v>
      </c>
      <c r="AR874" s="20">
        <v>24</v>
      </c>
      <c r="AS874" s="20" t="s">
        <v>592</v>
      </c>
    </row>
    <row r="875" spans="38:45" ht="15.75" customHeight="1" x14ac:dyDescent="0.2">
      <c r="AL875" s="20" t="s">
        <v>1161</v>
      </c>
      <c r="AM875" s="20" t="s">
        <v>659</v>
      </c>
      <c r="AN875" s="20" t="s">
        <v>389</v>
      </c>
      <c r="AO875" s="20" t="s">
        <v>3244</v>
      </c>
      <c r="AP875" s="20" t="s">
        <v>628</v>
      </c>
      <c r="AQ875" s="20">
        <v>10</v>
      </c>
      <c r="AR875" s="20">
        <v>13</v>
      </c>
      <c r="AS875" s="20" t="s">
        <v>592</v>
      </c>
    </row>
    <row r="876" spans="38:45" ht="15.75" customHeight="1" x14ac:dyDescent="0.2">
      <c r="AL876" s="20" t="s">
        <v>1161</v>
      </c>
      <c r="AM876" s="20" t="s">
        <v>659</v>
      </c>
      <c r="AN876" s="20" t="s">
        <v>2880</v>
      </c>
      <c r="AO876" s="20" t="s">
        <v>3245</v>
      </c>
      <c r="AP876" s="20" t="s">
        <v>628</v>
      </c>
      <c r="AQ876" s="20">
        <v>10</v>
      </c>
      <c r="AR876" s="20">
        <v>8</v>
      </c>
      <c r="AS876" s="20" t="s">
        <v>592</v>
      </c>
    </row>
    <row r="877" spans="38:45" ht="15.75" customHeight="1" x14ac:dyDescent="0.2">
      <c r="AL877" s="20" t="s">
        <v>1161</v>
      </c>
      <c r="AM877" s="20" t="s">
        <v>659</v>
      </c>
      <c r="AN877" s="20" t="s">
        <v>390</v>
      </c>
      <c r="AO877" s="20" t="s">
        <v>3246</v>
      </c>
      <c r="AP877" s="20" t="s">
        <v>628</v>
      </c>
      <c r="AQ877" s="20">
        <v>10</v>
      </c>
      <c r="AR877" s="20">
        <v>13</v>
      </c>
      <c r="AS877" s="20" t="s">
        <v>592</v>
      </c>
    </row>
    <row r="878" spans="38:45" ht="15.75" customHeight="1" x14ac:dyDescent="0.2">
      <c r="AL878" s="20" t="s">
        <v>1161</v>
      </c>
      <c r="AM878" s="20" t="s">
        <v>659</v>
      </c>
      <c r="AN878" s="20" t="s">
        <v>2542</v>
      </c>
      <c r="AO878" s="20" t="s">
        <v>2642</v>
      </c>
      <c r="AP878" s="20" t="s">
        <v>628</v>
      </c>
      <c r="AQ878" s="20">
        <v>10</v>
      </c>
      <c r="AR878" s="20">
        <v>8</v>
      </c>
      <c r="AS878" s="20" t="s">
        <v>592</v>
      </c>
    </row>
    <row r="879" spans="38:45" ht="15.75" customHeight="1" x14ac:dyDescent="0.2">
      <c r="AL879" s="20" t="s">
        <v>1161</v>
      </c>
      <c r="AM879" s="20" t="s">
        <v>659</v>
      </c>
      <c r="AN879" s="20" t="s">
        <v>601</v>
      </c>
      <c r="AO879" s="20" t="s">
        <v>3247</v>
      </c>
      <c r="AP879" s="20" t="s">
        <v>628</v>
      </c>
      <c r="AQ879" s="20">
        <v>10</v>
      </c>
      <c r="AR879" s="20">
        <v>15</v>
      </c>
      <c r="AS879" s="20" t="s">
        <v>592</v>
      </c>
    </row>
    <row r="880" spans="38:45" ht="15.75" customHeight="1" x14ac:dyDescent="0.2">
      <c r="AL880" s="20" t="s">
        <v>1161</v>
      </c>
      <c r="AM880" s="20" t="s">
        <v>765</v>
      </c>
      <c r="AN880" s="20" t="s">
        <v>858</v>
      </c>
      <c r="AO880" s="20" t="s">
        <v>2639</v>
      </c>
      <c r="AP880" s="20" t="s">
        <v>628</v>
      </c>
      <c r="AQ880" s="20">
        <v>10</v>
      </c>
      <c r="AR880" s="20">
        <v>35</v>
      </c>
      <c r="AS880" s="20" t="s">
        <v>592</v>
      </c>
    </row>
    <row r="881" spans="38:45" ht="15.75" customHeight="1" x14ac:dyDescent="0.2">
      <c r="AL881" s="20" t="s">
        <v>1161</v>
      </c>
      <c r="AM881" s="20" t="s">
        <v>659</v>
      </c>
      <c r="AN881" s="20" t="s">
        <v>391</v>
      </c>
      <c r="AO881" s="20" t="s">
        <v>909</v>
      </c>
      <c r="AP881" s="20" t="s">
        <v>628</v>
      </c>
      <c r="AQ881" s="20">
        <v>10</v>
      </c>
      <c r="AR881" s="20">
        <v>9</v>
      </c>
      <c r="AS881" s="20" t="s">
        <v>592</v>
      </c>
    </row>
    <row r="882" spans="38:45" ht="15.75" customHeight="1" x14ac:dyDescent="0.2">
      <c r="AL882" s="20" t="s">
        <v>1161</v>
      </c>
      <c r="AM882" s="20" t="s">
        <v>765</v>
      </c>
      <c r="AN882" s="20" t="s">
        <v>858</v>
      </c>
      <c r="AO882" s="20" t="s">
        <v>1753</v>
      </c>
      <c r="AP882" s="20" t="s">
        <v>628</v>
      </c>
      <c r="AQ882" s="20">
        <v>10</v>
      </c>
      <c r="AR882" s="20">
        <v>6</v>
      </c>
      <c r="AS882" s="20" t="s">
        <v>592</v>
      </c>
    </row>
    <row r="883" spans="38:45" ht="15.75" customHeight="1" x14ac:dyDescent="0.2">
      <c r="AL883" s="20" t="s">
        <v>1161</v>
      </c>
      <c r="AM883" s="20" t="s">
        <v>765</v>
      </c>
      <c r="AN883" s="20" t="s">
        <v>1782</v>
      </c>
      <c r="AO883" s="20" t="s">
        <v>2440</v>
      </c>
      <c r="AP883" s="20" t="s">
        <v>628</v>
      </c>
      <c r="AQ883" s="20">
        <v>10</v>
      </c>
      <c r="AR883" s="20">
        <v>8</v>
      </c>
      <c r="AS883" s="20" t="s">
        <v>592</v>
      </c>
    </row>
    <row r="884" spans="38:45" ht="15.75" customHeight="1" x14ac:dyDescent="0.2">
      <c r="AL884" s="20" t="s">
        <v>1161</v>
      </c>
      <c r="AM884" s="20" t="s">
        <v>41</v>
      </c>
      <c r="AN884" s="20" t="s">
        <v>1930</v>
      </c>
      <c r="AO884" s="20" t="s">
        <v>2041</v>
      </c>
      <c r="AP884" s="20" t="s">
        <v>628</v>
      </c>
      <c r="AQ884" s="20">
        <v>10</v>
      </c>
      <c r="AR884" s="20">
        <v>5</v>
      </c>
      <c r="AS884" s="20" t="s">
        <v>593</v>
      </c>
    </row>
    <row r="885" spans="38:45" ht="15.75" customHeight="1" x14ac:dyDescent="0.2">
      <c r="AL885" s="20" t="s">
        <v>1161</v>
      </c>
      <c r="AM885" s="20" t="s">
        <v>765</v>
      </c>
      <c r="AN885" s="20" t="s">
        <v>2881</v>
      </c>
      <c r="AO885" s="20" t="s">
        <v>3248</v>
      </c>
      <c r="AP885" s="20" t="s">
        <v>628</v>
      </c>
      <c r="AQ885" s="20">
        <v>10</v>
      </c>
      <c r="AR885" s="20">
        <v>7</v>
      </c>
      <c r="AS885" s="20" t="s">
        <v>592</v>
      </c>
    </row>
    <row r="886" spans="38:45" ht="15.75" customHeight="1" x14ac:dyDescent="0.2">
      <c r="AL886" s="20" t="s">
        <v>1161</v>
      </c>
      <c r="AM886" s="20" t="s">
        <v>2520</v>
      </c>
      <c r="AN886" s="20" t="s">
        <v>454</v>
      </c>
      <c r="AO886" s="20" t="s">
        <v>3249</v>
      </c>
      <c r="AP886" s="20" t="s">
        <v>628</v>
      </c>
      <c r="AQ886" s="20">
        <v>10</v>
      </c>
      <c r="AR886" s="20">
        <v>5</v>
      </c>
      <c r="AS886" s="20" t="s">
        <v>593</v>
      </c>
    </row>
    <row r="887" spans="38:45" ht="15.75" customHeight="1" x14ac:dyDescent="0.2">
      <c r="AL887" s="20" t="s">
        <v>1161</v>
      </c>
      <c r="AM887" s="20" t="s">
        <v>2520</v>
      </c>
      <c r="AN887" s="20" t="s">
        <v>2461</v>
      </c>
      <c r="AO887" s="20" t="s">
        <v>2733</v>
      </c>
      <c r="AP887" s="20" t="s">
        <v>628</v>
      </c>
      <c r="AQ887" s="20">
        <v>10</v>
      </c>
      <c r="AR887" s="20">
        <v>9</v>
      </c>
      <c r="AS887" s="20" t="s">
        <v>592</v>
      </c>
    </row>
    <row r="888" spans="38:45" ht="15.75" customHeight="1" x14ac:dyDescent="0.2">
      <c r="AL888" s="20" t="s">
        <v>1161</v>
      </c>
      <c r="AM888" s="20" t="s">
        <v>765</v>
      </c>
      <c r="AN888" s="20" t="s">
        <v>2881</v>
      </c>
      <c r="AO888" s="20" t="s">
        <v>3250</v>
      </c>
      <c r="AP888" s="20" t="s">
        <v>628</v>
      </c>
      <c r="AQ888" s="20">
        <v>10</v>
      </c>
      <c r="AR888" s="20">
        <v>7</v>
      </c>
      <c r="AS888" s="20" t="s">
        <v>592</v>
      </c>
    </row>
    <row r="889" spans="38:45" ht="15.75" customHeight="1" x14ac:dyDescent="0.2">
      <c r="AL889" s="20" t="s">
        <v>1161</v>
      </c>
      <c r="AM889" s="20" t="s">
        <v>1432</v>
      </c>
      <c r="AN889" s="20" t="s">
        <v>1912</v>
      </c>
      <c r="AO889" s="20" t="s">
        <v>2768</v>
      </c>
      <c r="AP889" s="20" t="s">
        <v>628</v>
      </c>
      <c r="AQ889" s="20">
        <v>10</v>
      </c>
      <c r="AR889" s="20">
        <v>12</v>
      </c>
      <c r="AS889" s="20" t="s">
        <v>592</v>
      </c>
    </row>
    <row r="890" spans="38:45" ht="15.75" customHeight="1" x14ac:dyDescent="0.2">
      <c r="AL890" s="20" t="s">
        <v>1161</v>
      </c>
      <c r="AM890" s="20" t="s">
        <v>1432</v>
      </c>
      <c r="AN890" s="20" t="s">
        <v>2490</v>
      </c>
      <c r="AO890" s="20" t="s">
        <v>3251</v>
      </c>
      <c r="AP890" s="20" t="s">
        <v>628</v>
      </c>
      <c r="AQ890" s="20">
        <v>10</v>
      </c>
      <c r="AR890" s="20">
        <v>8</v>
      </c>
      <c r="AS890" s="20" t="s">
        <v>592</v>
      </c>
    </row>
    <row r="891" spans="38:45" ht="15.75" customHeight="1" x14ac:dyDescent="0.2">
      <c r="AL891" s="20" t="s">
        <v>1161</v>
      </c>
      <c r="AM891" s="20" t="s">
        <v>2520</v>
      </c>
      <c r="AN891" s="20" t="s">
        <v>2537</v>
      </c>
      <c r="AO891" s="20" t="s">
        <v>2614</v>
      </c>
      <c r="AP891" s="20" t="s">
        <v>628</v>
      </c>
      <c r="AQ891" s="20">
        <v>10</v>
      </c>
      <c r="AR891" s="20">
        <v>6</v>
      </c>
      <c r="AS891" s="20" t="s">
        <v>593</v>
      </c>
    </row>
    <row r="892" spans="38:45" ht="15.75" customHeight="1" x14ac:dyDescent="0.2">
      <c r="AL892" s="20" t="s">
        <v>1161</v>
      </c>
      <c r="AM892" s="20" t="s">
        <v>117</v>
      </c>
      <c r="AN892" s="20" t="s">
        <v>2882</v>
      </c>
      <c r="AO892" s="20" t="s">
        <v>3252</v>
      </c>
      <c r="AP892" s="20" t="s">
        <v>628</v>
      </c>
      <c r="AQ892" s="20">
        <v>10</v>
      </c>
      <c r="AR892" s="20">
        <v>9</v>
      </c>
      <c r="AS892" s="20" t="s">
        <v>592</v>
      </c>
    </row>
    <row r="893" spans="38:45" ht="15.75" customHeight="1" x14ac:dyDescent="0.2">
      <c r="AL893" s="20" t="s">
        <v>1161</v>
      </c>
      <c r="AM893" s="20" t="s">
        <v>117</v>
      </c>
      <c r="AN893" s="20" t="s">
        <v>423</v>
      </c>
      <c r="AO893" s="20" t="s">
        <v>3253</v>
      </c>
      <c r="AP893" s="20" t="s">
        <v>628</v>
      </c>
      <c r="AQ893" s="20">
        <v>10</v>
      </c>
      <c r="AR893" s="20">
        <v>11</v>
      </c>
      <c r="AS893" s="20" t="s">
        <v>592</v>
      </c>
    </row>
    <row r="894" spans="38:45" ht="15.75" customHeight="1" x14ac:dyDescent="0.2">
      <c r="AL894" s="20" t="s">
        <v>1161</v>
      </c>
      <c r="AM894" s="20" t="s">
        <v>1432</v>
      </c>
      <c r="AN894" s="20" t="s">
        <v>464</v>
      </c>
      <c r="AO894" s="20" t="s">
        <v>3254</v>
      </c>
      <c r="AP894" s="20" t="s">
        <v>628</v>
      </c>
      <c r="AQ894" s="20">
        <v>10</v>
      </c>
      <c r="AR894" s="20">
        <v>8</v>
      </c>
      <c r="AS894" s="20" t="s">
        <v>592</v>
      </c>
    </row>
    <row r="895" spans="38:45" ht="15.75" customHeight="1" x14ac:dyDescent="0.2">
      <c r="AL895" s="20" t="s">
        <v>1161</v>
      </c>
      <c r="AM895" s="20" t="s">
        <v>117</v>
      </c>
      <c r="AN895" s="20" t="s">
        <v>1907</v>
      </c>
      <c r="AO895" s="20" t="s">
        <v>1906</v>
      </c>
      <c r="AP895" s="20" t="s">
        <v>628</v>
      </c>
      <c r="AQ895" s="20">
        <v>10</v>
      </c>
      <c r="AR895" s="20">
        <v>9</v>
      </c>
      <c r="AS895" s="20" t="s">
        <v>592</v>
      </c>
    </row>
    <row r="896" spans="38:45" ht="15.75" customHeight="1" x14ac:dyDescent="0.2">
      <c r="AL896" s="20" t="s">
        <v>1161</v>
      </c>
      <c r="AM896" s="20" t="s">
        <v>1432</v>
      </c>
      <c r="AN896" s="20" t="s">
        <v>2491</v>
      </c>
      <c r="AO896" s="20" t="s">
        <v>3255</v>
      </c>
      <c r="AP896" s="20" t="s">
        <v>628</v>
      </c>
      <c r="AQ896" s="20">
        <v>10</v>
      </c>
      <c r="AR896" s="20">
        <v>19</v>
      </c>
      <c r="AS896" s="20" t="s">
        <v>592</v>
      </c>
    </row>
    <row r="897" spans="38:45" ht="15.75" customHeight="1" x14ac:dyDescent="0.2">
      <c r="AL897" s="20" t="s">
        <v>1161</v>
      </c>
      <c r="AM897" s="20" t="s">
        <v>117</v>
      </c>
      <c r="AN897" s="20" t="s">
        <v>1907</v>
      </c>
      <c r="AO897" s="20" t="s">
        <v>3256</v>
      </c>
      <c r="AP897" s="20" t="s">
        <v>628</v>
      </c>
      <c r="AQ897" s="20">
        <v>10</v>
      </c>
      <c r="AR897" s="20">
        <v>8</v>
      </c>
      <c r="AS897" s="20" t="s">
        <v>592</v>
      </c>
    </row>
    <row r="898" spans="38:45" ht="15.75" customHeight="1" x14ac:dyDescent="0.2">
      <c r="AL898" s="20" t="s">
        <v>1161</v>
      </c>
      <c r="AM898" s="20" t="s">
        <v>117</v>
      </c>
      <c r="AN898" s="20" t="s">
        <v>465</v>
      </c>
      <c r="AO898" s="20" t="s">
        <v>3257</v>
      </c>
      <c r="AP898" s="20" t="s">
        <v>628</v>
      </c>
      <c r="AQ898" s="20">
        <v>10</v>
      </c>
      <c r="AR898" s="20">
        <v>15</v>
      </c>
      <c r="AS898" s="20" t="s">
        <v>592</v>
      </c>
    </row>
    <row r="899" spans="38:45" ht="15.75" customHeight="1" x14ac:dyDescent="0.2">
      <c r="AL899" s="20" t="s">
        <v>1161</v>
      </c>
      <c r="AM899" s="20" t="s">
        <v>765</v>
      </c>
      <c r="AN899" s="20" t="s">
        <v>537</v>
      </c>
      <c r="AO899" s="20" t="s">
        <v>2596</v>
      </c>
      <c r="AP899" s="20" t="s">
        <v>628</v>
      </c>
      <c r="AQ899" s="20">
        <v>10</v>
      </c>
      <c r="AR899" s="20">
        <v>13</v>
      </c>
      <c r="AS899" s="20" t="s">
        <v>592</v>
      </c>
    </row>
    <row r="900" spans="38:45" ht="15.75" customHeight="1" x14ac:dyDescent="0.2">
      <c r="AL900" s="20" t="s">
        <v>1161</v>
      </c>
      <c r="AM900" s="20" t="s">
        <v>765</v>
      </c>
      <c r="AN900" s="20" t="s">
        <v>1750</v>
      </c>
      <c r="AO900" s="20" t="s">
        <v>2008</v>
      </c>
      <c r="AP900" s="20" t="s">
        <v>628</v>
      </c>
      <c r="AQ900" s="20">
        <v>10</v>
      </c>
      <c r="AR900" s="20">
        <v>41</v>
      </c>
      <c r="AS900" s="20" t="s">
        <v>592</v>
      </c>
    </row>
    <row r="901" spans="38:45" ht="15.75" customHeight="1" x14ac:dyDescent="0.2">
      <c r="AL901" s="20" t="s">
        <v>1161</v>
      </c>
      <c r="AM901" s="20" t="s">
        <v>1432</v>
      </c>
      <c r="AN901" s="20" t="s">
        <v>2462</v>
      </c>
      <c r="AO901" s="20" t="s">
        <v>3258</v>
      </c>
      <c r="AP901" s="20" t="s">
        <v>628</v>
      </c>
      <c r="AQ901" s="20">
        <v>10</v>
      </c>
      <c r="AR901" s="20">
        <v>11</v>
      </c>
      <c r="AS901" s="20" t="s">
        <v>592</v>
      </c>
    </row>
    <row r="902" spans="38:45" ht="15.75" customHeight="1" x14ac:dyDescent="0.2">
      <c r="AL902" s="20" t="s">
        <v>1161</v>
      </c>
      <c r="AM902" s="20" t="s">
        <v>117</v>
      </c>
      <c r="AN902" s="20" t="s">
        <v>465</v>
      </c>
      <c r="AO902" s="20" t="s">
        <v>3259</v>
      </c>
      <c r="AP902" s="20" t="s">
        <v>628</v>
      </c>
      <c r="AQ902" s="20">
        <v>10</v>
      </c>
      <c r="AR902" s="20">
        <v>26</v>
      </c>
      <c r="AS902" s="20" t="s">
        <v>592</v>
      </c>
    </row>
    <row r="903" spans="38:45" ht="15.75" customHeight="1" x14ac:dyDescent="0.2">
      <c r="AL903" s="20" t="s">
        <v>1161</v>
      </c>
      <c r="AM903" s="20" t="s">
        <v>1432</v>
      </c>
      <c r="AN903" s="20" t="s">
        <v>2471</v>
      </c>
      <c r="AO903" s="20" t="s">
        <v>3260</v>
      </c>
      <c r="AP903" s="20" t="s">
        <v>628</v>
      </c>
      <c r="AQ903" s="20">
        <v>10</v>
      </c>
      <c r="AR903" s="20">
        <v>13</v>
      </c>
      <c r="AS903" s="20" t="s">
        <v>592</v>
      </c>
    </row>
    <row r="904" spans="38:45" ht="15.75" customHeight="1" x14ac:dyDescent="0.2">
      <c r="AL904" s="20" t="s">
        <v>1161</v>
      </c>
      <c r="AM904" s="20" t="s">
        <v>765</v>
      </c>
      <c r="AN904" s="20" t="s">
        <v>463</v>
      </c>
      <c r="AO904" s="20" t="s">
        <v>3261</v>
      </c>
      <c r="AP904" s="20" t="s">
        <v>628</v>
      </c>
      <c r="AQ904" s="20">
        <v>10</v>
      </c>
      <c r="AR904" s="20">
        <v>2</v>
      </c>
      <c r="AS904" s="20" t="s">
        <v>593</v>
      </c>
    </row>
    <row r="905" spans="38:45" ht="15.75" customHeight="1" x14ac:dyDescent="0.2">
      <c r="AL905" s="20" t="s">
        <v>1161</v>
      </c>
      <c r="AM905" s="20" t="s">
        <v>765</v>
      </c>
      <c r="AN905" s="20" t="s">
        <v>2034</v>
      </c>
      <c r="AO905" s="20" t="s">
        <v>2033</v>
      </c>
      <c r="AP905" s="20" t="s">
        <v>628</v>
      </c>
      <c r="AQ905" s="20">
        <v>10</v>
      </c>
      <c r="AR905" s="20">
        <v>10</v>
      </c>
      <c r="AS905" s="20" t="s">
        <v>592</v>
      </c>
    </row>
    <row r="906" spans="38:45" ht="15.75" customHeight="1" x14ac:dyDescent="0.2">
      <c r="AL906" s="20" t="s">
        <v>1161</v>
      </c>
      <c r="AM906" s="20" t="s">
        <v>765</v>
      </c>
      <c r="AN906" s="20" t="s">
        <v>2470</v>
      </c>
      <c r="AO906" s="20" t="s">
        <v>2205</v>
      </c>
      <c r="AP906" s="20" t="s">
        <v>628</v>
      </c>
      <c r="AQ906" s="20">
        <v>10</v>
      </c>
      <c r="AR906" s="20">
        <v>12</v>
      </c>
      <c r="AS906" s="20" t="s">
        <v>592</v>
      </c>
    </row>
    <row r="907" spans="38:45" ht="15.75" customHeight="1" x14ac:dyDescent="0.2">
      <c r="AL907" s="20" t="s">
        <v>1161</v>
      </c>
      <c r="AM907" s="20" t="s">
        <v>765</v>
      </c>
      <c r="AN907" s="20" t="s">
        <v>512</v>
      </c>
      <c r="AO907" s="20" t="s">
        <v>2382</v>
      </c>
      <c r="AP907" s="20" t="s">
        <v>628</v>
      </c>
      <c r="AQ907" s="20">
        <v>10</v>
      </c>
      <c r="AR907" s="20">
        <v>9</v>
      </c>
      <c r="AS907" s="20" t="s">
        <v>592</v>
      </c>
    </row>
    <row r="908" spans="38:45" ht="15.75" customHeight="1" x14ac:dyDescent="0.2">
      <c r="AL908" s="20" t="s">
        <v>1161</v>
      </c>
      <c r="AM908" s="20" t="s">
        <v>765</v>
      </c>
      <c r="AN908" s="20" t="s">
        <v>512</v>
      </c>
      <c r="AO908" s="20" t="s">
        <v>1328</v>
      </c>
      <c r="AP908" s="20" t="s">
        <v>628</v>
      </c>
      <c r="AQ908" s="20">
        <v>10</v>
      </c>
      <c r="AR908" s="20">
        <v>9</v>
      </c>
      <c r="AS908" s="20" t="s">
        <v>592</v>
      </c>
    </row>
    <row r="909" spans="38:45" ht="15.75" customHeight="1" x14ac:dyDescent="0.2">
      <c r="AL909" s="20" t="s">
        <v>1161</v>
      </c>
      <c r="AM909" s="20" t="s">
        <v>1432</v>
      </c>
      <c r="AN909" s="20" t="s">
        <v>511</v>
      </c>
      <c r="AO909" s="20" t="s">
        <v>2313</v>
      </c>
      <c r="AP909" s="20" t="s">
        <v>628</v>
      </c>
      <c r="AQ909" s="20">
        <v>10</v>
      </c>
      <c r="AR909" s="20">
        <v>9</v>
      </c>
      <c r="AS909" s="20" t="s">
        <v>592</v>
      </c>
    </row>
    <row r="910" spans="38:45" ht="15.75" customHeight="1" x14ac:dyDescent="0.2">
      <c r="AL910" s="20" t="s">
        <v>1161</v>
      </c>
      <c r="AM910" s="20" t="s">
        <v>1432</v>
      </c>
      <c r="AN910" s="20" t="s">
        <v>959</v>
      </c>
      <c r="AO910" s="20" t="s">
        <v>3262</v>
      </c>
      <c r="AP910" s="20" t="s">
        <v>628</v>
      </c>
      <c r="AQ910" s="20">
        <v>10</v>
      </c>
      <c r="AR910" s="20">
        <v>9</v>
      </c>
      <c r="AS910" s="20" t="s">
        <v>592</v>
      </c>
    </row>
    <row r="911" spans="38:45" ht="15.75" customHeight="1" x14ac:dyDescent="0.2">
      <c r="AL911" s="20" t="s">
        <v>1161</v>
      </c>
      <c r="AM911" s="20" t="s">
        <v>765</v>
      </c>
      <c r="AN911" s="20" t="s">
        <v>466</v>
      </c>
      <c r="AO911" s="20" t="s">
        <v>3263</v>
      </c>
      <c r="AP911" s="20" t="s">
        <v>628</v>
      </c>
      <c r="AQ911" s="20">
        <v>10</v>
      </c>
      <c r="AR911" s="20">
        <v>34</v>
      </c>
      <c r="AS911" s="20" t="s">
        <v>592</v>
      </c>
    </row>
    <row r="912" spans="38:45" ht="15.75" customHeight="1" x14ac:dyDescent="0.2">
      <c r="AL912" s="20" t="s">
        <v>1161</v>
      </c>
      <c r="AM912" s="20" t="s">
        <v>117</v>
      </c>
      <c r="AN912" s="20" t="s">
        <v>455</v>
      </c>
      <c r="AO912" s="20" t="s">
        <v>2376</v>
      </c>
      <c r="AP912" s="20" t="s">
        <v>628</v>
      </c>
      <c r="AQ912" s="20">
        <v>10</v>
      </c>
      <c r="AR912" s="20">
        <v>9</v>
      </c>
      <c r="AS912" s="20" t="s">
        <v>592</v>
      </c>
    </row>
    <row r="913" spans="38:45" ht="15.75" customHeight="1" x14ac:dyDescent="0.2">
      <c r="AL913" s="20" t="s">
        <v>1161</v>
      </c>
      <c r="AM913" s="20" t="s">
        <v>117</v>
      </c>
      <c r="AN913" s="20" t="s">
        <v>455</v>
      </c>
      <c r="AO913" s="20" t="s">
        <v>719</v>
      </c>
      <c r="AP913" s="20" t="s">
        <v>628</v>
      </c>
      <c r="AQ913" s="20">
        <v>10</v>
      </c>
      <c r="AR913" s="20">
        <v>29</v>
      </c>
      <c r="AS913" s="20" t="s">
        <v>592</v>
      </c>
    </row>
    <row r="914" spans="38:45" ht="15.75" customHeight="1" x14ac:dyDescent="0.2">
      <c r="AL914" s="20" t="s">
        <v>1161</v>
      </c>
      <c r="AM914" s="20" t="s">
        <v>765</v>
      </c>
      <c r="AN914" s="20" t="s">
        <v>466</v>
      </c>
      <c r="AO914" s="20" t="s">
        <v>2210</v>
      </c>
      <c r="AP914" s="20" t="s">
        <v>628</v>
      </c>
      <c r="AQ914" s="20">
        <v>10</v>
      </c>
      <c r="AR914" s="20">
        <v>9</v>
      </c>
      <c r="AS914" s="20" t="s">
        <v>592</v>
      </c>
    </row>
    <row r="915" spans="38:45" ht="15.75" customHeight="1" x14ac:dyDescent="0.2">
      <c r="AL915" s="20" t="s">
        <v>1161</v>
      </c>
      <c r="AM915" s="20" t="s">
        <v>41</v>
      </c>
      <c r="AN915" s="20" t="s">
        <v>2541</v>
      </c>
      <c r="AO915" s="20" t="s">
        <v>2638</v>
      </c>
      <c r="AP915" s="20" t="s">
        <v>628</v>
      </c>
      <c r="AQ915" s="20">
        <v>10</v>
      </c>
      <c r="AR915" s="20">
        <v>4</v>
      </c>
      <c r="AS915" s="20" t="s">
        <v>593</v>
      </c>
    </row>
    <row r="916" spans="38:45" ht="15.75" customHeight="1" x14ac:dyDescent="0.2">
      <c r="AL916" s="20" t="s">
        <v>1161</v>
      </c>
      <c r="AM916" s="20" t="s">
        <v>765</v>
      </c>
      <c r="AN916" s="20" t="s">
        <v>466</v>
      </c>
      <c r="AO916" s="20" t="s">
        <v>3264</v>
      </c>
      <c r="AP916" s="20" t="s">
        <v>628</v>
      </c>
      <c r="AQ916" s="20">
        <v>10</v>
      </c>
      <c r="AR916" s="20">
        <v>5</v>
      </c>
      <c r="AS916" s="20" t="s">
        <v>592</v>
      </c>
    </row>
    <row r="917" spans="38:45" ht="15.75" customHeight="1" x14ac:dyDescent="0.2">
      <c r="AL917" s="20" t="s">
        <v>1161</v>
      </c>
      <c r="AM917" s="20" t="s">
        <v>1432</v>
      </c>
      <c r="AN917" s="20" t="s">
        <v>510</v>
      </c>
      <c r="AO917" s="20" t="s">
        <v>2212</v>
      </c>
      <c r="AP917" s="20" t="s">
        <v>628</v>
      </c>
      <c r="AQ917" s="20">
        <v>10</v>
      </c>
      <c r="AR917" s="20">
        <v>13</v>
      </c>
      <c r="AS917" s="20" t="s">
        <v>592</v>
      </c>
    </row>
    <row r="918" spans="38:45" ht="15.75" customHeight="1" x14ac:dyDescent="0.2">
      <c r="AL918" s="20" t="s">
        <v>1161</v>
      </c>
      <c r="AM918" s="20" t="s">
        <v>41</v>
      </c>
      <c r="AN918" s="20" t="s">
        <v>535</v>
      </c>
      <c r="AO918" s="20" t="s">
        <v>2387</v>
      </c>
      <c r="AP918" s="20" t="s">
        <v>628</v>
      </c>
      <c r="AQ918" s="20">
        <v>10</v>
      </c>
      <c r="AR918" s="20">
        <v>8</v>
      </c>
      <c r="AS918" s="20" t="s">
        <v>592</v>
      </c>
    </row>
    <row r="919" spans="38:45" ht="15.75" customHeight="1" x14ac:dyDescent="0.2">
      <c r="AL919" s="20" t="s">
        <v>1161</v>
      </c>
      <c r="AM919" s="20" t="s">
        <v>2520</v>
      </c>
      <c r="AN919" s="20" t="s">
        <v>2883</v>
      </c>
      <c r="AO919" s="20" t="s">
        <v>3265</v>
      </c>
      <c r="AP919" s="20" t="s">
        <v>628</v>
      </c>
      <c r="AQ919" s="20">
        <v>10</v>
      </c>
      <c r="AR919" s="20">
        <v>8</v>
      </c>
      <c r="AS919" s="20" t="s">
        <v>592</v>
      </c>
    </row>
    <row r="920" spans="38:45" ht="15.75" customHeight="1" x14ac:dyDescent="0.2">
      <c r="AL920" s="20" t="s">
        <v>1161</v>
      </c>
      <c r="AM920" s="20" t="s">
        <v>659</v>
      </c>
      <c r="AN920" s="20" t="s">
        <v>390</v>
      </c>
      <c r="AO920" s="20" t="s">
        <v>3266</v>
      </c>
      <c r="AP920" s="20" t="s">
        <v>628</v>
      </c>
      <c r="AQ920" s="20">
        <v>10</v>
      </c>
      <c r="AR920" s="20">
        <v>11</v>
      </c>
      <c r="AS920" s="20" t="s">
        <v>592</v>
      </c>
    </row>
    <row r="921" spans="38:45" ht="15.75" customHeight="1" x14ac:dyDescent="0.2">
      <c r="AL921" s="20" t="s">
        <v>1161</v>
      </c>
      <c r="AM921" s="20" t="s">
        <v>765</v>
      </c>
      <c r="AN921" s="20" t="s">
        <v>2881</v>
      </c>
      <c r="AO921" s="20" t="s">
        <v>3250</v>
      </c>
      <c r="AP921" s="20" t="s">
        <v>628</v>
      </c>
      <c r="AQ921" s="20">
        <v>10</v>
      </c>
      <c r="AR921" s="20">
        <v>5</v>
      </c>
      <c r="AS921" s="20" t="s">
        <v>592</v>
      </c>
    </row>
    <row r="922" spans="38:45" ht="15.75" customHeight="1" x14ac:dyDescent="0.2">
      <c r="AL922" s="20" t="s">
        <v>1161</v>
      </c>
      <c r="AM922" s="20" t="s">
        <v>765</v>
      </c>
      <c r="AN922" s="20" t="s">
        <v>1750</v>
      </c>
      <c r="AO922" s="20" t="s">
        <v>2008</v>
      </c>
      <c r="AP922" s="20" t="s">
        <v>628</v>
      </c>
      <c r="AQ922" s="20">
        <v>10</v>
      </c>
      <c r="AR922" s="20">
        <v>26</v>
      </c>
      <c r="AS922" s="20" t="s">
        <v>592</v>
      </c>
    </row>
    <row r="923" spans="38:45" ht="15.75" customHeight="1" x14ac:dyDescent="0.2">
      <c r="AL923" s="20" t="s">
        <v>1161</v>
      </c>
      <c r="AM923" s="20" t="s">
        <v>765</v>
      </c>
      <c r="AN923" s="20" t="s">
        <v>2881</v>
      </c>
      <c r="AO923" s="20" t="s">
        <v>3248</v>
      </c>
      <c r="AP923" s="20" t="s">
        <v>628</v>
      </c>
      <c r="AQ923" s="20">
        <v>10</v>
      </c>
      <c r="AR923" s="20">
        <v>7</v>
      </c>
      <c r="AS923" s="20" t="s">
        <v>592</v>
      </c>
    </row>
    <row r="924" spans="38:45" ht="15.75" customHeight="1" x14ac:dyDescent="0.2">
      <c r="AL924" s="20" t="s">
        <v>1161</v>
      </c>
      <c r="AM924" s="20" t="s">
        <v>765</v>
      </c>
      <c r="AN924" s="20" t="s">
        <v>858</v>
      </c>
      <c r="AO924" s="20" t="s">
        <v>3267</v>
      </c>
      <c r="AP924" s="20" t="s">
        <v>628</v>
      </c>
      <c r="AQ924" s="20">
        <v>10</v>
      </c>
      <c r="AR924" s="20">
        <v>8</v>
      </c>
      <c r="AS924" s="20" t="s">
        <v>592</v>
      </c>
    </row>
    <row r="925" spans="38:45" ht="15.75" customHeight="1" x14ac:dyDescent="0.2">
      <c r="AL925" s="20" t="s">
        <v>1161</v>
      </c>
      <c r="AM925" s="20" t="s">
        <v>1432</v>
      </c>
      <c r="AN925" s="20" t="s">
        <v>510</v>
      </c>
      <c r="AO925" s="20" t="s">
        <v>1685</v>
      </c>
      <c r="AP925" s="20" t="s">
        <v>628</v>
      </c>
      <c r="AQ925" s="20">
        <v>10</v>
      </c>
      <c r="AR925" s="20">
        <v>9</v>
      </c>
      <c r="AS925" s="20" t="s">
        <v>592</v>
      </c>
    </row>
    <row r="926" spans="38:45" ht="15.75" customHeight="1" x14ac:dyDescent="0.2">
      <c r="AL926" s="20" t="s">
        <v>1161</v>
      </c>
      <c r="AM926" s="20" t="s">
        <v>117</v>
      </c>
      <c r="AN926" s="20" t="s">
        <v>2882</v>
      </c>
      <c r="AO926" s="20" t="s">
        <v>3268</v>
      </c>
      <c r="AP926" s="20" t="s">
        <v>628</v>
      </c>
      <c r="AQ926" s="20">
        <v>10</v>
      </c>
      <c r="AR926" s="20">
        <v>5</v>
      </c>
      <c r="AS926" s="20" t="s">
        <v>593</v>
      </c>
    </row>
    <row r="927" spans="38:45" ht="15.75" customHeight="1" x14ac:dyDescent="0.2">
      <c r="AL927" s="20" t="s">
        <v>1161</v>
      </c>
      <c r="AM927" s="20" t="s">
        <v>41</v>
      </c>
      <c r="AN927" s="20" t="s">
        <v>536</v>
      </c>
      <c r="AO927" s="20" t="s">
        <v>1241</v>
      </c>
      <c r="AP927" s="20" t="s">
        <v>628</v>
      </c>
      <c r="AQ927" s="20">
        <v>10</v>
      </c>
      <c r="AR927" s="20">
        <v>10</v>
      </c>
      <c r="AS927" s="20" t="s">
        <v>592</v>
      </c>
    </row>
    <row r="928" spans="38:45" ht="15.75" customHeight="1" x14ac:dyDescent="0.2">
      <c r="AL928" s="20" t="s">
        <v>1161</v>
      </c>
      <c r="AM928" s="20" t="s">
        <v>41</v>
      </c>
      <c r="AN928" s="20" t="s">
        <v>540</v>
      </c>
      <c r="AO928" s="20" t="s">
        <v>3269</v>
      </c>
      <c r="AP928" s="20" t="s">
        <v>628</v>
      </c>
      <c r="AQ928" s="20">
        <v>10</v>
      </c>
      <c r="AR928" s="20">
        <v>8</v>
      </c>
      <c r="AS928" s="20" t="s">
        <v>592</v>
      </c>
    </row>
    <row r="929" spans="38:45" ht="15.75" customHeight="1" x14ac:dyDescent="0.2">
      <c r="AL929" s="20" t="s">
        <v>1161</v>
      </c>
      <c r="AM929" s="20" t="s">
        <v>41</v>
      </c>
      <c r="AN929" s="20" t="s">
        <v>539</v>
      </c>
      <c r="AO929" s="20" t="s">
        <v>997</v>
      </c>
      <c r="AP929" s="20" t="s">
        <v>835</v>
      </c>
      <c r="AQ929" s="20">
        <v>5</v>
      </c>
      <c r="AR929" s="20">
        <v>7</v>
      </c>
      <c r="AS929" s="20" t="s">
        <v>592</v>
      </c>
    </row>
    <row r="930" spans="38:45" ht="15.75" customHeight="1" x14ac:dyDescent="0.2">
      <c r="AL930" s="20" t="s">
        <v>1161</v>
      </c>
      <c r="AM930" s="20" t="s">
        <v>1432</v>
      </c>
      <c r="AN930" s="20" t="s">
        <v>2491</v>
      </c>
      <c r="AO930" s="20" t="s">
        <v>3255</v>
      </c>
      <c r="AP930" s="20" t="s">
        <v>835</v>
      </c>
      <c r="AQ930" s="20">
        <v>5</v>
      </c>
      <c r="AR930" s="20">
        <v>7</v>
      </c>
      <c r="AS930" s="20" t="s">
        <v>592</v>
      </c>
    </row>
    <row r="931" spans="38:45" ht="15.75" customHeight="1" x14ac:dyDescent="0.2">
      <c r="AL931" s="20" t="s">
        <v>1161</v>
      </c>
      <c r="AM931" s="20" t="s">
        <v>41</v>
      </c>
      <c r="AN931" s="20" t="s">
        <v>1779</v>
      </c>
      <c r="AO931" s="20" t="s">
        <v>2386</v>
      </c>
      <c r="AP931" s="20" t="s">
        <v>628</v>
      </c>
      <c r="AQ931" s="20">
        <v>10</v>
      </c>
      <c r="AR931" s="20">
        <v>1</v>
      </c>
      <c r="AS931" s="20" t="s">
        <v>593</v>
      </c>
    </row>
    <row r="932" spans="38:45" ht="15.75" customHeight="1" x14ac:dyDescent="0.2">
      <c r="AL932" s="20" t="s">
        <v>1161</v>
      </c>
      <c r="AM932" s="20" t="s">
        <v>765</v>
      </c>
      <c r="AN932" s="20" t="s">
        <v>1782</v>
      </c>
      <c r="AO932" s="20" t="s">
        <v>2440</v>
      </c>
      <c r="AP932" s="20" t="s">
        <v>628</v>
      </c>
      <c r="AQ932" s="20">
        <v>10</v>
      </c>
      <c r="AR932" s="20">
        <v>11</v>
      </c>
      <c r="AS932" s="20" t="s">
        <v>592</v>
      </c>
    </row>
    <row r="933" spans="38:45" ht="15.75" customHeight="1" x14ac:dyDescent="0.2">
      <c r="AL933" s="20" t="s">
        <v>1161</v>
      </c>
      <c r="AM933" s="20" t="s">
        <v>765</v>
      </c>
      <c r="AN933" s="20" t="s">
        <v>537</v>
      </c>
      <c r="AO933" s="20" t="s">
        <v>3270</v>
      </c>
      <c r="AP933" s="20" t="s">
        <v>628</v>
      </c>
      <c r="AQ933" s="20">
        <v>10</v>
      </c>
      <c r="AR933" s="20">
        <v>8</v>
      </c>
      <c r="AS933" s="20" t="s">
        <v>592</v>
      </c>
    </row>
    <row r="934" spans="38:45" ht="15.75" customHeight="1" x14ac:dyDescent="0.2">
      <c r="AL934" s="20" t="s">
        <v>1161</v>
      </c>
      <c r="AM934" s="20" t="s">
        <v>765</v>
      </c>
      <c r="AN934" s="20" t="s">
        <v>466</v>
      </c>
      <c r="AO934" s="20" t="s">
        <v>3263</v>
      </c>
      <c r="AP934" s="20" t="s">
        <v>628</v>
      </c>
      <c r="AQ934" s="20">
        <v>10</v>
      </c>
      <c r="AR934" s="20">
        <v>11</v>
      </c>
      <c r="AS934" s="20" t="s">
        <v>592</v>
      </c>
    </row>
    <row r="935" spans="38:45" ht="15.75" customHeight="1" x14ac:dyDescent="0.2">
      <c r="AL935" s="20" t="s">
        <v>1161</v>
      </c>
      <c r="AM935" s="20" t="s">
        <v>765</v>
      </c>
      <c r="AN935" s="20" t="s">
        <v>463</v>
      </c>
      <c r="AO935" s="20" t="s">
        <v>1684</v>
      </c>
      <c r="AP935" s="20" t="s">
        <v>628</v>
      </c>
      <c r="AQ935" s="20">
        <v>10</v>
      </c>
      <c r="AR935" s="20">
        <v>2</v>
      </c>
      <c r="AS935" s="20" t="s">
        <v>593</v>
      </c>
    </row>
    <row r="936" spans="38:45" ht="15.75" customHeight="1" x14ac:dyDescent="0.2">
      <c r="AL936" s="20" t="s">
        <v>1161</v>
      </c>
      <c r="AM936" s="20" t="s">
        <v>765</v>
      </c>
      <c r="AN936" s="20" t="s">
        <v>2034</v>
      </c>
      <c r="AO936" s="20" t="s">
        <v>2033</v>
      </c>
      <c r="AP936" s="20" t="s">
        <v>628</v>
      </c>
      <c r="AQ936" s="20">
        <v>10</v>
      </c>
      <c r="AR936" s="20">
        <v>8</v>
      </c>
      <c r="AS936" s="20" t="s">
        <v>592</v>
      </c>
    </row>
    <row r="937" spans="38:45" ht="15.75" customHeight="1" x14ac:dyDescent="0.2">
      <c r="AL937" s="20" t="s">
        <v>1161</v>
      </c>
      <c r="AM937" s="20" t="s">
        <v>765</v>
      </c>
      <c r="AN937" s="20" t="s">
        <v>2470</v>
      </c>
      <c r="AO937" s="20" t="s">
        <v>2205</v>
      </c>
      <c r="AP937" s="20" t="s">
        <v>628</v>
      </c>
      <c r="AQ937" s="20">
        <v>10</v>
      </c>
      <c r="AR937" s="20">
        <v>8</v>
      </c>
      <c r="AS937" s="20" t="s">
        <v>592</v>
      </c>
    </row>
    <row r="938" spans="38:45" ht="15.75" customHeight="1" x14ac:dyDescent="0.2">
      <c r="AL938" s="20" t="s">
        <v>1161</v>
      </c>
      <c r="AM938" s="20" t="s">
        <v>659</v>
      </c>
      <c r="AN938" s="20" t="s">
        <v>389</v>
      </c>
      <c r="AO938" s="20" t="s">
        <v>2601</v>
      </c>
      <c r="AP938" s="20" t="s">
        <v>628</v>
      </c>
      <c r="AQ938" s="20">
        <v>10</v>
      </c>
      <c r="AR938" s="20">
        <v>18</v>
      </c>
      <c r="AS938" s="20" t="s">
        <v>592</v>
      </c>
    </row>
    <row r="939" spans="38:45" ht="15.75" customHeight="1" x14ac:dyDescent="0.2">
      <c r="AL939" s="20" t="s">
        <v>1161</v>
      </c>
      <c r="AM939" s="20" t="s">
        <v>659</v>
      </c>
      <c r="AN939" s="20" t="s">
        <v>391</v>
      </c>
      <c r="AO939" s="20" t="s">
        <v>3271</v>
      </c>
      <c r="AP939" s="20" t="s">
        <v>628</v>
      </c>
      <c r="AQ939" s="20">
        <v>10</v>
      </c>
      <c r="AR939" s="20">
        <v>11</v>
      </c>
      <c r="AS939" s="20" t="s">
        <v>592</v>
      </c>
    </row>
    <row r="940" spans="38:45" ht="15.75" customHeight="1" x14ac:dyDescent="0.2">
      <c r="AL940" s="20" t="s">
        <v>1161</v>
      </c>
      <c r="AM940" s="20" t="s">
        <v>1432</v>
      </c>
      <c r="AN940" s="20" t="s">
        <v>511</v>
      </c>
      <c r="AO940" s="20" t="s">
        <v>1692</v>
      </c>
      <c r="AP940" s="20" t="s">
        <v>628</v>
      </c>
      <c r="AQ940" s="20">
        <v>10</v>
      </c>
      <c r="AR940" s="20">
        <v>11</v>
      </c>
      <c r="AS940" s="20" t="s">
        <v>592</v>
      </c>
    </row>
    <row r="941" spans="38:45" ht="15.75" customHeight="1" x14ac:dyDescent="0.2">
      <c r="AL941" s="20" t="s">
        <v>1161</v>
      </c>
      <c r="AM941" s="20" t="s">
        <v>1432</v>
      </c>
      <c r="AN941" s="20" t="s">
        <v>464</v>
      </c>
      <c r="AO941" s="20" t="s">
        <v>2139</v>
      </c>
      <c r="AP941" s="20" t="s">
        <v>628</v>
      </c>
      <c r="AQ941" s="20">
        <v>10</v>
      </c>
      <c r="AR941" s="20">
        <v>12</v>
      </c>
      <c r="AS941" s="20" t="s">
        <v>592</v>
      </c>
    </row>
    <row r="942" spans="38:45" ht="15.75" customHeight="1" x14ac:dyDescent="0.2">
      <c r="AL942" s="20" t="s">
        <v>1161</v>
      </c>
      <c r="AM942" s="20" t="s">
        <v>1432</v>
      </c>
      <c r="AN942" s="20" t="s">
        <v>959</v>
      </c>
      <c r="AO942" s="20" t="s">
        <v>2010</v>
      </c>
      <c r="AP942" s="20" t="s">
        <v>628</v>
      </c>
      <c r="AQ942" s="20">
        <v>10</v>
      </c>
      <c r="AR942" s="20">
        <v>10</v>
      </c>
      <c r="AS942" s="20" t="s">
        <v>592</v>
      </c>
    </row>
    <row r="943" spans="38:45" ht="15.75" customHeight="1" x14ac:dyDescent="0.2">
      <c r="AL943" s="20" t="s">
        <v>1161</v>
      </c>
      <c r="AM943" s="20" t="s">
        <v>1432</v>
      </c>
      <c r="AN943" s="20" t="s">
        <v>2490</v>
      </c>
      <c r="AO943" s="20" t="s">
        <v>3251</v>
      </c>
      <c r="AP943" s="20" t="s">
        <v>628</v>
      </c>
      <c r="AQ943" s="20">
        <v>10</v>
      </c>
      <c r="AR943" s="20">
        <v>9</v>
      </c>
      <c r="AS943" s="20" t="s">
        <v>592</v>
      </c>
    </row>
    <row r="944" spans="38:45" ht="15.75" customHeight="1" x14ac:dyDescent="0.2">
      <c r="AL944" s="20" t="s">
        <v>1161</v>
      </c>
      <c r="AM944" s="20" t="s">
        <v>1432</v>
      </c>
      <c r="AN944" s="20" t="s">
        <v>2462</v>
      </c>
      <c r="AO944" s="20" t="s">
        <v>3258</v>
      </c>
      <c r="AP944" s="20" t="s">
        <v>628</v>
      </c>
      <c r="AQ944" s="20">
        <v>10</v>
      </c>
      <c r="AR944" s="20">
        <v>12</v>
      </c>
      <c r="AS944" s="20" t="s">
        <v>592</v>
      </c>
    </row>
    <row r="945" spans="38:45" ht="15.75" customHeight="1" x14ac:dyDescent="0.2">
      <c r="AL945" s="20" t="s">
        <v>1161</v>
      </c>
      <c r="AM945" s="20" t="s">
        <v>117</v>
      </c>
      <c r="AN945" s="20" t="s">
        <v>465</v>
      </c>
      <c r="AO945" s="20" t="s">
        <v>3259</v>
      </c>
      <c r="AP945" s="20" t="s">
        <v>628</v>
      </c>
      <c r="AQ945" s="20">
        <v>10</v>
      </c>
      <c r="AR945" s="20">
        <v>12</v>
      </c>
      <c r="AS945" s="20" t="s">
        <v>592</v>
      </c>
    </row>
    <row r="946" spans="38:45" ht="15.75" customHeight="1" x14ac:dyDescent="0.2">
      <c r="AL946" s="20" t="s">
        <v>1161</v>
      </c>
      <c r="AM946" s="20" t="s">
        <v>117</v>
      </c>
      <c r="AN946" s="20" t="s">
        <v>456</v>
      </c>
      <c r="AO946" s="20" t="s">
        <v>3272</v>
      </c>
      <c r="AP946" s="20" t="s">
        <v>628</v>
      </c>
      <c r="AQ946" s="20">
        <v>10</v>
      </c>
      <c r="AR946" s="20">
        <v>10</v>
      </c>
      <c r="AS946" s="20" t="s">
        <v>592</v>
      </c>
    </row>
    <row r="947" spans="38:45" ht="15.75" customHeight="1" x14ac:dyDescent="0.2">
      <c r="AL947" s="20" t="s">
        <v>1161</v>
      </c>
      <c r="AM947" s="20" t="s">
        <v>117</v>
      </c>
      <c r="AN947" s="20" t="s">
        <v>455</v>
      </c>
      <c r="AO947" s="20" t="s">
        <v>719</v>
      </c>
      <c r="AP947" s="20" t="s">
        <v>628</v>
      </c>
      <c r="AQ947" s="20">
        <v>10</v>
      </c>
      <c r="AR947" s="20">
        <v>10</v>
      </c>
      <c r="AS947" s="20" t="s">
        <v>592</v>
      </c>
    </row>
    <row r="948" spans="38:45" ht="15.75" customHeight="1" x14ac:dyDescent="0.2">
      <c r="AL948" s="20" t="s">
        <v>1161</v>
      </c>
      <c r="AM948" s="20" t="s">
        <v>2520</v>
      </c>
      <c r="AN948" s="20" t="s">
        <v>857</v>
      </c>
      <c r="AO948" s="20" t="s">
        <v>3273</v>
      </c>
      <c r="AP948" s="20" t="s">
        <v>628</v>
      </c>
      <c r="AQ948" s="20">
        <v>10</v>
      </c>
      <c r="AR948" s="20">
        <v>18</v>
      </c>
      <c r="AS948" s="20" t="s">
        <v>592</v>
      </c>
    </row>
    <row r="949" spans="38:45" ht="15.75" customHeight="1" x14ac:dyDescent="0.2">
      <c r="AL949" s="20" t="s">
        <v>1161</v>
      </c>
      <c r="AM949" s="20" t="s">
        <v>41</v>
      </c>
      <c r="AN949" s="20" t="s">
        <v>535</v>
      </c>
      <c r="AO949" s="20" t="s">
        <v>2387</v>
      </c>
      <c r="AP949" s="20" t="s">
        <v>628</v>
      </c>
      <c r="AQ949" s="20">
        <v>10</v>
      </c>
      <c r="AR949" s="20">
        <v>15</v>
      </c>
      <c r="AS949" s="20" t="s">
        <v>592</v>
      </c>
    </row>
    <row r="950" spans="38:45" ht="15.75" customHeight="1" x14ac:dyDescent="0.2">
      <c r="AL950" s="20" t="s">
        <v>1161</v>
      </c>
      <c r="AM950" s="20" t="s">
        <v>41</v>
      </c>
      <c r="AN950" s="20" t="s">
        <v>1930</v>
      </c>
      <c r="AO950" s="20" t="s">
        <v>2041</v>
      </c>
      <c r="AP950" s="20" t="s">
        <v>628</v>
      </c>
      <c r="AQ950" s="20">
        <v>10</v>
      </c>
      <c r="AR950" s="20">
        <v>9</v>
      </c>
      <c r="AS950" s="20" t="s">
        <v>592</v>
      </c>
    </row>
    <row r="951" spans="38:45" ht="15.75" customHeight="1" x14ac:dyDescent="0.2">
      <c r="AL951" s="20" t="s">
        <v>1161</v>
      </c>
      <c r="AM951" s="20" t="s">
        <v>41</v>
      </c>
      <c r="AN951" s="20" t="s">
        <v>2541</v>
      </c>
      <c r="AO951" s="20" t="s">
        <v>2638</v>
      </c>
      <c r="AP951" s="20" t="s">
        <v>628</v>
      </c>
      <c r="AQ951" s="20">
        <v>10</v>
      </c>
      <c r="AR951" s="20">
        <v>3</v>
      </c>
      <c r="AS951" s="20" t="s">
        <v>593</v>
      </c>
    </row>
    <row r="952" spans="38:45" ht="15.75" customHeight="1" x14ac:dyDescent="0.2">
      <c r="AL952" s="20" t="s">
        <v>1161</v>
      </c>
      <c r="AM952" s="20" t="s">
        <v>1432</v>
      </c>
      <c r="AN952" s="20" t="s">
        <v>2471</v>
      </c>
      <c r="AO952" s="20" t="s">
        <v>3260</v>
      </c>
      <c r="AP952" s="20" t="s">
        <v>628</v>
      </c>
      <c r="AQ952" s="20">
        <v>10</v>
      </c>
      <c r="AR952" s="20">
        <v>11</v>
      </c>
      <c r="AS952" s="20" t="s">
        <v>592</v>
      </c>
    </row>
    <row r="953" spans="38:45" ht="15.75" customHeight="1" x14ac:dyDescent="0.2">
      <c r="AL953" s="20" t="s">
        <v>1161</v>
      </c>
      <c r="AM953" s="20" t="s">
        <v>765</v>
      </c>
      <c r="AN953" s="20" t="s">
        <v>512</v>
      </c>
      <c r="AO953" s="20" t="s">
        <v>2382</v>
      </c>
      <c r="AP953" s="20" t="s">
        <v>628</v>
      </c>
      <c r="AQ953" s="20">
        <v>10</v>
      </c>
      <c r="AR953" s="20">
        <v>8</v>
      </c>
      <c r="AS953" s="20" t="s">
        <v>592</v>
      </c>
    </row>
    <row r="954" spans="38:45" ht="15.75" customHeight="1" x14ac:dyDescent="0.2">
      <c r="AL954" s="20" t="s">
        <v>1161</v>
      </c>
      <c r="AM954" s="20" t="s">
        <v>41</v>
      </c>
      <c r="AN954" s="20" t="s">
        <v>538</v>
      </c>
      <c r="AO954" s="20" t="s">
        <v>1419</v>
      </c>
      <c r="AP954" s="20" t="s">
        <v>628</v>
      </c>
      <c r="AQ954" s="20">
        <v>10</v>
      </c>
      <c r="AR954" s="20">
        <v>10</v>
      </c>
      <c r="AS954" s="20" t="s">
        <v>592</v>
      </c>
    </row>
    <row r="955" spans="38:45" ht="15.75" customHeight="1" x14ac:dyDescent="0.2">
      <c r="AL955" s="20" t="s">
        <v>1161</v>
      </c>
      <c r="AM955" s="20" t="s">
        <v>117</v>
      </c>
      <c r="AN955" s="20" t="s">
        <v>541</v>
      </c>
      <c r="AO955" s="20" t="s">
        <v>2201</v>
      </c>
      <c r="AP955" s="20" t="s">
        <v>628</v>
      </c>
      <c r="AQ955" s="20">
        <v>10</v>
      </c>
      <c r="AR955" s="20">
        <v>2</v>
      </c>
      <c r="AS955" s="20" t="s">
        <v>593</v>
      </c>
    </row>
    <row r="956" spans="38:45" ht="15.75" customHeight="1" x14ac:dyDescent="0.2">
      <c r="AL956" s="20" t="s">
        <v>1161</v>
      </c>
      <c r="AM956" s="20" t="s">
        <v>659</v>
      </c>
      <c r="AN956" s="20" t="s">
        <v>390</v>
      </c>
      <c r="AO956" s="20" t="s">
        <v>3266</v>
      </c>
      <c r="AP956" s="20" t="s">
        <v>835</v>
      </c>
      <c r="AQ956" s="20">
        <v>5</v>
      </c>
      <c r="AR956" s="20">
        <v>5</v>
      </c>
      <c r="AS956" s="20" t="s">
        <v>592</v>
      </c>
    </row>
    <row r="957" spans="38:45" ht="15.75" customHeight="1" x14ac:dyDescent="0.2">
      <c r="AL957" s="20" t="s">
        <v>1161</v>
      </c>
      <c r="AM957" s="20" t="s">
        <v>41</v>
      </c>
      <c r="AN957" s="20" t="s">
        <v>540</v>
      </c>
      <c r="AO957" s="20" t="s">
        <v>3274</v>
      </c>
      <c r="AP957" s="20" t="s">
        <v>628</v>
      </c>
      <c r="AQ957" s="20">
        <v>10</v>
      </c>
      <c r="AR957" s="20">
        <v>25</v>
      </c>
      <c r="AS957" s="20" t="s">
        <v>592</v>
      </c>
    </row>
    <row r="958" spans="38:45" ht="15.75" customHeight="1" x14ac:dyDescent="0.2">
      <c r="AL958" s="20" t="s">
        <v>1161</v>
      </c>
      <c r="AM958" s="20" t="s">
        <v>659</v>
      </c>
      <c r="AN958" s="20" t="s">
        <v>601</v>
      </c>
      <c r="AO958" s="20" t="s">
        <v>2641</v>
      </c>
      <c r="AP958" s="20" t="s">
        <v>835</v>
      </c>
      <c r="AQ958" s="20">
        <v>5</v>
      </c>
      <c r="AR958" s="20">
        <v>5</v>
      </c>
      <c r="AS958" s="20" t="s">
        <v>592</v>
      </c>
    </row>
    <row r="959" spans="38:45" ht="15.75" customHeight="1" x14ac:dyDescent="0.2">
      <c r="AL959" s="20" t="s">
        <v>1161</v>
      </c>
      <c r="AM959" s="20" t="s">
        <v>41</v>
      </c>
      <c r="AN959" s="20" t="s">
        <v>536</v>
      </c>
      <c r="AO959" s="20" t="s">
        <v>1241</v>
      </c>
      <c r="AP959" s="20" t="s">
        <v>628</v>
      </c>
      <c r="AQ959" s="20">
        <v>10</v>
      </c>
      <c r="AR959" s="20">
        <v>11</v>
      </c>
      <c r="AS959" s="20" t="s">
        <v>592</v>
      </c>
    </row>
    <row r="960" spans="38:45" ht="15.75" customHeight="1" x14ac:dyDescent="0.2">
      <c r="AL960" s="20" t="s">
        <v>1161</v>
      </c>
      <c r="AM960" s="20" t="s">
        <v>765</v>
      </c>
      <c r="AN960" s="20" t="s">
        <v>1750</v>
      </c>
      <c r="AO960" s="20" t="s">
        <v>2008</v>
      </c>
      <c r="AP960" s="20" t="s">
        <v>628</v>
      </c>
      <c r="AQ960" s="20">
        <v>10</v>
      </c>
      <c r="AR960" s="20">
        <v>10</v>
      </c>
      <c r="AS960" s="20" t="s">
        <v>592</v>
      </c>
    </row>
    <row r="961" spans="38:45" ht="15.75" customHeight="1" x14ac:dyDescent="0.2">
      <c r="AL961" s="20" t="s">
        <v>1161</v>
      </c>
      <c r="AM961" s="20" t="s">
        <v>765</v>
      </c>
      <c r="AN961" s="20" t="s">
        <v>858</v>
      </c>
      <c r="AO961" s="20" t="s">
        <v>3267</v>
      </c>
      <c r="AP961" s="20" t="s">
        <v>835</v>
      </c>
      <c r="AQ961" s="20">
        <v>5</v>
      </c>
      <c r="AR961" s="20">
        <v>5</v>
      </c>
      <c r="AS961" s="20" t="s">
        <v>592</v>
      </c>
    </row>
    <row r="962" spans="38:45" ht="15.75" customHeight="1" x14ac:dyDescent="0.2">
      <c r="AL962" s="20" t="s">
        <v>1161</v>
      </c>
      <c r="AM962" s="20" t="s">
        <v>117</v>
      </c>
      <c r="AN962" s="20" t="s">
        <v>1907</v>
      </c>
      <c r="AO962" s="20" t="s">
        <v>3256</v>
      </c>
      <c r="AP962" s="20" t="s">
        <v>835</v>
      </c>
      <c r="AQ962" s="20">
        <v>5</v>
      </c>
      <c r="AR962" s="20">
        <v>11</v>
      </c>
      <c r="AS962" s="20" t="s">
        <v>592</v>
      </c>
    </row>
    <row r="963" spans="38:45" ht="15.75" customHeight="1" x14ac:dyDescent="0.2">
      <c r="AL963" s="20" t="s">
        <v>1158</v>
      </c>
      <c r="AM963" s="20" t="s">
        <v>2524</v>
      </c>
      <c r="AN963" s="20" t="s">
        <v>2884</v>
      </c>
      <c r="AO963" s="20" t="s">
        <v>3275</v>
      </c>
      <c r="AP963" s="20" t="s">
        <v>835</v>
      </c>
      <c r="AQ963" s="20">
        <v>5</v>
      </c>
      <c r="AR963" s="20">
        <v>5</v>
      </c>
      <c r="AS963" s="20" t="s">
        <v>592</v>
      </c>
    </row>
    <row r="964" spans="38:45" ht="15.75" customHeight="1" x14ac:dyDescent="0.2">
      <c r="AL964" s="20" t="s">
        <v>1158</v>
      </c>
      <c r="AM964" s="20" t="s">
        <v>1040</v>
      </c>
      <c r="AN964" s="20" t="s">
        <v>611</v>
      </c>
      <c r="AO964" s="20" t="s">
        <v>3276</v>
      </c>
      <c r="AP964" s="20" t="s">
        <v>835</v>
      </c>
      <c r="AQ964" s="20">
        <v>5</v>
      </c>
      <c r="AR964" s="20">
        <v>2</v>
      </c>
      <c r="AS964" s="20" t="s">
        <v>593</v>
      </c>
    </row>
    <row r="965" spans="38:45" ht="15.75" customHeight="1" x14ac:dyDescent="0.2">
      <c r="AL965" s="20" t="s">
        <v>1158</v>
      </c>
      <c r="AM965" s="20" t="s">
        <v>2524</v>
      </c>
      <c r="AN965" s="20" t="s">
        <v>1923</v>
      </c>
      <c r="AO965" s="20" t="s">
        <v>3277</v>
      </c>
      <c r="AP965" s="20" t="s">
        <v>835</v>
      </c>
      <c r="AQ965" s="20">
        <v>5</v>
      </c>
      <c r="AR965" s="20">
        <v>5</v>
      </c>
      <c r="AS965" s="20" t="s">
        <v>592</v>
      </c>
    </row>
    <row r="966" spans="38:45" ht="15.75" customHeight="1" x14ac:dyDescent="0.2">
      <c r="AL966" s="20" t="s">
        <v>1158</v>
      </c>
      <c r="AM966" s="20" t="s">
        <v>1040</v>
      </c>
      <c r="AN966" s="20" t="s">
        <v>1875</v>
      </c>
      <c r="AO966" s="20" t="s">
        <v>1874</v>
      </c>
      <c r="AP966" s="20" t="s">
        <v>835</v>
      </c>
      <c r="AQ966" s="20">
        <v>5</v>
      </c>
      <c r="AR966" s="20">
        <v>5</v>
      </c>
      <c r="AS966" s="20" t="s">
        <v>592</v>
      </c>
    </row>
    <row r="967" spans="38:45" ht="15.75" customHeight="1" x14ac:dyDescent="0.2">
      <c r="AL967" s="20" t="s">
        <v>1158</v>
      </c>
      <c r="AM967" s="20" t="s">
        <v>925</v>
      </c>
      <c r="AN967" s="20" t="s">
        <v>1584</v>
      </c>
      <c r="AO967" s="20" t="s">
        <v>3278</v>
      </c>
      <c r="AP967" s="20" t="s">
        <v>628</v>
      </c>
      <c r="AQ967" s="20">
        <v>10</v>
      </c>
      <c r="AR967" s="20">
        <v>16</v>
      </c>
      <c r="AS967" s="20" t="s">
        <v>592</v>
      </c>
    </row>
    <row r="968" spans="38:45" ht="15.75" customHeight="1" x14ac:dyDescent="0.2">
      <c r="AL968" s="20" t="s">
        <v>1158</v>
      </c>
      <c r="AM968" s="20" t="s">
        <v>925</v>
      </c>
      <c r="AN968" s="20" t="s">
        <v>2885</v>
      </c>
      <c r="AO968" s="20" t="s">
        <v>3279</v>
      </c>
      <c r="AP968" s="20" t="s">
        <v>628</v>
      </c>
      <c r="AQ968" s="20">
        <v>10</v>
      </c>
      <c r="AR968" s="20">
        <v>13</v>
      </c>
      <c r="AS968" s="20" t="s">
        <v>592</v>
      </c>
    </row>
    <row r="969" spans="38:45" ht="15.75" customHeight="1" x14ac:dyDescent="0.2">
      <c r="AL969" s="20" t="s">
        <v>1158</v>
      </c>
      <c r="AM969" s="20" t="s">
        <v>925</v>
      </c>
      <c r="AN969" s="20" t="s">
        <v>1584</v>
      </c>
      <c r="AO969" s="20" t="s">
        <v>2064</v>
      </c>
      <c r="AP969" s="20" t="s">
        <v>628</v>
      </c>
      <c r="AQ969" s="20">
        <v>10</v>
      </c>
      <c r="AR969" s="20">
        <v>10</v>
      </c>
      <c r="AS969" s="20" t="s">
        <v>592</v>
      </c>
    </row>
    <row r="970" spans="38:45" ht="15.75" customHeight="1" x14ac:dyDescent="0.2">
      <c r="AL970" s="20" t="s">
        <v>1158</v>
      </c>
      <c r="AM970" s="20" t="s">
        <v>925</v>
      </c>
      <c r="AN970" s="20" t="s">
        <v>532</v>
      </c>
      <c r="AO970" s="20" t="s">
        <v>1128</v>
      </c>
      <c r="AP970" s="20" t="s">
        <v>628</v>
      </c>
      <c r="AQ970" s="20">
        <v>10</v>
      </c>
      <c r="AR970" s="20">
        <v>9</v>
      </c>
      <c r="AS970" s="20" t="s">
        <v>592</v>
      </c>
    </row>
    <row r="971" spans="38:45" ht="15.75" customHeight="1" x14ac:dyDescent="0.2">
      <c r="AL971" s="20" t="s">
        <v>1158</v>
      </c>
      <c r="AM971" s="20" t="s">
        <v>925</v>
      </c>
      <c r="AN971" s="20" t="s">
        <v>532</v>
      </c>
      <c r="AO971" s="20" t="s">
        <v>798</v>
      </c>
      <c r="AP971" s="20" t="s">
        <v>628</v>
      </c>
      <c r="AQ971" s="20">
        <v>10</v>
      </c>
      <c r="AR971" s="20">
        <v>7</v>
      </c>
      <c r="AS971" s="20" t="s">
        <v>592</v>
      </c>
    </row>
    <row r="972" spans="38:45" ht="15.75" customHeight="1" x14ac:dyDescent="0.2">
      <c r="AL972" s="20" t="s">
        <v>1158</v>
      </c>
      <c r="AM972" s="20" t="s">
        <v>925</v>
      </c>
      <c r="AN972" s="20" t="s">
        <v>534</v>
      </c>
      <c r="AO972" s="20" t="s">
        <v>3280</v>
      </c>
      <c r="AP972" s="20" t="s">
        <v>628</v>
      </c>
      <c r="AQ972" s="20">
        <v>10</v>
      </c>
      <c r="AR972" s="20">
        <v>35</v>
      </c>
      <c r="AS972" s="20" t="s">
        <v>592</v>
      </c>
    </row>
    <row r="973" spans="38:45" ht="15.75" customHeight="1" x14ac:dyDescent="0.2">
      <c r="AL973" s="20" t="s">
        <v>1158</v>
      </c>
      <c r="AM973" s="20" t="s">
        <v>925</v>
      </c>
      <c r="AN973" s="20" t="s">
        <v>2468</v>
      </c>
      <c r="AO973" s="20" t="s">
        <v>3281</v>
      </c>
      <c r="AP973" s="20" t="s">
        <v>628</v>
      </c>
      <c r="AQ973" s="20">
        <v>10</v>
      </c>
      <c r="AR973" s="20">
        <v>8</v>
      </c>
      <c r="AS973" s="20" t="s">
        <v>592</v>
      </c>
    </row>
    <row r="974" spans="38:45" ht="15.75" customHeight="1" x14ac:dyDescent="0.2">
      <c r="AL974" s="20" t="s">
        <v>1158</v>
      </c>
      <c r="AM974" s="20" t="s">
        <v>925</v>
      </c>
      <c r="AN974" s="20" t="s">
        <v>2492</v>
      </c>
      <c r="AO974" s="20" t="s">
        <v>2301</v>
      </c>
      <c r="AP974" s="20" t="s">
        <v>628</v>
      </c>
      <c r="AQ974" s="20">
        <v>10</v>
      </c>
      <c r="AR974" s="20">
        <v>8</v>
      </c>
      <c r="AS974" s="20" t="s">
        <v>592</v>
      </c>
    </row>
    <row r="975" spans="38:45" ht="15.75" customHeight="1" x14ac:dyDescent="0.2">
      <c r="AL975" s="20" t="s">
        <v>1158</v>
      </c>
      <c r="AM975" s="20" t="s">
        <v>925</v>
      </c>
      <c r="AN975" s="20" t="s">
        <v>1012</v>
      </c>
      <c r="AO975" s="20" t="s">
        <v>1378</v>
      </c>
      <c r="AP975" s="20" t="s">
        <v>628</v>
      </c>
      <c r="AQ975" s="20">
        <v>10</v>
      </c>
      <c r="AR975" s="20">
        <v>8</v>
      </c>
      <c r="AS975" s="20" t="s">
        <v>592</v>
      </c>
    </row>
    <row r="976" spans="38:45" ht="15.75" customHeight="1" x14ac:dyDescent="0.2">
      <c r="AL976" s="20" t="s">
        <v>1158</v>
      </c>
      <c r="AM976" s="20" t="s">
        <v>2524</v>
      </c>
      <c r="AN976" s="20" t="s">
        <v>547</v>
      </c>
      <c r="AO976" s="20" t="s">
        <v>2766</v>
      </c>
      <c r="AP976" s="20" t="s">
        <v>628</v>
      </c>
      <c r="AQ976" s="20">
        <v>10</v>
      </c>
      <c r="AR976" s="20">
        <v>16</v>
      </c>
      <c r="AS976" s="20" t="s">
        <v>592</v>
      </c>
    </row>
    <row r="977" spans="38:45" ht="15.75" customHeight="1" x14ac:dyDescent="0.2">
      <c r="AL977" s="20" t="s">
        <v>1158</v>
      </c>
      <c r="AM977" s="20" t="s">
        <v>72</v>
      </c>
      <c r="AN977" s="20" t="s">
        <v>634</v>
      </c>
      <c r="AO977" s="20" t="s">
        <v>1317</v>
      </c>
      <c r="AP977" s="20" t="s">
        <v>628</v>
      </c>
      <c r="AQ977" s="20">
        <v>10</v>
      </c>
      <c r="AR977" s="20">
        <v>11</v>
      </c>
      <c r="AS977" s="20" t="s">
        <v>592</v>
      </c>
    </row>
    <row r="978" spans="38:45" ht="15.75" customHeight="1" x14ac:dyDescent="0.2">
      <c r="AL978" s="20" t="s">
        <v>1158</v>
      </c>
      <c r="AM978" s="20" t="s">
        <v>72</v>
      </c>
      <c r="AN978" s="20" t="s">
        <v>1726</v>
      </c>
      <c r="AO978" s="20" t="s">
        <v>3282</v>
      </c>
      <c r="AP978" s="20" t="s">
        <v>628</v>
      </c>
      <c r="AQ978" s="20">
        <v>10</v>
      </c>
      <c r="AR978" s="20">
        <v>12</v>
      </c>
      <c r="AS978" s="20" t="s">
        <v>592</v>
      </c>
    </row>
    <row r="979" spans="38:45" ht="15.75" customHeight="1" x14ac:dyDescent="0.2">
      <c r="AL979" s="20" t="s">
        <v>1158</v>
      </c>
      <c r="AM979" s="20" t="s">
        <v>72</v>
      </c>
      <c r="AN979" s="20" t="s">
        <v>2505</v>
      </c>
      <c r="AO979" s="20" t="s">
        <v>3283</v>
      </c>
      <c r="AP979" s="20" t="s">
        <v>628</v>
      </c>
      <c r="AQ979" s="20">
        <v>10</v>
      </c>
      <c r="AR979" s="20">
        <v>9</v>
      </c>
      <c r="AS979" s="20" t="s">
        <v>592</v>
      </c>
    </row>
    <row r="980" spans="38:45" ht="15.75" customHeight="1" x14ac:dyDescent="0.2">
      <c r="AL980" s="20" t="s">
        <v>1158</v>
      </c>
      <c r="AM980" s="20" t="s">
        <v>925</v>
      </c>
      <c r="AN980" s="20" t="s">
        <v>896</v>
      </c>
      <c r="AO980" s="20" t="s">
        <v>2651</v>
      </c>
      <c r="AP980" s="20" t="s">
        <v>628</v>
      </c>
      <c r="AQ980" s="20">
        <v>10</v>
      </c>
      <c r="AR980" s="20">
        <v>5</v>
      </c>
      <c r="AS980" s="20" t="s">
        <v>593</v>
      </c>
    </row>
    <row r="981" spans="38:45" ht="15.75" customHeight="1" x14ac:dyDescent="0.2">
      <c r="AL981" s="20" t="s">
        <v>1158</v>
      </c>
      <c r="AM981" s="20" t="s">
        <v>925</v>
      </c>
      <c r="AN981" s="20" t="s">
        <v>533</v>
      </c>
      <c r="AO981" s="20" t="s">
        <v>779</v>
      </c>
      <c r="AP981" s="20" t="s">
        <v>628</v>
      </c>
      <c r="AQ981" s="20">
        <v>10</v>
      </c>
      <c r="AR981" s="20">
        <v>39</v>
      </c>
      <c r="AS981" s="20" t="s">
        <v>592</v>
      </c>
    </row>
    <row r="982" spans="38:45" ht="15.75" customHeight="1" x14ac:dyDescent="0.2">
      <c r="AL982" s="20" t="s">
        <v>1158</v>
      </c>
      <c r="AM982" s="20" t="s">
        <v>925</v>
      </c>
      <c r="AN982" s="20" t="s">
        <v>533</v>
      </c>
      <c r="AO982" s="20" t="s">
        <v>2680</v>
      </c>
      <c r="AP982" s="20" t="s">
        <v>628</v>
      </c>
      <c r="AQ982" s="20">
        <v>10</v>
      </c>
      <c r="AR982" s="20">
        <v>20</v>
      </c>
      <c r="AS982" s="20" t="s">
        <v>592</v>
      </c>
    </row>
    <row r="983" spans="38:45" ht="15.75" customHeight="1" x14ac:dyDescent="0.2">
      <c r="AL983" s="20" t="s">
        <v>1158</v>
      </c>
      <c r="AM983" s="20" t="s">
        <v>925</v>
      </c>
      <c r="AN983" s="20" t="s">
        <v>614</v>
      </c>
      <c r="AO983" s="20" t="s">
        <v>2445</v>
      </c>
      <c r="AP983" s="20" t="s">
        <v>628</v>
      </c>
      <c r="AQ983" s="20">
        <v>10</v>
      </c>
      <c r="AR983" s="20">
        <v>8</v>
      </c>
      <c r="AS983" s="20" t="s">
        <v>592</v>
      </c>
    </row>
    <row r="984" spans="38:45" ht="15.75" customHeight="1" x14ac:dyDescent="0.2">
      <c r="AL984" s="20" t="s">
        <v>1158</v>
      </c>
      <c r="AM984" s="20" t="s">
        <v>2524</v>
      </c>
      <c r="AN984" s="20" t="s">
        <v>867</v>
      </c>
      <c r="AO984" s="20" t="s">
        <v>3284</v>
      </c>
      <c r="AP984" s="20" t="s">
        <v>628</v>
      </c>
      <c r="AQ984" s="20">
        <v>10</v>
      </c>
      <c r="AR984" s="20">
        <v>11</v>
      </c>
      <c r="AS984" s="20" t="s">
        <v>592</v>
      </c>
    </row>
    <row r="985" spans="38:45" ht="15.75" customHeight="1" x14ac:dyDescent="0.2">
      <c r="AL985" s="20" t="s">
        <v>1158</v>
      </c>
      <c r="AM985" s="20" t="s">
        <v>2524</v>
      </c>
      <c r="AN985" s="20" t="s">
        <v>867</v>
      </c>
      <c r="AO985" s="20" t="s">
        <v>3285</v>
      </c>
      <c r="AP985" s="20" t="s">
        <v>628</v>
      </c>
      <c r="AQ985" s="20">
        <v>10</v>
      </c>
      <c r="AR985" s="20">
        <v>6</v>
      </c>
      <c r="AS985" s="20" t="s">
        <v>592</v>
      </c>
    </row>
    <row r="986" spans="38:45" ht="15.75" customHeight="1" x14ac:dyDescent="0.2">
      <c r="AL986" s="20" t="s">
        <v>1158</v>
      </c>
      <c r="AM986" s="20" t="s">
        <v>2524</v>
      </c>
      <c r="AN986" s="20" t="s">
        <v>1777</v>
      </c>
      <c r="AO986" s="20" t="s">
        <v>2611</v>
      </c>
      <c r="AP986" s="20" t="s">
        <v>628</v>
      </c>
      <c r="AQ986" s="20">
        <v>10</v>
      </c>
      <c r="AR986" s="20">
        <v>8</v>
      </c>
      <c r="AS986" s="20" t="s">
        <v>592</v>
      </c>
    </row>
    <row r="987" spans="38:45" ht="15.75" customHeight="1" x14ac:dyDescent="0.2">
      <c r="AL987" s="20" t="s">
        <v>1158</v>
      </c>
      <c r="AM987" s="20" t="s">
        <v>72</v>
      </c>
      <c r="AN987" s="20" t="s">
        <v>1728</v>
      </c>
      <c r="AO987" s="20" t="s">
        <v>3286</v>
      </c>
      <c r="AP987" s="20" t="s">
        <v>628</v>
      </c>
      <c r="AQ987" s="20">
        <v>10</v>
      </c>
      <c r="AR987" s="20">
        <v>16</v>
      </c>
      <c r="AS987" s="20" t="s">
        <v>592</v>
      </c>
    </row>
    <row r="988" spans="38:45" ht="15.75" customHeight="1" x14ac:dyDescent="0.2">
      <c r="AL988" s="20" t="s">
        <v>1158</v>
      </c>
      <c r="AM988" s="20" t="s">
        <v>2524</v>
      </c>
      <c r="AN988" s="20" t="s">
        <v>1607</v>
      </c>
      <c r="AO988" s="20" t="s">
        <v>3287</v>
      </c>
      <c r="AP988" s="20" t="s">
        <v>628</v>
      </c>
      <c r="AQ988" s="20">
        <v>10</v>
      </c>
      <c r="AR988" s="20">
        <v>8</v>
      </c>
      <c r="AS988" s="20" t="s">
        <v>592</v>
      </c>
    </row>
    <row r="989" spans="38:45" ht="15.75" customHeight="1" x14ac:dyDescent="0.2">
      <c r="AL989" s="20" t="s">
        <v>1158</v>
      </c>
      <c r="AM989" s="20" t="s">
        <v>72</v>
      </c>
      <c r="AN989" s="20" t="s">
        <v>895</v>
      </c>
      <c r="AO989" s="20" t="s">
        <v>3288</v>
      </c>
      <c r="AP989" s="20" t="s">
        <v>628</v>
      </c>
      <c r="AQ989" s="20">
        <v>10</v>
      </c>
      <c r="AR989" s="20">
        <v>9</v>
      </c>
      <c r="AS989" s="20" t="s">
        <v>592</v>
      </c>
    </row>
    <row r="990" spans="38:45" ht="15.75" customHeight="1" x14ac:dyDescent="0.2">
      <c r="AL990" s="20" t="s">
        <v>1158</v>
      </c>
      <c r="AM990" s="20" t="s">
        <v>72</v>
      </c>
      <c r="AN990" s="20" t="s">
        <v>620</v>
      </c>
      <c r="AO990" s="20" t="s">
        <v>1225</v>
      </c>
      <c r="AP990" s="20" t="s">
        <v>628</v>
      </c>
      <c r="AQ990" s="20">
        <v>10</v>
      </c>
      <c r="AR990" s="20">
        <v>10</v>
      </c>
      <c r="AS990" s="20" t="s">
        <v>592</v>
      </c>
    </row>
    <row r="991" spans="38:45" ht="15.75" customHeight="1" x14ac:dyDescent="0.2">
      <c r="AL991" s="20" t="s">
        <v>1158</v>
      </c>
      <c r="AM991" s="20" t="s">
        <v>72</v>
      </c>
      <c r="AN991" s="20" t="s">
        <v>620</v>
      </c>
      <c r="AO991" s="20" t="s">
        <v>1924</v>
      </c>
      <c r="AP991" s="20" t="s">
        <v>628</v>
      </c>
      <c r="AQ991" s="20">
        <v>10</v>
      </c>
      <c r="AR991" s="20">
        <v>16</v>
      </c>
      <c r="AS991" s="20" t="s">
        <v>592</v>
      </c>
    </row>
    <row r="992" spans="38:45" ht="15.75" customHeight="1" x14ac:dyDescent="0.2">
      <c r="AL992" s="20" t="s">
        <v>1158</v>
      </c>
      <c r="AM992" s="20" t="s">
        <v>726</v>
      </c>
      <c r="AN992" s="20" t="s">
        <v>1694</v>
      </c>
      <c r="AO992" s="20" t="s">
        <v>1693</v>
      </c>
      <c r="AP992" s="20" t="s">
        <v>628</v>
      </c>
      <c r="AQ992" s="20">
        <v>10</v>
      </c>
      <c r="AR992" s="20">
        <v>1</v>
      </c>
      <c r="AS992" s="20" t="s">
        <v>593</v>
      </c>
    </row>
    <row r="993" spans="38:45" ht="15.75" customHeight="1" x14ac:dyDescent="0.2">
      <c r="AL993" s="20" t="s">
        <v>1158</v>
      </c>
      <c r="AM993" s="20" t="s">
        <v>726</v>
      </c>
      <c r="AN993" s="20" t="s">
        <v>1694</v>
      </c>
      <c r="AO993" s="20" t="s">
        <v>3289</v>
      </c>
      <c r="AP993" s="20" t="s">
        <v>628</v>
      </c>
      <c r="AQ993" s="20">
        <v>10</v>
      </c>
      <c r="AR993" s="20">
        <v>5</v>
      </c>
      <c r="AS993" s="20" t="s">
        <v>593</v>
      </c>
    </row>
    <row r="994" spans="38:45" ht="15.75" customHeight="1" x14ac:dyDescent="0.2">
      <c r="AL994" s="20" t="s">
        <v>1158</v>
      </c>
      <c r="AM994" s="20" t="s">
        <v>726</v>
      </c>
      <c r="AN994" s="20" t="s">
        <v>679</v>
      </c>
      <c r="AO994" s="20" t="s">
        <v>2054</v>
      </c>
      <c r="AP994" s="20" t="s">
        <v>628</v>
      </c>
      <c r="AQ994" s="20">
        <v>10</v>
      </c>
      <c r="AR994" s="20">
        <v>9</v>
      </c>
      <c r="AS994" s="20" t="s">
        <v>592</v>
      </c>
    </row>
    <row r="995" spans="38:45" ht="15.75" customHeight="1" x14ac:dyDescent="0.2">
      <c r="AL995" s="20" t="s">
        <v>1158</v>
      </c>
      <c r="AM995" s="20" t="s">
        <v>726</v>
      </c>
      <c r="AN995" s="20" t="s">
        <v>412</v>
      </c>
      <c r="AO995" s="20" t="s">
        <v>3290</v>
      </c>
      <c r="AP995" s="20" t="s">
        <v>628</v>
      </c>
      <c r="AQ995" s="20">
        <v>10</v>
      </c>
      <c r="AR995" s="20">
        <v>23</v>
      </c>
      <c r="AS995" s="20" t="s">
        <v>592</v>
      </c>
    </row>
    <row r="996" spans="38:45" ht="15.75" customHeight="1" x14ac:dyDescent="0.2">
      <c r="AL996" s="20" t="s">
        <v>1158</v>
      </c>
      <c r="AM996" s="20" t="s">
        <v>726</v>
      </c>
      <c r="AN996" s="20" t="s">
        <v>1731</v>
      </c>
      <c r="AO996" s="20" t="s">
        <v>3291</v>
      </c>
      <c r="AP996" s="20" t="s">
        <v>628</v>
      </c>
      <c r="AQ996" s="20">
        <v>10</v>
      </c>
      <c r="AR996" s="20">
        <v>5</v>
      </c>
      <c r="AS996" s="20" t="s">
        <v>593</v>
      </c>
    </row>
    <row r="997" spans="38:45" ht="15.75" customHeight="1" x14ac:dyDescent="0.2">
      <c r="AL997" s="20" t="s">
        <v>1158</v>
      </c>
      <c r="AM997" s="20" t="s">
        <v>726</v>
      </c>
      <c r="AN997" s="20" t="s">
        <v>855</v>
      </c>
      <c r="AO997" s="20" t="s">
        <v>856</v>
      </c>
      <c r="AP997" s="20" t="s">
        <v>628</v>
      </c>
      <c r="AQ997" s="20">
        <v>10</v>
      </c>
      <c r="AR997" s="20">
        <v>9</v>
      </c>
      <c r="AS997" s="20" t="s">
        <v>592</v>
      </c>
    </row>
    <row r="998" spans="38:45" ht="15.75" customHeight="1" x14ac:dyDescent="0.2">
      <c r="AL998" s="20" t="s">
        <v>1158</v>
      </c>
      <c r="AM998" s="20" t="s">
        <v>726</v>
      </c>
      <c r="AN998" s="20" t="s">
        <v>855</v>
      </c>
      <c r="AO998" s="20" t="s">
        <v>3292</v>
      </c>
      <c r="AP998" s="20" t="s">
        <v>628</v>
      </c>
      <c r="AQ998" s="20">
        <v>10</v>
      </c>
      <c r="AR998" s="20">
        <v>5</v>
      </c>
      <c r="AS998" s="20" t="s">
        <v>592</v>
      </c>
    </row>
    <row r="999" spans="38:45" ht="15.75" customHeight="1" x14ac:dyDescent="0.2">
      <c r="AL999" s="20" t="s">
        <v>1158</v>
      </c>
      <c r="AM999" s="20" t="s">
        <v>726</v>
      </c>
      <c r="AN999" s="20" t="s">
        <v>2886</v>
      </c>
      <c r="AO999" s="20" t="s">
        <v>3293</v>
      </c>
      <c r="AP999" s="20" t="s">
        <v>628</v>
      </c>
      <c r="AQ999" s="20">
        <v>10</v>
      </c>
      <c r="AR999" s="20">
        <v>8</v>
      </c>
      <c r="AS999" s="20" t="s">
        <v>592</v>
      </c>
    </row>
    <row r="1000" spans="38:45" ht="15.75" customHeight="1" x14ac:dyDescent="0.2">
      <c r="AL1000" s="20" t="s">
        <v>1158</v>
      </c>
      <c r="AM1000" s="20" t="s">
        <v>1040</v>
      </c>
      <c r="AN1000" s="20" t="s">
        <v>2084</v>
      </c>
      <c r="AO1000" s="20" t="s">
        <v>2156</v>
      </c>
      <c r="AP1000" s="20" t="s">
        <v>628</v>
      </c>
      <c r="AQ1000" s="20">
        <v>10</v>
      </c>
      <c r="AR1000" s="20">
        <v>8</v>
      </c>
      <c r="AS1000" s="20" t="s">
        <v>592</v>
      </c>
    </row>
    <row r="1001" spans="38:45" ht="15.75" customHeight="1" x14ac:dyDescent="0.2">
      <c r="AL1001" s="20" t="s">
        <v>1158</v>
      </c>
      <c r="AM1001" s="20" t="s">
        <v>1040</v>
      </c>
      <c r="AN1001" s="20" t="s">
        <v>879</v>
      </c>
      <c r="AO1001" s="20" t="s">
        <v>3294</v>
      </c>
      <c r="AP1001" s="20" t="s">
        <v>628</v>
      </c>
      <c r="AQ1001" s="20">
        <v>10</v>
      </c>
      <c r="AR1001" s="20">
        <v>8</v>
      </c>
      <c r="AS1001" s="20" t="s">
        <v>592</v>
      </c>
    </row>
    <row r="1002" spans="38:45" ht="15.75" customHeight="1" x14ac:dyDescent="0.2">
      <c r="AL1002" s="20" t="s">
        <v>1158</v>
      </c>
      <c r="AM1002" s="20" t="s">
        <v>1040</v>
      </c>
      <c r="AN1002" s="20" t="s">
        <v>1701</v>
      </c>
      <c r="AO1002" s="20" t="s">
        <v>3295</v>
      </c>
      <c r="AP1002" s="20" t="s">
        <v>628</v>
      </c>
      <c r="AQ1002" s="20">
        <v>10</v>
      </c>
      <c r="AR1002" s="20">
        <v>10</v>
      </c>
      <c r="AS1002" s="20" t="s">
        <v>592</v>
      </c>
    </row>
    <row r="1003" spans="38:45" ht="15.75" customHeight="1" x14ac:dyDescent="0.2">
      <c r="AL1003" s="20" t="s">
        <v>1158</v>
      </c>
      <c r="AM1003" s="20" t="s">
        <v>1040</v>
      </c>
      <c r="AN1003" s="20" t="s">
        <v>954</v>
      </c>
      <c r="AO1003" s="20" t="s">
        <v>1409</v>
      </c>
      <c r="AP1003" s="20" t="s">
        <v>628</v>
      </c>
      <c r="AQ1003" s="20">
        <v>10</v>
      </c>
      <c r="AR1003" s="20">
        <v>8</v>
      </c>
      <c r="AS1003" s="20" t="s">
        <v>592</v>
      </c>
    </row>
    <row r="1004" spans="38:45" ht="15.75" customHeight="1" x14ac:dyDescent="0.2">
      <c r="AL1004" s="20" t="s">
        <v>1158</v>
      </c>
      <c r="AM1004" s="20" t="s">
        <v>1040</v>
      </c>
      <c r="AN1004" s="20" t="s">
        <v>485</v>
      </c>
      <c r="AO1004" s="20" t="s">
        <v>1082</v>
      </c>
      <c r="AP1004" s="20" t="s">
        <v>628</v>
      </c>
      <c r="AQ1004" s="20">
        <v>10</v>
      </c>
      <c r="AR1004" s="20">
        <v>4</v>
      </c>
      <c r="AS1004" s="20" t="s">
        <v>593</v>
      </c>
    </row>
    <row r="1005" spans="38:45" ht="15.75" customHeight="1" x14ac:dyDescent="0.2">
      <c r="AL1005" s="20" t="s">
        <v>1158</v>
      </c>
      <c r="AM1005" s="20" t="s">
        <v>1040</v>
      </c>
      <c r="AN1005" s="20" t="s">
        <v>633</v>
      </c>
      <c r="AO1005" s="20" t="s">
        <v>2568</v>
      </c>
      <c r="AP1005" s="20" t="s">
        <v>628</v>
      </c>
      <c r="AQ1005" s="20">
        <v>10</v>
      </c>
      <c r="AR1005" s="20">
        <v>9</v>
      </c>
      <c r="AS1005" s="20" t="s">
        <v>592</v>
      </c>
    </row>
    <row r="1006" spans="38:45" ht="15.75" customHeight="1" x14ac:dyDescent="0.2">
      <c r="AL1006" s="20" t="s">
        <v>1158</v>
      </c>
      <c r="AM1006" s="20" t="s">
        <v>291</v>
      </c>
      <c r="AN1006" s="20" t="s">
        <v>2887</v>
      </c>
      <c r="AO1006" s="20" t="s">
        <v>3296</v>
      </c>
      <c r="AP1006" s="20" t="s">
        <v>628</v>
      </c>
      <c r="AQ1006" s="20">
        <v>10</v>
      </c>
      <c r="AR1006" s="20">
        <v>5</v>
      </c>
      <c r="AS1006" s="20" t="s">
        <v>592</v>
      </c>
    </row>
    <row r="1007" spans="38:45" ht="15.75" customHeight="1" x14ac:dyDescent="0.2">
      <c r="AL1007" s="20" t="s">
        <v>1158</v>
      </c>
      <c r="AM1007" s="20" t="s">
        <v>291</v>
      </c>
      <c r="AN1007" s="20" t="s">
        <v>2506</v>
      </c>
      <c r="AO1007" s="20" t="s">
        <v>3297</v>
      </c>
      <c r="AP1007" s="20" t="s">
        <v>628</v>
      </c>
      <c r="AQ1007" s="20">
        <v>10</v>
      </c>
      <c r="AR1007" s="20">
        <v>8</v>
      </c>
      <c r="AS1007" s="20" t="s">
        <v>592</v>
      </c>
    </row>
    <row r="1008" spans="38:45" ht="15.75" customHeight="1" x14ac:dyDescent="0.2">
      <c r="AL1008" s="20" t="s">
        <v>1158</v>
      </c>
      <c r="AM1008" s="20" t="s">
        <v>291</v>
      </c>
      <c r="AN1008" s="20" t="s">
        <v>2887</v>
      </c>
      <c r="AO1008" s="20" t="s">
        <v>3298</v>
      </c>
      <c r="AP1008" s="20" t="s">
        <v>628</v>
      </c>
      <c r="AQ1008" s="20">
        <v>10</v>
      </c>
      <c r="AR1008" s="20">
        <v>6</v>
      </c>
      <c r="AS1008" s="20" t="s">
        <v>592</v>
      </c>
    </row>
    <row r="1009" spans="38:45" ht="15.75" customHeight="1" x14ac:dyDescent="0.2">
      <c r="AL1009" s="20" t="s">
        <v>1158</v>
      </c>
      <c r="AM1009" s="20" t="s">
        <v>291</v>
      </c>
      <c r="AN1009" s="20" t="s">
        <v>2506</v>
      </c>
      <c r="AO1009" s="20" t="s">
        <v>3299</v>
      </c>
      <c r="AP1009" s="20" t="s">
        <v>628</v>
      </c>
      <c r="AQ1009" s="20">
        <v>10</v>
      </c>
      <c r="AR1009" s="20">
        <v>12</v>
      </c>
      <c r="AS1009" s="20" t="s">
        <v>592</v>
      </c>
    </row>
    <row r="1010" spans="38:45" ht="15.75" customHeight="1" x14ac:dyDescent="0.2">
      <c r="AL1010" s="20" t="s">
        <v>1158</v>
      </c>
      <c r="AM1010" s="20" t="s">
        <v>291</v>
      </c>
      <c r="AN1010" s="20" t="s">
        <v>2888</v>
      </c>
      <c r="AO1010" s="20" t="s">
        <v>3300</v>
      </c>
      <c r="AP1010" s="20" t="s">
        <v>628</v>
      </c>
      <c r="AQ1010" s="20">
        <v>10</v>
      </c>
      <c r="AR1010" s="20">
        <v>9</v>
      </c>
      <c r="AS1010" s="20" t="s">
        <v>592</v>
      </c>
    </row>
    <row r="1011" spans="38:45" ht="15.75" customHeight="1" x14ac:dyDescent="0.2">
      <c r="AL1011" s="20" t="s">
        <v>1158</v>
      </c>
      <c r="AM1011" s="20" t="s">
        <v>291</v>
      </c>
      <c r="AN1011" s="20" t="s">
        <v>2888</v>
      </c>
      <c r="AO1011" s="20" t="s">
        <v>3301</v>
      </c>
      <c r="AP1011" s="20" t="s">
        <v>628</v>
      </c>
      <c r="AQ1011" s="20">
        <v>10</v>
      </c>
      <c r="AR1011" s="20">
        <v>1</v>
      </c>
      <c r="AS1011" s="20" t="s">
        <v>592</v>
      </c>
    </row>
    <row r="1012" spans="38:45" ht="15.75" customHeight="1" x14ac:dyDescent="0.2">
      <c r="AL1012" s="20" t="s">
        <v>1158</v>
      </c>
      <c r="AM1012" s="20" t="s">
        <v>291</v>
      </c>
      <c r="AN1012" s="20" t="s">
        <v>744</v>
      </c>
      <c r="AO1012" s="20" t="s">
        <v>3302</v>
      </c>
      <c r="AP1012" s="20" t="s">
        <v>628</v>
      </c>
      <c r="AQ1012" s="20">
        <v>10</v>
      </c>
      <c r="AR1012" s="20">
        <v>10</v>
      </c>
      <c r="AS1012" s="20" t="s">
        <v>592</v>
      </c>
    </row>
    <row r="1013" spans="38:45" ht="15.75" customHeight="1" x14ac:dyDescent="0.2">
      <c r="AL1013" s="20" t="s">
        <v>1158</v>
      </c>
      <c r="AM1013" s="20" t="s">
        <v>291</v>
      </c>
      <c r="AN1013" s="20" t="s">
        <v>1885</v>
      </c>
      <c r="AO1013" s="20" t="s">
        <v>1884</v>
      </c>
      <c r="AP1013" s="20" t="s">
        <v>628</v>
      </c>
      <c r="AQ1013" s="20">
        <v>10</v>
      </c>
      <c r="AR1013" s="20">
        <v>9</v>
      </c>
      <c r="AS1013" s="20" t="s">
        <v>592</v>
      </c>
    </row>
    <row r="1014" spans="38:45" ht="15.75" customHeight="1" x14ac:dyDescent="0.2">
      <c r="AL1014" s="20" t="s">
        <v>1158</v>
      </c>
      <c r="AM1014" s="20" t="s">
        <v>2524</v>
      </c>
      <c r="AN1014" s="20" t="s">
        <v>709</v>
      </c>
      <c r="AO1014" s="20" t="s">
        <v>2675</v>
      </c>
      <c r="AP1014" s="20" t="s">
        <v>628</v>
      </c>
      <c r="AQ1014" s="20">
        <v>10</v>
      </c>
      <c r="AR1014" s="20">
        <v>8</v>
      </c>
      <c r="AS1014" s="20" t="s">
        <v>592</v>
      </c>
    </row>
    <row r="1015" spans="38:45" ht="15.75" customHeight="1" x14ac:dyDescent="0.2">
      <c r="AL1015" s="20" t="s">
        <v>1158</v>
      </c>
      <c r="AM1015" s="20" t="s">
        <v>2780</v>
      </c>
      <c r="AN1015" s="20" t="s">
        <v>2889</v>
      </c>
      <c r="AO1015" s="20" t="s">
        <v>3303</v>
      </c>
      <c r="AP1015" s="20" t="s">
        <v>628</v>
      </c>
      <c r="AQ1015" s="20">
        <v>10</v>
      </c>
      <c r="AR1015" s="20">
        <v>9</v>
      </c>
      <c r="AS1015" s="20" t="s">
        <v>592</v>
      </c>
    </row>
    <row r="1016" spans="38:45" ht="15.75" customHeight="1" x14ac:dyDescent="0.2">
      <c r="AL1016" s="20" t="s">
        <v>1158</v>
      </c>
      <c r="AM1016" s="20" t="s">
        <v>2780</v>
      </c>
      <c r="AN1016" s="20" t="s">
        <v>607</v>
      </c>
      <c r="AO1016" s="20" t="s">
        <v>3304</v>
      </c>
      <c r="AP1016" s="20" t="s">
        <v>628</v>
      </c>
      <c r="AQ1016" s="20">
        <v>10</v>
      </c>
      <c r="AR1016" s="20">
        <v>10</v>
      </c>
      <c r="AS1016" s="20" t="s">
        <v>592</v>
      </c>
    </row>
    <row r="1017" spans="38:45" ht="15.75" customHeight="1" x14ac:dyDescent="0.2">
      <c r="AL1017" s="20" t="s">
        <v>1158</v>
      </c>
      <c r="AM1017" s="20" t="s">
        <v>2780</v>
      </c>
      <c r="AN1017" s="20" t="s">
        <v>888</v>
      </c>
      <c r="AO1017" s="20" t="s">
        <v>3305</v>
      </c>
      <c r="AP1017" s="20" t="s">
        <v>628</v>
      </c>
      <c r="AQ1017" s="20">
        <v>10</v>
      </c>
      <c r="AR1017" s="20">
        <v>9</v>
      </c>
      <c r="AS1017" s="20" t="s">
        <v>592</v>
      </c>
    </row>
    <row r="1018" spans="38:45" ht="15.75" customHeight="1" x14ac:dyDescent="0.2">
      <c r="AL1018" s="20" t="s">
        <v>1158</v>
      </c>
      <c r="AM1018" s="20" t="s">
        <v>2780</v>
      </c>
      <c r="AN1018" s="20" t="s">
        <v>2890</v>
      </c>
      <c r="AO1018" s="20" t="s">
        <v>3306</v>
      </c>
      <c r="AP1018" s="20" t="s">
        <v>628</v>
      </c>
      <c r="AQ1018" s="20">
        <v>10</v>
      </c>
      <c r="AR1018" s="20">
        <v>8</v>
      </c>
      <c r="AS1018" s="20" t="s">
        <v>592</v>
      </c>
    </row>
    <row r="1019" spans="38:45" ht="15.75" customHeight="1" x14ac:dyDescent="0.2">
      <c r="AL1019" s="20" t="s">
        <v>1158</v>
      </c>
      <c r="AM1019" s="20" t="s">
        <v>72</v>
      </c>
      <c r="AN1019" s="20" t="s">
        <v>1610</v>
      </c>
      <c r="AO1019" s="20" t="s">
        <v>2647</v>
      </c>
      <c r="AP1019" s="20" t="s">
        <v>628</v>
      </c>
      <c r="AQ1019" s="20">
        <v>10</v>
      </c>
      <c r="AR1019" s="20">
        <v>13</v>
      </c>
      <c r="AS1019" s="20" t="s">
        <v>592</v>
      </c>
    </row>
    <row r="1020" spans="38:45" ht="15.75" customHeight="1" x14ac:dyDescent="0.2">
      <c r="AL1020" s="20" t="s">
        <v>1158</v>
      </c>
      <c r="AM1020" s="20" t="s">
        <v>291</v>
      </c>
      <c r="AN1020" s="20" t="s">
        <v>495</v>
      </c>
      <c r="AO1020" s="20" t="s">
        <v>1408</v>
      </c>
      <c r="AP1020" s="20" t="s">
        <v>835</v>
      </c>
      <c r="AQ1020" s="20">
        <v>5</v>
      </c>
      <c r="AR1020" s="20">
        <v>5</v>
      </c>
      <c r="AS1020" s="20" t="s">
        <v>592</v>
      </c>
    </row>
    <row r="1021" spans="38:45" ht="15.75" customHeight="1" x14ac:dyDescent="0.2">
      <c r="AL1021" s="20" t="s">
        <v>1158</v>
      </c>
      <c r="AM1021" s="20" t="s">
        <v>2780</v>
      </c>
      <c r="AN1021" s="20" t="s">
        <v>612</v>
      </c>
      <c r="AO1021" s="20" t="s">
        <v>3307</v>
      </c>
      <c r="AP1021" s="20" t="s">
        <v>835</v>
      </c>
      <c r="AQ1021" s="20">
        <v>5</v>
      </c>
      <c r="AR1021" s="20">
        <v>3</v>
      </c>
      <c r="AS1021" s="20" t="s">
        <v>593</v>
      </c>
    </row>
    <row r="1022" spans="38:45" ht="15.75" customHeight="1" x14ac:dyDescent="0.2">
      <c r="AL1022" s="20" t="s">
        <v>1158</v>
      </c>
      <c r="AM1022" s="20" t="s">
        <v>2524</v>
      </c>
      <c r="AN1022" s="20" t="s">
        <v>547</v>
      </c>
      <c r="AO1022" s="20" t="s">
        <v>3308</v>
      </c>
      <c r="AP1022" s="20" t="s">
        <v>628</v>
      </c>
      <c r="AQ1022" s="20">
        <v>10</v>
      </c>
      <c r="AR1022" s="20">
        <v>8</v>
      </c>
      <c r="AS1022" s="20" t="s">
        <v>592</v>
      </c>
    </row>
    <row r="1023" spans="38:45" ht="15.75" customHeight="1" x14ac:dyDescent="0.2">
      <c r="AL1023" s="20" t="s">
        <v>1158</v>
      </c>
      <c r="AM1023" s="20" t="s">
        <v>925</v>
      </c>
      <c r="AN1023" s="20" t="s">
        <v>2492</v>
      </c>
      <c r="AO1023" s="20" t="s">
        <v>2301</v>
      </c>
      <c r="AP1023" s="20" t="s">
        <v>628</v>
      </c>
      <c r="AQ1023" s="20">
        <v>10</v>
      </c>
      <c r="AR1023" s="20">
        <v>10</v>
      </c>
      <c r="AS1023" s="20" t="s">
        <v>592</v>
      </c>
    </row>
    <row r="1024" spans="38:45" ht="15.75" customHeight="1" x14ac:dyDescent="0.2">
      <c r="AL1024" s="20" t="s">
        <v>1158</v>
      </c>
      <c r="AM1024" s="20" t="s">
        <v>925</v>
      </c>
      <c r="AN1024" s="20" t="s">
        <v>533</v>
      </c>
      <c r="AO1024" s="20" t="s">
        <v>3309</v>
      </c>
      <c r="AP1024" s="20" t="s">
        <v>628</v>
      </c>
      <c r="AQ1024" s="20">
        <v>10</v>
      </c>
      <c r="AR1024" s="20">
        <v>18</v>
      </c>
      <c r="AS1024" s="20" t="s">
        <v>592</v>
      </c>
    </row>
    <row r="1025" spans="38:45" ht="15.75" customHeight="1" x14ac:dyDescent="0.2">
      <c r="AL1025" s="20" t="s">
        <v>1158</v>
      </c>
      <c r="AM1025" s="20" t="s">
        <v>925</v>
      </c>
      <c r="AN1025" s="20" t="s">
        <v>1584</v>
      </c>
      <c r="AO1025" s="20" t="s">
        <v>1583</v>
      </c>
      <c r="AP1025" s="20" t="s">
        <v>628</v>
      </c>
      <c r="AQ1025" s="20">
        <v>10</v>
      </c>
      <c r="AR1025" s="20">
        <v>15</v>
      </c>
      <c r="AS1025" s="20" t="s">
        <v>592</v>
      </c>
    </row>
    <row r="1026" spans="38:45" ht="15.75" customHeight="1" x14ac:dyDescent="0.2">
      <c r="AL1026" s="20" t="s">
        <v>1158</v>
      </c>
      <c r="AM1026" s="20" t="s">
        <v>2780</v>
      </c>
      <c r="AN1026" s="20" t="s">
        <v>612</v>
      </c>
      <c r="AO1026" s="20" t="s">
        <v>3307</v>
      </c>
      <c r="AP1026" s="20" t="s">
        <v>835</v>
      </c>
      <c r="AQ1026" s="20">
        <v>5</v>
      </c>
      <c r="AR1026" s="20">
        <v>7</v>
      </c>
      <c r="AS1026" s="20" t="s">
        <v>592</v>
      </c>
    </row>
    <row r="1027" spans="38:45" ht="15.75" customHeight="1" x14ac:dyDescent="0.2">
      <c r="AL1027" s="20" t="s">
        <v>1158</v>
      </c>
      <c r="AM1027" s="20" t="s">
        <v>2524</v>
      </c>
      <c r="AN1027" s="20" t="s">
        <v>867</v>
      </c>
      <c r="AO1027" s="20" t="s">
        <v>3285</v>
      </c>
      <c r="AP1027" s="20" t="s">
        <v>628</v>
      </c>
      <c r="AQ1027" s="20">
        <v>10</v>
      </c>
      <c r="AR1027" s="20">
        <v>8</v>
      </c>
      <c r="AS1027" s="20" t="s">
        <v>592</v>
      </c>
    </row>
    <row r="1028" spans="38:45" ht="15.75" customHeight="1" x14ac:dyDescent="0.2">
      <c r="AL1028" s="20" t="s">
        <v>1158</v>
      </c>
      <c r="AM1028" s="20" t="s">
        <v>1040</v>
      </c>
      <c r="AN1028" s="20" t="s">
        <v>633</v>
      </c>
      <c r="AO1028" s="20" t="s">
        <v>2568</v>
      </c>
      <c r="AP1028" s="20" t="s">
        <v>628</v>
      </c>
      <c r="AQ1028" s="20">
        <v>10</v>
      </c>
      <c r="AR1028" s="20">
        <v>2</v>
      </c>
      <c r="AS1028" s="20" t="s">
        <v>593</v>
      </c>
    </row>
    <row r="1029" spans="38:45" ht="15.75" customHeight="1" x14ac:dyDescent="0.2">
      <c r="AL1029" s="20" t="s">
        <v>1158</v>
      </c>
      <c r="AM1029" s="20" t="s">
        <v>291</v>
      </c>
      <c r="AN1029" s="20" t="s">
        <v>1724</v>
      </c>
      <c r="AO1029" s="20" t="s">
        <v>2056</v>
      </c>
      <c r="AP1029" s="20" t="s">
        <v>835</v>
      </c>
      <c r="AQ1029" s="20">
        <v>5</v>
      </c>
      <c r="AR1029" s="20">
        <v>8</v>
      </c>
      <c r="AS1029" s="20" t="s">
        <v>592</v>
      </c>
    </row>
    <row r="1030" spans="38:45" ht="15.75" customHeight="1" x14ac:dyDescent="0.2">
      <c r="AL1030" s="20" t="s">
        <v>1158</v>
      </c>
      <c r="AM1030" s="20" t="s">
        <v>726</v>
      </c>
      <c r="AN1030" s="20" t="s">
        <v>412</v>
      </c>
      <c r="AO1030" s="20" t="s">
        <v>1491</v>
      </c>
      <c r="AP1030" s="20" t="s">
        <v>628</v>
      </c>
      <c r="AQ1030" s="20">
        <v>10</v>
      </c>
      <c r="AR1030" s="20">
        <v>10</v>
      </c>
      <c r="AS1030" s="20" t="s">
        <v>592</v>
      </c>
    </row>
    <row r="1031" spans="38:45" ht="15.75" customHeight="1" x14ac:dyDescent="0.2">
      <c r="AL1031" s="20" t="s">
        <v>1158</v>
      </c>
      <c r="AM1031" s="20" t="s">
        <v>72</v>
      </c>
      <c r="AN1031" s="20" t="s">
        <v>2505</v>
      </c>
      <c r="AO1031" s="20" t="s">
        <v>3310</v>
      </c>
      <c r="AP1031" s="20" t="s">
        <v>628</v>
      </c>
      <c r="AQ1031" s="20">
        <v>10</v>
      </c>
      <c r="AR1031" s="20">
        <v>9</v>
      </c>
      <c r="AS1031" s="20" t="s">
        <v>592</v>
      </c>
    </row>
    <row r="1032" spans="38:45" ht="15.75" customHeight="1" x14ac:dyDescent="0.2">
      <c r="AL1032" s="20" t="s">
        <v>1158</v>
      </c>
      <c r="AM1032" s="20" t="s">
        <v>72</v>
      </c>
      <c r="AN1032" s="20" t="s">
        <v>895</v>
      </c>
      <c r="AO1032" s="20" t="s">
        <v>2649</v>
      </c>
      <c r="AP1032" s="20" t="s">
        <v>628</v>
      </c>
      <c r="AQ1032" s="20">
        <v>10</v>
      </c>
      <c r="AR1032" s="20">
        <v>13</v>
      </c>
      <c r="AS1032" s="20" t="s">
        <v>592</v>
      </c>
    </row>
    <row r="1033" spans="38:45" ht="15.75" customHeight="1" x14ac:dyDescent="0.2">
      <c r="AL1033" s="20" t="s">
        <v>1158</v>
      </c>
      <c r="AM1033" s="20" t="s">
        <v>72</v>
      </c>
      <c r="AN1033" s="20" t="s">
        <v>2891</v>
      </c>
      <c r="AO1033" s="20" t="s">
        <v>3311</v>
      </c>
      <c r="AP1033" s="20" t="s">
        <v>628</v>
      </c>
      <c r="AQ1033" s="20">
        <v>10</v>
      </c>
      <c r="AR1033" s="20">
        <v>8</v>
      </c>
      <c r="AS1033" s="20" t="s">
        <v>592</v>
      </c>
    </row>
    <row r="1034" spans="38:45" ht="15.75" customHeight="1" x14ac:dyDescent="0.2">
      <c r="AL1034" s="20" t="s">
        <v>1158</v>
      </c>
      <c r="AM1034" s="20" t="s">
        <v>72</v>
      </c>
      <c r="AN1034" s="20" t="s">
        <v>634</v>
      </c>
      <c r="AO1034" s="20" t="s">
        <v>3312</v>
      </c>
      <c r="AP1034" s="20" t="s">
        <v>628</v>
      </c>
      <c r="AQ1034" s="20">
        <v>10</v>
      </c>
      <c r="AR1034" s="20">
        <v>8</v>
      </c>
      <c r="AS1034" s="20" t="s">
        <v>592</v>
      </c>
    </row>
    <row r="1035" spans="38:45" ht="15.75" customHeight="1" x14ac:dyDescent="0.2">
      <c r="AL1035" s="20" t="s">
        <v>1158</v>
      </c>
      <c r="AM1035" s="20" t="s">
        <v>72</v>
      </c>
      <c r="AN1035" s="20" t="s">
        <v>620</v>
      </c>
      <c r="AO1035" s="20" t="s">
        <v>1924</v>
      </c>
      <c r="AP1035" s="20" t="s">
        <v>628</v>
      </c>
      <c r="AQ1035" s="20">
        <v>10</v>
      </c>
      <c r="AR1035" s="20">
        <v>9</v>
      </c>
      <c r="AS1035" s="20" t="s">
        <v>592</v>
      </c>
    </row>
    <row r="1036" spans="38:45" ht="15.75" customHeight="1" x14ac:dyDescent="0.2">
      <c r="AL1036" s="20" t="s">
        <v>1158</v>
      </c>
      <c r="AM1036" s="20" t="s">
        <v>726</v>
      </c>
      <c r="AN1036" s="20" t="s">
        <v>679</v>
      </c>
      <c r="AO1036" s="20" t="s">
        <v>965</v>
      </c>
      <c r="AP1036" s="20" t="s">
        <v>628</v>
      </c>
      <c r="AQ1036" s="20">
        <v>10</v>
      </c>
      <c r="AR1036" s="20">
        <v>9</v>
      </c>
      <c r="AS1036" s="20" t="s">
        <v>592</v>
      </c>
    </row>
    <row r="1037" spans="38:45" ht="15.75" customHeight="1" x14ac:dyDescent="0.2">
      <c r="AL1037" s="20" t="s">
        <v>1158</v>
      </c>
      <c r="AM1037" s="20" t="s">
        <v>291</v>
      </c>
      <c r="AN1037" s="20" t="s">
        <v>1914</v>
      </c>
      <c r="AO1037" s="20" t="s">
        <v>3313</v>
      </c>
      <c r="AP1037" s="20" t="s">
        <v>835</v>
      </c>
      <c r="AQ1037" s="20">
        <v>5</v>
      </c>
      <c r="AR1037" s="20">
        <v>7</v>
      </c>
      <c r="AS1037" s="20" t="s">
        <v>592</v>
      </c>
    </row>
    <row r="1038" spans="38:45" ht="15.75" customHeight="1" x14ac:dyDescent="0.2">
      <c r="AL1038" s="20" t="s">
        <v>1158</v>
      </c>
      <c r="AM1038" s="20" t="s">
        <v>925</v>
      </c>
      <c r="AN1038" s="20" t="s">
        <v>1012</v>
      </c>
      <c r="AO1038" s="20" t="s">
        <v>1378</v>
      </c>
      <c r="AP1038" s="20" t="s">
        <v>628</v>
      </c>
      <c r="AQ1038" s="20">
        <v>10</v>
      </c>
      <c r="AR1038" s="20">
        <v>10</v>
      </c>
      <c r="AS1038" s="20" t="s">
        <v>592</v>
      </c>
    </row>
    <row r="1039" spans="38:45" ht="15.75" customHeight="1" x14ac:dyDescent="0.2">
      <c r="AL1039" s="20" t="s">
        <v>1158</v>
      </c>
      <c r="AM1039" s="20" t="s">
        <v>2524</v>
      </c>
      <c r="AN1039" s="20" t="s">
        <v>1607</v>
      </c>
      <c r="AO1039" s="20" t="s">
        <v>3287</v>
      </c>
      <c r="AP1039" s="20" t="s">
        <v>835</v>
      </c>
      <c r="AQ1039" s="20">
        <v>5</v>
      </c>
      <c r="AR1039" s="20">
        <v>5</v>
      </c>
      <c r="AS1039" s="20" t="s">
        <v>592</v>
      </c>
    </row>
    <row r="1040" spans="38:45" ht="15.75" customHeight="1" x14ac:dyDescent="0.2">
      <c r="AL1040" s="20" t="s">
        <v>1158</v>
      </c>
      <c r="AM1040" s="20" t="s">
        <v>2524</v>
      </c>
      <c r="AN1040" s="20" t="s">
        <v>2884</v>
      </c>
      <c r="AO1040" s="20" t="s">
        <v>3275</v>
      </c>
      <c r="AP1040" s="20" t="s">
        <v>835</v>
      </c>
      <c r="AQ1040" s="20">
        <v>5</v>
      </c>
      <c r="AR1040" s="20">
        <v>1</v>
      </c>
      <c r="AS1040" s="20" t="s">
        <v>593</v>
      </c>
    </row>
    <row r="1041" spans="38:45" ht="15.75" customHeight="1" x14ac:dyDescent="0.2">
      <c r="AL1041" s="20" t="s">
        <v>640</v>
      </c>
      <c r="AM1041" s="20" t="s">
        <v>756</v>
      </c>
      <c r="AN1041" s="20" t="s">
        <v>2549</v>
      </c>
      <c r="AO1041" s="20" t="s">
        <v>3314</v>
      </c>
      <c r="AP1041" s="20" t="s">
        <v>628</v>
      </c>
      <c r="AQ1041" s="20">
        <v>10</v>
      </c>
      <c r="AR1041" s="20">
        <v>21</v>
      </c>
      <c r="AS1041" s="20" t="s">
        <v>592</v>
      </c>
    </row>
    <row r="1042" spans="38:45" ht="15.75" customHeight="1" x14ac:dyDescent="0.2">
      <c r="AL1042" s="20" t="s">
        <v>640</v>
      </c>
      <c r="AM1042" s="20" t="s">
        <v>756</v>
      </c>
      <c r="AN1042" s="20" t="s">
        <v>431</v>
      </c>
      <c r="AO1042" s="20" t="s">
        <v>3315</v>
      </c>
      <c r="AP1042" s="20" t="s">
        <v>628</v>
      </c>
      <c r="AQ1042" s="20">
        <v>10</v>
      </c>
      <c r="AR1042" s="20">
        <v>28</v>
      </c>
      <c r="AS1042" s="20" t="s">
        <v>592</v>
      </c>
    </row>
    <row r="1043" spans="38:45" ht="15.75" customHeight="1" x14ac:dyDescent="0.2">
      <c r="AL1043" s="20" t="s">
        <v>640</v>
      </c>
      <c r="AM1043" s="20" t="s">
        <v>756</v>
      </c>
      <c r="AN1043" s="20" t="s">
        <v>395</v>
      </c>
      <c r="AO1043" s="20" t="s">
        <v>1302</v>
      </c>
      <c r="AP1043" s="20" t="s">
        <v>628</v>
      </c>
      <c r="AQ1043" s="20">
        <v>10</v>
      </c>
      <c r="AR1043" s="20">
        <v>14</v>
      </c>
      <c r="AS1043" s="20" t="s">
        <v>592</v>
      </c>
    </row>
    <row r="1044" spans="38:45" ht="15.75" customHeight="1" x14ac:dyDescent="0.2">
      <c r="AL1044" s="20" t="s">
        <v>640</v>
      </c>
      <c r="AM1044" s="20" t="s">
        <v>756</v>
      </c>
      <c r="AN1044" s="20" t="s">
        <v>430</v>
      </c>
      <c r="AO1044" s="20" t="s">
        <v>3316</v>
      </c>
      <c r="AP1044" s="20" t="s">
        <v>628</v>
      </c>
      <c r="AQ1044" s="20">
        <v>10</v>
      </c>
      <c r="AR1044" s="20">
        <v>34</v>
      </c>
      <c r="AS1044" s="20" t="s">
        <v>592</v>
      </c>
    </row>
    <row r="1045" spans="38:45" ht="15.75" customHeight="1" x14ac:dyDescent="0.2">
      <c r="AL1045" s="20" t="s">
        <v>640</v>
      </c>
      <c r="AM1045" s="20" t="s">
        <v>756</v>
      </c>
      <c r="AN1045" s="20" t="s">
        <v>435</v>
      </c>
      <c r="AO1045" s="20" t="s">
        <v>3317</v>
      </c>
      <c r="AP1045" s="20" t="s">
        <v>628</v>
      </c>
      <c r="AQ1045" s="20">
        <v>10</v>
      </c>
      <c r="AR1045" s="20">
        <v>9</v>
      </c>
      <c r="AS1045" s="20" t="s">
        <v>592</v>
      </c>
    </row>
    <row r="1046" spans="38:45" ht="15.75" customHeight="1" x14ac:dyDescent="0.2">
      <c r="AL1046" s="20" t="s">
        <v>640</v>
      </c>
      <c r="AM1046" s="20" t="s">
        <v>756</v>
      </c>
      <c r="AN1046" s="20" t="s">
        <v>2063</v>
      </c>
      <c r="AO1046" s="20" t="s">
        <v>3318</v>
      </c>
      <c r="AP1046" s="20" t="s">
        <v>628</v>
      </c>
      <c r="AQ1046" s="20">
        <v>10</v>
      </c>
      <c r="AR1046" s="20">
        <v>5</v>
      </c>
      <c r="AS1046" s="20" t="s">
        <v>592</v>
      </c>
    </row>
    <row r="1047" spans="38:45" ht="15.75" customHeight="1" x14ac:dyDescent="0.2">
      <c r="AL1047" s="20" t="s">
        <v>640</v>
      </c>
      <c r="AM1047" s="20" t="s">
        <v>756</v>
      </c>
      <c r="AN1047" s="20" t="s">
        <v>2063</v>
      </c>
      <c r="AO1047" s="20" t="s">
        <v>2062</v>
      </c>
      <c r="AP1047" s="20" t="s">
        <v>628</v>
      </c>
      <c r="AQ1047" s="20">
        <v>10</v>
      </c>
      <c r="AR1047" s="20">
        <v>7</v>
      </c>
      <c r="AS1047" s="20" t="s">
        <v>592</v>
      </c>
    </row>
    <row r="1048" spans="38:45" ht="15.75" customHeight="1" x14ac:dyDescent="0.2">
      <c r="AL1048" s="20" t="s">
        <v>640</v>
      </c>
      <c r="AM1048" s="20" t="s">
        <v>756</v>
      </c>
      <c r="AN1048" s="20" t="s">
        <v>2892</v>
      </c>
      <c r="AO1048" s="20" t="s">
        <v>3319</v>
      </c>
      <c r="AP1048" s="20" t="s">
        <v>628</v>
      </c>
      <c r="AQ1048" s="20">
        <v>10</v>
      </c>
      <c r="AR1048" s="20">
        <v>16</v>
      </c>
      <c r="AS1048" s="20" t="s">
        <v>592</v>
      </c>
    </row>
    <row r="1049" spans="38:45" ht="15.75" customHeight="1" x14ac:dyDescent="0.2">
      <c r="AL1049" s="20" t="s">
        <v>640</v>
      </c>
      <c r="AM1049" s="20" t="s">
        <v>756</v>
      </c>
      <c r="AN1049" s="20" t="s">
        <v>1593</v>
      </c>
      <c r="AO1049" s="20" t="s">
        <v>2315</v>
      </c>
      <c r="AP1049" s="20" t="s">
        <v>628</v>
      </c>
      <c r="AQ1049" s="20">
        <v>10</v>
      </c>
      <c r="AR1049" s="20">
        <v>8</v>
      </c>
      <c r="AS1049" s="20" t="s">
        <v>592</v>
      </c>
    </row>
    <row r="1050" spans="38:45" ht="15.75" customHeight="1" x14ac:dyDescent="0.2">
      <c r="AL1050" s="20" t="s">
        <v>640</v>
      </c>
      <c r="AM1050" s="20" t="s">
        <v>756</v>
      </c>
      <c r="AN1050" s="20" t="s">
        <v>1531</v>
      </c>
      <c r="AO1050" s="20" t="s">
        <v>2013</v>
      </c>
      <c r="AP1050" s="20" t="s">
        <v>628</v>
      </c>
      <c r="AQ1050" s="20">
        <v>10</v>
      </c>
      <c r="AR1050" s="20">
        <v>21</v>
      </c>
      <c r="AS1050" s="20" t="s">
        <v>592</v>
      </c>
    </row>
    <row r="1051" spans="38:45" ht="15.75" customHeight="1" x14ac:dyDescent="0.2">
      <c r="AL1051" s="20" t="s">
        <v>640</v>
      </c>
      <c r="AM1051" s="20" t="s">
        <v>191</v>
      </c>
      <c r="AN1051" s="20" t="s">
        <v>570</v>
      </c>
      <c r="AO1051" s="20" t="s">
        <v>1754</v>
      </c>
      <c r="AP1051" s="20" t="s">
        <v>628</v>
      </c>
      <c r="AQ1051" s="20">
        <v>10</v>
      </c>
      <c r="AR1051" s="20">
        <v>83</v>
      </c>
      <c r="AS1051" s="20" t="s">
        <v>592</v>
      </c>
    </row>
    <row r="1052" spans="38:45" ht="15.75" customHeight="1" x14ac:dyDescent="0.2">
      <c r="AL1052" s="20" t="s">
        <v>640</v>
      </c>
      <c r="AM1052" s="20" t="s">
        <v>191</v>
      </c>
      <c r="AN1052" s="20" t="s">
        <v>573</v>
      </c>
      <c r="AO1052" s="20" t="s">
        <v>793</v>
      </c>
      <c r="AP1052" s="20" t="s">
        <v>628</v>
      </c>
      <c r="AQ1052" s="20">
        <v>10</v>
      </c>
      <c r="AR1052" s="20">
        <v>33</v>
      </c>
      <c r="AS1052" s="20" t="s">
        <v>592</v>
      </c>
    </row>
    <row r="1053" spans="38:45" ht="15.75" customHeight="1" x14ac:dyDescent="0.2">
      <c r="AL1053" s="20" t="s">
        <v>640</v>
      </c>
      <c r="AM1053" s="20" t="s">
        <v>191</v>
      </c>
      <c r="AN1053" s="20" t="s">
        <v>1528</v>
      </c>
      <c r="AO1053" s="20" t="s">
        <v>3320</v>
      </c>
      <c r="AP1053" s="20" t="s">
        <v>628</v>
      </c>
      <c r="AQ1053" s="20">
        <v>10</v>
      </c>
      <c r="AR1053" s="20">
        <v>13</v>
      </c>
      <c r="AS1053" s="20" t="s">
        <v>592</v>
      </c>
    </row>
    <row r="1054" spans="38:45" ht="15.75" customHeight="1" x14ac:dyDescent="0.2">
      <c r="AL1054" s="20" t="s">
        <v>640</v>
      </c>
      <c r="AM1054" s="20" t="s">
        <v>191</v>
      </c>
      <c r="AN1054" s="20" t="s">
        <v>1528</v>
      </c>
      <c r="AO1054" s="20" t="s">
        <v>3321</v>
      </c>
      <c r="AP1054" s="20" t="s">
        <v>628</v>
      </c>
      <c r="AQ1054" s="20">
        <v>10</v>
      </c>
      <c r="AR1054" s="20">
        <v>2</v>
      </c>
      <c r="AS1054" s="20" t="s">
        <v>593</v>
      </c>
    </row>
    <row r="1055" spans="38:45" ht="15.75" customHeight="1" x14ac:dyDescent="0.2">
      <c r="AL1055" s="20" t="s">
        <v>640</v>
      </c>
      <c r="AM1055" s="20" t="s">
        <v>191</v>
      </c>
      <c r="AN1055" s="20" t="s">
        <v>568</v>
      </c>
      <c r="AO1055" s="20" t="s">
        <v>3322</v>
      </c>
      <c r="AP1055" s="20" t="s">
        <v>628</v>
      </c>
      <c r="AQ1055" s="20">
        <v>10</v>
      </c>
      <c r="AR1055" s="20">
        <v>22</v>
      </c>
      <c r="AS1055" s="20" t="s">
        <v>592</v>
      </c>
    </row>
    <row r="1056" spans="38:45" ht="15.75" customHeight="1" x14ac:dyDescent="0.2">
      <c r="AL1056" s="20" t="s">
        <v>640</v>
      </c>
      <c r="AM1056" s="20" t="s">
        <v>191</v>
      </c>
      <c r="AN1056" s="20" t="s">
        <v>569</v>
      </c>
      <c r="AO1056" s="20" t="s">
        <v>783</v>
      </c>
      <c r="AP1056" s="20" t="s">
        <v>628</v>
      </c>
      <c r="AQ1056" s="20">
        <v>10</v>
      </c>
      <c r="AR1056" s="20">
        <v>29</v>
      </c>
      <c r="AS1056" s="20" t="s">
        <v>592</v>
      </c>
    </row>
    <row r="1057" spans="38:45" ht="15.75" customHeight="1" x14ac:dyDescent="0.2">
      <c r="AL1057" s="20" t="s">
        <v>640</v>
      </c>
      <c r="AM1057" s="20" t="s">
        <v>191</v>
      </c>
      <c r="AN1057" s="20" t="s">
        <v>1842</v>
      </c>
      <c r="AO1057" s="20" t="s">
        <v>1841</v>
      </c>
      <c r="AP1057" s="20" t="s">
        <v>628</v>
      </c>
      <c r="AQ1057" s="20">
        <v>10</v>
      </c>
      <c r="AR1057" s="20">
        <v>16</v>
      </c>
      <c r="AS1057" s="20" t="s">
        <v>592</v>
      </c>
    </row>
    <row r="1058" spans="38:45" ht="15.75" customHeight="1" x14ac:dyDescent="0.2">
      <c r="AL1058" s="20" t="s">
        <v>640</v>
      </c>
      <c r="AM1058" s="20" t="s">
        <v>191</v>
      </c>
      <c r="AN1058" s="20" t="s">
        <v>378</v>
      </c>
      <c r="AO1058" s="20" t="s">
        <v>1843</v>
      </c>
      <c r="AP1058" s="20" t="s">
        <v>628</v>
      </c>
      <c r="AQ1058" s="20">
        <v>10</v>
      </c>
      <c r="AR1058" s="20">
        <v>22</v>
      </c>
      <c r="AS1058" s="20" t="s">
        <v>592</v>
      </c>
    </row>
    <row r="1059" spans="38:45" ht="15.75" customHeight="1" x14ac:dyDescent="0.2">
      <c r="AL1059" s="20" t="s">
        <v>640</v>
      </c>
      <c r="AM1059" s="20" t="s">
        <v>191</v>
      </c>
      <c r="AN1059" s="20" t="s">
        <v>378</v>
      </c>
      <c r="AO1059" s="20" t="s">
        <v>3323</v>
      </c>
      <c r="AP1059" s="20" t="s">
        <v>628</v>
      </c>
      <c r="AQ1059" s="20">
        <v>10</v>
      </c>
      <c r="AR1059" s="20">
        <v>15</v>
      </c>
      <c r="AS1059" s="20" t="s">
        <v>592</v>
      </c>
    </row>
    <row r="1060" spans="38:45" ht="15.75" customHeight="1" x14ac:dyDescent="0.2">
      <c r="AL1060" s="20" t="s">
        <v>640</v>
      </c>
      <c r="AM1060" s="20" t="s">
        <v>191</v>
      </c>
      <c r="AN1060" s="20" t="s">
        <v>572</v>
      </c>
      <c r="AO1060" s="20" t="s">
        <v>1755</v>
      </c>
      <c r="AP1060" s="20" t="s">
        <v>628</v>
      </c>
      <c r="AQ1060" s="20">
        <v>10</v>
      </c>
      <c r="AR1060" s="20">
        <v>18</v>
      </c>
      <c r="AS1060" s="20" t="s">
        <v>592</v>
      </c>
    </row>
    <row r="1061" spans="38:45" ht="15.75" customHeight="1" x14ac:dyDescent="0.2">
      <c r="AL1061" s="20" t="s">
        <v>640</v>
      </c>
      <c r="AM1061" s="20" t="s">
        <v>191</v>
      </c>
      <c r="AN1061" s="20" t="s">
        <v>1628</v>
      </c>
      <c r="AO1061" s="20" t="s">
        <v>2616</v>
      </c>
      <c r="AP1061" s="20" t="s">
        <v>628</v>
      </c>
      <c r="AQ1061" s="20">
        <v>10</v>
      </c>
      <c r="AR1061" s="20">
        <v>9</v>
      </c>
      <c r="AS1061" s="20" t="s">
        <v>592</v>
      </c>
    </row>
    <row r="1062" spans="38:45" ht="15.75" customHeight="1" x14ac:dyDescent="0.2">
      <c r="AL1062" s="20" t="s">
        <v>640</v>
      </c>
      <c r="AM1062" s="20" t="s">
        <v>31</v>
      </c>
      <c r="AN1062" s="20" t="s">
        <v>571</v>
      </c>
      <c r="AO1062" s="20" t="s">
        <v>3324</v>
      </c>
      <c r="AP1062" s="20" t="s">
        <v>628</v>
      </c>
      <c r="AQ1062" s="20">
        <v>10</v>
      </c>
      <c r="AR1062" s="20">
        <v>87</v>
      </c>
      <c r="AS1062" s="20" t="s">
        <v>592</v>
      </c>
    </row>
    <row r="1063" spans="38:45" ht="15.75" customHeight="1" x14ac:dyDescent="0.2">
      <c r="AL1063" s="20" t="s">
        <v>640</v>
      </c>
      <c r="AM1063" s="20" t="s">
        <v>31</v>
      </c>
      <c r="AN1063" s="20" t="s">
        <v>602</v>
      </c>
      <c r="AO1063" s="20" t="s">
        <v>3325</v>
      </c>
      <c r="AP1063" s="20" t="s">
        <v>628</v>
      </c>
      <c r="AQ1063" s="20">
        <v>10</v>
      </c>
      <c r="AR1063" s="20">
        <v>40</v>
      </c>
      <c r="AS1063" s="20" t="s">
        <v>592</v>
      </c>
    </row>
    <row r="1064" spans="38:45" ht="15.75" customHeight="1" x14ac:dyDescent="0.2">
      <c r="AL1064" s="20" t="s">
        <v>640</v>
      </c>
      <c r="AM1064" s="20" t="s">
        <v>31</v>
      </c>
      <c r="AN1064" s="20" t="s">
        <v>393</v>
      </c>
      <c r="AO1064" s="20" t="s">
        <v>3326</v>
      </c>
      <c r="AP1064" s="20" t="s">
        <v>628</v>
      </c>
      <c r="AQ1064" s="20">
        <v>10</v>
      </c>
      <c r="AR1064" s="20">
        <v>32</v>
      </c>
      <c r="AS1064" s="20" t="s">
        <v>592</v>
      </c>
    </row>
    <row r="1065" spans="38:45" ht="15.75" customHeight="1" x14ac:dyDescent="0.2">
      <c r="AL1065" s="20" t="s">
        <v>640</v>
      </c>
      <c r="AM1065" s="20" t="s">
        <v>31</v>
      </c>
      <c r="AN1065" s="20" t="s">
        <v>810</v>
      </c>
      <c r="AO1065" s="20" t="s">
        <v>3327</v>
      </c>
      <c r="AP1065" s="20" t="s">
        <v>628</v>
      </c>
      <c r="AQ1065" s="20">
        <v>10</v>
      </c>
      <c r="AR1065" s="20">
        <v>25</v>
      </c>
      <c r="AS1065" s="20" t="s">
        <v>592</v>
      </c>
    </row>
    <row r="1066" spans="38:45" ht="15.75" customHeight="1" x14ac:dyDescent="0.2">
      <c r="AL1066" s="20" t="s">
        <v>640</v>
      </c>
      <c r="AM1066" s="20" t="s">
        <v>31</v>
      </c>
      <c r="AN1066" s="20" t="s">
        <v>394</v>
      </c>
      <c r="AO1066" s="20" t="s">
        <v>2130</v>
      </c>
      <c r="AP1066" s="20" t="s">
        <v>628</v>
      </c>
      <c r="AQ1066" s="20">
        <v>10</v>
      </c>
      <c r="AR1066" s="20">
        <v>8</v>
      </c>
      <c r="AS1066" s="20" t="s">
        <v>592</v>
      </c>
    </row>
    <row r="1067" spans="38:45" ht="15.75" customHeight="1" x14ac:dyDescent="0.2">
      <c r="AL1067" s="20" t="s">
        <v>640</v>
      </c>
      <c r="AM1067" s="20" t="s">
        <v>31</v>
      </c>
      <c r="AN1067" s="20" t="s">
        <v>1882</v>
      </c>
      <c r="AO1067" s="20" t="s">
        <v>3328</v>
      </c>
      <c r="AP1067" s="20" t="s">
        <v>628</v>
      </c>
      <c r="AQ1067" s="20">
        <v>10</v>
      </c>
      <c r="AR1067" s="20">
        <v>9</v>
      </c>
      <c r="AS1067" s="20" t="s">
        <v>592</v>
      </c>
    </row>
    <row r="1068" spans="38:45" ht="15.75" customHeight="1" x14ac:dyDescent="0.2">
      <c r="AL1068" s="20" t="s">
        <v>640</v>
      </c>
      <c r="AM1068" s="20" t="s">
        <v>31</v>
      </c>
      <c r="AN1068" s="20" t="s">
        <v>396</v>
      </c>
      <c r="AO1068" s="20" t="s">
        <v>3329</v>
      </c>
      <c r="AP1068" s="20" t="s">
        <v>628</v>
      </c>
      <c r="AQ1068" s="20">
        <v>10</v>
      </c>
      <c r="AR1068" s="20">
        <v>8</v>
      </c>
      <c r="AS1068" s="20" t="s">
        <v>592</v>
      </c>
    </row>
    <row r="1069" spans="38:45" ht="15.75" customHeight="1" x14ac:dyDescent="0.2">
      <c r="AL1069" s="20" t="s">
        <v>640</v>
      </c>
      <c r="AM1069" s="20" t="s">
        <v>756</v>
      </c>
      <c r="AN1069" s="20" t="s">
        <v>433</v>
      </c>
      <c r="AO1069" s="20" t="s">
        <v>3330</v>
      </c>
      <c r="AP1069" s="20" t="s">
        <v>628</v>
      </c>
      <c r="AQ1069" s="20">
        <v>10</v>
      </c>
      <c r="AR1069" s="20">
        <v>58</v>
      </c>
      <c r="AS1069" s="20" t="s">
        <v>592</v>
      </c>
    </row>
    <row r="1070" spans="38:45" ht="15.75" customHeight="1" x14ac:dyDescent="0.2">
      <c r="AL1070" s="20" t="s">
        <v>640</v>
      </c>
      <c r="AM1070" s="20" t="s">
        <v>248</v>
      </c>
      <c r="AN1070" s="20" t="s">
        <v>635</v>
      </c>
      <c r="AO1070" s="20" t="s">
        <v>1006</v>
      </c>
      <c r="AP1070" s="20" t="s">
        <v>628</v>
      </c>
      <c r="AQ1070" s="20">
        <v>10</v>
      </c>
      <c r="AR1070" s="20">
        <v>44</v>
      </c>
      <c r="AS1070" s="20" t="s">
        <v>592</v>
      </c>
    </row>
    <row r="1071" spans="38:45" ht="15.75" customHeight="1" x14ac:dyDescent="0.2">
      <c r="AL1071" s="20" t="s">
        <v>640</v>
      </c>
      <c r="AM1071" s="20" t="s">
        <v>248</v>
      </c>
      <c r="AN1071" s="20" t="s">
        <v>2893</v>
      </c>
      <c r="AO1071" s="20" t="s">
        <v>3331</v>
      </c>
      <c r="AP1071" s="20" t="s">
        <v>628</v>
      </c>
      <c r="AQ1071" s="20">
        <v>10</v>
      </c>
      <c r="AR1071" s="20">
        <v>13</v>
      </c>
      <c r="AS1071" s="20" t="s">
        <v>592</v>
      </c>
    </row>
    <row r="1072" spans="38:45" ht="15.75" customHeight="1" x14ac:dyDescent="0.2">
      <c r="AL1072" s="20" t="s">
        <v>640</v>
      </c>
      <c r="AM1072" s="20" t="s">
        <v>248</v>
      </c>
      <c r="AN1072" s="20" t="s">
        <v>884</v>
      </c>
      <c r="AO1072" s="20" t="s">
        <v>885</v>
      </c>
      <c r="AP1072" s="20" t="s">
        <v>628</v>
      </c>
      <c r="AQ1072" s="20">
        <v>10</v>
      </c>
      <c r="AR1072" s="20">
        <v>8</v>
      </c>
      <c r="AS1072" s="20" t="s">
        <v>592</v>
      </c>
    </row>
    <row r="1073" spans="38:45" ht="15.75" customHeight="1" x14ac:dyDescent="0.2">
      <c r="AL1073" s="20" t="s">
        <v>640</v>
      </c>
      <c r="AM1073" s="20" t="s">
        <v>248</v>
      </c>
      <c r="AN1073" s="20" t="s">
        <v>844</v>
      </c>
      <c r="AO1073" s="20" t="s">
        <v>2599</v>
      </c>
      <c r="AP1073" s="20" t="s">
        <v>628</v>
      </c>
      <c r="AQ1073" s="20">
        <v>10</v>
      </c>
      <c r="AR1073" s="20">
        <v>13</v>
      </c>
      <c r="AS1073" s="20" t="s">
        <v>592</v>
      </c>
    </row>
    <row r="1074" spans="38:45" ht="15.75" customHeight="1" x14ac:dyDescent="0.2">
      <c r="AL1074" s="20" t="s">
        <v>640</v>
      </c>
      <c r="AM1074" s="20" t="s">
        <v>248</v>
      </c>
      <c r="AN1074" s="20" t="s">
        <v>2060</v>
      </c>
      <c r="AO1074" s="20" t="s">
        <v>2059</v>
      </c>
      <c r="AP1074" s="20" t="s">
        <v>628</v>
      </c>
      <c r="AQ1074" s="20">
        <v>10</v>
      </c>
      <c r="AR1074" s="20">
        <v>9</v>
      </c>
      <c r="AS1074" s="20" t="s">
        <v>592</v>
      </c>
    </row>
    <row r="1075" spans="38:45" ht="15.75" customHeight="1" x14ac:dyDescent="0.2">
      <c r="AL1075" s="20" t="s">
        <v>640</v>
      </c>
      <c r="AM1075" s="20" t="s">
        <v>248</v>
      </c>
      <c r="AN1075" s="20" t="s">
        <v>809</v>
      </c>
      <c r="AO1075" s="20" t="s">
        <v>3332</v>
      </c>
      <c r="AP1075" s="20" t="s">
        <v>628</v>
      </c>
      <c r="AQ1075" s="20">
        <v>10</v>
      </c>
      <c r="AR1075" s="20">
        <v>15</v>
      </c>
      <c r="AS1075" s="20" t="s">
        <v>592</v>
      </c>
    </row>
    <row r="1076" spans="38:45" ht="15.75" customHeight="1" x14ac:dyDescent="0.2">
      <c r="AL1076" s="20" t="s">
        <v>640</v>
      </c>
      <c r="AM1076" s="20" t="s">
        <v>248</v>
      </c>
      <c r="AN1076" s="20" t="s">
        <v>809</v>
      </c>
      <c r="AO1076" s="20" t="s">
        <v>3333</v>
      </c>
      <c r="AP1076" s="20" t="s">
        <v>628</v>
      </c>
      <c r="AQ1076" s="20">
        <v>10</v>
      </c>
      <c r="AR1076" s="20">
        <v>1</v>
      </c>
      <c r="AS1076" s="20" t="s">
        <v>592</v>
      </c>
    </row>
    <row r="1077" spans="38:45" ht="15.75" customHeight="1" x14ac:dyDescent="0.2">
      <c r="AL1077" s="20" t="s">
        <v>640</v>
      </c>
      <c r="AM1077" s="20" t="s">
        <v>248</v>
      </c>
      <c r="AN1077" s="20" t="s">
        <v>582</v>
      </c>
      <c r="AO1077" s="20" t="s">
        <v>3334</v>
      </c>
      <c r="AP1077" s="20" t="s">
        <v>628</v>
      </c>
      <c r="AQ1077" s="20">
        <v>10</v>
      </c>
      <c r="AR1077" s="20">
        <v>10</v>
      </c>
      <c r="AS1077" s="20" t="s">
        <v>592</v>
      </c>
    </row>
    <row r="1078" spans="38:45" ht="15.75" customHeight="1" x14ac:dyDescent="0.2">
      <c r="AL1078" s="20" t="s">
        <v>640</v>
      </c>
      <c r="AM1078" s="20" t="s">
        <v>248</v>
      </c>
      <c r="AN1078" s="20" t="s">
        <v>2551</v>
      </c>
      <c r="AO1078" s="20" t="s">
        <v>2691</v>
      </c>
      <c r="AP1078" s="20" t="s">
        <v>628</v>
      </c>
      <c r="AQ1078" s="20">
        <v>10</v>
      </c>
      <c r="AR1078" s="20">
        <v>14</v>
      </c>
      <c r="AS1078" s="20" t="s">
        <v>592</v>
      </c>
    </row>
    <row r="1079" spans="38:45" ht="15.75" customHeight="1" x14ac:dyDescent="0.2">
      <c r="AL1079" s="20" t="s">
        <v>640</v>
      </c>
      <c r="AM1079" s="20" t="s">
        <v>248</v>
      </c>
      <c r="AN1079" s="20" t="s">
        <v>961</v>
      </c>
      <c r="AO1079" s="20" t="s">
        <v>2586</v>
      </c>
      <c r="AP1079" s="20" t="s">
        <v>628</v>
      </c>
      <c r="AQ1079" s="20">
        <v>10</v>
      </c>
      <c r="AR1079" s="20">
        <v>10</v>
      </c>
      <c r="AS1079" s="20" t="s">
        <v>592</v>
      </c>
    </row>
    <row r="1080" spans="38:45" ht="15.75" customHeight="1" x14ac:dyDescent="0.2">
      <c r="AL1080" s="20" t="s">
        <v>640</v>
      </c>
      <c r="AM1080" s="20" t="s">
        <v>248</v>
      </c>
      <c r="AN1080" s="20" t="s">
        <v>866</v>
      </c>
      <c r="AO1080" s="20" t="s">
        <v>3335</v>
      </c>
      <c r="AP1080" s="20" t="s">
        <v>628</v>
      </c>
      <c r="AQ1080" s="20">
        <v>10</v>
      </c>
      <c r="AR1080" s="20">
        <v>10</v>
      </c>
      <c r="AS1080" s="20" t="s">
        <v>592</v>
      </c>
    </row>
    <row r="1081" spans="38:45" ht="15.75" customHeight="1" x14ac:dyDescent="0.2">
      <c r="AL1081" s="20" t="s">
        <v>640</v>
      </c>
      <c r="AM1081" s="20" t="s">
        <v>248</v>
      </c>
      <c r="AN1081" s="20" t="s">
        <v>2894</v>
      </c>
      <c r="AO1081" s="20" t="s">
        <v>3336</v>
      </c>
      <c r="AP1081" s="20" t="s">
        <v>628</v>
      </c>
      <c r="AQ1081" s="20">
        <v>10</v>
      </c>
      <c r="AR1081" s="20">
        <v>10</v>
      </c>
      <c r="AS1081" s="20" t="s">
        <v>592</v>
      </c>
    </row>
    <row r="1082" spans="38:45" ht="15.75" customHeight="1" x14ac:dyDescent="0.2">
      <c r="AL1082" s="20" t="s">
        <v>640</v>
      </c>
      <c r="AM1082" s="20" t="s">
        <v>248</v>
      </c>
      <c r="AN1082" s="20" t="s">
        <v>580</v>
      </c>
      <c r="AO1082" s="20" t="s">
        <v>1005</v>
      </c>
      <c r="AP1082" s="20" t="s">
        <v>628</v>
      </c>
      <c r="AQ1082" s="20">
        <v>10</v>
      </c>
      <c r="AR1082" s="20">
        <v>33</v>
      </c>
      <c r="AS1082" s="20" t="s">
        <v>592</v>
      </c>
    </row>
    <row r="1083" spans="38:45" ht="15.75" customHeight="1" x14ac:dyDescent="0.2">
      <c r="AL1083" s="20" t="s">
        <v>640</v>
      </c>
      <c r="AM1083" s="20" t="s">
        <v>248</v>
      </c>
      <c r="AN1083" s="20" t="s">
        <v>1450</v>
      </c>
      <c r="AO1083" s="20" t="s">
        <v>3337</v>
      </c>
      <c r="AP1083" s="20" t="s">
        <v>628</v>
      </c>
      <c r="AQ1083" s="20">
        <v>10</v>
      </c>
      <c r="AR1083" s="20">
        <v>9</v>
      </c>
      <c r="AS1083" s="20" t="s">
        <v>592</v>
      </c>
    </row>
    <row r="1084" spans="38:45" ht="15.75" customHeight="1" x14ac:dyDescent="0.2">
      <c r="AL1084" s="20" t="s">
        <v>640</v>
      </c>
      <c r="AM1084" s="20" t="s">
        <v>705</v>
      </c>
      <c r="AN1084" s="20" t="s">
        <v>808</v>
      </c>
      <c r="AO1084" s="20" t="s">
        <v>3338</v>
      </c>
      <c r="AP1084" s="20" t="s">
        <v>628</v>
      </c>
      <c r="AQ1084" s="20">
        <v>10</v>
      </c>
      <c r="AR1084" s="20">
        <v>42</v>
      </c>
      <c r="AS1084" s="20" t="s">
        <v>592</v>
      </c>
    </row>
    <row r="1085" spans="38:45" ht="15.75" customHeight="1" x14ac:dyDescent="0.2">
      <c r="AL1085" s="20" t="s">
        <v>640</v>
      </c>
      <c r="AM1085" s="20" t="s">
        <v>705</v>
      </c>
      <c r="AN1085" s="20" t="s">
        <v>1551</v>
      </c>
      <c r="AO1085" s="20" t="s">
        <v>1550</v>
      </c>
      <c r="AP1085" s="20" t="s">
        <v>628</v>
      </c>
      <c r="AQ1085" s="20">
        <v>10</v>
      </c>
      <c r="AR1085" s="20">
        <v>15</v>
      </c>
      <c r="AS1085" s="20" t="s">
        <v>592</v>
      </c>
    </row>
    <row r="1086" spans="38:45" ht="15.75" customHeight="1" x14ac:dyDescent="0.2">
      <c r="AL1086" s="20" t="s">
        <v>640</v>
      </c>
      <c r="AM1086" s="20" t="s">
        <v>705</v>
      </c>
      <c r="AN1086" s="20" t="s">
        <v>1551</v>
      </c>
      <c r="AO1086" s="20" t="s">
        <v>2693</v>
      </c>
      <c r="AP1086" s="20" t="s">
        <v>628</v>
      </c>
      <c r="AQ1086" s="20">
        <v>10</v>
      </c>
      <c r="AR1086" s="20">
        <v>13</v>
      </c>
      <c r="AS1086" s="20" t="s">
        <v>592</v>
      </c>
    </row>
    <row r="1087" spans="38:45" ht="15.75" customHeight="1" x14ac:dyDescent="0.2">
      <c r="AL1087" s="20" t="s">
        <v>640</v>
      </c>
      <c r="AM1087" s="20" t="s">
        <v>705</v>
      </c>
      <c r="AN1087" s="20" t="s">
        <v>1641</v>
      </c>
      <c r="AO1087" s="20" t="s">
        <v>3339</v>
      </c>
      <c r="AP1087" s="20" t="s">
        <v>628</v>
      </c>
      <c r="AQ1087" s="20">
        <v>10</v>
      </c>
      <c r="AR1087" s="20">
        <v>16</v>
      </c>
      <c r="AS1087" s="20" t="s">
        <v>592</v>
      </c>
    </row>
    <row r="1088" spans="38:45" ht="15.75" customHeight="1" x14ac:dyDescent="0.2">
      <c r="AL1088" s="20" t="s">
        <v>640</v>
      </c>
      <c r="AM1088" s="20" t="s">
        <v>705</v>
      </c>
      <c r="AN1088" s="20" t="s">
        <v>1475</v>
      </c>
      <c r="AO1088" s="20" t="s">
        <v>2709</v>
      </c>
      <c r="AP1088" s="20" t="s">
        <v>628</v>
      </c>
      <c r="AQ1088" s="20">
        <v>10</v>
      </c>
      <c r="AR1088" s="20">
        <v>16</v>
      </c>
      <c r="AS1088" s="20" t="s">
        <v>592</v>
      </c>
    </row>
    <row r="1089" spans="38:45" ht="15.75" customHeight="1" x14ac:dyDescent="0.2">
      <c r="AL1089" s="20" t="s">
        <v>640</v>
      </c>
      <c r="AM1089" s="20" t="s">
        <v>705</v>
      </c>
      <c r="AN1089" s="20" t="s">
        <v>379</v>
      </c>
      <c r="AO1089" s="20" t="s">
        <v>3340</v>
      </c>
      <c r="AP1089" s="20" t="s">
        <v>628</v>
      </c>
      <c r="AQ1089" s="20">
        <v>10</v>
      </c>
      <c r="AR1089" s="20">
        <v>19</v>
      </c>
      <c r="AS1089" s="20" t="s">
        <v>592</v>
      </c>
    </row>
    <row r="1090" spans="38:45" ht="15.75" customHeight="1" x14ac:dyDescent="0.2">
      <c r="AL1090" s="20" t="s">
        <v>640</v>
      </c>
      <c r="AM1090" s="20" t="s">
        <v>705</v>
      </c>
      <c r="AN1090" s="20" t="s">
        <v>2562</v>
      </c>
      <c r="AO1090" s="20" t="s">
        <v>2763</v>
      </c>
      <c r="AP1090" s="20" t="s">
        <v>628</v>
      </c>
      <c r="AQ1090" s="20">
        <v>10</v>
      </c>
      <c r="AR1090" s="20">
        <v>13</v>
      </c>
      <c r="AS1090" s="20" t="s">
        <v>592</v>
      </c>
    </row>
    <row r="1091" spans="38:45" ht="15.75" customHeight="1" x14ac:dyDescent="0.2">
      <c r="AL1091" s="20" t="s">
        <v>640</v>
      </c>
      <c r="AM1091" s="20" t="s">
        <v>705</v>
      </c>
      <c r="AN1091" s="20" t="s">
        <v>379</v>
      </c>
      <c r="AO1091" s="20" t="s">
        <v>3341</v>
      </c>
      <c r="AP1091" s="20" t="s">
        <v>628</v>
      </c>
      <c r="AQ1091" s="20">
        <v>10</v>
      </c>
      <c r="AR1091" s="20">
        <v>6</v>
      </c>
      <c r="AS1091" s="20" t="s">
        <v>592</v>
      </c>
    </row>
    <row r="1092" spans="38:45" ht="15.75" customHeight="1" x14ac:dyDescent="0.2">
      <c r="AL1092" s="20" t="s">
        <v>640</v>
      </c>
      <c r="AM1092" s="20" t="s">
        <v>705</v>
      </c>
      <c r="AN1092" s="20" t="s">
        <v>2550</v>
      </c>
      <c r="AO1092" s="20" t="s">
        <v>2684</v>
      </c>
      <c r="AP1092" s="20" t="s">
        <v>628</v>
      </c>
      <c r="AQ1092" s="20">
        <v>10</v>
      </c>
      <c r="AR1092" s="20">
        <v>8</v>
      </c>
      <c r="AS1092" s="20" t="s">
        <v>592</v>
      </c>
    </row>
    <row r="1093" spans="38:45" ht="15.75" customHeight="1" x14ac:dyDescent="0.2">
      <c r="AL1093" s="20" t="s">
        <v>640</v>
      </c>
      <c r="AM1093" s="20" t="s">
        <v>248</v>
      </c>
      <c r="AN1093" s="20" t="s">
        <v>1963</v>
      </c>
      <c r="AO1093" s="20" t="s">
        <v>3342</v>
      </c>
      <c r="AP1093" s="20" t="s">
        <v>628</v>
      </c>
      <c r="AQ1093" s="20">
        <v>10</v>
      </c>
      <c r="AR1093" s="20">
        <v>8</v>
      </c>
      <c r="AS1093" s="20" t="s">
        <v>592</v>
      </c>
    </row>
    <row r="1094" spans="38:45" ht="15.75" customHeight="1" x14ac:dyDescent="0.2">
      <c r="AL1094" s="20" t="s">
        <v>640</v>
      </c>
      <c r="AM1094" s="20" t="s">
        <v>191</v>
      </c>
      <c r="AN1094" s="20" t="s">
        <v>1697</v>
      </c>
      <c r="AO1094" s="20" t="s">
        <v>2271</v>
      </c>
      <c r="AP1094" s="20" t="s">
        <v>628</v>
      </c>
      <c r="AQ1094" s="20">
        <v>10</v>
      </c>
      <c r="AR1094" s="20">
        <v>8</v>
      </c>
      <c r="AS1094" s="20" t="s">
        <v>592</v>
      </c>
    </row>
    <row r="1095" spans="38:45" ht="15.75" customHeight="1" x14ac:dyDescent="0.2">
      <c r="AL1095" s="20" t="s">
        <v>640</v>
      </c>
      <c r="AM1095" s="20" t="s">
        <v>248</v>
      </c>
      <c r="AN1095" s="20" t="s">
        <v>1961</v>
      </c>
      <c r="AO1095" s="20" t="s">
        <v>1960</v>
      </c>
      <c r="AP1095" s="20" t="s">
        <v>628</v>
      </c>
      <c r="AQ1095" s="20">
        <v>10</v>
      </c>
      <c r="AR1095" s="20">
        <v>8</v>
      </c>
      <c r="AS1095" s="20" t="s">
        <v>592</v>
      </c>
    </row>
    <row r="1096" spans="38:45" ht="15.75" customHeight="1" x14ac:dyDescent="0.2">
      <c r="AL1096" s="20" t="s">
        <v>640</v>
      </c>
      <c r="AM1096" s="20" t="s">
        <v>248</v>
      </c>
      <c r="AN1096" s="20" t="s">
        <v>1961</v>
      </c>
      <c r="AO1096" s="20" t="s">
        <v>3343</v>
      </c>
      <c r="AP1096" s="20" t="s">
        <v>628</v>
      </c>
      <c r="AQ1096" s="20">
        <v>10</v>
      </c>
      <c r="AR1096" s="20">
        <v>16</v>
      </c>
      <c r="AS1096" s="20" t="s">
        <v>592</v>
      </c>
    </row>
    <row r="1097" spans="38:45" ht="15.75" customHeight="1" x14ac:dyDescent="0.2">
      <c r="AL1097" s="20" t="s">
        <v>640</v>
      </c>
      <c r="AM1097" s="20" t="s">
        <v>31</v>
      </c>
      <c r="AN1097" s="20" t="s">
        <v>432</v>
      </c>
      <c r="AO1097" s="20" t="s">
        <v>3344</v>
      </c>
      <c r="AP1097" s="20" t="s">
        <v>628</v>
      </c>
      <c r="AQ1097" s="20">
        <v>10</v>
      </c>
      <c r="AR1097" s="20">
        <v>19</v>
      </c>
      <c r="AS1097" s="20" t="s">
        <v>592</v>
      </c>
    </row>
    <row r="1098" spans="38:45" ht="15.75" customHeight="1" x14ac:dyDescent="0.2">
      <c r="AL1098" s="20" t="s">
        <v>640</v>
      </c>
      <c r="AM1098" s="20" t="s">
        <v>705</v>
      </c>
      <c r="AN1098" s="20" t="s">
        <v>2895</v>
      </c>
      <c r="AO1098" s="20" t="s">
        <v>3345</v>
      </c>
      <c r="AP1098" s="20" t="s">
        <v>628</v>
      </c>
      <c r="AQ1098" s="20">
        <v>10</v>
      </c>
      <c r="AR1098" s="20">
        <v>8</v>
      </c>
      <c r="AS1098" s="20" t="s">
        <v>592</v>
      </c>
    </row>
    <row r="1099" spans="38:45" ht="15.75" customHeight="1" x14ac:dyDescent="0.2">
      <c r="AL1099" s="20" t="s">
        <v>640</v>
      </c>
      <c r="AM1099" s="20" t="s">
        <v>705</v>
      </c>
      <c r="AN1099" s="20" t="s">
        <v>380</v>
      </c>
      <c r="AO1099" s="20" t="s">
        <v>3346</v>
      </c>
      <c r="AP1099" s="20" t="s">
        <v>835</v>
      </c>
      <c r="AQ1099" s="20">
        <v>5</v>
      </c>
      <c r="AR1099" s="20">
        <v>6</v>
      </c>
      <c r="AS1099" s="20" t="s">
        <v>592</v>
      </c>
    </row>
    <row r="1100" spans="38:45" ht="15.75" customHeight="1" x14ac:dyDescent="0.2">
      <c r="AL1100" s="20" t="s">
        <v>640</v>
      </c>
      <c r="AM1100" s="20" t="s">
        <v>705</v>
      </c>
      <c r="AN1100" s="20" t="s">
        <v>1965</v>
      </c>
      <c r="AO1100" s="20" t="s">
        <v>3347</v>
      </c>
      <c r="AP1100" s="20" t="s">
        <v>628</v>
      </c>
      <c r="AQ1100" s="20">
        <v>10</v>
      </c>
      <c r="AR1100" s="20">
        <v>47</v>
      </c>
      <c r="AS1100" s="20" t="s">
        <v>592</v>
      </c>
    </row>
    <row r="1101" spans="38:45" ht="15.75" customHeight="1" x14ac:dyDescent="0.2">
      <c r="AL1101" s="20" t="s">
        <v>640</v>
      </c>
      <c r="AM1101" s="20" t="s">
        <v>705</v>
      </c>
      <c r="AN1101" s="20" t="s">
        <v>1475</v>
      </c>
      <c r="AO1101" s="20" t="s">
        <v>3348</v>
      </c>
      <c r="AP1101" s="20" t="s">
        <v>628</v>
      </c>
      <c r="AQ1101" s="20">
        <v>10</v>
      </c>
      <c r="AR1101" s="20">
        <v>15</v>
      </c>
      <c r="AS1101" s="20" t="s">
        <v>592</v>
      </c>
    </row>
    <row r="1102" spans="38:45" ht="15.75" customHeight="1" x14ac:dyDescent="0.2">
      <c r="AL1102" s="20" t="s">
        <v>640</v>
      </c>
      <c r="AM1102" s="20" t="s">
        <v>705</v>
      </c>
      <c r="AN1102" s="20" t="s">
        <v>392</v>
      </c>
      <c r="AO1102" s="20" t="s">
        <v>3349</v>
      </c>
      <c r="AP1102" s="20" t="s">
        <v>835</v>
      </c>
      <c r="AQ1102" s="20">
        <v>5</v>
      </c>
      <c r="AR1102" s="20">
        <v>5</v>
      </c>
      <c r="AS1102" s="20" t="s">
        <v>592</v>
      </c>
    </row>
    <row r="1103" spans="38:45" ht="15.75" customHeight="1" x14ac:dyDescent="0.2">
      <c r="AL1103" s="20" t="s">
        <v>640</v>
      </c>
      <c r="AM1103" s="20" t="s">
        <v>705</v>
      </c>
      <c r="AN1103" s="20" t="s">
        <v>2896</v>
      </c>
      <c r="AO1103" s="20" t="s">
        <v>3350</v>
      </c>
      <c r="AP1103" s="20" t="s">
        <v>835</v>
      </c>
      <c r="AQ1103" s="20">
        <v>5</v>
      </c>
      <c r="AR1103" s="20">
        <v>6</v>
      </c>
      <c r="AS1103" s="20" t="s">
        <v>592</v>
      </c>
    </row>
    <row r="1104" spans="38:45" ht="15.75" customHeight="1" x14ac:dyDescent="0.2">
      <c r="AL1104" s="20" t="s">
        <v>640</v>
      </c>
      <c r="AM1104" s="20" t="s">
        <v>705</v>
      </c>
      <c r="AN1104" s="20" t="s">
        <v>1011</v>
      </c>
      <c r="AO1104" s="20" t="s">
        <v>1759</v>
      </c>
      <c r="AP1104" s="20" t="s">
        <v>835</v>
      </c>
      <c r="AQ1104" s="20">
        <v>5</v>
      </c>
      <c r="AR1104" s="20">
        <v>5</v>
      </c>
      <c r="AS1104" s="20" t="s">
        <v>592</v>
      </c>
    </row>
    <row r="1105" spans="38:45" ht="15.75" customHeight="1" x14ac:dyDescent="0.2">
      <c r="AL1105" s="20" t="s">
        <v>640</v>
      </c>
      <c r="AM1105" s="20" t="s">
        <v>191</v>
      </c>
      <c r="AN1105" s="20" t="s">
        <v>1628</v>
      </c>
      <c r="AO1105" s="20" t="s">
        <v>1627</v>
      </c>
      <c r="AP1105" s="20" t="s">
        <v>628</v>
      </c>
      <c r="AQ1105" s="20">
        <v>10</v>
      </c>
      <c r="AR1105" s="20">
        <v>1</v>
      </c>
      <c r="AS1105" s="20" t="s">
        <v>593</v>
      </c>
    </row>
    <row r="1106" spans="38:45" ht="15.75" customHeight="1" x14ac:dyDescent="0.2">
      <c r="AL1106" s="20" t="s">
        <v>640</v>
      </c>
      <c r="AM1106" s="20" t="s">
        <v>191</v>
      </c>
      <c r="AN1106" s="20" t="s">
        <v>1628</v>
      </c>
      <c r="AO1106" s="20" t="s">
        <v>1627</v>
      </c>
      <c r="AP1106" s="20" t="s">
        <v>835</v>
      </c>
      <c r="AQ1106" s="20">
        <v>5</v>
      </c>
      <c r="AR1106" s="20">
        <v>5</v>
      </c>
      <c r="AS1106" s="20" t="s">
        <v>592</v>
      </c>
    </row>
    <row r="1107" spans="38:45" ht="15.75" customHeight="1" x14ac:dyDescent="0.2">
      <c r="AL1107" s="20" t="s">
        <v>640</v>
      </c>
      <c r="AM1107" s="20" t="s">
        <v>248</v>
      </c>
      <c r="AN1107" s="20" t="s">
        <v>1961</v>
      </c>
      <c r="AO1107" s="20" t="s">
        <v>3351</v>
      </c>
      <c r="AP1107" s="20" t="s">
        <v>628</v>
      </c>
      <c r="AQ1107" s="20">
        <v>10</v>
      </c>
      <c r="AR1107" s="20">
        <v>8</v>
      </c>
      <c r="AS1107" s="20" t="s">
        <v>592</v>
      </c>
    </row>
    <row r="1108" spans="38:45" ht="15.75" customHeight="1" x14ac:dyDescent="0.2">
      <c r="AL1108" s="20" t="s">
        <v>640</v>
      </c>
      <c r="AM1108" s="20" t="s">
        <v>31</v>
      </c>
      <c r="AN1108" s="20" t="s">
        <v>850</v>
      </c>
      <c r="AO1108" s="20" t="s">
        <v>1016</v>
      </c>
      <c r="AP1108" s="20" t="s">
        <v>835</v>
      </c>
      <c r="AQ1108" s="20">
        <v>5</v>
      </c>
      <c r="AR1108" s="20">
        <v>5</v>
      </c>
      <c r="AS1108" s="20" t="s">
        <v>592</v>
      </c>
    </row>
    <row r="1109" spans="38:45" ht="15.75" customHeight="1" x14ac:dyDescent="0.2">
      <c r="AL1109" s="20" t="s">
        <v>640</v>
      </c>
      <c r="AM1109" s="20" t="s">
        <v>756</v>
      </c>
      <c r="AN1109" s="20" t="s">
        <v>1953</v>
      </c>
      <c r="AO1109" s="20" t="s">
        <v>1952</v>
      </c>
      <c r="AP1109" s="20" t="s">
        <v>835</v>
      </c>
      <c r="AQ1109" s="20">
        <v>5</v>
      </c>
      <c r="AR1109" s="20">
        <v>5</v>
      </c>
      <c r="AS1109" s="20" t="s">
        <v>592</v>
      </c>
    </row>
    <row r="1110" spans="38:45" ht="15.75" customHeight="1" x14ac:dyDescent="0.2">
      <c r="AL1110" s="20" t="s">
        <v>640</v>
      </c>
      <c r="AM1110" s="20" t="s">
        <v>756</v>
      </c>
      <c r="AN1110" s="20" t="s">
        <v>435</v>
      </c>
      <c r="AO1110" s="20" t="s">
        <v>3317</v>
      </c>
      <c r="AP1110" s="20" t="s">
        <v>835</v>
      </c>
      <c r="AQ1110" s="20">
        <v>5</v>
      </c>
      <c r="AR1110" s="20">
        <v>6</v>
      </c>
      <c r="AS1110" s="20" t="s">
        <v>592</v>
      </c>
    </row>
    <row r="1111" spans="38:45" ht="15.75" customHeight="1" x14ac:dyDescent="0.2">
      <c r="AL1111" s="20" t="s">
        <v>640</v>
      </c>
      <c r="AM1111" s="20" t="s">
        <v>756</v>
      </c>
      <c r="AN1111" s="20" t="s">
        <v>1531</v>
      </c>
      <c r="AO1111" s="20" t="s">
        <v>3352</v>
      </c>
      <c r="AP1111" s="20" t="s">
        <v>628</v>
      </c>
      <c r="AQ1111" s="20">
        <v>10</v>
      </c>
      <c r="AR1111" s="20">
        <v>8</v>
      </c>
      <c r="AS1111" s="20" t="s">
        <v>592</v>
      </c>
    </row>
    <row r="1112" spans="38:45" ht="15.75" customHeight="1" x14ac:dyDescent="0.2">
      <c r="AL1112" s="20" t="s">
        <v>640</v>
      </c>
      <c r="AM1112" s="20" t="s">
        <v>248</v>
      </c>
      <c r="AN1112" s="20" t="s">
        <v>580</v>
      </c>
      <c r="AO1112" s="20" t="s">
        <v>3353</v>
      </c>
      <c r="AP1112" s="20" t="s">
        <v>628</v>
      </c>
      <c r="AQ1112" s="20">
        <v>10</v>
      </c>
      <c r="AR1112" s="20">
        <v>10</v>
      </c>
      <c r="AS1112" s="20" t="s">
        <v>592</v>
      </c>
    </row>
    <row r="1113" spans="38:45" ht="15.75" customHeight="1" x14ac:dyDescent="0.2">
      <c r="AL1113" s="20" t="s">
        <v>640</v>
      </c>
      <c r="AM1113" s="20" t="s">
        <v>248</v>
      </c>
      <c r="AN1113" s="20" t="s">
        <v>866</v>
      </c>
      <c r="AO1113" s="20" t="s">
        <v>3335</v>
      </c>
      <c r="AP1113" s="20" t="s">
        <v>628</v>
      </c>
      <c r="AQ1113" s="20">
        <v>10</v>
      </c>
      <c r="AR1113" s="20">
        <v>11</v>
      </c>
      <c r="AS1113" s="20" t="s">
        <v>592</v>
      </c>
    </row>
    <row r="1114" spans="38:45" ht="15.75" customHeight="1" x14ac:dyDescent="0.2">
      <c r="AL1114" s="20" t="s">
        <v>640</v>
      </c>
      <c r="AM1114" s="20" t="s">
        <v>248</v>
      </c>
      <c r="AN1114" s="20" t="s">
        <v>809</v>
      </c>
      <c r="AO1114" s="20" t="s">
        <v>3332</v>
      </c>
      <c r="AP1114" s="20" t="s">
        <v>628</v>
      </c>
      <c r="AQ1114" s="20">
        <v>10</v>
      </c>
      <c r="AR1114" s="20">
        <v>9</v>
      </c>
      <c r="AS1114" s="20" t="s">
        <v>592</v>
      </c>
    </row>
    <row r="1115" spans="38:45" ht="15.75" customHeight="1" x14ac:dyDescent="0.2">
      <c r="AL1115" s="20" t="s">
        <v>640</v>
      </c>
      <c r="AM1115" s="20" t="s">
        <v>756</v>
      </c>
      <c r="AN1115" s="20" t="s">
        <v>433</v>
      </c>
      <c r="AO1115" s="20" t="s">
        <v>1414</v>
      </c>
      <c r="AP1115" s="20" t="s">
        <v>835</v>
      </c>
      <c r="AQ1115" s="20">
        <v>5</v>
      </c>
      <c r="AR1115" s="20">
        <v>6</v>
      </c>
      <c r="AS1115" s="20" t="s">
        <v>592</v>
      </c>
    </row>
    <row r="1116" spans="38:45" ht="15.75" customHeight="1" x14ac:dyDescent="0.2">
      <c r="AL1116" s="20" t="s">
        <v>640</v>
      </c>
      <c r="AM1116" s="20" t="s">
        <v>31</v>
      </c>
      <c r="AN1116" s="20" t="s">
        <v>571</v>
      </c>
      <c r="AO1116" s="20" t="s">
        <v>3324</v>
      </c>
      <c r="AP1116" s="20" t="s">
        <v>835</v>
      </c>
      <c r="AQ1116" s="20">
        <v>5</v>
      </c>
      <c r="AR1116" s="20">
        <v>20</v>
      </c>
      <c r="AS1116" s="20" t="s">
        <v>592</v>
      </c>
    </row>
    <row r="1117" spans="38:45" ht="15.75" customHeight="1" x14ac:dyDescent="0.2">
      <c r="AL1117" s="20" t="s">
        <v>640</v>
      </c>
      <c r="AM1117" s="20" t="s">
        <v>31</v>
      </c>
      <c r="AN1117" s="20" t="s">
        <v>393</v>
      </c>
      <c r="AO1117" s="20" t="s">
        <v>3354</v>
      </c>
      <c r="AP1117" s="20" t="s">
        <v>835</v>
      </c>
      <c r="AQ1117" s="20">
        <v>5</v>
      </c>
      <c r="AR1117" s="20">
        <v>5</v>
      </c>
      <c r="AS1117" s="20" t="s">
        <v>592</v>
      </c>
    </row>
    <row r="1118" spans="38:45" ht="15.75" customHeight="1" x14ac:dyDescent="0.2">
      <c r="AL1118" s="20" t="s">
        <v>640</v>
      </c>
      <c r="AM1118" s="20" t="s">
        <v>31</v>
      </c>
      <c r="AN1118" s="20" t="s">
        <v>810</v>
      </c>
      <c r="AO1118" s="20" t="s">
        <v>3327</v>
      </c>
      <c r="AP1118" s="20" t="s">
        <v>835</v>
      </c>
      <c r="AQ1118" s="20">
        <v>5</v>
      </c>
      <c r="AR1118" s="20">
        <v>10</v>
      </c>
      <c r="AS1118" s="20" t="s">
        <v>592</v>
      </c>
    </row>
    <row r="1119" spans="38:45" ht="15.75" customHeight="1" x14ac:dyDescent="0.2">
      <c r="AL1119" s="20" t="s">
        <v>640</v>
      </c>
      <c r="AM1119" s="20" t="s">
        <v>31</v>
      </c>
      <c r="AN1119" s="20" t="s">
        <v>432</v>
      </c>
      <c r="AO1119" s="20" t="s">
        <v>3344</v>
      </c>
      <c r="AP1119" s="20" t="s">
        <v>835</v>
      </c>
      <c r="AQ1119" s="20">
        <v>5</v>
      </c>
      <c r="AR1119" s="20">
        <v>9</v>
      </c>
      <c r="AS1119" s="20" t="s">
        <v>592</v>
      </c>
    </row>
    <row r="1120" spans="38:45" ht="15.75" customHeight="1" x14ac:dyDescent="0.2">
      <c r="AL1120" s="20" t="s">
        <v>640</v>
      </c>
      <c r="AM1120" s="20" t="s">
        <v>31</v>
      </c>
      <c r="AN1120" s="20" t="s">
        <v>394</v>
      </c>
      <c r="AO1120" s="20" t="s">
        <v>717</v>
      </c>
      <c r="AP1120" s="20" t="s">
        <v>835</v>
      </c>
      <c r="AQ1120" s="20">
        <v>5</v>
      </c>
      <c r="AR1120" s="20">
        <v>6</v>
      </c>
      <c r="AS1120" s="20" t="s">
        <v>592</v>
      </c>
    </row>
    <row r="1121" spans="38:45" ht="15.75" customHeight="1" x14ac:dyDescent="0.2">
      <c r="AL1121" s="20" t="s">
        <v>640</v>
      </c>
      <c r="AM1121" s="20" t="s">
        <v>248</v>
      </c>
      <c r="AN1121" s="20" t="s">
        <v>1961</v>
      </c>
      <c r="AO1121" s="20" t="s">
        <v>3351</v>
      </c>
      <c r="AP1121" s="20" t="s">
        <v>835</v>
      </c>
      <c r="AQ1121" s="20">
        <v>5</v>
      </c>
      <c r="AR1121" s="20">
        <v>6</v>
      </c>
      <c r="AS1121" s="20" t="s">
        <v>592</v>
      </c>
    </row>
    <row r="1122" spans="38:45" ht="15.75" customHeight="1" x14ac:dyDescent="0.2">
      <c r="AL1122" s="20" t="s">
        <v>640</v>
      </c>
      <c r="AM1122" s="20" t="s">
        <v>191</v>
      </c>
      <c r="AN1122" s="20" t="s">
        <v>570</v>
      </c>
      <c r="AO1122" s="20" t="s">
        <v>1754</v>
      </c>
      <c r="AP1122" s="20" t="s">
        <v>835</v>
      </c>
      <c r="AQ1122" s="20">
        <v>5</v>
      </c>
      <c r="AR1122" s="20">
        <v>6</v>
      </c>
      <c r="AS1122" s="20" t="s">
        <v>592</v>
      </c>
    </row>
    <row r="1123" spans="38:45" ht="15.75" customHeight="1" x14ac:dyDescent="0.2">
      <c r="AL1123" s="20" t="s">
        <v>640</v>
      </c>
      <c r="AM1123" s="20" t="s">
        <v>191</v>
      </c>
      <c r="AN1123" s="20" t="s">
        <v>572</v>
      </c>
      <c r="AO1123" s="20" t="s">
        <v>769</v>
      </c>
      <c r="AP1123" s="20" t="s">
        <v>835</v>
      </c>
      <c r="AQ1123" s="20">
        <v>5</v>
      </c>
      <c r="AR1123" s="20">
        <v>6</v>
      </c>
      <c r="AS1123" s="20" t="s">
        <v>592</v>
      </c>
    </row>
    <row r="1124" spans="38:45" ht="15.75" customHeight="1" x14ac:dyDescent="0.2">
      <c r="AL1124" s="20" t="s">
        <v>640</v>
      </c>
      <c r="AM1124" s="20" t="s">
        <v>191</v>
      </c>
      <c r="AN1124" s="20" t="s">
        <v>573</v>
      </c>
      <c r="AO1124" s="20" t="s">
        <v>3355</v>
      </c>
      <c r="AP1124" s="20" t="s">
        <v>835</v>
      </c>
      <c r="AQ1124" s="20">
        <v>5</v>
      </c>
      <c r="AR1124" s="20">
        <v>8</v>
      </c>
      <c r="AS1124" s="20" t="s">
        <v>592</v>
      </c>
    </row>
    <row r="1125" spans="38:45" ht="15.75" customHeight="1" x14ac:dyDescent="0.2">
      <c r="AL1125" s="20" t="s">
        <v>640</v>
      </c>
      <c r="AM1125" s="20" t="s">
        <v>191</v>
      </c>
      <c r="AN1125" s="20" t="s">
        <v>1528</v>
      </c>
      <c r="AO1125" s="20" t="s">
        <v>3356</v>
      </c>
      <c r="AP1125" s="20" t="s">
        <v>835</v>
      </c>
      <c r="AQ1125" s="20">
        <v>5</v>
      </c>
      <c r="AR1125" s="20">
        <v>17</v>
      </c>
      <c r="AS1125" s="20" t="s">
        <v>592</v>
      </c>
    </row>
    <row r="1126" spans="38:45" ht="15.75" customHeight="1" x14ac:dyDescent="0.2">
      <c r="AL1126" s="20" t="s">
        <v>640</v>
      </c>
      <c r="AM1126" s="20" t="s">
        <v>191</v>
      </c>
      <c r="AN1126" s="20" t="s">
        <v>378</v>
      </c>
      <c r="AO1126" s="20" t="s">
        <v>1843</v>
      </c>
      <c r="AP1126" s="20" t="s">
        <v>835</v>
      </c>
      <c r="AQ1126" s="20">
        <v>5</v>
      </c>
      <c r="AR1126" s="20">
        <v>7</v>
      </c>
      <c r="AS1126" s="20" t="s">
        <v>592</v>
      </c>
    </row>
    <row r="1127" spans="38:45" ht="15.75" customHeight="1" x14ac:dyDescent="0.2">
      <c r="AL1127" s="20" t="s">
        <v>640</v>
      </c>
      <c r="AM1127" s="20" t="s">
        <v>705</v>
      </c>
      <c r="AN1127" s="20" t="s">
        <v>808</v>
      </c>
      <c r="AO1127" s="20" t="s">
        <v>1310</v>
      </c>
      <c r="AP1127" s="20" t="s">
        <v>835</v>
      </c>
      <c r="AQ1127" s="20">
        <v>5</v>
      </c>
      <c r="AR1127" s="20">
        <v>7</v>
      </c>
      <c r="AS1127" s="20" t="s">
        <v>592</v>
      </c>
    </row>
    <row r="1128" spans="38:45" ht="15.75" customHeight="1" x14ac:dyDescent="0.2">
      <c r="AL1128" s="20" t="s">
        <v>640</v>
      </c>
      <c r="AM1128" s="20" t="s">
        <v>705</v>
      </c>
      <c r="AN1128" s="20" t="s">
        <v>1011</v>
      </c>
      <c r="AO1128" s="20" t="s">
        <v>1032</v>
      </c>
      <c r="AP1128" s="20" t="s">
        <v>835</v>
      </c>
      <c r="AQ1128" s="20">
        <v>5</v>
      </c>
      <c r="AR1128" s="20">
        <v>6</v>
      </c>
      <c r="AS1128" s="20" t="s">
        <v>592</v>
      </c>
    </row>
    <row r="1129" spans="38:45" ht="15.75" customHeight="1" x14ac:dyDescent="0.2">
      <c r="AL1129" s="20" t="s">
        <v>640</v>
      </c>
      <c r="AM1129" s="20" t="s">
        <v>705</v>
      </c>
      <c r="AN1129" s="20" t="s">
        <v>379</v>
      </c>
      <c r="AO1129" s="20" t="s">
        <v>1883</v>
      </c>
      <c r="AP1129" s="20" t="s">
        <v>628</v>
      </c>
      <c r="AQ1129" s="20">
        <v>10</v>
      </c>
      <c r="AR1129" s="20">
        <v>9</v>
      </c>
      <c r="AS1129" s="20" t="s">
        <v>592</v>
      </c>
    </row>
    <row r="1130" spans="38:45" ht="15.75" customHeight="1" x14ac:dyDescent="0.2">
      <c r="AL1130" s="20" t="s">
        <v>640</v>
      </c>
      <c r="AM1130" s="20" t="s">
        <v>31</v>
      </c>
      <c r="AN1130" s="20" t="s">
        <v>1758</v>
      </c>
      <c r="AO1130" s="20" t="s">
        <v>1757</v>
      </c>
      <c r="AP1130" s="20" t="s">
        <v>835</v>
      </c>
      <c r="AQ1130" s="20">
        <v>5</v>
      </c>
      <c r="AR1130" s="20">
        <v>5</v>
      </c>
      <c r="AS1130" s="20" t="s">
        <v>592</v>
      </c>
    </row>
    <row r="1131" spans="38:45" ht="15.75" customHeight="1" x14ac:dyDescent="0.2">
      <c r="AL1131" s="20" t="s">
        <v>640</v>
      </c>
      <c r="AM1131" s="20" t="s">
        <v>248</v>
      </c>
      <c r="AN1131" s="20" t="s">
        <v>2551</v>
      </c>
      <c r="AO1131" s="20" t="s">
        <v>3357</v>
      </c>
      <c r="AP1131" s="20" t="s">
        <v>628</v>
      </c>
      <c r="AQ1131" s="20">
        <v>10</v>
      </c>
      <c r="AR1131" s="20">
        <v>15</v>
      </c>
      <c r="AS1131" s="20" t="s">
        <v>592</v>
      </c>
    </row>
    <row r="1132" spans="38:45" ht="15.75" customHeight="1" x14ac:dyDescent="0.2">
      <c r="AL1132" s="20" t="s">
        <v>640</v>
      </c>
      <c r="AM1132" s="20" t="s">
        <v>191</v>
      </c>
      <c r="AN1132" s="20" t="s">
        <v>569</v>
      </c>
      <c r="AO1132" s="20" t="s">
        <v>3358</v>
      </c>
      <c r="AP1132" s="20" t="s">
        <v>835</v>
      </c>
      <c r="AQ1132" s="20">
        <v>5</v>
      </c>
      <c r="AR1132" s="20">
        <v>5</v>
      </c>
      <c r="AS1132" s="20" t="s">
        <v>592</v>
      </c>
    </row>
    <row r="1133" spans="38:45" ht="15.75" customHeight="1" x14ac:dyDescent="0.2">
      <c r="AL1133" s="20" t="s">
        <v>640</v>
      </c>
      <c r="AM1133" s="20" t="s">
        <v>756</v>
      </c>
      <c r="AN1133" s="20" t="s">
        <v>2549</v>
      </c>
      <c r="AO1133" s="20" t="s">
        <v>3314</v>
      </c>
      <c r="AP1133" s="20" t="s">
        <v>835</v>
      </c>
      <c r="AQ1133" s="20">
        <v>5</v>
      </c>
      <c r="AR1133" s="20">
        <v>5</v>
      </c>
      <c r="AS1133" s="20" t="s">
        <v>592</v>
      </c>
    </row>
    <row r="1134" spans="38:45" ht="15.75" customHeight="1" x14ac:dyDescent="0.2">
      <c r="AL1134" s="20" t="s">
        <v>2099</v>
      </c>
      <c r="AM1134" s="20" t="s">
        <v>2112</v>
      </c>
      <c r="AN1134" s="20" t="s">
        <v>2897</v>
      </c>
      <c r="AO1134" s="20" t="s">
        <v>3359</v>
      </c>
      <c r="AP1134" s="20" t="s">
        <v>2514</v>
      </c>
      <c r="AQ1134" s="20">
        <v>3</v>
      </c>
      <c r="AR1134" s="20">
        <v>7</v>
      </c>
      <c r="AS1134" s="20" t="s">
        <v>592</v>
      </c>
    </row>
    <row r="1135" spans="38:45" ht="15.75" customHeight="1" x14ac:dyDescent="0.2">
      <c r="AL1135" s="20" t="s">
        <v>2099</v>
      </c>
      <c r="AM1135" s="20" t="s">
        <v>2144</v>
      </c>
      <c r="AN1135" s="20" t="s">
        <v>2898</v>
      </c>
      <c r="AO1135" s="20" t="s">
        <v>3360</v>
      </c>
      <c r="AP1135" s="20" t="s">
        <v>2514</v>
      </c>
      <c r="AQ1135" s="20">
        <v>3</v>
      </c>
      <c r="AR1135" s="20">
        <v>10</v>
      </c>
      <c r="AS1135" s="20" t="s">
        <v>592</v>
      </c>
    </row>
    <row r="1136" spans="38:45" ht="15.75" customHeight="1" x14ac:dyDescent="0.2">
      <c r="AL1136" s="20" t="s">
        <v>2099</v>
      </c>
      <c r="AM1136" s="20" t="s">
        <v>2106</v>
      </c>
      <c r="AN1136" s="20" t="s">
        <v>2899</v>
      </c>
      <c r="AO1136" s="20" t="s">
        <v>3361</v>
      </c>
      <c r="AP1136" s="20" t="s">
        <v>2514</v>
      </c>
      <c r="AQ1136" s="20">
        <v>3</v>
      </c>
      <c r="AR1136" s="20">
        <v>3</v>
      </c>
      <c r="AS1136" s="20" t="s">
        <v>592</v>
      </c>
    </row>
    <row r="1137" spans="38:45" ht="15.75" customHeight="1" x14ac:dyDescent="0.2">
      <c r="AL1137" s="20" t="s">
        <v>2099</v>
      </c>
      <c r="AM1137" s="20" t="s">
        <v>350</v>
      </c>
      <c r="AN1137" s="20" t="s">
        <v>2900</v>
      </c>
      <c r="AO1137" s="20" t="s">
        <v>3362</v>
      </c>
      <c r="AP1137" s="20" t="s">
        <v>2514</v>
      </c>
      <c r="AQ1137" s="20">
        <v>3</v>
      </c>
      <c r="AR1137" s="20">
        <v>5</v>
      </c>
      <c r="AS1137" s="20" t="s">
        <v>592</v>
      </c>
    </row>
    <row r="1138" spans="38:45" ht="15.75" customHeight="1" x14ac:dyDescent="0.2">
      <c r="AL1138" s="20" t="s">
        <v>2099</v>
      </c>
      <c r="AM1138" s="20" t="s">
        <v>2144</v>
      </c>
      <c r="AN1138" s="20" t="s">
        <v>2898</v>
      </c>
      <c r="AO1138" s="20" t="s">
        <v>3363</v>
      </c>
      <c r="AP1138" s="20" t="s">
        <v>835</v>
      </c>
      <c r="AQ1138" s="20">
        <v>5</v>
      </c>
      <c r="AR1138" s="20">
        <v>7</v>
      </c>
      <c r="AS1138" s="20" t="s">
        <v>592</v>
      </c>
    </row>
    <row r="1139" spans="38:45" ht="15.75" customHeight="1" x14ac:dyDescent="0.2">
      <c r="AL1139" s="20" t="s">
        <v>2099</v>
      </c>
      <c r="AM1139" s="20" t="s">
        <v>2103</v>
      </c>
      <c r="AN1139" s="20" t="s">
        <v>2901</v>
      </c>
      <c r="AO1139" s="20" t="s">
        <v>3364</v>
      </c>
      <c r="AP1139" s="20" t="s">
        <v>2514</v>
      </c>
      <c r="AQ1139" s="20">
        <v>3</v>
      </c>
      <c r="AR1139" s="20">
        <v>9</v>
      </c>
      <c r="AS1139" s="20" t="s">
        <v>592</v>
      </c>
    </row>
    <row r="1140" spans="38:45" ht="15.75" customHeight="1" x14ac:dyDescent="0.2">
      <c r="AL1140" s="20" t="s">
        <v>2099</v>
      </c>
      <c r="AM1140" s="20" t="s">
        <v>2117</v>
      </c>
      <c r="AN1140" s="20" t="s">
        <v>2902</v>
      </c>
      <c r="AO1140" s="20" t="s">
        <v>3365</v>
      </c>
      <c r="AP1140" s="20" t="s">
        <v>2514</v>
      </c>
      <c r="AQ1140" s="20">
        <v>3</v>
      </c>
      <c r="AR1140" s="20">
        <v>2</v>
      </c>
      <c r="AS1140" s="20" t="s">
        <v>593</v>
      </c>
    </row>
    <row r="1141" spans="38:45" ht="15.75" customHeight="1" x14ac:dyDescent="0.2">
      <c r="AL1141" s="20" t="s">
        <v>2099</v>
      </c>
      <c r="AM1141" s="20" t="s">
        <v>2109</v>
      </c>
      <c r="AN1141" s="20" t="s">
        <v>2903</v>
      </c>
      <c r="AO1141" s="20" t="s">
        <v>3366</v>
      </c>
      <c r="AP1141" s="20" t="s">
        <v>2514</v>
      </c>
      <c r="AQ1141" s="20">
        <v>3</v>
      </c>
      <c r="AR1141" s="20">
        <v>4</v>
      </c>
      <c r="AS1141" s="20" t="s">
        <v>592</v>
      </c>
    </row>
    <row r="1142" spans="38:45" ht="15.75" customHeight="1" x14ac:dyDescent="0.2">
      <c r="AL1142" s="20" t="s">
        <v>2099</v>
      </c>
      <c r="AM1142" s="20" t="s">
        <v>350</v>
      </c>
      <c r="AN1142" s="20" t="s">
        <v>2900</v>
      </c>
      <c r="AO1142" s="20" t="s">
        <v>2726</v>
      </c>
      <c r="AP1142" s="20" t="s">
        <v>835</v>
      </c>
      <c r="AQ1142" s="20">
        <v>5</v>
      </c>
      <c r="AR1142" s="20">
        <v>34</v>
      </c>
      <c r="AS1142" s="20" t="s">
        <v>592</v>
      </c>
    </row>
    <row r="1143" spans="38:45" ht="15.75" customHeight="1" x14ac:dyDescent="0.2">
      <c r="AL1143" s="20" t="s">
        <v>2099</v>
      </c>
      <c r="AM1143" s="20" t="s">
        <v>350</v>
      </c>
      <c r="AN1143" s="20" t="s">
        <v>2900</v>
      </c>
      <c r="AO1143" s="20" t="s">
        <v>3367</v>
      </c>
      <c r="AP1143" s="20" t="s">
        <v>835</v>
      </c>
      <c r="AQ1143" s="20">
        <v>5</v>
      </c>
      <c r="AR1143" s="20">
        <v>5</v>
      </c>
      <c r="AS1143" s="20" t="s">
        <v>592</v>
      </c>
    </row>
    <row r="1144" spans="38:45" ht="15.75" customHeight="1" x14ac:dyDescent="0.2">
      <c r="AL1144" s="20" t="s">
        <v>2099</v>
      </c>
      <c r="AM1144" s="20" t="s">
        <v>350</v>
      </c>
      <c r="AN1144" s="20" t="s">
        <v>2900</v>
      </c>
      <c r="AO1144" s="20" t="s">
        <v>2623</v>
      </c>
      <c r="AP1144" s="20" t="s">
        <v>835</v>
      </c>
      <c r="AQ1144" s="20">
        <v>5</v>
      </c>
      <c r="AR1144" s="20">
        <v>52</v>
      </c>
      <c r="AS1144" s="20" t="s">
        <v>592</v>
      </c>
    </row>
    <row r="1145" spans="38:45" ht="15.75" customHeight="1" x14ac:dyDescent="0.2">
      <c r="AL1145" s="20" t="s">
        <v>2099</v>
      </c>
      <c r="AM1145" s="20" t="s">
        <v>350</v>
      </c>
      <c r="AN1145" s="20" t="s">
        <v>2900</v>
      </c>
      <c r="AO1145" s="20" t="s">
        <v>2567</v>
      </c>
      <c r="AP1145" s="20" t="s">
        <v>835</v>
      </c>
      <c r="AQ1145" s="20">
        <v>5</v>
      </c>
      <c r="AR1145" s="20">
        <v>17</v>
      </c>
      <c r="AS1145" s="20" t="s">
        <v>592</v>
      </c>
    </row>
    <row r="1146" spans="38:45" ht="15.75" customHeight="1" x14ac:dyDescent="0.2">
      <c r="AL1146" s="20" t="s">
        <v>2099</v>
      </c>
      <c r="AM1146" s="20" t="s">
        <v>350</v>
      </c>
      <c r="AN1146" s="20" t="s">
        <v>2900</v>
      </c>
      <c r="AO1146" s="20" t="s">
        <v>3368</v>
      </c>
      <c r="AP1146" s="20" t="s">
        <v>835</v>
      </c>
      <c r="AQ1146" s="20">
        <v>5</v>
      </c>
      <c r="AR1146" s="20">
        <v>10</v>
      </c>
      <c r="AS1146" s="20" t="s">
        <v>592</v>
      </c>
    </row>
    <row r="1147" spans="38:45" ht="15.75" customHeight="1" x14ac:dyDescent="0.2">
      <c r="AL1147" s="20" t="s">
        <v>2099</v>
      </c>
      <c r="AM1147" s="20" t="s">
        <v>2106</v>
      </c>
      <c r="AN1147" s="20" t="s">
        <v>2899</v>
      </c>
      <c r="AO1147" s="20" t="s">
        <v>3369</v>
      </c>
      <c r="AP1147" s="20" t="s">
        <v>835</v>
      </c>
      <c r="AQ1147" s="20">
        <v>5</v>
      </c>
      <c r="AR1147" s="20">
        <v>5</v>
      </c>
      <c r="AS1147" s="20" t="s">
        <v>592</v>
      </c>
    </row>
    <row r="1148" spans="38:45" ht="15.75" customHeight="1" x14ac:dyDescent="0.2">
      <c r="AL1148" s="20" t="s">
        <v>2099</v>
      </c>
      <c r="AM1148" s="20" t="s">
        <v>2106</v>
      </c>
      <c r="AN1148" s="20" t="s">
        <v>2899</v>
      </c>
      <c r="AO1148" s="20" t="s">
        <v>3370</v>
      </c>
      <c r="AP1148" s="20" t="s">
        <v>835</v>
      </c>
      <c r="AQ1148" s="20">
        <v>5</v>
      </c>
      <c r="AR1148" s="20">
        <v>5</v>
      </c>
      <c r="AS1148" s="20" t="s">
        <v>592</v>
      </c>
    </row>
    <row r="1149" spans="38:45" ht="15.75" customHeight="1" x14ac:dyDescent="0.2">
      <c r="AL1149" s="20" t="s">
        <v>2099</v>
      </c>
      <c r="AM1149" s="20" t="s">
        <v>2106</v>
      </c>
      <c r="AN1149" s="20" t="s">
        <v>2899</v>
      </c>
      <c r="AO1149" s="20" t="s">
        <v>3371</v>
      </c>
      <c r="AP1149" s="20" t="s">
        <v>835</v>
      </c>
      <c r="AQ1149" s="20">
        <v>5</v>
      </c>
      <c r="AR1149" s="20">
        <v>5</v>
      </c>
      <c r="AS1149" s="20" t="s">
        <v>592</v>
      </c>
    </row>
    <row r="1150" spans="38:45" ht="15.75" customHeight="1" x14ac:dyDescent="0.2">
      <c r="AL1150" s="20" t="s">
        <v>2099</v>
      </c>
      <c r="AM1150" s="20" t="s">
        <v>2106</v>
      </c>
      <c r="AN1150" s="20" t="s">
        <v>2899</v>
      </c>
      <c r="AO1150" s="20" t="s">
        <v>3372</v>
      </c>
      <c r="AP1150" s="20" t="s">
        <v>835</v>
      </c>
      <c r="AQ1150" s="20">
        <v>5</v>
      </c>
      <c r="AR1150" s="20">
        <v>5</v>
      </c>
      <c r="AS1150" s="20" t="s">
        <v>592</v>
      </c>
    </row>
    <row r="1151" spans="38:45" ht="15.75" customHeight="1" x14ac:dyDescent="0.2">
      <c r="AL1151" s="20" t="s">
        <v>2099</v>
      </c>
      <c r="AM1151" s="20" t="s">
        <v>2106</v>
      </c>
      <c r="AN1151" s="20" t="s">
        <v>2899</v>
      </c>
      <c r="AO1151" s="20" t="s">
        <v>3373</v>
      </c>
      <c r="AP1151" s="20" t="s">
        <v>835</v>
      </c>
      <c r="AQ1151" s="20">
        <v>5</v>
      </c>
      <c r="AR1151" s="20">
        <v>1</v>
      </c>
      <c r="AS1151" s="20" t="s">
        <v>592</v>
      </c>
    </row>
    <row r="1152" spans="38:45" ht="15.75" customHeight="1" x14ac:dyDescent="0.2">
      <c r="AL1152" s="20" t="s">
        <v>2099</v>
      </c>
      <c r="AM1152" s="20" t="s">
        <v>2106</v>
      </c>
      <c r="AN1152" s="20" t="s">
        <v>2899</v>
      </c>
      <c r="AO1152" s="20" t="s">
        <v>3374</v>
      </c>
      <c r="AP1152" s="20" t="s">
        <v>835</v>
      </c>
      <c r="AQ1152" s="20">
        <v>5</v>
      </c>
      <c r="AR1152" s="20">
        <v>4</v>
      </c>
      <c r="AS1152" s="20" t="s">
        <v>592</v>
      </c>
    </row>
    <row r="1153" spans="38:45" ht="15.75" customHeight="1" x14ac:dyDescent="0.2">
      <c r="AL1153" s="20" t="s">
        <v>2099</v>
      </c>
      <c r="AM1153" s="20" t="s">
        <v>2106</v>
      </c>
      <c r="AN1153" s="20" t="s">
        <v>2899</v>
      </c>
      <c r="AO1153" s="20" t="s">
        <v>2421</v>
      </c>
      <c r="AP1153" s="20" t="s">
        <v>835</v>
      </c>
      <c r="AQ1153" s="20">
        <v>5</v>
      </c>
      <c r="AR1153" s="20">
        <v>8</v>
      </c>
      <c r="AS1153" s="20" t="s">
        <v>592</v>
      </c>
    </row>
    <row r="1154" spans="38:45" ht="15.75" customHeight="1" x14ac:dyDescent="0.2">
      <c r="AL1154" s="20" t="s">
        <v>2099</v>
      </c>
      <c r="AM1154" s="20" t="s">
        <v>2106</v>
      </c>
      <c r="AN1154" s="20" t="s">
        <v>2899</v>
      </c>
      <c r="AO1154" s="20" t="s">
        <v>3375</v>
      </c>
      <c r="AP1154" s="20" t="s">
        <v>835</v>
      </c>
      <c r="AQ1154" s="20">
        <v>5</v>
      </c>
      <c r="AR1154" s="20">
        <v>5</v>
      </c>
      <c r="AS1154" s="20" t="s">
        <v>592</v>
      </c>
    </row>
    <row r="1155" spans="38:45" ht="15.75" customHeight="1" x14ac:dyDescent="0.2">
      <c r="AL1155" s="20" t="s">
        <v>2099</v>
      </c>
      <c r="AM1155" s="20" t="s">
        <v>2112</v>
      </c>
      <c r="AN1155" s="20" t="s">
        <v>2897</v>
      </c>
      <c r="AO1155" s="20" t="s">
        <v>3376</v>
      </c>
      <c r="AP1155" s="20" t="s">
        <v>835</v>
      </c>
      <c r="AQ1155" s="20">
        <v>5</v>
      </c>
      <c r="AR1155" s="20">
        <v>6</v>
      </c>
      <c r="AS1155" s="20" t="s">
        <v>592</v>
      </c>
    </row>
    <row r="1156" spans="38:45" ht="15.75" customHeight="1" x14ac:dyDescent="0.2">
      <c r="AL1156" s="20" t="s">
        <v>2099</v>
      </c>
      <c r="AM1156" s="20" t="s">
        <v>2112</v>
      </c>
      <c r="AN1156" s="20" t="s">
        <v>2897</v>
      </c>
      <c r="AO1156" s="20" t="s">
        <v>2756</v>
      </c>
      <c r="AP1156" s="20" t="s">
        <v>835</v>
      </c>
      <c r="AQ1156" s="20">
        <v>5</v>
      </c>
      <c r="AR1156" s="20">
        <v>5</v>
      </c>
      <c r="AS1156" s="20" t="s">
        <v>592</v>
      </c>
    </row>
    <row r="1157" spans="38:45" ht="15.75" customHeight="1" x14ac:dyDescent="0.2">
      <c r="AL1157" s="20" t="s">
        <v>2099</v>
      </c>
      <c r="AM1157" s="20" t="s">
        <v>2112</v>
      </c>
      <c r="AN1157" s="20" t="s">
        <v>2897</v>
      </c>
      <c r="AO1157" s="20" t="s">
        <v>2744</v>
      </c>
      <c r="AP1157" s="20" t="s">
        <v>835</v>
      </c>
      <c r="AQ1157" s="20">
        <v>5</v>
      </c>
      <c r="AR1157" s="20">
        <v>6</v>
      </c>
      <c r="AS1157" s="20" t="s">
        <v>592</v>
      </c>
    </row>
    <row r="1158" spans="38:45" ht="15.75" customHeight="1" x14ac:dyDescent="0.2">
      <c r="AL1158" s="20" t="s">
        <v>2099</v>
      </c>
      <c r="AM1158" s="20" t="s">
        <v>2112</v>
      </c>
      <c r="AN1158" s="20" t="s">
        <v>2897</v>
      </c>
      <c r="AO1158" s="20" t="s">
        <v>2113</v>
      </c>
      <c r="AP1158" s="20" t="s">
        <v>835</v>
      </c>
      <c r="AQ1158" s="20">
        <v>5</v>
      </c>
      <c r="AR1158" s="20">
        <v>6</v>
      </c>
      <c r="AS1158" s="20" t="s">
        <v>592</v>
      </c>
    </row>
    <row r="1159" spans="38:45" ht="15.75" customHeight="1" x14ac:dyDescent="0.2">
      <c r="AL1159" s="20" t="s">
        <v>2099</v>
      </c>
      <c r="AM1159" s="20" t="s">
        <v>2112</v>
      </c>
      <c r="AN1159" s="20" t="s">
        <v>2897</v>
      </c>
      <c r="AO1159" s="20" t="s">
        <v>3377</v>
      </c>
      <c r="AP1159" s="20" t="s">
        <v>835</v>
      </c>
      <c r="AQ1159" s="20">
        <v>5</v>
      </c>
      <c r="AR1159" s="20">
        <v>5</v>
      </c>
      <c r="AS1159" s="20" t="s">
        <v>592</v>
      </c>
    </row>
    <row r="1160" spans="38:45" ht="15.75" customHeight="1" x14ac:dyDescent="0.2">
      <c r="AL1160" s="20" t="s">
        <v>2099</v>
      </c>
      <c r="AM1160" s="20" t="s">
        <v>2109</v>
      </c>
      <c r="AN1160" s="20" t="s">
        <v>2903</v>
      </c>
      <c r="AO1160" s="20" t="s">
        <v>2110</v>
      </c>
      <c r="AP1160" s="20" t="s">
        <v>835</v>
      </c>
      <c r="AQ1160" s="20">
        <v>5</v>
      </c>
      <c r="AR1160" s="20">
        <v>5</v>
      </c>
      <c r="AS1160" s="20" t="s">
        <v>592</v>
      </c>
    </row>
    <row r="1161" spans="38:45" ht="15.75" customHeight="1" x14ac:dyDescent="0.2">
      <c r="AL1161" s="20" t="s">
        <v>2099</v>
      </c>
      <c r="AM1161" s="20" t="s">
        <v>2109</v>
      </c>
      <c r="AN1161" s="20" t="s">
        <v>2903</v>
      </c>
      <c r="AO1161" s="20" t="s">
        <v>2223</v>
      </c>
      <c r="AP1161" s="20" t="s">
        <v>835</v>
      </c>
      <c r="AQ1161" s="20">
        <v>5</v>
      </c>
      <c r="AR1161" s="20">
        <v>20</v>
      </c>
      <c r="AS1161" s="20" t="s">
        <v>592</v>
      </c>
    </row>
    <row r="1162" spans="38:45" ht="15.75" customHeight="1" x14ac:dyDescent="0.2">
      <c r="AL1162" s="20" t="s">
        <v>2099</v>
      </c>
      <c r="AM1162" s="20" t="s">
        <v>2109</v>
      </c>
      <c r="AN1162" s="20" t="s">
        <v>2903</v>
      </c>
      <c r="AO1162" s="20" t="s">
        <v>2576</v>
      </c>
      <c r="AP1162" s="20" t="s">
        <v>835</v>
      </c>
      <c r="AQ1162" s="20">
        <v>5</v>
      </c>
      <c r="AR1162" s="20">
        <v>7</v>
      </c>
      <c r="AS1162" s="20" t="s">
        <v>592</v>
      </c>
    </row>
    <row r="1163" spans="38:45" ht="15.75" customHeight="1" x14ac:dyDescent="0.2">
      <c r="AL1163" s="20" t="s">
        <v>2099</v>
      </c>
      <c r="AM1163" s="20" t="s">
        <v>2144</v>
      </c>
      <c r="AN1163" s="20" t="s">
        <v>2898</v>
      </c>
      <c r="AO1163" s="20" t="s">
        <v>2608</v>
      </c>
      <c r="AP1163" s="20" t="s">
        <v>835</v>
      </c>
      <c r="AQ1163" s="20">
        <v>5</v>
      </c>
      <c r="AR1163" s="20">
        <v>17</v>
      </c>
      <c r="AS1163" s="20" t="s">
        <v>592</v>
      </c>
    </row>
    <row r="1164" spans="38:45" ht="15.75" customHeight="1" x14ac:dyDescent="0.2">
      <c r="AL1164" s="20" t="s">
        <v>2099</v>
      </c>
      <c r="AM1164" s="20" t="s">
        <v>2144</v>
      </c>
      <c r="AN1164" s="20" t="s">
        <v>2898</v>
      </c>
      <c r="AO1164" s="20" t="s">
        <v>2668</v>
      </c>
      <c r="AP1164" s="20" t="s">
        <v>835</v>
      </c>
      <c r="AQ1164" s="20">
        <v>5</v>
      </c>
      <c r="AR1164" s="20">
        <v>5</v>
      </c>
      <c r="AS1164" s="20" t="s">
        <v>592</v>
      </c>
    </row>
    <row r="1165" spans="38:45" ht="15.75" customHeight="1" x14ac:dyDescent="0.2">
      <c r="AL1165" s="20" t="s">
        <v>2099</v>
      </c>
      <c r="AM1165" s="20" t="s">
        <v>2144</v>
      </c>
      <c r="AN1165" s="20" t="s">
        <v>2898</v>
      </c>
      <c r="AO1165" s="20" t="s">
        <v>2402</v>
      </c>
      <c r="AP1165" s="20" t="s">
        <v>835</v>
      </c>
      <c r="AQ1165" s="20">
        <v>5</v>
      </c>
      <c r="AR1165" s="20">
        <v>6</v>
      </c>
      <c r="AS1165" s="20" t="s">
        <v>592</v>
      </c>
    </row>
    <row r="1166" spans="38:45" ht="15.75" customHeight="1" x14ac:dyDescent="0.2">
      <c r="AL1166" s="20" t="s">
        <v>2099</v>
      </c>
      <c r="AM1166" s="20" t="s">
        <v>2144</v>
      </c>
      <c r="AN1166" s="20" t="s">
        <v>2898</v>
      </c>
      <c r="AO1166" s="20" t="s">
        <v>2564</v>
      </c>
      <c r="AP1166" s="20" t="s">
        <v>835</v>
      </c>
      <c r="AQ1166" s="20">
        <v>5</v>
      </c>
      <c r="AR1166" s="20">
        <v>5</v>
      </c>
      <c r="AS1166" s="20" t="s">
        <v>592</v>
      </c>
    </row>
    <row r="1167" spans="38:45" ht="15.75" customHeight="1" x14ac:dyDescent="0.2">
      <c r="AL1167" s="20" t="s">
        <v>2099</v>
      </c>
      <c r="AM1167" s="20" t="s">
        <v>2144</v>
      </c>
      <c r="AN1167" s="20" t="s">
        <v>2898</v>
      </c>
      <c r="AO1167" s="20" t="s">
        <v>2565</v>
      </c>
      <c r="AP1167" s="20" t="s">
        <v>835</v>
      </c>
      <c r="AQ1167" s="20">
        <v>5</v>
      </c>
      <c r="AR1167" s="20">
        <v>1</v>
      </c>
      <c r="AS1167" s="20" t="s">
        <v>592</v>
      </c>
    </row>
    <row r="1168" spans="38:45" ht="15.75" customHeight="1" x14ac:dyDescent="0.2">
      <c r="AL1168" s="20" t="s">
        <v>2099</v>
      </c>
      <c r="AM1168" s="20" t="s">
        <v>2144</v>
      </c>
      <c r="AN1168" s="20" t="s">
        <v>2898</v>
      </c>
      <c r="AO1168" s="20" t="s">
        <v>3378</v>
      </c>
      <c r="AP1168" s="20" t="s">
        <v>835</v>
      </c>
      <c r="AQ1168" s="20">
        <v>5</v>
      </c>
      <c r="AR1168" s="20">
        <v>7</v>
      </c>
      <c r="AS1168" s="20" t="s">
        <v>592</v>
      </c>
    </row>
    <row r="1169" spans="38:45" ht="15.75" customHeight="1" x14ac:dyDescent="0.2">
      <c r="AL1169" s="20" t="s">
        <v>2099</v>
      </c>
      <c r="AM1169" s="20" t="s">
        <v>2103</v>
      </c>
      <c r="AN1169" s="20" t="s">
        <v>2901</v>
      </c>
      <c r="AO1169" s="20" t="s">
        <v>2105</v>
      </c>
      <c r="AP1169" s="20" t="s">
        <v>835</v>
      </c>
      <c r="AQ1169" s="20">
        <v>5</v>
      </c>
      <c r="AR1169" s="20">
        <v>22</v>
      </c>
      <c r="AS1169" s="20" t="s">
        <v>592</v>
      </c>
    </row>
    <row r="1170" spans="38:45" ht="15.75" customHeight="1" x14ac:dyDescent="0.2">
      <c r="AL1170" s="20" t="s">
        <v>2099</v>
      </c>
      <c r="AM1170" s="20" t="s">
        <v>2103</v>
      </c>
      <c r="AN1170" s="20" t="s">
        <v>2901</v>
      </c>
      <c r="AO1170" s="20" t="s">
        <v>2318</v>
      </c>
      <c r="AP1170" s="20" t="s">
        <v>835</v>
      </c>
      <c r="AQ1170" s="20">
        <v>5</v>
      </c>
      <c r="AR1170" s="20">
        <v>14</v>
      </c>
      <c r="AS1170" s="20" t="s">
        <v>592</v>
      </c>
    </row>
    <row r="1171" spans="38:45" ht="15.75" customHeight="1" x14ac:dyDescent="0.2">
      <c r="AL1171" s="20" t="s">
        <v>2099</v>
      </c>
      <c r="AM1171" s="20" t="s">
        <v>2103</v>
      </c>
      <c r="AN1171" s="20" t="s">
        <v>2901</v>
      </c>
      <c r="AO1171" s="20" t="s">
        <v>2396</v>
      </c>
      <c r="AP1171" s="20" t="s">
        <v>835</v>
      </c>
      <c r="AQ1171" s="20">
        <v>5</v>
      </c>
      <c r="AR1171" s="20">
        <v>6</v>
      </c>
      <c r="AS1171" s="20" t="s">
        <v>592</v>
      </c>
    </row>
    <row r="1172" spans="38:45" ht="15.75" customHeight="1" x14ac:dyDescent="0.2">
      <c r="AL1172" s="20" t="s">
        <v>2099</v>
      </c>
      <c r="AM1172" s="20" t="s">
        <v>2103</v>
      </c>
      <c r="AN1172" s="20" t="s">
        <v>2901</v>
      </c>
      <c r="AO1172" s="20" t="s">
        <v>2706</v>
      </c>
      <c r="AP1172" s="20" t="s">
        <v>835</v>
      </c>
      <c r="AQ1172" s="20">
        <v>5</v>
      </c>
      <c r="AR1172" s="20">
        <v>11</v>
      </c>
      <c r="AS1172" s="20" t="s">
        <v>592</v>
      </c>
    </row>
    <row r="1173" spans="38:45" ht="15.75" customHeight="1" x14ac:dyDescent="0.2">
      <c r="AL1173" s="20" t="s">
        <v>2099</v>
      </c>
      <c r="AM1173" s="20" t="s">
        <v>2103</v>
      </c>
      <c r="AN1173" s="20" t="s">
        <v>2901</v>
      </c>
      <c r="AO1173" s="20" t="s">
        <v>2592</v>
      </c>
      <c r="AP1173" s="20" t="s">
        <v>835</v>
      </c>
      <c r="AQ1173" s="20">
        <v>5</v>
      </c>
      <c r="AR1173" s="20">
        <v>7</v>
      </c>
      <c r="AS1173" s="20" t="s">
        <v>592</v>
      </c>
    </row>
    <row r="1174" spans="38:45" ht="15.75" customHeight="1" x14ac:dyDescent="0.2">
      <c r="AL1174" s="20" t="s">
        <v>2099</v>
      </c>
      <c r="AM1174" s="20" t="s">
        <v>2103</v>
      </c>
      <c r="AN1174" s="20" t="s">
        <v>2901</v>
      </c>
      <c r="AO1174" s="20" t="s">
        <v>2218</v>
      </c>
      <c r="AP1174" s="20" t="s">
        <v>835</v>
      </c>
      <c r="AQ1174" s="20">
        <v>5</v>
      </c>
      <c r="AR1174" s="20">
        <v>15</v>
      </c>
      <c r="AS1174" s="20" t="s">
        <v>592</v>
      </c>
    </row>
    <row r="1175" spans="38:45" ht="15.75" customHeight="1" x14ac:dyDescent="0.2">
      <c r="AL1175" s="20" t="s">
        <v>2099</v>
      </c>
      <c r="AM1175" s="20" t="s">
        <v>2103</v>
      </c>
      <c r="AN1175" s="20" t="s">
        <v>2901</v>
      </c>
      <c r="AO1175" s="20" t="s">
        <v>3379</v>
      </c>
      <c r="AP1175" s="20" t="s">
        <v>835</v>
      </c>
      <c r="AQ1175" s="20">
        <v>5</v>
      </c>
      <c r="AR1175" s="20">
        <v>6</v>
      </c>
      <c r="AS1175" s="20" t="s">
        <v>592</v>
      </c>
    </row>
    <row r="1176" spans="38:45" ht="15.75" customHeight="1" x14ac:dyDescent="0.2">
      <c r="AL1176" s="20" t="s">
        <v>2099</v>
      </c>
      <c r="AM1176" s="20" t="s">
        <v>2103</v>
      </c>
      <c r="AN1176" s="20" t="s">
        <v>2901</v>
      </c>
      <c r="AO1176" s="20" t="s">
        <v>3380</v>
      </c>
      <c r="AP1176" s="20" t="s">
        <v>835</v>
      </c>
      <c r="AQ1176" s="20">
        <v>5</v>
      </c>
      <c r="AR1176" s="20">
        <v>5</v>
      </c>
      <c r="AS1176" s="20" t="s">
        <v>592</v>
      </c>
    </row>
    <row r="1177" spans="38:45" ht="15.75" customHeight="1" x14ac:dyDescent="0.2">
      <c r="AL1177" s="20" t="s">
        <v>2099</v>
      </c>
      <c r="AM1177" s="20" t="s">
        <v>2117</v>
      </c>
      <c r="AN1177" s="20" t="s">
        <v>2902</v>
      </c>
      <c r="AO1177" s="20" t="s">
        <v>2332</v>
      </c>
      <c r="AP1177" s="20" t="s">
        <v>835</v>
      </c>
      <c r="AQ1177" s="20">
        <v>5</v>
      </c>
      <c r="AR1177" s="20">
        <v>5</v>
      </c>
      <c r="AS1177" s="20" t="s">
        <v>592</v>
      </c>
    </row>
    <row r="1178" spans="38:45" ht="15.75" customHeight="1" x14ac:dyDescent="0.2">
      <c r="AL1178" s="20" t="s">
        <v>2099</v>
      </c>
      <c r="AM1178" s="20" t="s">
        <v>2117</v>
      </c>
      <c r="AN1178" s="20" t="s">
        <v>2902</v>
      </c>
      <c r="AO1178" s="20" t="s">
        <v>3381</v>
      </c>
      <c r="AP1178" s="20" t="s">
        <v>835</v>
      </c>
      <c r="AQ1178" s="20">
        <v>5</v>
      </c>
      <c r="AR1178" s="20">
        <v>4</v>
      </c>
      <c r="AS1178" s="20" t="s">
        <v>592</v>
      </c>
    </row>
    <row r="1179" spans="38:45" ht="15.75" customHeight="1" x14ac:dyDescent="0.2">
      <c r="AL1179" s="20" t="s">
        <v>2099</v>
      </c>
      <c r="AM1179" s="20" t="s">
        <v>2117</v>
      </c>
      <c r="AN1179" s="20" t="s">
        <v>2902</v>
      </c>
      <c r="AO1179" s="20" t="s">
        <v>3382</v>
      </c>
      <c r="AP1179" s="20" t="s">
        <v>835</v>
      </c>
      <c r="AQ1179" s="20">
        <v>5</v>
      </c>
      <c r="AR1179" s="20">
        <v>1</v>
      </c>
      <c r="AS1179" s="20" t="s">
        <v>592</v>
      </c>
    </row>
    <row r="1180" spans="38:45" ht="15.75" customHeight="1" x14ac:dyDescent="0.2">
      <c r="AL1180" s="20" t="s">
        <v>2099</v>
      </c>
      <c r="AM1180" s="20" t="s">
        <v>2117</v>
      </c>
      <c r="AN1180" s="20" t="s">
        <v>2902</v>
      </c>
      <c r="AO1180" s="20" t="s">
        <v>3383</v>
      </c>
      <c r="AP1180" s="20" t="s">
        <v>835</v>
      </c>
      <c r="AQ1180" s="20">
        <v>5</v>
      </c>
      <c r="AR1180" s="20">
        <v>4</v>
      </c>
      <c r="AS1180" s="20" t="s">
        <v>592</v>
      </c>
    </row>
    <row r="1181" spans="38:45" ht="15.75" customHeight="1" x14ac:dyDescent="0.2">
      <c r="AL1181" s="20" t="s">
        <v>2099</v>
      </c>
      <c r="AM1181" s="20" t="s">
        <v>2117</v>
      </c>
      <c r="AN1181" s="20" t="s">
        <v>2902</v>
      </c>
      <c r="AO1181" s="20" t="s">
        <v>3384</v>
      </c>
      <c r="AP1181" s="20" t="s">
        <v>835</v>
      </c>
      <c r="AQ1181" s="20">
        <v>5</v>
      </c>
      <c r="AR1181" s="20">
        <v>1</v>
      </c>
      <c r="AS1181" s="20" t="s">
        <v>592</v>
      </c>
    </row>
    <row r="1182" spans="38:45" ht="15.75" customHeight="1" x14ac:dyDescent="0.2">
      <c r="AL1182" s="20" t="s">
        <v>2099</v>
      </c>
      <c r="AM1182" s="20" t="s">
        <v>2117</v>
      </c>
      <c r="AN1182" s="20" t="s">
        <v>2902</v>
      </c>
      <c r="AO1182" s="20" t="s">
        <v>2430</v>
      </c>
      <c r="AP1182" s="20" t="s">
        <v>835</v>
      </c>
      <c r="AQ1182" s="20">
        <v>5</v>
      </c>
      <c r="AR1182" s="20">
        <v>5</v>
      </c>
      <c r="AS1182" s="20" t="s">
        <v>592</v>
      </c>
    </row>
    <row r="1183" spans="38:45" ht="15.75" customHeight="1" x14ac:dyDescent="0.2">
      <c r="AL1183" s="20" t="s">
        <v>2099</v>
      </c>
      <c r="AM1183" s="20" t="s">
        <v>2117</v>
      </c>
      <c r="AN1183" s="20" t="s">
        <v>2902</v>
      </c>
      <c r="AO1183" s="20" t="s">
        <v>2243</v>
      </c>
      <c r="AP1183" s="20" t="s">
        <v>835</v>
      </c>
      <c r="AQ1183" s="20">
        <v>5</v>
      </c>
      <c r="AR1183" s="20">
        <v>4</v>
      </c>
      <c r="AS1183" s="20" t="s">
        <v>592</v>
      </c>
    </row>
    <row r="1184" spans="38:45" ht="15.75" customHeight="1" x14ac:dyDescent="0.2">
      <c r="AL1184" s="20" t="s">
        <v>2099</v>
      </c>
      <c r="AM1184" s="20" t="s">
        <v>2117</v>
      </c>
      <c r="AN1184" s="20" t="s">
        <v>2902</v>
      </c>
      <c r="AO1184" s="20" t="s">
        <v>2743</v>
      </c>
      <c r="AP1184" s="20" t="s">
        <v>835</v>
      </c>
      <c r="AQ1184" s="20">
        <v>5</v>
      </c>
      <c r="AR1184" s="20">
        <v>1</v>
      </c>
      <c r="AS1184" s="20" t="s">
        <v>592</v>
      </c>
    </row>
    <row r="1185" spans="38:45" ht="15.75" customHeight="1" x14ac:dyDescent="0.2">
      <c r="AL1185" s="20" t="s">
        <v>2099</v>
      </c>
      <c r="AM1185" s="20" t="s">
        <v>2117</v>
      </c>
      <c r="AN1185" s="20" t="s">
        <v>2902</v>
      </c>
      <c r="AO1185" s="20" t="s">
        <v>3385</v>
      </c>
      <c r="AP1185" s="20" t="s">
        <v>835</v>
      </c>
      <c r="AQ1185" s="20">
        <v>5</v>
      </c>
      <c r="AR1185" s="20">
        <v>2</v>
      </c>
      <c r="AS1185" s="20" t="s">
        <v>592</v>
      </c>
    </row>
    <row r="1186" spans="38:45" ht="15.75" customHeight="1" x14ac:dyDescent="0.2">
      <c r="AL1186" s="20" t="s">
        <v>2099</v>
      </c>
      <c r="AM1186" s="20" t="s">
        <v>2117</v>
      </c>
      <c r="AN1186" s="20" t="s">
        <v>2902</v>
      </c>
      <c r="AO1186" s="20" t="s">
        <v>3386</v>
      </c>
      <c r="AP1186" s="20" t="s">
        <v>835</v>
      </c>
      <c r="AQ1186" s="20">
        <v>5</v>
      </c>
      <c r="AR1186" s="20">
        <v>3</v>
      </c>
      <c r="AS1186" s="20" t="s">
        <v>592</v>
      </c>
    </row>
    <row r="1187" spans="38:45" ht="15.75" customHeight="1" x14ac:dyDescent="0.2">
      <c r="AL1187" s="20" t="s">
        <v>2099</v>
      </c>
      <c r="AM1187" s="20" t="s">
        <v>2117</v>
      </c>
      <c r="AN1187" s="20" t="s">
        <v>2902</v>
      </c>
      <c r="AO1187" s="20" t="s">
        <v>2574</v>
      </c>
      <c r="AP1187" s="20" t="s">
        <v>835</v>
      </c>
      <c r="AQ1187" s="20">
        <v>5</v>
      </c>
      <c r="AR1187" s="20">
        <v>4</v>
      </c>
      <c r="AS1187" s="20" t="s">
        <v>592</v>
      </c>
    </row>
    <row r="1188" spans="38:45" ht="15.75" customHeight="1" x14ac:dyDescent="0.2">
      <c r="AL1188" s="20" t="s">
        <v>2099</v>
      </c>
      <c r="AM1188" s="20" t="s">
        <v>2117</v>
      </c>
      <c r="AN1188" s="20" t="s">
        <v>2902</v>
      </c>
      <c r="AO1188" s="20" t="s">
        <v>2575</v>
      </c>
      <c r="AP1188" s="20" t="s">
        <v>835</v>
      </c>
      <c r="AQ1188" s="20">
        <v>5</v>
      </c>
      <c r="AR1188" s="20">
        <v>1</v>
      </c>
      <c r="AS1188" s="20" t="s">
        <v>592</v>
      </c>
    </row>
    <row r="1189" spans="38:45" ht="15.75" customHeight="1" x14ac:dyDescent="0.2">
      <c r="AL1189" s="20" t="s">
        <v>2099</v>
      </c>
      <c r="AM1189" s="20" t="s">
        <v>2106</v>
      </c>
      <c r="AN1189" s="20" t="s">
        <v>2899</v>
      </c>
      <c r="AO1189" s="20" t="s">
        <v>3387</v>
      </c>
      <c r="AP1189" s="20" t="s">
        <v>835</v>
      </c>
      <c r="AQ1189" s="20">
        <v>5</v>
      </c>
      <c r="AR1189" s="20">
        <v>5</v>
      </c>
      <c r="AS1189" s="20" t="s">
        <v>592</v>
      </c>
    </row>
    <row r="1190" spans="38:45" ht="15.75" customHeight="1" x14ac:dyDescent="0.2">
      <c r="AL1190" s="20" t="s">
        <v>2099</v>
      </c>
      <c r="AM1190" s="20" t="s">
        <v>2106</v>
      </c>
      <c r="AN1190" s="20" t="s">
        <v>2899</v>
      </c>
      <c r="AO1190" s="20" t="s">
        <v>3388</v>
      </c>
      <c r="AP1190" s="20" t="s">
        <v>835</v>
      </c>
      <c r="AQ1190" s="20">
        <v>5</v>
      </c>
      <c r="AR1190" s="20">
        <v>1</v>
      </c>
      <c r="AS1190" s="20" t="s">
        <v>592</v>
      </c>
    </row>
    <row r="1191" spans="38:45" ht="15.75" customHeight="1" x14ac:dyDescent="0.2">
      <c r="AL1191" s="20" t="s">
        <v>2099</v>
      </c>
      <c r="AM1191" s="20" t="s">
        <v>2106</v>
      </c>
      <c r="AN1191" s="20" t="s">
        <v>2899</v>
      </c>
      <c r="AO1191" s="20" t="s">
        <v>3389</v>
      </c>
      <c r="AP1191" s="20" t="s">
        <v>835</v>
      </c>
      <c r="AQ1191" s="20">
        <v>5</v>
      </c>
      <c r="AR1191" s="20">
        <v>6</v>
      </c>
      <c r="AS1191" s="20" t="s">
        <v>592</v>
      </c>
    </row>
    <row r="1192" spans="38:45" ht="15.75" customHeight="1" x14ac:dyDescent="0.2">
      <c r="AL1192" s="20" t="s">
        <v>2099</v>
      </c>
      <c r="AM1192" s="20" t="s">
        <v>2144</v>
      </c>
      <c r="AN1192" s="20" t="s">
        <v>2898</v>
      </c>
      <c r="AO1192" s="20" t="s">
        <v>3390</v>
      </c>
      <c r="AP1192" s="20" t="s">
        <v>835</v>
      </c>
      <c r="AQ1192" s="20">
        <v>5</v>
      </c>
      <c r="AR1192" s="20">
        <v>5</v>
      </c>
      <c r="AS1192" s="20" t="s">
        <v>592</v>
      </c>
    </row>
    <row r="1193" spans="38:45" ht="15.75" customHeight="1" x14ac:dyDescent="0.2">
      <c r="AL1193" s="20" t="s">
        <v>2099</v>
      </c>
      <c r="AM1193" s="20" t="s">
        <v>2109</v>
      </c>
      <c r="AN1193" s="20" t="s">
        <v>2903</v>
      </c>
      <c r="AO1193" s="20" t="s">
        <v>3391</v>
      </c>
      <c r="AP1193" s="20" t="s">
        <v>835</v>
      </c>
      <c r="AQ1193" s="20">
        <v>5</v>
      </c>
      <c r="AR1193" s="20">
        <v>5</v>
      </c>
      <c r="AS1193" s="20" t="s">
        <v>592</v>
      </c>
    </row>
    <row r="1194" spans="38:45" ht="15.75" customHeight="1" x14ac:dyDescent="0.2">
      <c r="AL1194" s="20" t="s">
        <v>2099</v>
      </c>
      <c r="AM1194" s="20" t="s">
        <v>2144</v>
      </c>
      <c r="AN1194" s="20" t="s">
        <v>2898</v>
      </c>
      <c r="AO1194" s="20" t="s">
        <v>3392</v>
      </c>
      <c r="AP1194" s="20" t="s">
        <v>835</v>
      </c>
      <c r="AQ1194" s="20">
        <v>5</v>
      </c>
      <c r="AR1194" s="20">
        <v>5</v>
      </c>
      <c r="AS1194" s="20" t="s">
        <v>592</v>
      </c>
    </row>
    <row r="1195" spans="38:45" ht="15.75" customHeight="1" x14ac:dyDescent="0.2">
      <c r="AL1195" s="20" t="s">
        <v>2099</v>
      </c>
      <c r="AM1195" s="20" t="s">
        <v>2144</v>
      </c>
      <c r="AN1195" s="20" t="s">
        <v>2898</v>
      </c>
      <c r="AO1195" s="20" t="s">
        <v>3393</v>
      </c>
      <c r="AP1195" s="20" t="s">
        <v>835</v>
      </c>
      <c r="AQ1195" s="20">
        <v>5</v>
      </c>
      <c r="AR1195" s="20">
        <v>1</v>
      </c>
      <c r="AS1195" s="20" t="s">
        <v>592</v>
      </c>
    </row>
    <row r="1196" spans="38:45" ht="15.75" customHeight="1" x14ac:dyDescent="0.2">
      <c r="AL1196" s="20" t="s">
        <v>2099</v>
      </c>
      <c r="AM1196" s="20" t="s">
        <v>2144</v>
      </c>
      <c r="AN1196" s="20" t="s">
        <v>2898</v>
      </c>
      <c r="AO1196" s="20" t="s">
        <v>3394</v>
      </c>
      <c r="AP1196" s="20" t="s">
        <v>835</v>
      </c>
      <c r="AQ1196" s="20">
        <v>5</v>
      </c>
      <c r="AR1196" s="20">
        <v>5</v>
      </c>
      <c r="AS1196" s="20" t="s">
        <v>592</v>
      </c>
    </row>
    <row r="1197" spans="38:45" ht="15.75" customHeight="1" x14ac:dyDescent="0.2">
      <c r="AL1197" s="20" t="s">
        <v>2099</v>
      </c>
      <c r="AM1197" s="20" t="s">
        <v>2112</v>
      </c>
      <c r="AN1197" s="20" t="s">
        <v>2897</v>
      </c>
      <c r="AO1197" s="20" t="s">
        <v>3359</v>
      </c>
      <c r="AP1197" s="20" t="s">
        <v>2514</v>
      </c>
      <c r="AQ1197" s="20">
        <v>3</v>
      </c>
      <c r="AR1197" s="20">
        <v>6</v>
      </c>
      <c r="AS1197" s="20" t="s">
        <v>592</v>
      </c>
    </row>
    <row r="1198" spans="38:45" ht="15.75" customHeight="1" x14ac:dyDescent="0.2">
      <c r="AL1198" s="20" t="s">
        <v>2099</v>
      </c>
      <c r="AM1198" s="20" t="s">
        <v>2106</v>
      </c>
      <c r="AN1198" s="20" t="s">
        <v>2899</v>
      </c>
      <c r="AO1198" s="20" t="s">
        <v>3361</v>
      </c>
      <c r="AP1198" s="20" t="s">
        <v>2514</v>
      </c>
      <c r="AQ1198" s="20">
        <v>3</v>
      </c>
      <c r="AR1198" s="20">
        <v>10</v>
      </c>
      <c r="AS1198" s="20" t="s">
        <v>592</v>
      </c>
    </row>
    <row r="1199" spans="38:45" ht="15.75" customHeight="1" x14ac:dyDescent="0.2">
      <c r="AL1199" s="20" t="s">
        <v>2099</v>
      </c>
      <c r="AM1199" s="20" t="s">
        <v>2144</v>
      </c>
      <c r="AN1199" s="20" t="s">
        <v>2898</v>
      </c>
      <c r="AO1199" s="20" t="s">
        <v>3360</v>
      </c>
      <c r="AP1199" s="20" t="s">
        <v>2514</v>
      </c>
      <c r="AQ1199" s="20">
        <v>3</v>
      </c>
      <c r="AR1199" s="20">
        <v>3</v>
      </c>
      <c r="AS1199" s="20" t="s">
        <v>592</v>
      </c>
    </row>
    <row r="1200" spans="38:45" ht="15.75" customHeight="1" x14ac:dyDescent="0.2">
      <c r="AL1200" s="20" t="s">
        <v>2099</v>
      </c>
      <c r="AM1200" s="20" t="s">
        <v>350</v>
      </c>
      <c r="AN1200" s="20" t="s">
        <v>2900</v>
      </c>
      <c r="AO1200" s="20" t="s">
        <v>3362</v>
      </c>
      <c r="AP1200" s="20" t="s">
        <v>2514</v>
      </c>
      <c r="AQ1200" s="20">
        <v>3</v>
      </c>
      <c r="AR1200" s="20">
        <v>3</v>
      </c>
      <c r="AS1200" s="20" t="s">
        <v>592</v>
      </c>
    </row>
    <row r="1201" spans="38:45" ht="15.75" customHeight="1" x14ac:dyDescent="0.2">
      <c r="AL1201" s="20" t="s">
        <v>2099</v>
      </c>
      <c r="AM1201" s="20" t="s">
        <v>2109</v>
      </c>
      <c r="AN1201" s="20" t="s">
        <v>2903</v>
      </c>
      <c r="AO1201" s="20" t="s">
        <v>3366</v>
      </c>
      <c r="AP1201" s="20" t="s">
        <v>2514</v>
      </c>
      <c r="AQ1201" s="20">
        <v>3</v>
      </c>
      <c r="AR1201" s="20">
        <v>5</v>
      </c>
      <c r="AS1201" s="20" t="s">
        <v>592</v>
      </c>
    </row>
    <row r="1202" spans="38:45" ht="15.75" customHeight="1" x14ac:dyDescent="0.2">
      <c r="AL1202" s="20" t="s">
        <v>2099</v>
      </c>
      <c r="AM1202" s="20" t="s">
        <v>2112</v>
      </c>
      <c r="AN1202" s="20" t="s">
        <v>2897</v>
      </c>
      <c r="AO1202" s="20" t="s">
        <v>2721</v>
      </c>
      <c r="AP1202" s="20" t="s">
        <v>835</v>
      </c>
      <c r="AQ1202" s="20">
        <v>5</v>
      </c>
      <c r="AR1202" s="20">
        <v>12</v>
      </c>
      <c r="AS1202" s="20" t="s">
        <v>592</v>
      </c>
    </row>
    <row r="1203" spans="38:45" ht="15.75" customHeight="1" x14ac:dyDescent="0.2">
      <c r="AL1203" s="20" t="s">
        <v>2099</v>
      </c>
      <c r="AM1203" s="20" t="s">
        <v>2103</v>
      </c>
      <c r="AN1203" s="20" t="s">
        <v>2901</v>
      </c>
      <c r="AO1203" s="20" t="s">
        <v>3364</v>
      </c>
      <c r="AP1203" s="20" t="s">
        <v>2514</v>
      </c>
      <c r="AQ1203" s="20">
        <v>3</v>
      </c>
      <c r="AR1203" s="20">
        <v>7</v>
      </c>
      <c r="AS1203" s="20" t="s">
        <v>592</v>
      </c>
    </row>
    <row r="1204" spans="38:45" ht="15.75" customHeight="1" x14ac:dyDescent="0.2">
      <c r="AL1204" s="20" t="s">
        <v>2099</v>
      </c>
      <c r="AM1204" s="20" t="s">
        <v>2106</v>
      </c>
      <c r="AN1204" s="20" t="s">
        <v>2899</v>
      </c>
      <c r="AO1204" s="20" t="s">
        <v>3395</v>
      </c>
      <c r="AP1204" s="20" t="s">
        <v>835</v>
      </c>
      <c r="AQ1204" s="20">
        <v>5</v>
      </c>
      <c r="AR1204" s="20">
        <v>7</v>
      </c>
      <c r="AS1204" s="20" t="s">
        <v>592</v>
      </c>
    </row>
    <row r="1205" spans="38:45" ht="15.75" customHeight="1" x14ac:dyDescent="0.2">
      <c r="AL1205" s="20" t="s">
        <v>2099</v>
      </c>
      <c r="AM1205" s="20" t="s">
        <v>2109</v>
      </c>
      <c r="AN1205" s="20" t="s">
        <v>2903</v>
      </c>
      <c r="AO1205" s="20" t="s">
        <v>2576</v>
      </c>
      <c r="AP1205" s="20" t="s">
        <v>835</v>
      </c>
      <c r="AQ1205" s="20">
        <v>5</v>
      </c>
      <c r="AR1205" s="20">
        <v>10</v>
      </c>
      <c r="AS1205" s="20" t="s">
        <v>592</v>
      </c>
    </row>
    <row r="1206" spans="38:45" ht="15.75" customHeight="1" x14ac:dyDescent="0.2">
      <c r="AL1206" s="20" t="s">
        <v>2099</v>
      </c>
      <c r="AM1206" s="20" t="s">
        <v>2103</v>
      </c>
      <c r="AN1206" s="20" t="s">
        <v>2901</v>
      </c>
      <c r="AO1206" s="20" t="s">
        <v>2396</v>
      </c>
      <c r="AP1206" s="20" t="s">
        <v>835</v>
      </c>
      <c r="AQ1206" s="20">
        <v>5</v>
      </c>
      <c r="AR1206" s="20">
        <v>6</v>
      </c>
      <c r="AS1206" s="20" t="s">
        <v>592</v>
      </c>
    </row>
    <row r="1207" spans="38:45" ht="15.75" customHeight="1" x14ac:dyDescent="0.2">
      <c r="AL1207" s="20" t="s">
        <v>2099</v>
      </c>
      <c r="AM1207" s="20" t="s">
        <v>350</v>
      </c>
      <c r="AN1207" s="20" t="s">
        <v>2900</v>
      </c>
      <c r="AO1207" s="20" t="s">
        <v>3396</v>
      </c>
      <c r="AP1207" s="20" t="s">
        <v>835</v>
      </c>
      <c r="AQ1207" s="20">
        <v>5</v>
      </c>
      <c r="AR1207" s="20">
        <v>2</v>
      </c>
      <c r="AS1207" s="20" t="s">
        <v>592</v>
      </c>
    </row>
    <row r="1208" spans="38:45" ht="15.75" customHeight="1" x14ac:dyDescent="0.2">
      <c r="AL1208" s="20" t="s">
        <v>2099</v>
      </c>
      <c r="AM1208" s="20" t="s">
        <v>350</v>
      </c>
      <c r="AN1208" s="20" t="s">
        <v>2900</v>
      </c>
      <c r="AO1208" s="20" t="s">
        <v>3397</v>
      </c>
      <c r="AP1208" s="20" t="s">
        <v>835</v>
      </c>
      <c r="AQ1208" s="20">
        <v>5</v>
      </c>
      <c r="AR1208" s="20">
        <v>14</v>
      </c>
      <c r="AS1208" s="20" t="s">
        <v>592</v>
      </c>
    </row>
    <row r="1209" spans="38:45" ht="15.75" customHeight="1" x14ac:dyDescent="0.2">
      <c r="AL1209" s="20" t="s">
        <v>2099</v>
      </c>
      <c r="AM1209" s="20" t="s">
        <v>2144</v>
      </c>
      <c r="AN1209" s="20" t="s">
        <v>2898</v>
      </c>
      <c r="AO1209" s="20" t="s">
        <v>3378</v>
      </c>
      <c r="AP1209" s="20" t="s">
        <v>835</v>
      </c>
      <c r="AQ1209" s="20">
        <v>5</v>
      </c>
      <c r="AR1209" s="20">
        <v>11</v>
      </c>
      <c r="AS1209" s="20" t="s">
        <v>592</v>
      </c>
    </row>
    <row r="1210" spans="38:45" ht="15.75" customHeight="1" x14ac:dyDescent="0.2">
      <c r="AL1210" s="20" t="s">
        <v>2099</v>
      </c>
      <c r="AM1210" s="20" t="s">
        <v>2106</v>
      </c>
      <c r="AN1210" s="20" t="s">
        <v>2899</v>
      </c>
      <c r="AO1210" s="20" t="s">
        <v>3361</v>
      </c>
      <c r="AP1210" s="20" t="s">
        <v>2514</v>
      </c>
      <c r="AQ1210" s="20">
        <v>3</v>
      </c>
      <c r="AR1210" s="20">
        <v>2</v>
      </c>
      <c r="AS1210" s="20" t="s">
        <v>593</v>
      </c>
    </row>
    <row r="1211" spans="38:45" ht="15.75" customHeight="1" x14ac:dyDescent="0.2">
      <c r="AL1211" s="20" t="s">
        <v>2099</v>
      </c>
      <c r="AM1211" s="20" t="s">
        <v>2112</v>
      </c>
      <c r="AN1211" s="20" t="s">
        <v>2897</v>
      </c>
      <c r="AO1211" s="20" t="s">
        <v>3359</v>
      </c>
      <c r="AP1211" s="20" t="s">
        <v>2514</v>
      </c>
      <c r="AQ1211" s="20">
        <v>3</v>
      </c>
      <c r="AR1211" s="20">
        <v>3</v>
      </c>
      <c r="AS1211" s="20" t="s">
        <v>592</v>
      </c>
    </row>
    <row r="1212" spans="38:45" ht="15.75" customHeight="1" x14ac:dyDescent="0.2">
      <c r="AL1212" s="20" t="s">
        <v>2099</v>
      </c>
      <c r="AM1212" s="20" t="s">
        <v>2103</v>
      </c>
      <c r="AN1212" s="20" t="s">
        <v>2901</v>
      </c>
      <c r="AO1212" s="20" t="s">
        <v>3379</v>
      </c>
      <c r="AP1212" s="20" t="s">
        <v>835</v>
      </c>
      <c r="AQ1212" s="20">
        <v>5</v>
      </c>
      <c r="AR1212" s="20">
        <v>17</v>
      </c>
      <c r="AS1212" s="20" t="s">
        <v>592</v>
      </c>
    </row>
    <row r="1213" spans="38:45" ht="15.75" customHeight="1" x14ac:dyDescent="0.2">
      <c r="AL1213" s="20" t="s">
        <v>2099</v>
      </c>
      <c r="AM1213" s="20" t="s">
        <v>2117</v>
      </c>
      <c r="AN1213" s="20" t="s">
        <v>2902</v>
      </c>
      <c r="AO1213" s="20" t="s">
        <v>3398</v>
      </c>
      <c r="AP1213" s="20" t="s">
        <v>835</v>
      </c>
      <c r="AQ1213" s="20">
        <v>5</v>
      </c>
      <c r="AR1213" s="20">
        <v>3</v>
      </c>
      <c r="AS1213" s="20" t="s">
        <v>592</v>
      </c>
    </row>
    <row r="1214" spans="38:45" ht="15.75" customHeight="1" x14ac:dyDescent="0.2">
      <c r="AL1214" s="20" t="s">
        <v>2099</v>
      </c>
      <c r="AM1214" s="20" t="s">
        <v>2117</v>
      </c>
      <c r="AN1214" s="20" t="s">
        <v>2902</v>
      </c>
      <c r="AO1214" s="20" t="s">
        <v>3399</v>
      </c>
      <c r="AP1214" s="20" t="s">
        <v>835</v>
      </c>
      <c r="AQ1214" s="20">
        <v>5</v>
      </c>
      <c r="AR1214" s="20">
        <v>3</v>
      </c>
      <c r="AS1214" s="20" t="s">
        <v>592</v>
      </c>
    </row>
    <row r="1215" spans="38:45" ht="15.75" customHeight="1" x14ac:dyDescent="0.2">
      <c r="AL1215" s="20" t="s">
        <v>2099</v>
      </c>
      <c r="AM1215" s="20" t="s">
        <v>2112</v>
      </c>
      <c r="AN1215" s="20" t="s">
        <v>2897</v>
      </c>
      <c r="AO1215" s="20" t="s">
        <v>2113</v>
      </c>
      <c r="AP1215" s="20" t="s">
        <v>835</v>
      </c>
      <c r="AQ1215" s="20">
        <v>5</v>
      </c>
      <c r="AR1215" s="20">
        <v>5</v>
      </c>
      <c r="AS1215" s="20" t="s">
        <v>592</v>
      </c>
    </row>
    <row r="1216" spans="38:45" ht="15.75" customHeight="1" x14ac:dyDescent="0.2">
      <c r="AL1216" s="20" t="s">
        <v>2099</v>
      </c>
      <c r="AM1216" s="20" t="s">
        <v>2144</v>
      </c>
      <c r="AN1216" s="20" t="s">
        <v>2898</v>
      </c>
      <c r="AO1216" s="20" t="s">
        <v>3360</v>
      </c>
      <c r="AP1216" s="20" t="s">
        <v>2514</v>
      </c>
      <c r="AQ1216" s="20">
        <v>3</v>
      </c>
      <c r="AR1216" s="20">
        <v>2</v>
      </c>
      <c r="AS1216" s="20" t="s">
        <v>593</v>
      </c>
    </row>
    <row r="1217" spans="38:45" ht="15.75" customHeight="1" x14ac:dyDescent="0.2">
      <c r="AL1217" s="20" t="s">
        <v>2099</v>
      </c>
      <c r="AM1217" s="20" t="s">
        <v>2117</v>
      </c>
      <c r="AN1217" s="20" t="s">
        <v>2902</v>
      </c>
      <c r="AO1217" s="20" t="s">
        <v>3365</v>
      </c>
      <c r="AP1217" s="20" t="s">
        <v>2514</v>
      </c>
      <c r="AQ1217" s="20">
        <v>3</v>
      </c>
      <c r="AR1217" s="20">
        <v>3</v>
      </c>
      <c r="AS1217" s="20" t="s">
        <v>592</v>
      </c>
    </row>
    <row r="1218" spans="38:45" ht="15.75" customHeight="1" x14ac:dyDescent="0.2">
      <c r="AL1218" s="20" t="s">
        <v>2099</v>
      </c>
      <c r="AM1218" s="20" t="s">
        <v>350</v>
      </c>
      <c r="AN1218" s="20" t="s">
        <v>2900</v>
      </c>
      <c r="AO1218" s="20" t="s">
        <v>3400</v>
      </c>
      <c r="AP1218" s="20" t="s">
        <v>835</v>
      </c>
      <c r="AQ1218" s="20">
        <v>5</v>
      </c>
      <c r="AR1218" s="20">
        <v>16</v>
      </c>
      <c r="AS1218" s="20" t="s">
        <v>592</v>
      </c>
    </row>
    <row r="1219" spans="38:45" ht="15.75" customHeight="1" x14ac:dyDescent="0.2">
      <c r="AL1219" s="20" t="s">
        <v>2099</v>
      </c>
      <c r="AM1219" s="20" t="s">
        <v>2144</v>
      </c>
      <c r="AN1219" s="20" t="s">
        <v>2898</v>
      </c>
      <c r="AO1219" s="20" t="s">
        <v>2738</v>
      </c>
      <c r="AP1219" s="20" t="s">
        <v>835</v>
      </c>
      <c r="AQ1219" s="20">
        <v>5</v>
      </c>
      <c r="AR1219" s="20">
        <v>15</v>
      </c>
      <c r="AS1219" s="20" t="s">
        <v>592</v>
      </c>
    </row>
    <row r="1220" spans="38:45" ht="15.75" customHeight="1" x14ac:dyDescent="0.2">
      <c r="AL1220" s="20" t="s">
        <v>2099</v>
      </c>
      <c r="AM1220" s="20" t="s">
        <v>2109</v>
      </c>
      <c r="AN1220" s="20" t="s">
        <v>2903</v>
      </c>
      <c r="AO1220" s="20" t="s">
        <v>3366</v>
      </c>
      <c r="AP1220" s="20" t="s">
        <v>2514</v>
      </c>
      <c r="AQ1220" s="20">
        <v>3</v>
      </c>
      <c r="AR1220" s="20">
        <v>3</v>
      </c>
      <c r="AS1220" s="20" t="s">
        <v>592</v>
      </c>
    </row>
    <row r="1221" spans="38:45" ht="15.75" customHeight="1" x14ac:dyDescent="0.2">
      <c r="AL1221" s="20" t="s">
        <v>2099</v>
      </c>
      <c r="AM1221" s="20" t="s">
        <v>2109</v>
      </c>
      <c r="AN1221" s="20" t="s">
        <v>2903</v>
      </c>
      <c r="AO1221" s="20" t="s">
        <v>2223</v>
      </c>
      <c r="AP1221" s="20" t="s">
        <v>835</v>
      </c>
      <c r="AQ1221" s="20">
        <v>5</v>
      </c>
      <c r="AR1221" s="20">
        <v>9</v>
      </c>
      <c r="AS1221" s="20" t="s">
        <v>592</v>
      </c>
    </row>
    <row r="1222" spans="38:45" ht="15.75" customHeight="1" x14ac:dyDescent="0.2">
      <c r="AL1222" s="20" t="s">
        <v>2099</v>
      </c>
      <c r="AM1222" s="20" t="s">
        <v>2106</v>
      </c>
      <c r="AN1222" s="20" t="s">
        <v>2899</v>
      </c>
      <c r="AO1222" s="20" t="s">
        <v>3401</v>
      </c>
      <c r="AP1222" s="20" t="s">
        <v>835</v>
      </c>
      <c r="AQ1222" s="20">
        <v>5</v>
      </c>
      <c r="AR1222" s="20">
        <v>5</v>
      </c>
      <c r="AS1222" s="20" t="s">
        <v>592</v>
      </c>
    </row>
    <row r="1223" spans="38:45" ht="15.75" customHeight="1" x14ac:dyDescent="0.2">
      <c r="AL1223" s="20" t="s">
        <v>2099</v>
      </c>
      <c r="AM1223" s="20" t="s">
        <v>2103</v>
      </c>
      <c r="AN1223" s="20" t="s">
        <v>2901</v>
      </c>
      <c r="AO1223" s="20" t="s">
        <v>2105</v>
      </c>
      <c r="AP1223" s="20" t="s">
        <v>835</v>
      </c>
      <c r="AQ1223" s="20">
        <v>5</v>
      </c>
      <c r="AR1223" s="20">
        <v>8</v>
      </c>
      <c r="AS1223" s="20" t="s">
        <v>592</v>
      </c>
    </row>
    <row r="1224" spans="38:45" ht="15.75" customHeight="1" x14ac:dyDescent="0.2">
      <c r="AL1224" s="20" t="s">
        <v>2099</v>
      </c>
      <c r="AM1224" s="20" t="s">
        <v>2103</v>
      </c>
      <c r="AN1224" s="20" t="s">
        <v>2901</v>
      </c>
      <c r="AO1224" s="20" t="s">
        <v>2104</v>
      </c>
      <c r="AP1224" s="20" t="s">
        <v>835</v>
      </c>
      <c r="AQ1224" s="20">
        <v>5</v>
      </c>
      <c r="AR1224" s="20">
        <v>1</v>
      </c>
      <c r="AS1224" s="20" t="s">
        <v>592</v>
      </c>
    </row>
    <row r="1225" spans="38:45" ht="15.75" customHeight="1" x14ac:dyDescent="0.2">
      <c r="AL1225" s="20" t="s">
        <v>2099</v>
      </c>
      <c r="AM1225" s="20" t="s">
        <v>2103</v>
      </c>
      <c r="AN1225" s="20" t="s">
        <v>2901</v>
      </c>
      <c r="AO1225" s="20" t="s">
        <v>3364</v>
      </c>
      <c r="AP1225" s="20" t="s">
        <v>2514</v>
      </c>
      <c r="AQ1225" s="20">
        <v>3</v>
      </c>
      <c r="AR1225" s="20">
        <v>1</v>
      </c>
      <c r="AS1225" s="20" t="s">
        <v>593</v>
      </c>
    </row>
    <row r="1226" spans="38:45" ht="15.75" customHeight="1" x14ac:dyDescent="0.2">
      <c r="AL1226" s="20" t="s">
        <v>2099</v>
      </c>
      <c r="AM1226" s="20" t="s">
        <v>2106</v>
      </c>
      <c r="AN1226" s="20" t="s">
        <v>2899</v>
      </c>
      <c r="AO1226" s="20" t="s">
        <v>3361</v>
      </c>
      <c r="AP1226" s="20" t="s">
        <v>835</v>
      </c>
      <c r="AQ1226" s="20">
        <v>5</v>
      </c>
      <c r="AR1226" s="20">
        <v>2</v>
      </c>
      <c r="AS1226" s="20" t="s">
        <v>593</v>
      </c>
    </row>
    <row r="1227" spans="38:45" ht="15.75" customHeight="1" x14ac:dyDescent="0.2">
      <c r="AL1227" s="20" t="s">
        <v>2099</v>
      </c>
      <c r="AM1227" s="20" t="s">
        <v>2106</v>
      </c>
      <c r="AN1227" s="20" t="s">
        <v>2899</v>
      </c>
      <c r="AO1227" s="20" t="s">
        <v>3402</v>
      </c>
      <c r="AP1227" s="20" t="s">
        <v>835</v>
      </c>
      <c r="AQ1227" s="20">
        <v>5</v>
      </c>
      <c r="AR1227" s="20">
        <v>9</v>
      </c>
      <c r="AS1227" s="20" t="s">
        <v>592</v>
      </c>
    </row>
    <row r="1228" spans="38:45" ht="15.75" customHeight="1" x14ac:dyDescent="0.2">
      <c r="AL1228" s="20" t="s">
        <v>2099</v>
      </c>
      <c r="AM1228" s="20" t="s">
        <v>2112</v>
      </c>
      <c r="AN1228" s="20" t="s">
        <v>2897</v>
      </c>
      <c r="AO1228" s="20" t="s">
        <v>3359</v>
      </c>
      <c r="AP1228" s="20" t="s">
        <v>2514</v>
      </c>
      <c r="AQ1228" s="20">
        <v>3</v>
      </c>
      <c r="AR1228" s="20">
        <v>3</v>
      </c>
      <c r="AS1228" s="20" t="s">
        <v>592</v>
      </c>
    </row>
    <row r="1229" spans="38:45" ht="15.75" customHeight="1" x14ac:dyDescent="0.2">
      <c r="AL1229" s="20" t="s">
        <v>2099</v>
      </c>
      <c r="AM1229" s="20" t="s">
        <v>2117</v>
      </c>
      <c r="AN1229" s="20" t="s">
        <v>2902</v>
      </c>
      <c r="AO1229" s="20" t="s">
        <v>3403</v>
      </c>
      <c r="AP1229" s="20" t="s">
        <v>835</v>
      </c>
      <c r="AQ1229" s="20">
        <v>5</v>
      </c>
      <c r="AR1229" s="20">
        <v>5</v>
      </c>
      <c r="AS1229" s="20" t="s">
        <v>592</v>
      </c>
    </row>
    <row r="1230" spans="38:45" ht="15.75" customHeight="1" x14ac:dyDescent="0.2">
      <c r="AL1230" s="20" t="s">
        <v>2099</v>
      </c>
      <c r="AM1230" s="20" t="s">
        <v>2117</v>
      </c>
      <c r="AN1230" s="20" t="s">
        <v>2902</v>
      </c>
      <c r="AO1230" s="20" t="s">
        <v>3404</v>
      </c>
      <c r="AP1230" s="20" t="s">
        <v>835</v>
      </c>
      <c r="AQ1230" s="20">
        <v>5</v>
      </c>
      <c r="AR1230" s="20">
        <v>2</v>
      </c>
      <c r="AS1230" s="20" t="s">
        <v>592</v>
      </c>
    </row>
    <row r="1231" spans="38:45" ht="15.75" customHeight="1" x14ac:dyDescent="0.2">
      <c r="AL1231" s="20" t="s">
        <v>2099</v>
      </c>
      <c r="AM1231" s="20" t="s">
        <v>2112</v>
      </c>
      <c r="AN1231" s="20" t="s">
        <v>2897</v>
      </c>
      <c r="AO1231" s="20" t="s">
        <v>2566</v>
      </c>
      <c r="AP1231" s="20" t="s">
        <v>835</v>
      </c>
      <c r="AQ1231" s="20">
        <v>5</v>
      </c>
      <c r="AR1231" s="20">
        <v>5</v>
      </c>
      <c r="AS1231" s="20" t="s">
        <v>592</v>
      </c>
    </row>
    <row r="1232" spans="38:45" ht="15.75" customHeight="1" x14ac:dyDescent="0.2">
      <c r="AL1232" s="20" t="s">
        <v>2099</v>
      </c>
      <c r="AM1232" s="20" t="s">
        <v>2106</v>
      </c>
      <c r="AN1232" s="20" t="s">
        <v>2899</v>
      </c>
      <c r="AO1232" s="20" t="s">
        <v>3370</v>
      </c>
      <c r="AP1232" s="20" t="s">
        <v>835</v>
      </c>
      <c r="AQ1232" s="20">
        <v>5</v>
      </c>
      <c r="AR1232" s="20">
        <v>1</v>
      </c>
      <c r="AS1232" s="20" t="s">
        <v>593</v>
      </c>
    </row>
  </sheetData>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EDFBC-E655-2F4E-A810-58433A547B4A}">
  <sheetPr codeName="Sheet10">
    <tabColor rgb="FFFFFF99"/>
  </sheetPr>
  <dimension ref="B1:F440"/>
  <sheetViews>
    <sheetView showGridLines="0" workbookViewId="0">
      <selection activeCell="A370" sqref="A370"/>
    </sheetView>
  </sheetViews>
  <sheetFormatPr baseColWidth="10" defaultRowHeight="14" outlineLevelRow="1" x14ac:dyDescent="0.2"/>
  <cols>
    <col min="1" max="1" width="3.83203125" style="3" customWidth="1"/>
    <col min="2" max="2" width="28.5" style="3" bestFit="1" customWidth="1"/>
    <col min="3" max="3" width="17.33203125" style="3" bestFit="1" customWidth="1"/>
    <col min="4" max="4" width="9.5" style="3" bestFit="1" customWidth="1"/>
    <col min="5" max="5" width="10.33203125" style="3" bestFit="1" customWidth="1"/>
    <col min="6" max="13" width="10.83203125" style="3"/>
    <col min="14" max="14" width="23.5" style="3" bestFit="1" customWidth="1"/>
    <col min="15" max="16384" width="10.83203125" style="3"/>
  </cols>
  <sheetData>
    <row r="1" spans="2:5" x14ac:dyDescent="0.2">
      <c r="B1" s="101"/>
    </row>
    <row r="2" spans="2:5" x14ac:dyDescent="0.2">
      <c r="B2" s="101">
        <v>45383</v>
      </c>
    </row>
    <row r="3" spans="2:5" hidden="1" outlineLevel="1" x14ac:dyDescent="0.2">
      <c r="B3" s="99" t="s">
        <v>73</v>
      </c>
      <c r="C3" s="99" t="s">
        <v>16</v>
      </c>
      <c r="D3" s="99" t="s">
        <v>257</v>
      </c>
      <c r="E3" s="99" t="s">
        <v>107</v>
      </c>
    </row>
    <row r="4" spans="2:5" hidden="1" outlineLevel="1" x14ac:dyDescent="0.2">
      <c r="B4" s="20" t="s">
        <v>194</v>
      </c>
      <c r="C4" s="20" t="s">
        <v>199</v>
      </c>
      <c r="D4" s="20">
        <v>196</v>
      </c>
      <c r="E4" s="113">
        <v>47244.915257449051</v>
      </c>
    </row>
    <row r="5" spans="2:5" hidden="1" outlineLevel="1" x14ac:dyDescent="0.2">
      <c r="B5" s="20" t="s">
        <v>20</v>
      </c>
      <c r="C5" s="20" t="s">
        <v>21</v>
      </c>
      <c r="D5" s="20">
        <v>197</v>
      </c>
      <c r="E5" s="113">
        <v>48549.440767106702</v>
      </c>
    </row>
    <row r="6" spans="2:5" hidden="1" outlineLevel="1" x14ac:dyDescent="0.2">
      <c r="B6" s="20" t="s">
        <v>333</v>
      </c>
      <c r="C6" s="20" t="s">
        <v>340</v>
      </c>
      <c r="D6" s="20">
        <v>54</v>
      </c>
      <c r="E6" s="113">
        <v>47488.166984259275</v>
      </c>
    </row>
    <row r="7" spans="2:5" hidden="1" outlineLevel="1" x14ac:dyDescent="0.2">
      <c r="B7" s="20" t="s">
        <v>206</v>
      </c>
      <c r="C7" s="20" t="s">
        <v>22</v>
      </c>
      <c r="D7" s="20">
        <v>97</v>
      </c>
      <c r="E7" s="113">
        <v>42669.080904536066</v>
      </c>
    </row>
    <row r="8" spans="2:5" hidden="1" outlineLevel="1" x14ac:dyDescent="0.2">
      <c r="B8" s="20" t="s">
        <v>216</v>
      </c>
      <c r="C8" s="20" t="s">
        <v>18</v>
      </c>
      <c r="D8" s="20">
        <v>203</v>
      </c>
      <c r="E8" s="113">
        <v>47277.268935271022</v>
      </c>
    </row>
    <row r="9" spans="2:5" hidden="1" outlineLevel="1" x14ac:dyDescent="0.2">
      <c r="B9" s="20" t="s">
        <v>322</v>
      </c>
      <c r="C9" s="20" t="s">
        <v>324</v>
      </c>
      <c r="D9" s="20">
        <v>84</v>
      </c>
      <c r="E9" s="113">
        <v>44833.696532380956</v>
      </c>
    </row>
    <row r="10" spans="2:5" hidden="1" outlineLevel="1" x14ac:dyDescent="0.2">
      <c r="B10" s="20" t="s">
        <v>280</v>
      </c>
      <c r="C10" s="20" t="s">
        <v>281</v>
      </c>
      <c r="D10" s="20">
        <v>114</v>
      </c>
      <c r="E10" s="113">
        <v>47256.066015789489</v>
      </c>
    </row>
    <row r="11" spans="2:5" hidden="1" outlineLevel="1" x14ac:dyDescent="0.2">
      <c r="B11" s="20" t="s">
        <v>23</v>
      </c>
      <c r="C11" s="20" t="s">
        <v>24</v>
      </c>
      <c r="D11" s="20">
        <v>175</v>
      </c>
      <c r="E11" s="113">
        <v>47602.058114514388</v>
      </c>
    </row>
    <row r="12" spans="2:5" hidden="1" outlineLevel="1" x14ac:dyDescent="0.2">
      <c r="B12" s="20" t="s">
        <v>249</v>
      </c>
      <c r="C12" s="20" t="s">
        <v>250</v>
      </c>
      <c r="D12" s="20">
        <v>279</v>
      </c>
      <c r="E12" s="113">
        <v>47113.544137777819</v>
      </c>
    </row>
    <row r="13" spans="2:5" hidden="1" outlineLevel="1" x14ac:dyDescent="0.2">
      <c r="B13" s="20" t="s">
        <v>191</v>
      </c>
      <c r="C13" s="20" t="s">
        <v>195</v>
      </c>
      <c r="D13" s="20">
        <v>252</v>
      </c>
      <c r="E13" s="113">
        <v>43784.463279127034</v>
      </c>
    </row>
    <row r="14" spans="2:5" hidden="1" outlineLevel="1" x14ac:dyDescent="0.2">
      <c r="B14" s="20" t="s">
        <v>225</v>
      </c>
      <c r="C14" s="20" t="s">
        <v>27</v>
      </c>
      <c r="D14" s="20">
        <v>219</v>
      </c>
      <c r="E14" s="113">
        <v>41559.403299178121</v>
      </c>
    </row>
    <row r="15" spans="2:5" hidden="1" outlineLevel="1" x14ac:dyDescent="0.2">
      <c r="B15" s="20" t="s">
        <v>224</v>
      </c>
      <c r="C15" s="20" t="s">
        <v>33</v>
      </c>
      <c r="D15" s="20">
        <v>170</v>
      </c>
      <c r="E15" s="113">
        <v>37611.316053176459</v>
      </c>
    </row>
    <row r="16" spans="2:5" hidden="1" outlineLevel="1" x14ac:dyDescent="0.2">
      <c r="B16" s="20" t="s">
        <v>116</v>
      </c>
      <c r="C16" s="20" t="s">
        <v>193</v>
      </c>
      <c r="D16" s="20">
        <v>130</v>
      </c>
      <c r="E16" s="113">
        <v>47952.216430769266</v>
      </c>
    </row>
    <row r="17" spans="2:5" hidden="1" outlineLevel="1" x14ac:dyDescent="0.2">
      <c r="B17" s="20" t="s">
        <v>209</v>
      </c>
      <c r="C17" s="20" t="s">
        <v>52</v>
      </c>
      <c r="D17" s="20">
        <v>112</v>
      </c>
      <c r="E17" s="113">
        <v>48281.53753339286</v>
      </c>
    </row>
    <row r="18" spans="2:5" hidden="1" outlineLevel="1" x14ac:dyDescent="0.2">
      <c r="B18" s="20" t="s">
        <v>29</v>
      </c>
      <c r="C18" s="20" t="s">
        <v>30</v>
      </c>
      <c r="D18" s="20">
        <v>201</v>
      </c>
      <c r="E18" s="113">
        <v>46879.159291343385</v>
      </c>
    </row>
    <row r="19" spans="2:5" hidden="1" outlineLevel="1" x14ac:dyDescent="0.2">
      <c r="B19" s="20" t="s">
        <v>218</v>
      </c>
      <c r="C19" s="20" t="s">
        <v>219</v>
      </c>
      <c r="D19" s="20">
        <v>192</v>
      </c>
      <c r="E19" s="113">
        <v>43532.874296354224</v>
      </c>
    </row>
    <row r="20" spans="2:5" hidden="1" outlineLevel="1" x14ac:dyDescent="0.2">
      <c r="B20" s="20" t="s">
        <v>61</v>
      </c>
      <c r="C20" s="20" t="s">
        <v>62</v>
      </c>
      <c r="D20" s="20">
        <v>90</v>
      </c>
      <c r="E20" s="113">
        <v>42616.854992999986</v>
      </c>
    </row>
    <row r="21" spans="2:5" hidden="1" outlineLevel="1" x14ac:dyDescent="0.2">
      <c r="B21" s="20" t="s">
        <v>25</v>
      </c>
      <c r="C21" s="20" t="s">
        <v>26</v>
      </c>
      <c r="D21" s="20">
        <v>224</v>
      </c>
      <c r="E21" s="113">
        <v>43261.107750625044</v>
      </c>
    </row>
    <row r="22" spans="2:5" hidden="1" outlineLevel="1" x14ac:dyDescent="0.2">
      <c r="B22" s="20" t="s">
        <v>303</v>
      </c>
      <c r="C22" s="20" t="s">
        <v>305</v>
      </c>
      <c r="D22" s="20">
        <v>71</v>
      </c>
      <c r="E22" s="113">
        <v>40211.613752394391</v>
      </c>
    </row>
    <row r="23" spans="2:5" hidden="1" outlineLevel="1" x14ac:dyDescent="0.2">
      <c r="B23" s="20" t="s">
        <v>226</v>
      </c>
      <c r="C23" s="20" t="s">
        <v>50</v>
      </c>
      <c r="D23" s="20">
        <v>116</v>
      </c>
      <c r="E23" s="113">
        <v>43621.303334396573</v>
      </c>
    </row>
    <row r="24" spans="2:5" hidden="1" outlineLevel="1" x14ac:dyDescent="0.2">
      <c r="B24" s="20" t="s">
        <v>285</v>
      </c>
      <c r="C24" s="20" t="s">
        <v>54</v>
      </c>
      <c r="D24" s="20">
        <v>120</v>
      </c>
      <c r="E24" s="113">
        <v>40839.548024333322</v>
      </c>
    </row>
    <row r="25" spans="2:5" hidden="1" outlineLevel="1" x14ac:dyDescent="0.2">
      <c r="B25" s="20" t="s">
        <v>55</v>
      </c>
      <c r="C25" s="20" t="s">
        <v>56</v>
      </c>
      <c r="D25" s="20">
        <v>52</v>
      </c>
      <c r="E25" s="113">
        <v>43659.517603653847</v>
      </c>
    </row>
    <row r="26" spans="2:5" hidden="1" outlineLevel="1" x14ac:dyDescent="0.2">
      <c r="B26" s="20" t="s">
        <v>334</v>
      </c>
      <c r="C26" s="20" t="s">
        <v>341</v>
      </c>
      <c r="D26" s="20">
        <v>136</v>
      </c>
      <c r="E26" s="113">
        <v>43985.942176102944</v>
      </c>
    </row>
    <row r="27" spans="2:5" hidden="1" outlineLevel="1" x14ac:dyDescent="0.2">
      <c r="B27" s="20" t="s">
        <v>246</v>
      </c>
      <c r="C27" s="20" t="s">
        <v>247</v>
      </c>
      <c r="D27" s="20">
        <v>180</v>
      </c>
      <c r="E27" s="113">
        <v>42696.892657833363</v>
      </c>
    </row>
    <row r="28" spans="2:5" hidden="1" outlineLevel="1" x14ac:dyDescent="0.2">
      <c r="B28" s="20" t="s">
        <v>59</v>
      </c>
      <c r="C28" s="20" t="s">
        <v>60</v>
      </c>
      <c r="D28" s="20">
        <v>89</v>
      </c>
      <c r="E28" s="113">
        <v>46142.744242134788</v>
      </c>
    </row>
    <row r="29" spans="2:5" hidden="1" outlineLevel="1" x14ac:dyDescent="0.2">
      <c r="B29" s="20" t="s">
        <v>230</v>
      </c>
      <c r="C29" s="20" t="s">
        <v>35</v>
      </c>
      <c r="D29" s="20">
        <v>197</v>
      </c>
      <c r="E29" s="113">
        <v>45624.206318071119</v>
      </c>
    </row>
    <row r="30" spans="2:5" hidden="1" outlineLevel="1" x14ac:dyDescent="0.2">
      <c r="B30" s="20" t="s">
        <v>63</v>
      </c>
      <c r="C30" s="20" t="s">
        <v>64</v>
      </c>
      <c r="D30" s="20">
        <v>107</v>
      </c>
      <c r="E30" s="113">
        <v>46118.271822803748</v>
      </c>
    </row>
    <row r="31" spans="2:5" hidden="1" outlineLevel="1" x14ac:dyDescent="0.2">
      <c r="B31" s="20" t="s">
        <v>307</v>
      </c>
      <c r="C31" s="20" t="s">
        <v>308</v>
      </c>
      <c r="D31" s="20">
        <v>84</v>
      </c>
      <c r="E31" s="113">
        <v>48727.966104880921</v>
      </c>
    </row>
    <row r="32" spans="2:5" hidden="1" outlineLevel="1" x14ac:dyDescent="0.2">
      <c r="B32" s="20" t="s">
        <v>348</v>
      </c>
      <c r="C32" s="20" t="s">
        <v>312</v>
      </c>
      <c r="D32" s="20">
        <v>93</v>
      </c>
      <c r="E32" s="113">
        <v>45834.763990967767</v>
      </c>
    </row>
    <row r="33" spans="2:5" hidden="1" outlineLevel="1" x14ac:dyDescent="0.2">
      <c r="B33" s="20" t="s">
        <v>217</v>
      </c>
      <c r="C33" s="20" t="s">
        <v>197</v>
      </c>
      <c r="D33" s="20">
        <v>76</v>
      </c>
      <c r="E33" s="113">
        <v>42806.913472631561</v>
      </c>
    </row>
    <row r="34" spans="2:5" hidden="1" outlineLevel="1" x14ac:dyDescent="0.2">
      <c r="B34" s="20" t="s">
        <v>46</v>
      </c>
      <c r="C34" s="20" t="s">
        <v>47</v>
      </c>
      <c r="D34" s="20">
        <v>73</v>
      </c>
      <c r="E34" s="113">
        <v>45146.586954657534</v>
      </c>
    </row>
    <row r="35" spans="2:5" hidden="1" outlineLevel="1" x14ac:dyDescent="0.2">
      <c r="B35" s="20" t="s">
        <v>207</v>
      </c>
      <c r="C35" s="20" t="s">
        <v>201</v>
      </c>
      <c r="D35" s="20">
        <v>108</v>
      </c>
      <c r="E35" s="113">
        <v>45291.054617222253</v>
      </c>
    </row>
    <row r="36" spans="2:5" hidden="1" outlineLevel="1" x14ac:dyDescent="0.2">
      <c r="B36" s="20" t="s">
        <v>301</v>
      </c>
      <c r="C36" s="20" t="s">
        <v>302</v>
      </c>
      <c r="D36" s="20">
        <v>150</v>
      </c>
      <c r="E36" s="113">
        <v>47298.587573466713</v>
      </c>
    </row>
    <row r="37" spans="2:5" hidden="1" outlineLevel="1" x14ac:dyDescent="0.2">
      <c r="B37" s="20" t="s">
        <v>335</v>
      </c>
      <c r="C37" s="20" t="s">
        <v>342</v>
      </c>
      <c r="D37" s="20">
        <v>123</v>
      </c>
      <c r="E37" s="113">
        <v>42719.9738204065</v>
      </c>
    </row>
    <row r="38" spans="2:5" hidden="1" outlineLevel="1" x14ac:dyDescent="0.2">
      <c r="B38" s="20" t="s">
        <v>57</v>
      </c>
      <c r="C38" s="20" t="s">
        <v>58</v>
      </c>
      <c r="D38" s="20">
        <v>95</v>
      </c>
      <c r="E38" s="113">
        <v>47675.3345256842</v>
      </c>
    </row>
    <row r="39" spans="2:5" hidden="1" outlineLevel="1" x14ac:dyDescent="0.2">
      <c r="B39" s="20" t="s">
        <v>222</v>
      </c>
      <c r="C39" s="20" t="s">
        <v>223</v>
      </c>
      <c r="D39" s="20">
        <v>154</v>
      </c>
      <c r="E39" s="113">
        <v>46361.688314480576</v>
      </c>
    </row>
    <row r="40" spans="2:5" hidden="1" outlineLevel="1" x14ac:dyDescent="0.2">
      <c r="B40" s="20" t="s">
        <v>221</v>
      </c>
      <c r="C40" s="20" t="s">
        <v>45</v>
      </c>
      <c r="D40" s="20">
        <v>113</v>
      </c>
      <c r="E40" s="113">
        <v>43781.963404159324</v>
      </c>
    </row>
    <row r="41" spans="2:5" hidden="1" outlineLevel="1" x14ac:dyDescent="0.2">
      <c r="B41" s="20" t="s">
        <v>31</v>
      </c>
      <c r="C41" s="20" t="s">
        <v>32</v>
      </c>
      <c r="D41" s="20">
        <v>136</v>
      </c>
      <c r="E41" s="113">
        <v>41829.910271544133</v>
      </c>
    </row>
    <row r="42" spans="2:5" hidden="1" outlineLevel="1" x14ac:dyDescent="0.2">
      <c r="B42" s="20" t="s">
        <v>244</v>
      </c>
      <c r="C42" s="20" t="s">
        <v>245</v>
      </c>
      <c r="D42" s="20">
        <v>176</v>
      </c>
      <c r="E42" s="113">
        <v>45001.078585170493</v>
      </c>
    </row>
    <row r="43" spans="2:5" hidden="1" outlineLevel="1" x14ac:dyDescent="0.2">
      <c r="B43" s="20" t="s">
        <v>70</v>
      </c>
      <c r="C43" s="20" t="s">
        <v>34</v>
      </c>
      <c r="D43" s="20">
        <v>244</v>
      </c>
      <c r="E43" s="113">
        <v>47762.420119877097</v>
      </c>
    </row>
    <row r="44" spans="2:5" hidden="1" outlineLevel="1" x14ac:dyDescent="0.2">
      <c r="B44" s="20" t="s">
        <v>248</v>
      </c>
      <c r="C44" s="20" t="s">
        <v>251</v>
      </c>
      <c r="D44" s="20">
        <v>133</v>
      </c>
      <c r="E44" s="113">
        <v>45162.909395263203</v>
      </c>
    </row>
    <row r="45" spans="2:5" hidden="1" outlineLevel="1" x14ac:dyDescent="0.2">
      <c r="B45" s="20" t="s">
        <v>240</v>
      </c>
      <c r="C45" s="20" t="s">
        <v>241</v>
      </c>
      <c r="D45" s="20">
        <v>151</v>
      </c>
      <c r="E45" s="113">
        <v>46323.094626357677</v>
      </c>
    </row>
    <row r="46" spans="2:5" hidden="1" outlineLevel="1" x14ac:dyDescent="0.2">
      <c r="B46" s="20" t="s">
        <v>286</v>
      </c>
      <c r="C46" s="20" t="s">
        <v>37</v>
      </c>
      <c r="D46" s="20">
        <v>100</v>
      </c>
      <c r="E46" s="113">
        <v>40973.728815799994</v>
      </c>
    </row>
    <row r="47" spans="2:5" hidden="1" outlineLevel="1" x14ac:dyDescent="0.2">
      <c r="B47" s="20" t="s">
        <v>287</v>
      </c>
      <c r="C47" s="20" t="s">
        <v>220</v>
      </c>
      <c r="D47" s="20">
        <v>119</v>
      </c>
      <c r="E47" s="113">
        <v>45149.416039999996</v>
      </c>
    </row>
    <row r="48" spans="2:5" hidden="1" outlineLevel="1" x14ac:dyDescent="0.2">
      <c r="B48" s="20" t="s">
        <v>304</v>
      </c>
      <c r="C48" s="20" t="s">
        <v>306</v>
      </c>
      <c r="D48" s="20">
        <v>42</v>
      </c>
      <c r="E48" s="113">
        <v>47154.116225714301</v>
      </c>
    </row>
    <row r="49" spans="2:5" hidden="1" outlineLevel="1" x14ac:dyDescent="0.2">
      <c r="B49" s="20" t="s">
        <v>352</v>
      </c>
      <c r="C49" s="20" t="s">
        <v>289</v>
      </c>
      <c r="D49" s="20">
        <v>167</v>
      </c>
      <c r="E49" s="113">
        <v>42828.747591736552</v>
      </c>
    </row>
    <row r="50" spans="2:5" hidden="1" outlineLevel="1" x14ac:dyDescent="0.2">
      <c r="B50" s="20" t="s">
        <v>299</v>
      </c>
      <c r="C50" s="20" t="s">
        <v>290</v>
      </c>
      <c r="D50" s="20">
        <v>90</v>
      </c>
      <c r="E50" s="113">
        <v>43115.913373666663</v>
      </c>
    </row>
    <row r="51" spans="2:5" hidden="1" outlineLevel="1" x14ac:dyDescent="0.2">
      <c r="B51" s="20" t="s">
        <v>208</v>
      </c>
      <c r="C51" s="20" t="s">
        <v>39</v>
      </c>
      <c r="D51" s="20">
        <v>144</v>
      </c>
      <c r="E51" s="113">
        <v>46503.389833611152</v>
      </c>
    </row>
    <row r="52" spans="2:5" hidden="1" outlineLevel="1" x14ac:dyDescent="0.2">
      <c r="B52" s="20" t="s">
        <v>300</v>
      </c>
      <c r="C52" s="20" t="s">
        <v>321</v>
      </c>
      <c r="D52" s="20">
        <v>70</v>
      </c>
      <c r="E52" s="113">
        <v>45459.200971714279</v>
      </c>
    </row>
    <row r="53" spans="2:5" hidden="1" outlineLevel="1" x14ac:dyDescent="0.2">
      <c r="B53" s="20" t="s">
        <v>228</v>
      </c>
      <c r="C53" s="20" t="s">
        <v>242</v>
      </c>
      <c r="D53" s="20">
        <v>91</v>
      </c>
      <c r="E53" s="113">
        <v>39280.210469890117</v>
      </c>
    </row>
    <row r="54" spans="2:5" hidden="1" outlineLevel="1" x14ac:dyDescent="0.2">
      <c r="B54" s="20" t="s">
        <v>349</v>
      </c>
      <c r="C54" s="20" t="s">
        <v>310</v>
      </c>
      <c r="D54" s="20">
        <v>65</v>
      </c>
      <c r="E54" s="113">
        <v>42541.525426461558</v>
      </c>
    </row>
    <row r="55" spans="2:5" hidden="1" outlineLevel="1" x14ac:dyDescent="0.2">
      <c r="B55" s="20" t="s">
        <v>291</v>
      </c>
      <c r="C55" s="20" t="s">
        <v>40</v>
      </c>
      <c r="D55" s="20">
        <v>33</v>
      </c>
      <c r="E55" s="113">
        <v>40574.396509090911</v>
      </c>
    </row>
    <row r="56" spans="2:5" hidden="1" outlineLevel="1" x14ac:dyDescent="0.2">
      <c r="B56" s="20" t="s">
        <v>317</v>
      </c>
      <c r="C56" s="20" t="s">
        <v>318</v>
      </c>
      <c r="D56" s="20">
        <v>121</v>
      </c>
      <c r="E56" s="113">
        <v>46098.045948429804</v>
      </c>
    </row>
    <row r="57" spans="2:5" hidden="1" outlineLevel="1" x14ac:dyDescent="0.2">
      <c r="B57" s="20" t="s">
        <v>319</v>
      </c>
      <c r="C57" s="20" t="s">
        <v>320</v>
      </c>
      <c r="D57" s="20">
        <v>86</v>
      </c>
      <c r="E57" s="113">
        <v>45633.760349999953</v>
      </c>
    </row>
    <row r="58" spans="2:5" hidden="1" outlineLevel="1" x14ac:dyDescent="0.2">
      <c r="B58" s="20" t="s">
        <v>117</v>
      </c>
      <c r="C58" s="20" t="s">
        <v>196</v>
      </c>
      <c r="D58" s="20">
        <v>81</v>
      </c>
      <c r="E58" s="113">
        <v>48398.399250246875</v>
      </c>
    </row>
    <row r="59" spans="2:5" hidden="1" outlineLevel="1" x14ac:dyDescent="0.2">
      <c r="B59" s="20" t="s">
        <v>292</v>
      </c>
      <c r="C59" s="20" t="s">
        <v>200</v>
      </c>
      <c r="D59" s="20">
        <v>73</v>
      </c>
      <c r="E59" s="113">
        <v>45610.94729780819</v>
      </c>
    </row>
    <row r="60" spans="2:5" hidden="1" outlineLevel="1" x14ac:dyDescent="0.2">
      <c r="B60" s="20" t="s">
        <v>229</v>
      </c>
      <c r="C60" s="20" t="s">
        <v>205</v>
      </c>
      <c r="D60" s="20">
        <v>66</v>
      </c>
      <c r="E60" s="113">
        <v>45363.816130454543</v>
      </c>
    </row>
    <row r="61" spans="2:5" hidden="1" outlineLevel="1" x14ac:dyDescent="0.2">
      <c r="B61" s="20" t="s">
        <v>336</v>
      </c>
      <c r="C61" s="20" t="s">
        <v>343</v>
      </c>
      <c r="D61" s="20">
        <v>77</v>
      </c>
      <c r="E61" s="113">
        <v>44859.377066493507</v>
      </c>
    </row>
    <row r="62" spans="2:5" hidden="1" outlineLevel="1" x14ac:dyDescent="0.2">
      <c r="B62" s="20" t="s">
        <v>41</v>
      </c>
      <c r="C62" s="20" t="s">
        <v>42</v>
      </c>
      <c r="D62" s="20">
        <v>142</v>
      </c>
      <c r="E62" s="113">
        <v>45773.800433028213</v>
      </c>
    </row>
    <row r="63" spans="2:5" hidden="1" outlineLevel="1" x14ac:dyDescent="0.2">
      <c r="B63" s="20" t="s">
        <v>357</v>
      </c>
      <c r="C63" s="20" t="s">
        <v>284</v>
      </c>
      <c r="D63" s="20">
        <v>13</v>
      </c>
      <c r="E63" s="113">
        <v>38265.123861538465</v>
      </c>
    </row>
    <row r="64" spans="2:5" hidden="1" outlineLevel="1" x14ac:dyDescent="0.2">
      <c r="B64" s="20" t="s">
        <v>337</v>
      </c>
      <c r="C64" s="20" t="s">
        <v>344</v>
      </c>
      <c r="D64" s="20">
        <v>8</v>
      </c>
      <c r="E64" s="113">
        <v>44066.949155000002</v>
      </c>
    </row>
    <row r="65" spans="2:5" hidden="1" outlineLevel="1" x14ac:dyDescent="0.2">
      <c r="B65" s="20" t="s">
        <v>338</v>
      </c>
      <c r="C65" s="20" t="s">
        <v>345</v>
      </c>
      <c r="D65" s="20">
        <v>45</v>
      </c>
      <c r="E65" s="113">
        <v>40243.973636666677</v>
      </c>
    </row>
    <row r="66" spans="2:5" hidden="1" outlineLevel="1" x14ac:dyDescent="0.2">
      <c r="B66" s="20" t="s">
        <v>315</v>
      </c>
      <c r="C66" s="20" t="s">
        <v>316</v>
      </c>
      <c r="D66" s="20">
        <v>51</v>
      </c>
      <c r="E66" s="113">
        <v>38251.063476862757</v>
      </c>
    </row>
    <row r="67" spans="2:5" hidden="1" outlineLevel="1" x14ac:dyDescent="0.2">
      <c r="B67" s="20" t="s">
        <v>350</v>
      </c>
      <c r="C67" s="20" t="s">
        <v>283</v>
      </c>
      <c r="D67" s="20">
        <v>58</v>
      </c>
      <c r="E67" s="113">
        <v>39157.539451551733</v>
      </c>
    </row>
    <row r="68" spans="2:5" hidden="1" outlineLevel="1" x14ac:dyDescent="0.2">
      <c r="B68" s="57" t="s">
        <v>339</v>
      </c>
      <c r="C68" s="57" t="s">
        <v>346</v>
      </c>
      <c r="D68" s="57">
        <v>18</v>
      </c>
      <c r="E68" s="157">
        <v>32814.595102777777</v>
      </c>
    </row>
    <row r="69" spans="2:5" hidden="1" outlineLevel="1" x14ac:dyDescent="0.2">
      <c r="B69" s="20" t="s">
        <v>313</v>
      </c>
      <c r="C69" s="20" t="s">
        <v>314</v>
      </c>
      <c r="D69" s="20">
        <v>36</v>
      </c>
      <c r="E69" s="113">
        <v>34321.186440833335</v>
      </c>
    </row>
    <row r="70" spans="2:5" hidden="1" outlineLevel="1" x14ac:dyDescent="0.2">
      <c r="B70" s="20" t="s">
        <v>323</v>
      </c>
      <c r="C70" s="20" t="s">
        <v>325</v>
      </c>
      <c r="D70" s="20">
        <v>16</v>
      </c>
      <c r="E70" s="113">
        <v>35009.745763125</v>
      </c>
    </row>
    <row r="71" spans="2:5" collapsed="1" x14ac:dyDescent="0.2"/>
    <row r="72" spans="2:5" x14ac:dyDescent="0.2">
      <c r="B72" s="101">
        <v>45413</v>
      </c>
    </row>
    <row r="73" spans="2:5" hidden="1" outlineLevel="1" x14ac:dyDescent="0.2">
      <c r="B73" s="99" t="s">
        <v>73</v>
      </c>
      <c r="C73" s="99" t="s">
        <v>16</v>
      </c>
      <c r="D73" s="99" t="s">
        <v>257</v>
      </c>
      <c r="E73" s="99" t="s">
        <v>107</v>
      </c>
    </row>
    <row r="74" spans="2:5" hidden="1" outlineLevel="1" x14ac:dyDescent="0.2">
      <c r="B74" s="20" t="s">
        <v>194</v>
      </c>
      <c r="C74" s="20" t="s">
        <v>199</v>
      </c>
      <c r="D74" s="20">
        <v>203</v>
      </c>
      <c r="E74" s="113">
        <v>43950.058444679722</v>
      </c>
    </row>
    <row r="75" spans="2:5" hidden="1" outlineLevel="1" x14ac:dyDescent="0.2">
      <c r="B75" s="20" t="s">
        <v>20</v>
      </c>
      <c r="C75" s="20" t="s">
        <v>21</v>
      </c>
      <c r="D75" s="20">
        <v>100</v>
      </c>
      <c r="E75" s="113">
        <v>46634.745761399958</v>
      </c>
    </row>
    <row r="76" spans="2:5" hidden="1" outlineLevel="1" x14ac:dyDescent="0.2">
      <c r="B76" s="20" t="s">
        <v>333</v>
      </c>
      <c r="C76" s="20" t="s">
        <v>340</v>
      </c>
      <c r="D76" s="20">
        <v>35</v>
      </c>
      <c r="E76" s="113">
        <v>44478.571428857133</v>
      </c>
    </row>
    <row r="77" spans="2:5" hidden="1" outlineLevel="1" x14ac:dyDescent="0.2">
      <c r="B77" s="20" t="s">
        <v>206</v>
      </c>
      <c r="C77" s="20" t="s">
        <v>22</v>
      </c>
      <c r="D77" s="20">
        <v>101</v>
      </c>
      <c r="E77" s="113">
        <v>40207.241147722743</v>
      </c>
    </row>
    <row r="78" spans="2:5" hidden="1" outlineLevel="1" x14ac:dyDescent="0.2">
      <c r="B78" s="20" t="s">
        <v>216</v>
      </c>
      <c r="C78" s="20" t="s">
        <v>18</v>
      </c>
      <c r="D78" s="20">
        <v>133</v>
      </c>
      <c r="E78" s="113">
        <v>45608.939721879666</v>
      </c>
    </row>
    <row r="79" spans="2:5" hidden="1" outlineLevel="1" x14ac:dyDescent="0.2">
      <c r="B79" s="20" t="s">
        <v>322</v>
      </c>
      <c r="C79" s="20" t="s">
        <v>324</v>
      </c>
      <c r="D79" s="20">
        <v>63</v>
      </c>
      <c r="E79" s="113">
        <v>43663.397900793658</v>
      </c>
    </row>
    <row r="80" spans="2:5" hidden="1" outlineLevel="1" x14ac:dyDescent="0.2">
      <c r="B80" s="20" t="s">
        <v>280</v>
      </c>
      <c r="C80" s="20" t="s">
        <v>281</v>
      </c>
      <c r="D80" s="20">
        <v>93</v>
      </c>
      <c r="E80" s="113">
        <v>42590.732640430098</v>
      </c>
    </row>
    <row r="81" spans="2:5" hidden="1" outlineLevel="1" x14ac:dyDescent="0.2">
      <c r="B81" s="20" t="s">
        <v>23</v>
      </c>
      <c r="C81" s="20" t="s">
        <v>24</v>
      </c>
      <c r="D81" s="20">
        <v>132</v>
      </c>
      <c r="E81" s="113">
        <v>41845.582947954506</v>
      </c>
    </row>
    <row r="82" spans="2:5" hidden="1" outlineLevel="1" x14ac:dyDescent="0.2">
      <c r="B82" s="20" t="s">
        <v>249</v>
      </c>
      <c r="C82" s="20" t="s">
        <v>250</v>
      </c>
      <c r="D82" s="20">
        <v>272</v>
      </c>
      <c r="E82" s="113">
        <v>41882.876370698512</v>
      </c>
    </row>
    <row r="83" spans="2:5" hidden="1" outlineLevel="1" x14ac:dyDescent="0.2">
      <c r="B83" s="20" t="s">
        <v>191</v>
      </c>
      <c r="C83" s="20" t="s">
        <v>195</v>
      </c>
      <c r="D83" s="20">
        <v>159</v>
      </c>
      <c r="E83" s="113">
        <v>38465.200938050257</v>
      </c>
    </row>
    <row r="84" spans="2:5" hidden="1" outlineLevel="1" x14ac:dyDescent="0.2">
      <c r="B84" s="20" t="s">
        <v>225</v>
      </c>
      <c r="C84" s="20" t="s">
        <v>27</v>
      </c>
      <c r="D84" s="20">
        <v>141</v>
      </c>
      <c r="E84" s="113">
        <v>41416.390191134684</v>
      </c>
    </row>
    <row r="85" spans="2:5" hidden="1" outlineLevel="1" x14ac:dyDescent="0.2">
      <c r="B85" s="20" t="s">
        <v>224</v>
      </c>
      <c r="C85" s="20" t="s">
        <v>33</v>
      </c>
      <c r="D85" s="20">
        <v>70</v>
      </c>
      <c r="E85" s="113">
        <v>37226.755448142882</v>
      </c>
    </row>
    <row r="86" spans="2:5" hidden="1" outlineLevel="1" x14ac:dyDescent="0.2">
      <c r="B86" s="20" t="s">
        <v>209</v>
      </c>
      <c r="C86" s="20" t="s">
        <v>52</v>
      </c>
      <c r="D86" s="20">
        <v>250</v>
      </c>
      <c r="E86" s="113">
        <v>49677.118641680121</v>
      </c>
    </row>
    <row r="87" spans="2:5" hidden="1" outlineLevel="1" x14ac:dyDescent="0.2">
      <c r="B87" s="20" t="s">
        <v>29</v>
      </c>
      <c r="C87" s="20" t="s">
        <v>30</v>
      </c>
      <c r="D87" s="20">
        <v>149</v>
      </c>
      <c r="E87" s="113">
        <v>46489.881696375771</v>
      </c>
    </row>
    <row r="88" spans="2:5" hidden="1" outlineLevel="1" x14ac:dyDescent="0.2">
      <c r="B88" s="20" t="s">
        <v>353</v>
      </c>
      <c r="C88" s="20" t="s">
        <v>594</v>
      </c>
      <c r="D88" s="20">
        <v>78</v>
      </c>
      <c r="E88" s="113">
        <v>44675.380268076951</v>
      </c>
    </row>
    <row r="89" spans="2:5" hidden="1" outlineLevel="1" x14ac:dyDescent="0.2">
      <c r="B89" s="20" t="s">
        <v>218</v>
      </c>
      <c r="C89" s="20" t="s">
        <v>219</v>
      </c>
      <c r="D89" s="20">
        <v>121</v>
      </c>
      <c r="E89" s="113">
        <v>44347.100433966887</v>
      </c>
    </row>
    <row r="90" spans="2:5" hidden="1" outlineLevel="1" x14ac:dyDescent="0.2">
      <c r="B90" s="20" t="s">
        <v>61</v>
      </c>
      <c r="C90" s="20" t="s">
        <v>62</v>
      </c>
      <c r="D90" s="20">
        <v>249</v>
      </c>
      <c r="E90" s="113">
        <v>48562.899051526183</v>
      </c>
    </row>
    <row r="91" spans="2:5" hidden="1" outlineLevel="1" x14ac:dyDescent="0.2">
      <c r="B91" s="20" t="s">
        <v>25</v>
      </c>
      <c r="C91" s="20" t="s">
        <v>26</v>
      </c>
      <c r="D91" s="20">
        <v>105</v>
      </c>
      <c r="E91" s="113">
        <v>44026.594026666637</v>
      </c>
    </row>
    <row r="92" spans="2:5" hidden="1" outlineLevel="1" x14ac:dyDescent="0.2">
      <c r="B92" s="20" t="s">
        <v>303</v>
      </c>
      <c r="C92" s="20" t="s">
        <v>305</v>
      </c>
      <c r="D92" s="20">
        <v>91</v>
      </c>
      <c r="E92" s="113">
        <v>41021.689326923057</v>
      </c>
    </row>
    <row r="93" spans="2:5" hidden="1" outlineLevel="1" x14ac:dyDescent="0.2">
      <c r="B93" s="20" t="s">
        <v>226</v>
      </c>
      <c r="C93" s="20" t="s">
        <v>50</v>
      </c>
      <c r="D93" s="20">
        <v>122</v>
      </c>
      <c r="E93" s="113">
        <v>44157.252013114696</v>
      </c>
    </row>
    <row r="94" spans="2:5" hidden="1" outlineLevel="1" x14ac:dyDescent="0.2">
      <c r="B94" s="20" t="s">
        <v>285</v>
      </c>
      <c r="C94" s="20" t="s">
        <v>54</v>
      </c>
      <c r="D94" s="20">
        <v>99</v>
      </c>
      <c r="E94" s="113">
        <v>39992.304400000008</v>
      </c>
    </row>
    <row r="95" spans="2:5" hidden="1" outlineLevel="1" x14ac:dyDescent="0.2">
      <c r="B95" s="20" t="s">
        <v>334</v>
      </c>
      <c r="C95" s="20" t="s">
        <v>341</v>
      </c>
      <c r="D95" s="20">
        <v>99</v>
      </c>
      <c r="E95" s="113">
        <v>37526.973121515148</v>
      </c>
    </row>
    <row r="96" spans="2:5" hidden="1" outlineLevel="1" x14ac:dyDescent="0.2">
      <c r="B96" s="20" t="s">
        <v>246</v>
      </c>
      <c r="C96" s="20" t="s">
        <v>247</v>
      </c>
      <c r="D96" s="20">
        <v>68</v>
      </c>
      <c r="E96" s="113">
        <v>39804.735793235312</v>
      </c>
    </row>
    <row r="97" spans="2:5" hidden="1" outlineLevel="1" x14ac:dyDescent="0.2">
      <c r="B97" s="20" t="s">
        <v>59</v>
      </c>
      <c r="C97" s="20" t="s">
        <v>60</v>
      </c>
      <c r="D97" s="20">
        <v>77</v>
      </c>
      <c r="E97" s="113">
        <v>42592.15276168831</v>
      </c>
    </row>
    <row r="98" spans="2:5" hidden="1" outlineLevel="1" x14ac:dyDescent="0.2">
      <c r="B98" s="20" t="s">
        <v>230</v>
      </c>
      <c r="C98" s="20" t="s">
        <v>35</v>
      </c>
      <c r="D98" s="20">
        <v>120</v>
      </c>
      <c r="E98" s="113">
        <v>43763.276834583259</v>
      </c>
    </row>
    <row r="99" spans="2:5" hidden="1" outlineLevel="1" x14ac:dyDescent="0.2">
      <c r="B99" s="20" t="s">
        <v>63</v>
      </c>
      <c r="C99" s="20" t="s">
        <v>64</v>
      </c>
      <c r="D99" s="20">
        <v>78</v>
      </c>
      <c r="E99" s="113">
        <v>42252.520642307703</v>
      </c>
    </row>
    <row r="100" spans="2:5" hidden="1" outlineLevel="1" x14ac:dyDescent="0.2">
      <c r="B100" s="20" t="s">
        <v>307</v>
      </c>
      <c r="C100" s="20" t="s">
        <v>308</v>
      </c>
      <c r="D100" s="20">
        <v>64</v>
      </c>
      <c r="E100" s="113">
        <v>44596.610168281266</v>
      </c>
    </row>
    <row r="101" spans="2:5" hidden="1" outlineLevel="1" x14ac:dyDescent="0.2">
      <c r="B101" s="20" t="s">
        <v>348</v>
      </c>
      <c r="C101" s="20" t="s">
        <v>312</v>
      </c>
      <c r="D101" s="20">
        <v>74</v>
      </c>
      <c r="E101" s="113">
        <v>44925.858908918897</v>
      </c>
    </row>
    <row r="102" spans="2:5" hidden="1" outlineLevel="1" x14ac:dyDescent="0.2">
      <c r="B102" s="20" t="s">
        <v>217</v>
      </c>
      <c r="C102" s="20" t="s">
        <v>197</v>
      </c>
      <c r="D102" s="20">
        <v>66</v>
      </c>
      <c r="E102" s="113">
        <v>44529.19876606061</v>
      </c>
    </row>
    <row r="103" spans="2:5" hidden="1" outlineLevel="1" x14ac:dyDescent="0.2">
      <c r="B103" s="20" t="s">
        <v>46</v>
      </c>
      <c r="C103" s="20" t="s">
        <v>47</v>
      </c>
      <c r="D103" s="20">
        <v>100</v>
      </c>
      <c r="E103" s="113">
        <v>47685.593218199916</v>
      </c>
    </row>
    <row r="104" spans="2:5" hidden="1" outlineLevel="1" x14ac:dyDescent="0.2">
      <c r="B104" s="20" t="s">
        <v>207</v>
      </c>
      <c r="C104" s="20" t="s">
        <v>201</v>
      </c>
      <c r="D104" s="20">
        <v>71</v>
      </c>
      <c r="E104" s="113">
        <v>46167.689184507028</v>
      </c>
    </row>
    <row r="105" spans="2:5" hidden="1" outlineLevel="1" x14ac:dyDescent="0.2">
      <c r="B105" s="20" t="s">
        <v>301</v>
      </c>
      <c r="C105" s="20" t="s">
        <v>302</v>
      </c>
      <c r="D105" s="20">
        <v>65</v>
      </c>
      <c r="E105" s="113">
        <v>43115.189047538486</v>
      </c>
    </row>
    <row r="106" spans="2:5" hidden="1" outlineLevel="1" x14ac:dyDescent="0.2">
      <c r="B106" s="20" t="s">
        <v>335</v>
      </c>
      <c r="C106" s="20" t="s">
        <v>342</v>
      </c>
      <c r="D106" s="20">
        <v>103</v>
      </c>
      <c r="E106" s="113">
        <v>44354.920189902892</v>
      </c>
    </row>
    <row r="107" spans="2:5" hidden="1" outlineLevel="1" x14ac:dyDescent="0.2">
      <c r="B107" s="20" t="s">
        <v>57</v>
      </c>
      <c r="C107" s="20" t="s">
        <v>58</v>
      </c>
      <c r="D107" s="20">
        <v>45</v>
      </c>
      <c r="E107" s="113">
        <v>47268.455741555576</v>
      </c>
    </row>
    <row r="108" spans="2:5" hidden="1" outlineLevel="1" x14ac:dyDescent="0.2">
      <c r="B108" s="20" t="s">
        <v>222</v>
      </c>
      <c r="C108" s="20" t="s">
        <v>223</v>
      </c>
      <c r="D108" s="20">
        <v>73</v>
      </c>
      <c r="E108" s="113">
        <v>40027.01416301373</v>
      </c>
    </row>
    <row r="109" spans="2:5" hidden="1" outlineLevel="1" x14ac:dyDescent="0.2">
      <c r="B109" s="20" t="s">
        <v>221</v>
      </c>
      <c r="C109" s="20" t="s">
        <v>45</v>
      </c>
      <c r="D109" s="20">
        <v>82</v>
      </c>
      <c r="E109" s="113">
        <v>39808.991318658533</v>
      </c>
    </row>
    <row r="110" spans="2:5" hidden="1" outlineLevel="1" x14ac:dyDescent="0.2">
      <c r="B110" s="20" t="s">
        <v>31</v>
      </c>
      <c r="C110" s="20" t="s">
        <v>32</v>
      </c>
      <c r="D110" s="20">
        <v>123</v>
      </c>
      <c r="E110" s="113">
        <v>41689.933856097487</v>
      </c>
    </row>
    <row r="111" spans="2:5" hidden="1" outlineLevel="1" x14ac:dyDescent="0.2">
      <c r="B111" s="20" t="s">
        <v>244</v>
      </c>
      <c r="C111" s="20" t="s">
        <v>245</v>
      </c>
      <c r="D111" s="20">
        <v>86</v>
      </c>
      <c r="E111" s="113">
        <v>40371.639731511648</v>
      </c>
    </row>
    <row r="112" spans="2:5" hidden="1" outlineLevel="1" x14ac:dyDescent="0.2">
      <c r="B112" s="20" t="s">
        <v>70</v>
      </c>
      <c r="C112" s="20" t="s">
        <v>34</v>
      </c>
      <c r="D112" s="20">
        <v>128</v>
      </c>
      <c r="E112" s="113">
        <v>43901.430083671803</v>
      </c>
    </row>
    <row r="113" spans="2:5" hidden="1" outlineLevel="1" x14ac:dyDescent="0.2">
      <c r="B113" s="20" t="s">
        <v>248</v>
      </c>
      <c r="C113" s="20" t="s">
        <v>251</v>
      </c>
      <c r="D113" s="20">
        <v>118</v>
      </c>
      <c r="E113" s="113">
        <v>37050.287274322043</v>
      </c>
    </row>
    <row r="114" spans="2:5" hidden="1" outlineLevel="1" x14ac:dyDescent="0.2">
      <c r="B114" s="20" t="s">
        <v>240</v>
      </c>
      <c r="C114" s="20" t="s">
        <v>241</v>
      </c>
      <c r="D114" s="20">
        <v>105</v>
      </c>
      <c r="E114" s="113">
        <v>47045.157383047561</v>
      </c>
    </row>
    <row r="115" spans="2:5" hidden="1" outlineLevel="1" x14ac:dyDescent="0.2">
      <c r="B115" s="20" t="s">
        <v>286</v>
      </c>
      <c r="C115" s="20" t="s">
        <v>37</v>
      </c>
      <c r="D115" s="20">
        <v>76</v>
      </c>
      <c r="E115" s="113">
        <v>40487.55575381581</v>
      </c>
    </row>
    <row r="116" spans="2:5" hidden="1" outlineLevel="1" x14ac:dyDescent="0.2">
      <c r="B116" s="20" t="s">
        <v>287</v>
      </c>
      <c r="C116" s="20" t="s">
        <v>220</v>
      </c>
      <c r="D116" s="20">
        <v>78</v>
      </c>
      <c r="E116" s="113">
        <v>45218.622337051282</v>
      </c>
    </row>
    <row r="117" spans="2:5" hidden="1" outlineLevel="1" x14ac:dyDescent="0.2">
      <c r="B117" s="20" t="s">
        <v>304</v>
      </c>
      <c r="C117" s="20" t="s">
        <v>306</v>
      </c>
      <c r="D117" s="20">
        <v>48</v>
      </c>
      <c r="E117" s="113">
        <v>45479.378529791684</v>
      </c>
    </row>
    <row r="118" spans="2:5" hidden="1" outlineLevel="1" x14ac:dyDescent="0.2">
      <c r="B118" s="20" t="s">
        <v>352</v>
      </c>
      <c r="C118" s="20" t="s">
        <v>289</v>
      </c>
      <c r="D118" s="20">
        <v>103</v>
      </c>
      <c r="E118" s="113">
        <v>44330.236958155328</v>
      </c>
    </row>
    <row r="119" spans="2:5" hidden="1" outlineLevel="1" x14ac:dyDescent="0.2">
      <c r="B119" s="20" t="s">
        <v>299</v>
      </c>
      <c r="C119" s="20" t="s">
        <v>290</v>
      </c>
      <c r="D119" s="20">
        <v>69</v>
      </c>
      <c r="E119" s="113">
        <v>43698.489314347804</v>
      </c>
    </row>
    <row r="120" spans="2:5" hidden="1" outlineLevel="1" x14ac:dyDescent="0.2">
      <c r="B120" s="20" t="s">
        <v>208</v>
      </c>
      <c r="C120" s="20" t="s">
        <v>39</v>
      </c>
      <c r="D120" s="20">
        <v>123</v>
      </c>
      <c r="E120" s="113">
        <v>43984.270358373971</v>
      </c>
    </row>
    <row r="121" spans="2:5" hidden="1" outlineLevel="1" x14ac:dyDescent="0.2">
      <c r="B121" s="20" t="s">
        <v>300</v>
      </c>
      <c r="C121" s="20" t="s">
        <v>321</v>
      </c>
      <c r="D121" s="20">
        <v>65</v>
      </c>
      <c r="E121" s="113">
        <v>43923.533246153856</v>
      </c>
    </row>
    <row r="122" spans="2:5" hidden="1" outlineLevel="1" x14ac:dyDescent="0.2">
      <c r="B122" s="20" t="s">
        <v>228</v>
      </c>
      <c r="C122" s="20" t="s">
        <v>242</v>
      </c>
      <c r="D122" s="20">
        <v>105</v>
      </c>
      <c r="E122" s="113">
        <v>43824.818400571407</v>
      </c>
    </row>
    <row r="123" spans="2:5" hidden="1" outlineLevel="1" x14ac:dyDescent="0.2">
      <c r="B123" s="20" t="s">
        <v>349</v>
      </c>
      <c r="C123" s="20" t="s">
        <v>310</v>
      </c>
      <c r="D123" s="20">
        <v>43</v>
      </c>
      <c r="E123" s="113">
        <v>45525.364602325579</v>
      </c>
    </row>
    <row r="124" spans="2:5" hidden="1" outlineLevel="1" x14ac:dyDescent="0.2">
      <c r="B124" s="20" t="s">
        <v>291</v>
      </c>
      <c r="C124" s="20" t="s">
        <v>40</v>
      </c>
      <c r="D124" s="20">
        <v>70</v>
      </c>
      <c r="E124" s="113">
        <v>45217.070217142827</v>
      </c>
    </row>
    <row r="125" spans="2:5" hidden="1" outlineLevel="1" x14ac:dyDescent="0.2">
      <c r="B125" s="20" t="s">
        <v>317</v>
      </c>
      <c r="C125" s="20" t="s">
        <v>318</v>
      </c>
      <c r="D125" s="20">
        <v>43</v>
      </c>
      <c r="E125" s="113">
        <v>45604.197869534881</v>
      </c>
    </row>
    <row r="126" spans="2:5" hidden="1" outlineLevel="1" x14ac:dyDescent="0.2">
      <c r="B126" s="20" t="s">
        <v>319</v>
      </c>
      <c r="C126" s="20" t="s">
        <v>320</v>
      </c>
      <c r="D126" s="20">
        <v>96</v>
      </c>
      <c r="E126" s="113">
        <v>45126.271185416641</v>
      </c>
    </row>
    <row r="127" spans="2:5" hidden="1" outlineLevel="1" x14ac:dyDescent="0.2">
      <c r="B127" s="20" t="s">
        <v>117</v>
      </c>
      <c r="C127" s="20" t="s">
        <v>196</v>
      </c>
      <c r="D127" s="20">
        <v>70</v>
      </c>
      <c r="E127" s="113">
        <v>46003.995156000019</v>
      </c>
    </row>
    <row r="128" spans="2:5" hidden="1" outlineLevel="1" x14ac:dyDescent="0.2">
      <c r="B128" s="20" t="s">
        <v>292</v>
      </c>
      <c r="C128" s="20" t="s">
        <v>200</v>
      </c>
      <c r="D128" s="20">
        <v>76</v>
      </c>
      <c r="E128" s="113">
        <v>48393.443352631562</v>
      </c>
    </row>
    <row r="129" spans="2:5" hidden="1" outlineLevel="1" x14ac:dyDescent="0.2">
      <c r="B129" s="20" t="s">
        <v>229</v>
      </c>
      <c r="C129" s="20" t="s">
        <v>205</v>
      </c>
      <c r="D129" s="20">
        <v>94</v>
      </c>
      <c r="E129" s="113">
        <v>49322.989539468035</v>
      </c>
    </row>
    <row r="130" spans="2:5" hidden="1" outlineLevel="1" x14ac:dyDescent="0.2">
      <c r="B130" s="20" t="s">
        <v>336</v>
      </c>
      <c r="C130" s="20" t="s">
        <v>343</v>
      </c>
      <c r="D130" s="20">
        <v>51</v>
      </c>
      <c r="E130" s="113">
        <v>44415.902291764709</v>
      </c>
    </row>
    <row r="131" spans="2:5" hidden="1" outlineLevel="1" x14ac:dyDescent="0.2">
      <c r="B131" s="20" t="s">
        <v>41</v>
      </c>
      <c r="C131" s="20" t="s">
        <v>42</v>
      </c>
      <c r="D131" s="20">
        <v>139</v>
      </c>
      <c r="E131" s="113">
        <v>44957.084500575475</v>
      </c>
    </row>
    <row r="132" spans="2:5" hidden="1" outlineLevel="1" x14ac:dyDescent="0.2">
      <c r="B132" s="20" t="s">
        <v>357</v>
      </c>
      <c r="C132" s="20" t="s">
        <v>284</v>
      </c>
      <c r="D132" s="20">
        <v>22</v>
      </c>
      <c r="E132" s="113">
        <v>36863.559321818175</v>
      </c>
    </row>
    <row r="133" spans="2:5" hidden="1" outlineLevel="1" x14ac:dyDescent="0.2">
      <c r="B133" s="20" t="s">
        <v>337</v>
      </c>
      <c r="C133" s="20" t="s">
        <v>344</v>
      </c>
      <c r="D133" s="20">
        <v>18</v>
      </c>
      <c r="E133" s="113">
        <v>44302.354048888898</v>
      </c>
    </row>
    <row r="134" spans="2:5" hidden="1" outlineLevel="1" x14ac:dyDescent="0.2">
      <c r="B134" s="20" t="s">
        <v>315</v>
      </c>
      <c r="C134" s="20" t="s">
        <v>316</v>
      </c>
      <c r="D134" s="20">
        <v>79</v>
      </c>
      <c r="E134" s="113">
        <v>35989.283417088627</v>
      </c>
    </row>
    <row r="135" spans="2:5" hidden="1" outlineLevel="1" x14ac:dyDescent="0.2">
      <c r="B135" s="20" t="s">
        <v>350</v>
      </c>
      <c r="C135" s="20" t="s">
        <v>283</v>
      </c>
      <c r="D135" s="20">
        <v>29</v>
      </c>
      <c r="E135" s="113">
        <v>33926.68030517242</v>
      </c>
    </row>
    <row r="136" spans="2:5" hidden="1" outlineLevel="1" x14ac:dyDescent="0.2">
      <c r="B136" s="20" t="s">
        <v>339</v>
      </c>
      <c r="C136" s="20" t="s">
        <v>346</v>
      </c>
      <c r="D136" s="20">
        <v>20</v>
      </c>
      <c r="E136" s="113">
        <v>35634.74576450001</v>
      </c>
    </row>
    <row r="137" spans="2:5" hidden="1" outlineLevel="1" x14ac:dyDescent="0.2">
      <c r="B137" s="20" t="s">
        <v>313</v>
      </c>
      <c r="C137" s="20" t="s">
        <v>314</v>
      </c>
      <c r="D137" s="20">
        <v>52</v>
      </c>
      <c r="E137" s="113">
        <v>36456.127771346146</v>
      </c>
    </row>
    <row r="138" spans="2:5" hidden="1" outlineLevel="1" x14ac:dyDescent="0.2">
      <c r="B138" s="20" t="s">
        <v>323</v>
      </c>
      <c r="C138" s="20" t="s">
        <v>325</v>
      </c>
      <c r="D138" s="20">
        <v>20</v>
      </c>
      <c r="E138" s="113">
        <v>33939.830508999992</v>
      </c>
    </row>
    <row r="139" spans="2:5" collapsed="1" x14ac:dyDescent="0.2"/>
    <row r="140" spans="2:5" x14ac:dyDescent="0.2">
      <c r="B140" s="101">
        <v>45444</v>
      </c>
    </row>
    <row r="141" spans="2:5" hidden="1" outlineLevel="1" x14ac:dyDescent="0.2">
      <c r="B141" s="101"/>
    </row>
    <row r="142" spans="2:5" hidden="1" outlineLevel="1" x14ac:dyDescent="0.2">
      <c r="B142" s="2" t="s">
        <v>252</v>
      </c>
    </row>
    <row r="143" spans="2:5" hidden="1" outlineLevel="1" x14ac:dyDescent="0.2">
      <c r="B143" s="57"/>
      <c r="C143" s="2" t="s">
        <v>253</v>
      </c>
    </row>
    <row r="144" spans="2:5" hidden="1" outlineLevel="1" x14ac:dyDescent="0.2">
      <c r="B144" s="58"/>
      <c r="C144" s="2" t="s">
        <v>254</v>
      </c>
    </row>
    <row r="145" spans="2:5" hidden="1" outlineLevel="1" x14ac:dyDescent="0.2"/>
    <row r="146" spans="2:5" hidden="1" outlineLevel="1" x14ac:dyDescent="0.2">
      <c r="B146" s="99" t="s">
        <v>73</v>
      </c>
      <c r="C146" s="99" t="s">
        <v>16</v>
      </c>
      <c r="D146" s="99" t="s">
        <v>257</v>
      </c>
      <c r="E146" s="99" t="s">
        <v>107</v>
      </c>
    </row>
    <row r="147" spans="2:5" hidden="1" outlineLevel="1" x14ac:dyDescent="0.2">
      <c r="B147" s="20" t="s">
        <v>194</v>
      </c>
      <c r="C147" s="20" t="s">
        <v>199</v>
      </c>
      <c r="D147" s="20">
        <v>67</v>
      </c>
      <c r="E147" s="113">
        <v>42802.08702251449</v>
      </c>
    </row>
    <row r="148" spans="2:5" hidden="1" outlineLevel="1" x14ac:dyDescent="0.2">
      <c r="B148" s="20" t="s">
        <v>20</v>
      </c>
      <c r="C148" s="20" t="s">
        <v>21</v>
      </c>
      <c r="D148" s="20">
        <v>55</v>
      </c>
      <c r="E148" s="113">
        <v>42926.73343605172</v>
      </c>
    </row>
    <row r="149" spans="2:5" hidden="1" outlineLevel="1" x14ac:dyDescent="0.2">
      <c r="B149" s="20" t="s">
        <v>333</v>
      </c>
      <c r="C149" s="20" t="s">
        <v>340</v>
      </c>
      <c r="D149" s="20">
        <v>78</v>
      </c>
      <c r="E149" s="113">
        <v>43491.112559756577</v>
      </c>
    </row>
    <row r="150" spans="2:5" hidden="1" outlineLevel="1" x14ac:dyDescent="0.2">
      <c r="B150" s="20" t="s">
        <v>206</v>
      </c>
      <c r="C150" s="20" t="s">
        <v>22</v>
      </c>
      <c r="D150" s="20">
        <v>63</v>
      </c>
      <c r="E150" s="113">
        <v>37589.951573853599</v>
      </c>
    </row>
    <row r="151" spans="2:5" hidden="1" outlineLevel="1" x14ac:dyDescent="0.2">
      <c r="B151" s="20" t="s">
        <v>216</v>
      </c>
      <c r="C151" s="20" t="s">
        <v>18</v>
      </c>
      <c r="D151" s="20">
        <v>57</v>
      </c>
      <c r="E151" s="113">
        <v>40721.721677076683</v>
      </c>
    </row>
    <row r="152" spans="2:5" hidden="1" outlineLevel="1" x14ac:dyDescent="0.2">
      <c r="B152" s="20" t="s">
        <v>322</v>
      </c>
      <c r="C152" s="20" t="s">
        <v>324</v>
      </c>
      <c r="D152" s="20">
        <v>45</v>
      </c>
      <c r="E152" s="113">
        <v>38944.538606406357</v>
      </c>
    </row>
    <row r="153" spans="2:5" hidden="1" outlineLevel="1" x14ac:dyDescent="0.2">
      <c r="B153" s="20" t="s">
        <v>280</v>
      </c>
      <c r="C153" s="20" t="s">
        <v>281</v>
      </c>
      <c r="D153" s="20">
        <v>40</v>
      </c>
      <c r="E153" s="113">
        <v>46355.084745762651</v>
      </c>
    </row>
    <row r="154" spans="2:5" hidden="1" outlineLevel="1" x14ac:dyDescent="0.2">
      <c r="B154" s="20" t="s">
        <v>23</v>
      </c>
      <c r="C154" s="20" t="s">
        <v>24</v>
      </c>
      <c r="D154" s="20">
        <v>124</v>
      </c>
      <c r="E154" s="113">
        <v>42775.259704756616</v>
      </c>
    </row>
    <row r="155" spans="2:5" hidden="1" outlineLevel="1" x14ac:dyDescent="0.2">
      <c r="B155" s="20" t="s">
        <v>249</v>
      </c>
      <c r="C155" s="20" t="s">
        <v>250</v>
      </c>
      <c r="D155" s="20">
        <v>125</v>
      </c>
      <c r="E155" s="113">
        <v>38713.050847458246</v>
      </c>
    </row>
    <row r="156" spans="2:5" hidden="1" outlineLevel="1" x14ac:dyDescent="0.2">
      <c r="B156" s="20" t="s">
        <v>191</v>
      </c>
      <c r="C156" s="20" t="s">
        <v>195</v>
      </c>
      <c r="D156" s="20">
        <v>115</v>
      </c>
      <c r="E156" s="113">
        <v>38186.330140014688</v>
      </c>
    </row>
    <row r="157" spans="2:5" hidden="1" outlineLevel="1" x14ac:dyDescent="0.2">
      <c r="B157" s="20" t="s">
        <v>225</v>
      </c>
      <c r="C157" s="20" t="s">
        <v>27</v>
      </c>
      <c r="D157" s="20">
        <v>104</v>
      </c>
      <c r="E157" s="113">
        <v>41206.779661016895</v>
      </c>
    </row>
    <row r="158" spans="2:5" hidden="1" outlineLevel="1" x14ac:dyDescent="0.2">
      <c r="B158" s="20" t="s">
        <v>224</v>
      </c>
      <c r="C158" s="20" t="s">
        <v>33</v>
      </c>
      <c r="D158" s="20">
        <v>73</v>
      </c>
      <c r="E158" s="113">
        <v>40021.209658702537</v>
      </c>
    </row>
    <row r="159" spans="2:5" hidden="1" outlineLevel="1" x14ac:dyDescent="0.2">
      <c r="B159" s="20" t="s">
        <v>209</v>
      </c>
      <c r="C159" s="20" t="s">
        <v>52</v>
      </c>
      <c r="D159" s="20">
        <v>103</v>
      </c>
      <c r="E159" s="113">
        <v>49291.566562448475</v>
      </c>
    </row>
    <row r="160" spans="2:5" hidden="1" outlineLevel="1" x14ac:dyDescent="0.2">
      <c r="B160" s="20" t="s">
        <v>29</v>
      </c>
      <c r="C160" s="20" t="s">
        <v>30</v>
      </c>
      <c r="D160" s="20">
        <v>70</v>
      </c>
      <c r="E160" s="113">
        <v>39466.464891041127</v>
      </c>
    </row>
    <row r="161" spans="2:5" hidden="1" outlineLevel="1" x14ac:dyDescent="0.2">
      <c r="B161" s="20" t="s">
        <v>353</v>
      </c>
      <c r="C161" s="20" t="s">
        <v>594</v>
      </c>
      <c r="D161" s="20">
        <v>63</v>
      </c>
      <c r="E161" s="113">
        <v>42197.161689536952</v>
      </c>
    </row>
    <row r="162" spans="2:5" hidden="1" outlineLevel="1" x14ac:dyDescent="0.2">
      <c r="B162" s="20" t="s">
        <v>218</v>
      </c>
      <c r="C162" s="20" t="s">
        <v>219</v>
      </c>
      <c r="D162" s="20">
        <v>75</v>
      </c>
      <c r="E162" s="113">
        <v>40507.627118644028</v>
      </c>
    </row>
    <row r="163" spans="2:5" hidden="1" outlineLevel="1" x14ac:dyDescent="0.2">
      <c r="B163" s="20" t="s">
        <v>61</v>
      </c>
      <c r="C163" s="20" t="s">
        <v>62</v>
      </c>
      <c r="D163" s="20">
        <v>187</v>
      </c>
      <c r="E163" s="113">
        <v>51177.435874195588</v>
      </c>
    </row>
    <row r="164" spans="2:5" hidden="1" outlineLevel="1" x14ac:dyDescent="0.2">
      <c r="B164" s="20" t="s">
        <v>25</v>
      </c>
      <c r="C164" s="20" t="s">
        <v>26</v>
      </c>
      <c r="D164" s="20">
        <v>81</v>
      </c>
      <c r="E164" s="113">
        <v>42895.155890355469</v>
      </c>
    </row>
    <row r="165" spans="2:5" hidden="1" outlineLevel="1" x14ac:dyDescent="0.2">
      <c r="B165" s="20" t="s">
        <v>303</v>
      </c>
      <c r="C165" s="20" t="s">
        <v>305</v>
      </c>
      <c r="D165" s="20">
        <v>63</v>
      </c>
      <c r="E165" s="113">
        <v>42035.741189130975</v>
      </c>
    </row>
    <row r="166" spans="2:5" hidden="1" outlineLevel="1" x14ac:dyDescent="0.2">
      <c r="B166" s="20" t="s">
        <v>226</v>
      </c>
      <c r="C166" s="20" t="s">
        <v>50</v>
      </c>
      <c r="D166" s="20">
        <v>72</v>
      </c>
      <c r="E166" s="113">
        <v>39664.877589453812</v>
      </c>
    </row>
    <row r="167" spans="2:5" hidden="1" outlineLevel="1" x14ac:dyDescent="0.2">
      <c r="B167" s="20" t="s">
        <v>285</v>
      </c>
      <c r="C167" s="20" t="s">
        <v>54</v>
      </c>
      <c r="D167" s="20">
        <v>72</v>
      </c>
      <c r="E167" s="113">
        <v>39158.757062146855</v>
      </c>
    </row>
    <row r="168" spans="2:5" hidden="1" outlineLevel="1" x14ac:dyDescent="0.2">
      <c r="B168" s="20" t="s">
        <v>334</v>
      </c>
      <c r="C168" s="20" t="s">
        <v>341</v>
      </c>
      <c r="D168" s="20">
        <v>75</v>
      </c>
      <c r="E168" s="113">
        <v>42292.937853107294</v>
      </c>
    </row>
    <row r="169" spans="2:5" hidden="1" outlineLevel="1" x14ac:dyDescent="0.2">
      <c r="B169" s="20" t="s">
        <v>246</v>
      </c>
      <c r="C169" s="20" t="s">
        <v>247</v>
      </c>
      <c r="D169" s="20">
        <v>63</v>
      </c>
      <c r="E169" s="113">
        <v>44867.325800380357</v>
      </c>
    </row>
    <row r="170" spans="2:5" hidden="1" outlineLevel="1" x14ac:dyDescent="0.2">
      <c r="B170" s="20" t="s">
        <v>59</v>
      </c>
      <c r="C170" s="20" t="s">
        <v>60</v>
      </c>
      <c r="D170" s="20">
        <v>59</v>
      </c>
      <c r="E170" s="113">
        <v>42012.941683424258</v>
      </c>
    </row>
    <row r="171" spans="2:5" hidden="1" outlineLevel="1" x14ac:dyDescent="0.2">
      <c r="B171" s="20" t="s">
        <v>230</v>
      </c>
      <c r="C171" s="20" t="s">
        <v>35</v>
      </c>
      <c r="D171" s="20">
        <v>54</v>
      </c>
      <c r="E171" s="113">
        <v>44851.632140615147</v>
      </c>
    </row>
    <row r="172" spans="2:5" hidden="1" outlineLevel="1" x14ac:dyDescent="0.2">
      <c r="B172" s="20" t="s">
        <v>63</v>
      </c>
      <c r="C172" s="20" t="s">
        <v>64</v>
      </c>
      <c r="D172" s="20">
        <v>41</v>
      </c>
      <c r="E172" s="113">
        <v>46505.973542786225</v>
      </c>
    </row>
    <row r="173" spans="2:5" hidden="1" outlineLevel="1" x14ac:dyDescent="0.2">
      <c r="B173" s="20" t="s">
        <v>307</v>
      </c>
      <c r="C173" s="20" t="s">
        <v>308</v>
      </c>
      <c r="D173" s="20">
        <v>73</v>
      </c>
      <c r="E173" s="113">
        <v>41559.4032969584</v>
      </c>
    </row>
    <row r="174" spans="2:5" hidden="1" outlineLevel="1" x14ac:dyDescent="0.2">
      <c r="B174" s="20" t="s">
        <v>348</v>
      </c>
      <c r="C174" s="20" t="s">
        <v>312</v>
      </c>
      <c r="D174" s="20">
        <v>36</v>
      </c>
      <c r="E174" s="113">
        <v>44396.516007532904</v>
      </c>
    </row>
    <row r="175" spans="2:5" hidden="1" outlineLevel="1" x14ac:dyDescent="0.2">
      <c r="B175" s="20" t="s">
        <v>217</v>
      </c>
      <c r="C175" s="20" t="s">
        <v>197</v>
      </c>
      <c r="D175" s="20">
        <v>39</v>
      </c>
      <c r="E175" s="113">
        <v>42285.115167330689</v>
      </c>
    </row>
    <row r="176" spans="2:5" hidden="1" outlineLevel="1" x14ac:dyDescent="0.2">
      <c r="B176" s="20" t="s">
        <v>46</v>
      </c>
      <c r="C176" s="20" t="s">
        <v>47</v>
      </c>
      <c r="D176" s="20">
        <v>61</v>
      </c>
      <c r="E176" s="113">
        <v>49651.833842734028</v>
      </c>
    </row>
    <row r="177" spans="2:5" hidden="1" outlineLevel="1" x14ac:dyDescent="0.2">
      <c r="B177" s="20" t="s">
        <v>207</v>
      </c>
      <c r="C177" s="20" t="s">
        <v>201</v>
      </c>
      <c r="D177" s="20">
        <v>51</v>
      </c>
      <c r="E177" s="113">
        <v>48309.222332996615</v>
      </c>
    </row>
    <row r="178" spans="2:5" hidden="1" outlineLevel="1" x14ac:dyDescent="0.2">
      <c r="B178" s="20" t="s">
        <v>301</v>
      </c>
      <c r="C178" s="20" t="s">
        <v>302</v>
      </c>
      <c r="D178" s="20">
        <v>81</v>
      </c>
      <c r="E178" s="113">
        <v>47310.305503243289</v>
      </c>
    </row>
    <row r="179" spans="2:5" hidden="1" outlineLevel="1" x14ac:dyDescent="0.2">
      <c r="B179" s="20" t="s">
        <v>335</v>
      </c>
      <c r="C179" s="20" t="s">
        <v>342</v>
      </c>
      <c r="D179" s="20">
        <v>90</v>
      </c>
      <c r="E179" s="113">
        <v>47042.467043314449</v>
      </c>
    </row>
    <row r="180" spans="2:5" hidden="1" outlineLevel="1" x14ac:dyDescent="0.2">
      <c r="B180" s="20" t="s">
        <v>57</v>
      </c>
      <c r="C180" s="20" t="s">
        <v>58</v>
      </c>
      <c r="D180" s="20">
        <v>63</v>
      </c>
      <c r="E180" s="113">
        <v>46407.54640839382</v>
      </c>
    </row>
    <row r="181" spans="2:5" hidden="1" outlineLevel="1" x14ac:dyDescent="0.2">
      <c r="B181" s="20" t="s">
        <v>222</v>
      </c>
      <c r="C181" s="20" t="s">
        <v>223</v>
      </c>
      <c r="D181" s="20">
        <v>56</v>
      </c>
      <c r="E181" s="113">
        <v>43859.624697338018</v>
      </c>
    </row>
    <row r="182" spans="2:5" hidden="1" outlineLevel="1" x14ac:dyDescent="0.2">
      <c r="B182" s="20" t="s">
        <v>221</v>
      </c>
      <c r="C182" s="20" t="s">
        <v>45</v>
      </c>
      <c r="D182" s="20">
        <v>64</v>
      </c>
      <c r="E182" s="113">
        <v>45960.48728813554</v>
      </c>
    </row>
    <row r="183" spans="2:5" hidden="1" outlineLevel="1" x14ac:dyDescent="0.2">
      <c r="B183" s="20" t="s">
        <v>31</v>
      </c>
      <c r="C183" s="20" t="s">
        <v>32</v>
      </c>
      <c r="D183" s="20">
        <v>96</v>
      </c>
      <c r="E183" s="113">
        <v>36607.556497175101</v>
      </c>
    </row>
    <row r="184" spans="2:5" hidden="1" outlineLevel="1" x14ac:dyDescent="0.2">
      <c r="B184" s="20" t="s">
        <v>244</v>
      </c>
      <c r="C184" s="20" t="s">
        <v>245</v>
      </c>
      <c r="D184" s="20">
        <v>45</v>
      </c>
      <c r="E184" s="113">
        <v>40112.146892655328</v>
      </c>
    </row>
    <row r="185" spans="2:5" hidden="1" outlineLevel="1" x14ac:dyDescent="0.2">
      <c r="B185" s="20" t="s">
        <v>70</v>
      </c>
      <c r="C185" s="20" t="s">
        <v>34</v>
      </c>
      <c r="D185" s="20">
        <v>92</v>
      </c>
      <c r="E185" s="113">
        <v>43127.376565954255</v>
      </c>
    </row>
    <row r="186" spans="2:5" hidden="1" outlineLevel="1" x14ac:dyDescent="0.2">
      <c r="B186" s="20" t="s">
        <v>248</v>
      </c>
      <c r="C186" s="20" t="s">
        <v>251</v>
      </c>
      <c r="D186" s="20">
        <v>52</v>
      </c>
      <c r="E186" s="113">
        <v>34239.700130378063</v>
      </c>
    </row>
    <row r="187" spans="2:5" hidden="1" outlineLevel="1" x14ac:dyDescent="0.2">
      <c r="B187" s="20" t="s">
        <v>240</v>
      </c>
      <c r="C187" s="20" t="s">
        <v>241</v>
      </c>
      <c r="D187" s="20">
        <v>56</v>
      </c>
      <c r="E187" s="113">
        <v>44278.813559321992</v>
      </c>
    </row>
    <row r="188" spans="2:5" hidden="1" outlineLevel="1" x14ac:dyDescent="0.2">
      <c r="B188" s="20" t="s">
        <v>286</v>
      </c>
      <c r="C188" s="20" t="s">
        <v>37</v>
      </c>
      <c r="D188" s="20">
        <v>43</v>
      </c>
      <c r="E188" s="113">
        <v>42707.075285770552</v>
      </c>
    </row>
    <row r="189" spans="2:5" hidden="1" outlineLevel="1" x14ac:dyDescent="0.2">
      <c r="B189" s="20" t="s">
        <v>287</v>
      </c>
      <c r="C189" s="20" t="s">
        <v>220</v>
      </c>
      <c r="D189" s="20">
        <v>62</v>
      </c>
      <c r="E189" s="113">
        <v>43123.810825587701</v>
      </c>
    </row>
    <row r="190" spans="2:5" hidden="1" outlineLevel="1" x14ac:dyDescent="0.2">
      <c r="B190" s="20" t="s">
        <v>304</v>
      </c>
      <c r="C190" s="20" t="s">
        <v>306</v>
      </c>
      <c r="D190" s="20">
        <v>26</v>
      </c>
      <c r="E190" s="113">
        <v>50488.070404172067</v>
      </c>
    </row>
    <row r="191" spans="2:5" hidden="1" outlineLevel="1" x14ac:dyDescent="0.2">
      <c r="B191" s="20" t="s">
        <v>352</v>
      </c>
      <c r="C191" s="20" t="s">
        <v>289</v>
      </c>
      <c r="D191" s="20">
        <v>63</v>
      </c>
      <c r="E191" s="113">
        <v>44726.082862523486</v>
      </c>
    </row>
    <row r="192" spans="2:5" hidden="1" outlineLevel="1" x14ac:dyDescent="0.2">
      <c r="B192" s="20" t="s">
        <v>299</v>
      </c>
      <c r="C192" s="20" t="s">
        <v>290</v>
      </c>
      <c r="D192" s="20">
        <v>45</v>
      </c>
      <c r="E192" s="113">
        <v>40761.86440678488</v>
      </c>
    </row>
    <row r="193" spans="2:5" hidden="1" outlineLevel="1" x14ac:dyDescent="0.2">
      <c r="B193" s="20" t="s">
        <v>208</v>
      </c>
      <c r="C193" s="20" t="s">
        <v>39</v>
      </c>
      <c r="D193" s="20">
        <v>71</v>
      </c>
      <c r="E193" s="113">
        <v>45379.911673430368</v>
      </c>
    </row>
    <row r="194" spans="2:5" hidden="1" outlineLevel="1" x14ac:dyDescent="0.2">
      <c r="B194" s="20" t="s">
        <v>300</v>
      </c>
      <c r="C194" s="20" t="s">
        <v>321</v>
      </c>
      <c r="D194" s="20">
        <v>65</v>
      </c>
      <c r="E194" s="113">
        <v>40833.572359843492</v>
      </c>
    </row>
    <row r="195" spans="2:5" hidden="1" outlineLevel="1" x14ac:dyDescent="0.2">
      <c r="B195" s="20" t="s">
        <v>228</v>
      </c>
      <c r="C195" s="20" t="s">
        <v>242</v>
      </c>
      <c r="D195" s="20">
        <v>53</v>
      </c>
      <c r="E195" s="113">
        <v>41956.299968020408</v>
      </c>
    </row>
    <row r="196" spans="2:5" hidden="1" outlineLevel="1" x14ac:dyDescent="0.2">
      <c r="B196" s="20" t="s">
        <v>349</v>
      </c>
      <c r="C196" s="20" t="s">
        <v>310</v>
      </c>
      <c r="D196" s="20">
        <v>50</v>
      </c>
      <c r="E196" s="113">
        <v>40795.762711864358</v>
      </c>
    </row>
    <row r="197" spans="2:5" hidden="1" outlineLevel="1" x14ac:dyDescent="0.2">
      <c r="B197" s="20" t="s">
        <v>291</v>
      </c>
      <c r="C197" s="20" t="s">
        <v>40</v>
      </c>
      <c r="D197" s="20">
        <v>40</v>
      </c>
      <c r="E197" s="113">
        <v>41482.203389830458</v>
      </c>
    </row>
    <row r="198" spans="2:5" hidden="1" outlineLevel="1" x14ac:dyDescent="0.2">
      <c r="B198" s="20" t="s">
        <v>319</v>
      </c>
      <c r="C198" s="20" t="s">
        <v>320</v>
      </c>
      <c r="D198" s="20">
        <v>74</v>
      </c>
      <c r="E198" s="113">
        <v>43036.257443884504</v>
      </c>
    </row>
    <row r="199" spans="2:5" hidden="1" outlineLevel="1" x14ac:dyDescent="0.2">
      <c r="B199" s="20" t="s">
        <v>354</v>
      </c>
      <c r="C199" s="20" t="s">
        <v>43</v>
      </c>
      <c r="D199" s="20">
        <v>93</v>
      </c>
      <c r="E199" s="113">
        <v>45078.430836522632</v>
      </c>
    </row>
    <row r="200" spans="2:5" hidden="1" outlineLevel="1" x14ac:dyDescent="0.2">
      <c r="B200" s="20" t="s">
        <v>117</v>
      </c>
      <c r="C200" s="20" t="s">
        <v>196</v>
      </c>
      <c r="D200" s="20">
        <v>157</v>
      </c>
      <c r="E200" s="113">
        <v>46490.570009716001</v>
      </c>
    </row>
    <row r="201" spans="2:5" hidden="1" outlineLevel="1" x14ac:dyDescent="0.2">
      <c r="B201" s="20" t="s">
        <v>292</v>
      </c>
      <c r="C201" s="20" t="s">
        <v>200</v>
      </c>
      <c r="D201" s="20">
        <v>85</v>
      </c>
      <c r="E201" s="113">
        <v>46718.993020937101</v>
      </c>
    </row>
    <row r="202" spans="2:5" hidden="1" outlineLevel="1" x14ac:dyDescent="0.2">
      <c r="B202" s="20" t="s">
        <v>229</v>
      </c>
      <c r="C202" s="20" t="s">
        <v>205</v>
      </c>
      <c r="D202" s="20">
        <v>118</v>
      </c>
      <c r="E202" s="113">
        <v>46350.775639184067</v>
      </c>
    </row>
    <row r="203" spans="2:5" hidden="1" outlineLevel="1" x14ac:dyDescent="0.2">
      <c r="B203" s="20" t="s">
        <v>41</v>
      </c>
      <c r="C203" s="20" t="s">
        <v>42</v>
      </c>
      <c r="D203" s="20">
        <v>107</v>
      </c>
      <c r="E203" s="113">
        <v>42680.920323142658</v>
      </c>
    </row>
    <row r="204" spans="2:5" hidden="1" outlineLevel="1" x14ac:dyDescent="0.2">
      <c r="B204" s="20" t="s">
        <v>357</v>
      </c>
      <c r="C204" s="20" t="s">
        <v>284</v>
      </c>
      <c r="D204" s="20">
        <v>62</v>
      </c>
      <c r="E204" s="113">
        <v>40909.486057955146</v>
      </c>
    </row>
    <row r="205" spans="2:5" hidden="1" outlineLevel="1" x14ac:dyDescent="0.2">
      <c r="B205" s="20" t="s">
        <v>337</v>
      </c>
      <c r="C205" s="20" t="s">
        <v>344</v>
      </c>
      <c r="D205" s="20">
        <v>33</v>
      </c>
      <c r="E205" s="113">
        <v>45428.017462763215</v>
      </c>
    </row>
    <row r="206" spans="2:5" hidden="1" outlineLevel="1" x14ac:dyDescent="0.2">
      <c r="B206" s="20" t="s">
        <v>315</v>
      </c>
      <c r="C206" s="20" t="s">
        <v>316</v>
      </c>
      <c r="D206" s="20">
        <v>58</v>
      </c>
      <c r="E206" s="113">
        <v>38500.029222676771</v>
      </c>
    </row>
    <row r="207" spans="2:5" hidden="1" outlineLevel="1" x14ac:dyDescent="0.2">
      <c r="B207" s="20" t="s">
        <v>350</v>
      </c>
      <c r="C207" s="20" t="s">
        <v>283</v>
      </c>
      <c r="D207" s="20">
        <v>54</v>
      </c>
      <c r="E207" s="113">
        <v>36863.559322033856</v>
      </c>
    </row>
    <row r="208" spans="2:5" hidden="1" outlineLevel="1" x14ac:dyDescent="0.2">
      <c r="B208" s="20" t="s">
        <v>313</v>
      </c>
      <c r="C208" s="20" t="s">
        <v>314</v>
      </c>
      <c r="D208" s="20">
        <v>43</v>
      </c>
      <c r="E208" s="113">
        <v>43416.574694521078</v>
      </c>
    </row>
    <row r="209" spans="2:5" hidden="1" outlineLevel="1" x14ac:dyDescent="0.2">
      <c r="B209" s="20" t="s">
        <v>323</v>
      </c>
      <c r="C209" s="20" t="s">
        <v>325</v>
      </c>
      <c r="D209" s="20">
        <v>25</v>
      </c>
      <c r="E209" s="113">
        <v>39863.559322033871</v>
      </c>
    </row>
    <row r="210" spans="2:5" hidden="1" outlineLevel="1" x14ac:dyDescent="0.2"/>
    <row r="211" spans="2:5" hidden="1" outlineLevel="1" x14ac:dyDescent="0.2"/>
    <row r="212" spans="2:5" collapsed="1" x14ac:dyDescent="0.2"/>
    <row r="213" spans="2:5" x14ac:dyDescent="0.2">
      <c r="B213" s="101">
        <v>45474</v>
      </c>
    </row>
    <row r="214" spans="2:5" hidden="1" outlineLevel="1" x14ac:dyDescent="0.2">
      <c r="B214" s="2" t="s">
        <v>252</v>
      </c>
    </row>
    <row r="215" spans="2:5" hidden="1" outlineLevel="1" x14ac:dyDescent="0.2">
      <c r="B215" s="57"/>
      <c r="C215" s="2" t="s">
        <v>253</v>
      </c>
    </row>
    <row r="216" spans="2:5" hidden="1" outlineLevel="1" x14ac:dyDescent="0.2">
      <c r="B216" s="58"/>
      <c r="C216" s="2" t="s">
        <v>254</v>
      </c>
    </row>
    <row r="217" spans="2:5" hidden="1" outlineLevel="1" x14ac:dyDescent="0.2"/>
    <row r="218" spans="2:5" hidden="1" outlineLevel="1" x14ac:dyDescent="0.2">
      <c r="B218" s="99" t="s">
        <v>73</v>
      </c>
      <c r="C218" s="99" t="s">
        <v>16</v>
      </c>
      <c r="D218" s="99" t="s">
        <v>257</v>
      </c>
      <c r="E218" s="99" t="s">
        <v>107</v>
      </c>
    </row>
    <row r="219" spans="2:5" hidden="1" outlineLevel="1" x14ac:dyDescent="0.2">
      <c r="B219" s="20" t="s">
        <v>191</v>
      </c>
      <c r="C219" s="20" t="s">
        <v>195</v>
      </c>
      <c r="D219" s="20">
        <v>62</v>
      </c>
      <c r="E219" s="113">
        <v>38927.528705645163</v>
      </c>
    </row>
    <row r="220" spans="2:5" hidden="1" outlineLevel="1" x14ac:dyDescent="0.2">
      <c r="B220" s="20" t="s">
        <v>31</v>
      </c>
      <c r="C220" s="20" t="s">
        <v>32</v>
      </c>
      <c r="D220" s="20">
        <v>49</v>
      </c>
      <c r="E220" s="113">
        <v>43254.081634081616</v>
      </c>
    </row>
    <row r="221" spans="2:5" hidden="1" outlineLevel="1" x14ac:dyDescent="0.2">
      <c r="B221" s="20" t="s">
        <v>351</v>
      </c>
      <c r="C221" s="20" t="s">
        <v>664</v>
      </c>
      <c r="D221" s="20">
        <v>39</v>
      </c>
      <c r="E221" s="113">
        <v>39503.715776923062</v>
      </c>
    </row>
    <row r="222" spans="2:5" hidden="1" outlineLevel="1" x14ac:dyDescent="0.2">
      <c r="B222" s="20" t="s">
        <v>218</v>
      </c>
      <c r="C222" s="20" t="s">
        <v>219</v>
      </c>
      <c r="D222" s="20">
        <v>58</v>
      </c>
      <c r="E222" s="113">
        <v>44739.070720517244</v>
      </c>
    </row>
    <row r="223" spans="2:5" hidden="1" outlineLevel="1" x14ac:dyDescent="0.2">
      <c r="B223" s="20" t="s">
        <v>642</v>
      </c>
      <c r="C223" s="20" t="s">
        <v>665</v>
      </c>
      <c r="D223" s="20">
        <v>28</v>
      </c>
      <c r="E223" s="113">
        <v>39405.932204642864</v>
      </c>
    </row>
    <row r="224" spans="2:5" hidden="1" outlineLevel="1" x14ac:dyDescent="0.2">
      <c r="B224" s="20" t="s">
        <v>599</v>
      </c>
      <c r="C224" s="20" t="s">
        <v>251</v>
      </c>
      <c r="D224" s="20">
        <v>64</v>
      </c>
      <c r="E224" s="113">
        <v>37869.915255625005</v>
      </c>
    </row>
    <row r="225" spans="2:5" hidden="1" outlineLevel="1" x14ac:dyDescent="0.2">
      <c r="B225" s="20" t="s">
        <v>225</v>
      </c>
      <c r="C225" s="20" t="s">
        <v>27</v>
      </c>
      <c r="D225" s="20">
        <v>54</v>
      </c>
      <c r="E225" s="113">
        <v>42576.051475925924</v>
      </c>
    </row>
    <row r="226" spans="2:5" hidden="1" outlineLevel="1" x14ac:dyDescent="0.2">
      <c r="B226" s="20" t="s">
        <v>224</v>
      </c>
      <c r="C226" s="20" t="s">
        <v>33</v>
      </c>
      <c r="D226" s="20">
        <v>62</v>
      </c>
      <c r="E226" s="113">
        <v>40280.727175</v>
      </c>
    </row>
    <row r="227" spans="2:5" hidden="1" outlineLevel="1" x14ac:dyDescent="0.2">
      <c r="B227" s="20" t="s">
        <v>29</v>
      </c>
      <c r="C227" s="20" t="s">
        <v>30</v>
      </c>
      <c r="D227" s="20">
        <v>66</v>
      </c>
      <c r="E227" s="113">
        <v>47431.099128181828</v>
      </c>
    </row>
    <row r="228" spans="2:5" hidden="1" outlineLevel="1" x14ac:dyDescent="0.2">
      <c r="B228" s="20" t="s">
        <v>244</v>
      </c>
      <c r="C228" s="20" t="s">
        <v>245</v>
      </c>
      <c r="D228" s="20">
        <v>34</v>
      </c>
      <c r="E228" s="113">
        <v>41798.753739999993</v>
      </c>
    </row>
    <row r="229" spans="2:5" hidden="1" outlineLevel="1" x14ac:dyDescent="0.2">
      <c r="B229" s="20" t="s">
        <v>353</v>
      </c>
      <c r="C229" s="20" t="s">
        <v>594</v>
      </c>
      <c r="D229" s="20">
        <v>40</v>
      </c>
      <c r="E229" s="113">
        <v>47605.084746749984</v>
      </c>
    </row>
    <row r="230" spans="2:5" hidden="1" outlineLevel="1" x14ac:dyDescent="0.2">
      <c r="B230" s="20" t="s">
        <v>61</v>
      </c>
      <c r="C230" s="20" t="s">
        <v>62</v>
      </c>
      <c r="D230" s="20">
        <v>77</v>
      </c>
      <c r="E230" s="113">
        <v>49151.694916493514</v>
      </c>
    </row>
    <row r="231" spans="2:5" hidden="1" outlineLevel="1" x14ac:dyDescent="0.2">
      <c r="B231" s="20" t="s">
        <v>25</v>
      </c>
      <c r="C231" s="20" t="s">
        <v>26</v>
      </c>
      <c r="D231" s="20">
        <v>59</v>
      </c>
      <c r="E231" s="113">
        <v>42443.852342372877</v>
      </c>
    </row>
    <row r="232" spans="2:5" hidden="1" outlineLevel="1" x14ac:dyDescent="0.2">
      <c r="B232" s="20" t="s">
        <v>298</v>
      </c>
      <c r="C232" s="20" t="s">
        <v>49</v>
      </c>
      <c r="D232" s="20">
        <v>3</v>
      </c>
      <c r="E232" s="113">
        <v>49999.15254333333</v>
      </c>
    </row>
    <row r="233" spans="2:5" hidden="1" outlineLevel="1" x14ac:dyDescent="0.2">
      <c r="B233" s="20" t="s">
        <v>51</v>
      </c>
      <c r="C233" s="20" t="s">
        <v>52</v>
      </c>
      <c r="D233" s="20">
        <v>79</v>
      </c>
      <c r="E233" s="113">
        <v>43187.309591772173</v>
      </c>
    </row>
    <row r="234" spans="2:5" hidden="1" outlineLevel="1" x14ac:dyDescent="0.2">
      <c r="B234" s="20" t="s">
        <v>303</v>
      </c>
      <c r="C234" s="20" t="s">
        <v>305</v>
      </c>
      <c r="D234" s="20">
        <v>24</v>
      </c>
      <c r="E234" s="113">
        <v>43607.909605416673</v>
      </c>
    </row>
    <row r="235" spans="2:5" hidden="1" outlineLevel="1" x14ac:dyDescent="0.2">
      <c r="B235" s="20" t="s">
        <v>226</v>
      </c>
      <c r="C235" s="20" t="s">
        <v>50</v>
      </c>
      <c r="D235" s="20">
        <v>30</v>
      </c>
      <c r="E235" s="113">
        <v>44744.915255333326</v>
      </c>
    </row>
    <row r="236" spans="2:5" hidden="1" outlineLevel="1" x14ac:dyDescent="0.2">
      <c r="B236" s="20" t="s">
        <v>53</v>
      </c>
      <c r="C236" s="20" t="s">
        <v>54</v>
      </c>
      <c r="D236" s="20">
        <v>60</v>
      </c>
      <c r="E236" s="113">
        <v>38600.847459499979</v>
      </c>
    </row>
    <row r="237" spans="2:5" hidden="1" outlineLevel="1" x14ac:dyDescent="0.2">
      <c r="B237" s="20" t="s">
        <v>334</v>
      </c>
      <c r="C237" s="20" t="s">
        <v>341</v>
      </c>
      <c r="D237" s="20">
        <v>52</v>
      </c>
      <c r="E237" s="113">
        <v>37385.07170961536</v>
      </c>
    </row>
    <row r="238" spans="2:5" hidden="1" outlineLevel="1" x14ac:dyDescent="0.2">
      <c r="B238" s="20" t="s">
        <v>246</v>
      </c>
      <c r="C238" s="20" t="s">
        <v>247</v>
      </c>
      <c r="D238" s="20">
        <v>34</v>
      </c>
      <c r="E238" s="113">
        <v>42097.856432058812</v>
      </c>
    </row>
    <row r="239" spans="2:5" hidden="1" outlineLevel="1" x14ac:dyDescent="0.2">
      <c r="B239" s="20" t="s">
        <v>335</v>
      </c>
      <c r="C239" s="20" t="s">
        <v>342</v>
      </c>
      <c r="D239" s="20">
        <v>75</v>
      </c>
      <c r="E239" s="113">
        <v>41818.361583066697</v>
      </c>
    </row>
    <row r="240" spans="2:5" hidden="1" outlineLevel="1" x14ac:dyDescent="0.2">
      <c r="B240" s="20" t="s">
        <v>59</v>
      </c>
      <c r="C240" s="20" t="s">
        <v>60</v>
      </c>
      <c r="D240" s="20">
        <v>44</v>
      </c>
      <c r="E240" s="113">
        <v>42834.283513863622</v>
      </c>
    </row>
    <row r="241" spans="2:5" hidden="1" outlineLevel="1" x14ac:dyDescent="0.2">
      <c r="B241" s="20" t="s">
        <v>230</v>
      </c>
      <c r="C241" s="20" t="s">
        <v>35</v>
      </c>
      <c r="D241" s="20">
        <v>87</v>
      </c>
      <c r="E241" s="113">
        <v>42420.738360114934</v>
      </c>
    </row>
    <row r="242" spans="2:5" hidden="1" outlineLevel="1" x14ac:dyDescent="0.2">
      <c r="B242" s="20" t="s">
        <v>63</v>
      </c>
      <c r="C242" s="20" t="s">
        <v>64</v>
      </c>
      <c r="D242" s="20">
        <v>59</v>
      </c>
      <c r="E242" s="113">
        <v>41926.759553389835</v>
      </c>
    </row>
    <row r="243" spans="2:5" hidden="1" outlineLevel="1" x14ac:dyDescent="0.2">
      <c r="B243" s="20" t="s">
        <v>311</v>
      </c>
      <c r="C243" s="20" t="s">
        <v>308</v>
      </c>
      <c r="D243" s="20">
        <v>47</v>
      </c>
      <c r="E243" s="113">
        <v>48538.640462765943</v>
      </c>
    </row>
    <row r="244" spans="2:5" hidden="1" outlineLevel="1" x14ac:dyDescent="0.2">
      <c r="B244" s="20" t="s">
        <v>598</v>
      </c>
      <c r="C244" s="20" t="s">
        <v>312</v>
      </c>
      <c r="D244" s="20">
        <v>54</v>
      </c>
      <c r="E244" s="113">
        <v>42607.438794814807</v>
      </c>
    </row>
    <row r="245" spans="2:5" hidden="1" outlineLevel="1" x14ac:dyDescent="0.2">
      <c r="B245" s="20" t="s">
        <v>192</v>
      </c>
      <c r="C245" s="20" t="s">
        <v>197</v>
      </c>
      <c r="D245" s="20">
        <v>38</v>
      </c>
      <c r="E245" s="113">
        <v>44423.773417368422</v>
      </c>
    </row>
    <row r="246" spans="2:5" hidden="1" outlineLevel="1" x14ac:dyDescent="0.2">
      <c r="B246" s="20" t="s">
        <v>20</v>
      </c>
      <c r="C246" s="20" t="s">
        <v>21</v>
      </c>
      <c r="D246" s="20">
        <v>59</v>
      </c>
      <c r="E246" s="113">
        <v>44813.860960677972</v>
      </c>
    </row>
    <row r="247" spans="2:5" hidden="1" outlineLevel="1" x14ac:dyDescent="0.2">
      <c r="B247" s="20" t="s">
        <v>333</v>
      </c>
      <c r="C247" s="20" t="s">
        <v>340</v>
      </c>
      <c r="D247" s="20">
        <v>69</v>
      </c>
      <c r="E247" s="113">
        <v>47125.165807101432</v>
      </c>
    </row>
    <row r="248" spans="2:5" hidden="1" outlineLevel="1" x14ac:dyDescent="0.2">
      <c r="B248" s="20" t="s">
        <v>216</v>
      </c>
      <c r="C248" s="20" t="s">
        <v>18</v>
      </c>
      <c r="D248" s="20">
        <v>87</v>
      </c>
      <c r="E248" s="113">
        <v>43979.281123333356</v>
      </c>
    </row>
    <row r="249" spans="2:5" hidden="1" outlineLevel="1" x14ac:dyDescent="0.2">
      <c r="B249" s="20" t="s">
        <v>222</v>
      </c>
      <c r="C249" s="20" t="s">
        <v>223</v>
      </c>
      <c r="D249" s="20">
        <v>47</v>
      </c>
      <c r="E249" s="113">
        <v>43562.080779999982</v>
      </c>
    </row>
    <row r="250" spans="2:5" hidden="1" outlineLevel="1" x14ac:dyDescent="0.2">
      <c r="B250" s="20" t="s">
        <v>357</v>
      </c>
      <c r="C250" s="20" t="s">
        <v>284</v>
      </c>
      <c r="D250" s="20">
        <v>116</v>
      </c>
      <c r="E250" s="113">
        <v>43029.544125517175</v>
      </c>
    </row>
    <row r="251" spans="2:5" hidden="1" outlineLevel="1" x14ac:dyDescent="0.2">
      <c r="B251" s="20" t="s">
        <v>337</v>
      </c>
      <c r="C251" s="20" t="s">
        <v>344</v>
      </c>
      <c r="D251" s="20">
        <v>47</v>
      </c>
      <c r="E251" s="113">
        <v>45293.058058297873</v>
      </c>
    </row>
    <row r="252" spans="2:5" hidden="1" outlineLevel="1" x14ac:dyDescent="0.2">
      <c r="B252" s="20" t="s">
        <v>596</v>
      </c>
      <c r="C252" s="20" t="s">
        <v>302</v>
      </c>
      <c r="D252" s="20">
        <v>66</v>
      </c>
      <c r="E252" s="113">
        <v>47251.335389242427</v>
      </c>
    </row>
    <row r="253" spans="2:5" hidden="1" outlineLevel="1" x14ac:dyDescent="0.2">
      <c r="B253" s="20" t="s">
        <v>315</v>
      </c>
      <c r="C253" s="20" t="s">
        <v>316</v>
      </c>
      <c r="D253" s="20">
        <v>113</v>
      </c>
      <c r="E253" s="113">
        <v>34984.903256460224</v>
      </c>
    </row>
    <row r="254" spans="2:5" hidden="1" outlineLevel="1" x14ac:dyDescent="0.2">
      <c r="B254" s="20" t="s">
        <v>206</v>
      </c>
      <c r="C254" s="20" t="s">
        <v>22</v>
      </c>
      <c r="D254" s="20">
        <v>38</v>
      </c>
      <c r="E254" s="113">
        <v>34432.694024210519</v>
      </c>
    </row>
    <row r="255" spans="2:5" hidden="1" outlineLevel="1" x14ac:dyDescent="0.2">
      <c r="B255" s="20" t="s">
        <v>282</v>
      </c>
      <c r="C255" s="20" t="s">
        <v>283</v>
      </c>
      <c r="D255" s="20">
        <v>130</v>
      </c>
      <c r="E255" s="113">
        <v>44464.60234592302</v>
      </c>
    </row>
    <row r="256" spans="2:5" hidden="1" outlineLevel="1" x14ac:dyDescent="0.2">
      <c r="B256" s="20" t="s">
        <v>57</v>
      </c>
      <c r="C256" s="20" t="s">
        <v>58</v>
      </c>
      <c r="D256" s="20">
        <v>117</v>
      </c>
      <c r="E256" s="113">
        <v>40561.227003333312</v>
      </c>
    </row>
    <row r="257" spans="2:5" hidden="1" outlineLevel="1" x14ac:dyDescent="0.2">
      <c r="B257" s="20" t="s">
        <v>300</v>
      </c>
      <c r="C257" s="20" t="s">
        <v>321</v>
      </c>
      <c r="D257" s="20">
        <v>32</v>
      </c>
      <c r="E257" s="113">
        <v>42636.864407187502</v>
      </c>
    </row>
    <row r="258" spans="2:5" hidden="1" outlineLevel="1" x14ac:dyDescent="0.2">
      <c r="B258" s="20" t="s">
        <v>304</v>
      </c>
      <c r="C258" s="20" t="s">
        <v>306</v>
      </c>
      <c r="D258" s="20">
        <v>69</v>
      </c>
      <c r="E258" s="113">
        <v>45798.710390869557</v>
      </c>
    </row>
    <row r="259" spans="2:5" hidden="1" outlineLevel="1" x14ac:dyDescent="0.2">
      <c r="B259" s="20" t="s">
        <v>117</v>
      </c>
      <c r="C259" s="20" t="s">
        <v>196</v>
      </c>
      <c r="D259" s="20">
        <v>111</v>
      </c>
      <c r="E259" s="113">
        <v>42707.963047837802</v>
      </c>
    </row>
    <row r="260" spans="2:5" hidden="1" outlineLevel="1" x14ac:dyDescent="0.2">
      <c r="B260" s="20" t="s">
        <v>41</v>
      </c>
      <c r="C260" s="20" t="s">
        <v>42</v>
      </c>
      <c r="D260" s="20">
        <v>101</v>
      </c>
      <c r="E260" s="113">
        <v>45837.380433465325</v>
      </c>
    </row>
    <row r="261" spans="2:5" hidden="1" outlineLevel="1" x14ac:dyDescent="0.2">
      <c r="B261" s="20" t="s">
        <v>240</v>
      </c>
      <c r="C261" s="20" t="s">
        <v>241</v>
      </c>
      <c r="D261" s="20">
        <v>64</v>
      </c>
      <c r="E261" s="113">
        <v>47562.711864218742</v>
      </c>
    </row>
    <row r="262" spans="2:5" hidden="1" outlineLevel="1" x14ac:dyDescent="0.2">
      <c r="B262" s="20" t="s">
        <v>595</v>
      </c>
      <c r="C262" s="20" t="s">
        <v>220</v>
      </c>
      <c r="D262" s="20">
        <v>71</v>
      </c>
      <c r="E262" s="113">
        <v>43965.492957746508</v>
      </c>
    </row>
    <row r="263" spans="2:5" hidden="1" outlineLevel="1" x14ac:dyDescent="0.2">
      <c r="B263" s="20" t="s">
        <v>655</v>
      </c>
      <c r="C263" s="20" t="s">
        <v>656</v>
      </c>
      <c r="D263" s="20">
        <v>78</v>
      </c>
      <c r="E263" s="113">
        <v>45435.919165512794</v>
      </c>
    </row>
    <row r="264" spans="2:5" hidden="1" outlineLevel="1" x14ac:dyDescent="0.2">
      <c r="B264" s="20" t="s">
        <v>319</v>
      </c>
      <c r="C264" s="20" t="s">
        <v>320</v>
      </c>
      <c r="D264" s="20">
        <v>100</v>
      </c>
      <c r="E264" s="113">
        <v>42812.711865199999</v>
      </c>
    </row>
    <row r="265" spans="2:5" hidden="1" outlineLevel="1" x14ac:dyDescent="0.2">
      <c r="B265" s="20" t="s">
        <v>288</v>
      </c>
      <c r="C265" s="20" t="s">
        <v>289</v>
      </c>
      <c r="D265" s="20">
        <v>81</v>
      </c>
      <c r="E265" s="113">
        <v>45134.118016913591</v>
      </c>
    </row>
    <row r="266" spans="2:5" hidden="1" outlineLevel="1" x14ac:dyDescent="0.2">
      <c r="B266" s="20" t="s">
        <v>46</v>
      </c>
      <c r="C266" s="20" t="s">
        <v>47</v>
      </c>
      <c r="D266" s="20">
        <v>135</v>
      </c>
      <c r="E266" s="113">
        <v>48674.607658370318</v>
      </c>
    </row>
    <row r="267" spans="2:5" hidden="1" outlineLevel="1" x14ac:dyDescent="0.2">
      <c r="B267" s="20" t="s">
        <v>207</v>
      </c>
      <c r="C267" s="20" t="s">
        <v>201</v>
      </c>
      <c r="D267" s="20">
        <v>84</v>
      </c>
      <c r="E267" s="113">
        <v>47275.181598928582</v>
      </c>
    </row>
    <row r="268" spans="2:5" hidden="1" outlineLevel="1" x14ac:dyDescent="0.2">
      <c r="B268" s="20" t="s">
        <v>118</v>
      </c>
      <c r="C268" s="20" t="s">
        <v>200</v>
      </c>
      <c r="D268" s="20">
        <v>97</v>
      </c>
      <c r="E268" s="113">
        <v>45456.080726804081</v>
      </c>
    </row>
    <row r="269" spans="2:5" hidden="1" outlineLevel="1" x14ac:dyDescent="0.2">
      <c r="B269" s="20" t="s">
        <v>299</v>
      </c>
      <c r="C269" s="20" t="s">
        <v>290</v>
      </c>
      <c r="D269" s="20">
        <v>93</v>
      </c>
      <c r="E269" s="113">
        <v>41324.10242473118</v>
      </c>
    </row>
    <row r="270" spans="2:5" hidden="1" outlineLevel="1" x14ac:dyDescent="0.2">
      <c r="B270" s="20" t="s">
        <v>19</v>
      </c>
      <c r="C270" s="20" t="s">
        <v>205</v>
      </c>
      <c r="D270" s="20">
        <v>94</v>
      </c>
      <c r="E270" s="113">
        <v>46095.43815340424</v>
      </c>
    </row>
    <row r="271" spans="2:5" hidden="1" outlineLevel="1" x14ac:dyDescent="0.2">
      <c r="B271" s="20" t="s">
        <v>221</v>
      </c>
      <c r="C271" s="20" t="s">
        <v>45</v>
      </c>
      <c r="D271" s="20">
        <v>84</v>
      </c>
      <c r="E271" s="113">
        <v>49333.292978690457</v>
      </c>
    </row>
    <row r="272" spans="2:5" hidden="1" outlineLevel="1" x14ac:dyDescent="0.2">
      <c r="B272" s="20" t="s">
        <v>194</v>
      </c>
      <c r="C272" s="20" t="s">
        <v>199</v>
      </c>
      <c r="D272" s="20">
        <v>52</v>
      </c>
      <c r="E272" s="113">
        <v>38998.50065326922</v>
      </c>
    </row>
    <row r="273" spans="2:5" hidden="1" outlineLevel="1" x14ac:dyDescent="0.2">
      <c r="B273" s="20" t="s">
        <v>322</v>
      </c>
      <c r="C273" s="20" t="s">
        <v>324</v>
      </c>
      <c r="D273" s="20">
        <v>53</v>
      </c>
      <c r="E273" s="113">
        <v>38390.582028113196</v>
      </c>
    </row>
    <row r="274" spans="2:5" hidden="1" outlineLevel="1" x14ac:dyDescent="0.2">
      <c r="B274" s="20" t="s">
        <v>313</v>
      </c>
      <c r="C274" s="20" t="s">
        <v>314</v>
      </c>
      <c r="D274" s="20">
        <v>77</v>
      </c>
      <c r="E274" s="113">
        <v>41073.332600649359</v>
      </c>
    </row>
    <row r="275" spans="2:5" hidden="1" outlineLevel="1" x14ac:dyDescent="0.2">
      <c r="B275" s="20" t="s">
        <v>23</v>
      </c>
      <c r="C275" s="20" t="s">
        <v>24</v>
      </c>
      <c r="D275" s="20">
        <v>36</v>
      </c>
      <c r="E275" s="113">
        <v>41359.792844444441</v>
      </c>
    </row>
    <row r="276" spans="2:5" hidden="1" outlineLevel="1" x14ac:dyDescent="0.2">
      <c r="B276" s="20" t="s">
        <v>249</v>
      </c>
      <c r="C276" s="20" t="s">
        <v>250</v>
      </c>
      <c r="D276" s="20">
        <v>82</v>
      </c>
      <c r="E276" s="113">
        <v>41214.530798536602</v>
      </c>
    </row>
    <row r="277" spans="2:5" hidden="1" outlineLevel="1" x14ac:dyDescent="0.2">
      <c r="B277" s="20" t="s">
        <v>36</v>
      </c>
      <c r="C277" s="20" t="s">
        <v>37</v>
      </c>
      <c r="D277" s="20">
        <v>38</v>
      </c>
      <c r="E277" s="113">
        <v>43353.300624999989</v>
      </c>
    </row>
    <row r="278" spans="2:5" hidden="1" outlineLevel="1" x14ac:dyDescent="0.2">
      <c r="B278" s="20" t="s">
        <v>227</v>
      </c>
      <c r="C278" s="20" t="s">
        <v>242</v>
      </c>
      <c r="D278" s="20">
        <v>59</v>
      </c>
      <c r="E278" s="113">
        <v>37847.471991525403</v>
      </c>
    </row>
    <row r="279" spans="2:5" hidden="1" outlineLevel="1" x14ac:dyDescent="0.2">
      <c r="B279" s="20" t="s">
        <v>38</v>
      </c>
      <c r="C279" s="20" t="s">
        <v>39</v>
      </c>
      <c r="D279" s="20">
        <v>82</v>
      </c>
      <c r="E279" s="113">
        <v>46516.308392682935</v>
      </c>
    </row>
    <row r="280" spans="2:5" hidden="1" outlineLevel="1" x14ac:dyDescent="0.2">
      <c r="B280" s="20" t="s">
        <v>309</v>
      </c>
      <c r="C280" s="20" t="s">
        <v>310</v>
      </c>
      <c r="D280" s="20">
        <v>53</v>
      </c>
      <c r="E280" s="113">
        <v>40789.047010377348</v>
      </c>
    </row>
    <row r="281" spans="2:5" hidden="1" outlineLevel="1" x14ac:dyDescent="0.2">
      <c r="B281" s="20" t="s">
        <v>597</v>
      </c>
      <c r="C281" s="20" t="s">
        <v>40</v>
      </c>
      <c r="D281" s="20">
        <v>50</v>
      </c>
      <c r="E281" s="113">
        <v>37388.983052399984</v>
      </c>
    </row>
    <row r="282" spans="2:5" hidden="1" outlineLevel="1" x14ac:dyDescent="0.2">
      <c r="E282" s="171"/>
    </row>
    <row r="283" spans="2:5" hidden="1" outlineLevel="1" x14ac:dyDescent="0.2">
      <c r="E283" s="171"/>
    </row>
    <row r="284" spans="2:5" outlineLevel="1" x14ac:dyDescent="0.2">
      <c r="E284" s="171"/>
    </row>
    <row r="285" spans="2:5" x14ac:dyDescent="0.2">
      <c r="B285" s="101">
        <v>45505</v>
      </c>
      <c r="E285" s="171"/>
    </row>
    <row r="286" spans="2:5" hidden="1" outlineLevel="1" x14ac:dyDescent="0.2">
      <c r="B286" s="2" t="s">
        <v>252</v>
      </c>
    </row>
    <row r="287" spans="2:5" hidden="1" outlineLevel="1" x14ac:dyDescent="0.2">
      <c r="B287" s="57"/>
      <c r="C287" s="2" t="s">
        <v>253</v>
      </c>
    </row>
    <row r="288" spans="2:5" hidden="1" outlineLevel="1" x14ac:dyDescent="0.2">
      <c r="B288" s="58"/>
      <c r="C288" s="2" t="s">
        <v>254</v>
      </c>
    </row>
    <row r="289" spans="2:6" hidden="1" outlineLevel="1" x14ac:dyDescent="0.2"/>
    <row r="290" spans="2:6" hidden="1" outlineLevel="1" x14ac:dyDescent="0.2">
      <c r="B290" s="99" t="s">
        <v>73</v>
      </c>
      <c r="C290" s="99" t="s">
        <v>3</v>
      </c>
      <c r="D290" s="99" t="s">
        <v>16</v>
      </c>
      <c r="E290" s="99" t="s">
        <v>257</v>
      </c>
      <c r="F290" s="99" t="s">
        <v>107</v>
      </c>
    </row>
    <row r="291" spans="2:6" hidden="1" outlineLevel="1" x14ac:dyDescent="0.2">
      <c r="B291" s="20" t="s">
        <v>191</v>
      </c>
      <c r="C291" s="20" t="s">
        <v>639</v>
      </c>
      <c r="D291" s="20" t="s">
        <v>195</v>
      </c>
      <c r="E291" s="20">
        <v>85</v>
      </c>
      <c r="F291" s="113">
        <v>33678.115653040826</v>
      </c>
    </row>
    <row r="292" spans="2:6" hidden="1" outlineLevel="1" x14ac:dyDescent="0.2">
      <c r="B292" s="20" t="s">
        <v>31</v>
      </c>
      <c r="C292" s="20" t="s">
        <v>639</v>
      </c>
      <c r="D292" s="20" t="s">
        <v>32</v>
      </c>
      <c r="E292" s="20">
        <v>139</v>
      </c>
      <c r="F292" s="113">
        <v>33171.936349225653</v>
      </c>
    </row>
    <row r="293" spans="2:6" hidden="1" outlineLevel="1" x14ac:dyDescent="0.2">
      <c r="B293" s="20" t="s">
        <v>351</v>
      </c>
      <c r="C293" s="20" t="s">
        <v>639</v>
      </c>
      <c r="D293" s="20" t="s">
        <v>641</v>
      </c>
      <c r="E293" s="20">
        <v>18</v>
      </c>
      <c r="F293" s="113">
        <v>34368.2674199623</v>
      </c>
    </row>
    <row r="294" spans="2:6" hidden="1" outlineLevel="1" x14ac:dyDescent="0.2">
      <c r="B294" s="57" t="s">
        <v>218</v>
      </c>
      <c r="C294" s="57" t="s">
        <v>639</v>
      </c>
      <c r="D294" s="57" t="s">
        <v>219</v>
      </c>
      <c r="E294" s="57">
        <v>128</v>
      </c>
      <c r="F294" s="157">
        <v>31547.086864406734</v>
      </c>
    </row>
    <row r="295" spans="2:6" hidden="1" outlineLevel="1" x14ac:dyDescent="0.2">
      <c r="B295" s="57" t="s">
        <v>685</v>
      </c>
      <c r="C295" s="57" t="s">
        <v>639</v>
      </c>
      <c r="D295" s="57" t="s">
        <v>686</v>
      </c>
      <c r="E295" s="57">
        <v>96</v>
      </c>
      <c r="F295" s="157">
        <v>30719.491525423673</v>
      </c>
    </row>
    <row r="296" spans="2:6" hidden="1" outlineLevel="1" x14ac:dyDescent="0.2">
      <c r="B296" s="57" t="s">
        <v>642</v>
      </c>
      <c r="C296" s="57" t="s">
        <v>639</v>
      </c>
      <c r="D296" s="57" t="s">
        <v>643</v>
      </c>
      <c r="E296" s="57">
        <v>34</v>
      </c>
      <c r="F296" s="157">
        <v>32576.420737786597</v>
      </c>
    </row>
    <row r="297" spans="2:6" hidden="1" outlineLevel="1" x14ac:dyDescent="0.2">
      <c r="B297" s="57" t="s">
        <v>599</v>
      </c>
      <c r="C297" s="57" t="s">
        <v>639</v>
      </c>
      <c r="D297" s="57" t="s">
        <v>251</v>
      </c>
      <c r="E297" s="57">
        <v>74</v>
      </c>
      <c r="F297" s="157">
        <v>31309.276225377875</v>
      </c>
    </row>
    <row r="298" spans="2:6" hidden="1" outlineLevel="1" x14ac:dyDescent="0.2">
      <c r="B298" s="57" t="s">
        <v>689</v>
      </c>
      <c r="C298" s="57" t="s">
        <v>645</v>
      </c>
      <c r="D298" s="57" t="s">
        <v>690</v>
      </c>
      <c r="E298" s="57">
        <v>59</v>
      </c>
      <c r="F298" s="157">
        <v>29516.532605573058</v>
      </c>
    </row>
    <row r="299" spans="2:6" hidden="1" outlineLevel="1" x14ac:dyDescent="0.2">
      <c r="B299" s="57" t="s">
        <v>225</v>
      </c>
      <c r="C299" s="57" t="s">
        <v>645</v>
      </c>
      <c r="D299" s="57" t="s">
        <v>27</v>
      </c>
      <c r="E299" s="57">
        <v>93</v>
      </c>
      <c r="F299" s="157">
        <v>31874.49425915796</v>
      </c>
    </row>
    <row r="300" spans="2:6" hidden="1" outlineLevel="1" x14ac:dyDescent="0.2">
      <c r="B300" s="57" t="s">
        <v>224</v>
      </c>
      <c r="C300" s="57" t="s">
        <v>645</v>
      </c>
      <c r="D300" s="57" t="s">
        <v>33</v>
      </c>
      <c r="E300" s="57">
        <v>143</v>
      </c>
      <c r="F300" s="157">
        <v>32285.510252459353</v>
      </c>
    </row>
    <row r="301" spans="2:6" hidden="1" outlineLevel="1" x14ac:dyDescent="0.2">
      <c r="B301" s="57" t="s">
        <v>29</v>
      </c>
      <c r="C301" s="57" t="s">
        <v>645</v>
      </c>
      <c r="D301" s="57" t="s">
        <v>30</v>
      </c>
      <c r="E301" s="57">
        <v>90</v>
      </c>
      <c r="F301" s="157">
        <v>32889.924670433094</v>
      </c>
    </row>
    <row r="302" spans="2:6" hidden="1" outlineLevel="1" x14ac:dyDescent="0.2">
      <c r="B302" s="20" t="s">
        <v>244</v>
      </c>
      <c r="C302" s="20" t="s">
        <v>645</v>
      </c>
      <c r="D302" s="20" t="s">
        <v>245</v>
      </c>
      <c r="E302" s="20">
        <v>106</v>
      </c>
      <c r="F302" s="113">
        <v>36215.973776782812</v>
      </c>
    </row>
    <row r="303" spans="2:6" hidden="1" outlineLevel="1" x14ac:dyDescent="0.2">
      <c r="B303" s="20" t="s">
        <v>353</v>
      </c>
      <c r="C303" s="20" t="s">
        <v>645</v>
      </c>
      <c r="D303" s="20" t="s">
        <v>594</v>
      </c>
      <c r="E303" s="20">
        <v>42</v>
      </c>
      <c r="F303" s="113">
        <v>36520.54075867631</v>
      </c>
    </row>
    <row r="304" spans="2:6" hidden="1" outlineLevel="1" x14ac:dyDescent="0.2">
      <c r="B304" s="20" t="s">
        <v>61</v>
      </c>
      <c r="C304" s="20" t="s">
        <v>645</v>
      </c>
      <c r="D304" s="20" t="s">
        <v>62</v>
      </c>
      <c r="E304" s="20">
        <v>82</v>
      </c>
      <c r="F304" s="113">
        <v>36274.472922695284</v>
      </c>
    </row>
    <row r="305" spans="2:6" hidden="1" outlineLevel="1" x14ac:dyDescent="0.2">
      <c r="B305" s="57" t="s">
        <v>691</v>
      </c>
      <c r="C305" s="57" t="s">
        <v>645</v>
      </c>
      <c r="D305" s="57" t="s">
        <v>692</v>
      </c>
      <c r="E305" s="57">
        <v>63</v>
      </c>
      <c r="F305" s="157">
        <v>31812.44283023939</v>
      </c>
    </row>
    <row r="306" spans="2:6" hidden="1" outlineLevel="1" x14ac:dyDescent="0.2">
      <c r="B306" s="57" t="s">
        <v>25</v>
      </c>
      <c r="C306" s="57" t="s">
        <v>647</v>
      </c>
      <c r="D306" s="57" t="s">
        <v>26</v>
      </c>
      <c r="E306" s="57">
        <v>110</v>
      </c>
      <c r="F306" s="157">
        <v>29560.01540832044</v>
      </c>
    </row>
    <row r="307" spans="2:6" hidden="1" outlineLevel="1" x14ac:dyDescent="0.2">
      <c r="B307" s="20" t="s">
        <v>298</v>
      </c>
      <c r="C307" s="20" t="s">
        <v>647</v>
      </c>
      <c r="D307" s="20" t="s">
        <v>49</v>
      </c>
      <c r="E307" s="20">
        <v>38</v>
      </c>
      <c r="F307" s="113">
        <v>37911.730597680602</v>
      </c>
    </row>
    <row r="308" spans="2:6" hidden="1" outlineLevel="1" x14ac:dyDescent="0.2">
      <c r="B308" s="57" t="s">
        <v>687</v>
      </c>
      <c r="C308" s="57" t="s">
        <v>647</v>
      </c>
      <c r="D308" s="57" t="s">
        <v>688</v>
      </c>
      <c r="E308" s="57">
        <v>73</v>
      </c>
      <c r="F308" s="157">
        <v>31297.039702809332</v>
      </c>
    </row>
    <row r="309" spans="2:6" hidden="1" outlineLevel="1" x14ac:dyDescent="0.2">
      <c r="B309" s="57" t="s">
        <v>51</v>
      </c>
      <c r="C309" s="57" t="s">
        <v>647</v>
      </c>
      <c r="D309" s="57" t="s">
        <v>52</v>
      </c>
      <c r="E309" s="57">
        <v>69</v>
      </c>
      <c r="F309" s="157">
        <v>31134.008843036059</v>
      </c>
    </row>
    <row r="310" spans="2:6" hidden="1" outlineLevel="1" x14ac:dyDescent="0.2">
      <c r="B310" s="57" t="s">
        <v>303</v>
      </c>
      <c r="C310" s="57" t="s">
        <v>647</v>
      </c>
      <c r="D310" s="57" t="s">
        <v>305</v>
      </c>
      <c r="E310" s="57">
        <v>117</v>
      </c>
      <c r="F310" s="157">
        <v>28240.496885412085</v>
      </c>
    </row>
    <row r="311" spans="2:6" hidden="1" outlineLevel="1" x14ac:dyDescent="0.2">
      <c r="B311" s="57" t="s">
        <v>53</v>
      </c>
      <c r="C311" s="57" t="s">
        <v>647</v>
      </c>
      <c r="D311" s="57" t="s">
        <v>54</v>
      </c>
      <c r="E311" s="57">
        <v>118</v>
      </c>
      <c r="F311" s="157">
        <v>32992.545245619025</v>
      </c>
    </row>
    <row r="312" spans="2:6" hidden="1" outlineLevel="1" x14ac:dyDescent="0.2">
      <c r="B312" s="57" t="s">
        <v>693</v>
      </c>
      <c r="C312" s="57" t="s">
        <v>647</v>
      </c>
      <c r="D312" s="57" t="s">
        <v>694</v>
      </c>
      <c r="E312" s="57">
        <v>37</v>
      </c>
      <c r="F312" s="157">
        <v>30690.861200183197</v>
      </c>
    </row>
    <row r="313" spans="2:6" hidden="1" outlineLevel="1" x14ac:dyDescent="0.2">
      <c r="B313" s="57" t="s">
        <v>334</v>
      </c>
      <c r="C313" s="57" t="s">
        <v>647</v>
      </c>
      <c r="D313" s="57" t="s">
        <v>341</v>
      </c>
      <c r="E313" s="57">
        <v>104</v>
      </c>
      <c r="F313" s="157">
        <v>30401.694915254186</v>
      </c>
    </row>
    <row r="314" spans="2:6" hidden="1" outlineLevel="1" x14ac:dyDescent="0.2">
      <c r="B314" s="57" t="s">
        <v>246</v>
      </c>
      <c r="C314" s="57" t="s">
        <v>647</v>
      </c>
      <c r="D314" s="57" t="s">
        <v>247</v>
      </c>
      <c r="E314" s="57">
        <v>66</v>
      </c>
      <c r="F314" s="157">
        <v>30302.182845403135</v>
      </c>
    </row>
    <row r="315" spans="2:6" hidden="1" outlineLevel="1" x14ac:dyDescent="0.2">
      <c r="B315" s="57" t="s">
        <v>335</v>
      </c>
      <c r="C315" s="57" t="s">
        <v>653</v>
      </c>
      <c r="D315" s="57" t="s">
        <v>342</v>
      </c>
      <c r="E315" s="57">
        <v>201</v>
      </c>
      <c r="F315" s="157">
        <v>31818.867526772883</v>
      </c>
    </row>
    <row r="316" spans="2:6" hidden="1" outlineLevel="1" x14ac:dyDescent="0.2">
      <c r="B316" s="20" t="s">
        <v>59</v>
      </c>
      <c r="C316" s="20" t="s">
        <v>653</v>
      </c>
      <c r="D316" s="20" t="s">
        <v>60</v>
      </c>
      <c r="E316" s="20">
        <v>85</v>
      </c>
      <c r="F316" s="113">
        <v>37077.916251246221</v>
      </c>
    </row>
    <row r="317" spans="2:6" hidden="1" outlineLevel="1" x14ac:dyDescent="0.2">
      <c r="B317" s="20" t="s">
        <v>230</v>
      </c>
      <c r="C317" s="20" t="s">
        <v>653</v>
      </c>
      <c r="D317" s="20" t="s">
        <v>35</v>
      </c>
      <c r="E317" s="20">
        <v>82</v>
      </c>
      <c r="F317" s="113">
        <v>37855.704836709338</v>
      </c>
    </row>
    <row r="318" spans="2:6" hidden="1" outlineLevel="1" x14ac:dyDescent="0.2">
      <c r="B318" s="20" t="s">
        <v>63</v>
      </c>
      <c r="C318" s="20" t="s">
        <v>653</v>
      </c>
      <c r="D318" s="20" t="s">
        <v>64</v>
      </c>
      <c r="E318" s="20">
        <v>135</v>
      </c>
      <c r="F318" s="113">
        <v>37318.675455116085</v>
      </c>
    </row>
    <row r="319" spans="2:6" hidden="1" outlineLevel="1" x14ac:dyDescent="0.2">
      <c r="B319" s="20" t="s">
        <v>311</v>
      </c>
      <c r="C319" s="20" t="s">
        <v>653</v>
      </c>
      <c r="D319" s="20" t="s">
        <v>308</v>
      </c>
      <c r="E319" s="20">
        <v>152</v>
      </c>
      <c r="F319" s="113">
        <v>33523.907225691299</v>
      </c>
    </row>
    <row r="320" spans="2:6" hidden="1" outlineLevel="1" x14ac:dyDescent="0.2">
      <c r="B320" s="20" t="s">
        <v>598</v>
      </c>
      <c r="C320" s="20" t="s">
        <v>653</v>
      </c>
      <c r="D320" s="20" t="s">
        <v>312</v>
      </c>
      <c r="E320" s="20">
        <v>72</v>
      </c>
      <c r="F320" s="113">
        <v>35780.696798493365</v>
      </c>
    </row>
    <row r="321" spans="2:6" hidden="1" outlineLevel="1" x14ac:dyDescent="0.2">
      <c r="B321" s="20" t="s">
        <v>192</v>
      </c>
      <c r="C321" s="20" t="s">
        <v>653</v>
      </c>
      <c r="D321" s="20" t="s">
        <v>197</v>
      </c>
      <c r="E321" s="20">
        <v>166</v>
      </c>
      <c r="F321" s="113">
        <v>34076.138452113497</v>
      </c>
    </row>
    <row r="322" spans="2:6" hidden="1" outlineLevel="1" x14ac:dyDescent="0.2">
      <c r="B322" s="20" t="s">
        <v>20</v>
      </c>
      <c r="C322" s="20" t="s">
        <v>650</v>
      </c>
      <c r="D322" s="20" t="s">
        <v>21</v>
      </c>
      <c r="E322" s="20">
        <v>119</v>
      </c>
      <c r="F322" s="113">
        <v>34766.279732231837</v>
      </c>
    </row>
    <row r="323" spans="2:6" hidden="1" outlineLevel="1" x14ac:dyDescent="0.2">
      <c r="B323" s="20" t="s">
        <v>333</v>
      </c>
      <c r="C323" s="20" t="s">
        <v>650</v>
      </c>
      <c r="D323" s="20" t="s">
        <v>340</v>
      </c>
      <c r="E323" s="20">
        <v>49</v>
      </c>
      <c r="F323" s="113">
        <v>40089.086821169105</v>
      </c>
    </row>
    <row r="324" spans="2:6" hidden="1" outlineLevel="1" x14ac:dyDescent="0.2">
      <c r="B324" s="20" t="s">
        <v>699</v>
      </c>
      <c r="C324" s="20" t="s">
        <v>650</v>
      </c>
      <c r="D324" s="20" t="s">
        <v>700</v>
      </c>
      <c r="E324" s="20">
        <v>69</v>
      </c>
      <c r="F324" s="113">
        <v>34315.045443379953</v>
      </c>
    </row>
    <row r="325" spans="2:6" hidden="1" outlineLevel="1" x14ac:dyDescent="0.2">
      <c r="B325" s="20" t="s">
        <v>216</v>
      </c>
      <c r="C325" s="20" t="s">
        <v>650</v>
      </c>
      <c r="D325" s="20" t="s">
        <v>18</v>
      </c>
      <c r="E325" s="20">
        <v>95</v>
      </c>
      <c r="F325" s="113">
        <v>37001.828724353218</v>
      </c>
    </row>
    <row r="326" spans="2:6" hidden="1" outlineLevel="1" x14ac:dyDescent="0.2">
      <c r="B326" s="20" t="s">
        <v>222</v>
      </c>
      <c r="C326" s="20" t="s">
        <v>650</v>
      </c>
      <c r="D326" s="20" t="s">
        <v>223</v>
      </c>
      <c r="E326" s="20">
        <v>92</v>
      </c>
      <c r="F326" s="113">
        <v>33436.882829771508</v>
      </c>
    </row>
    <row r="327" spans="2:6" hidden="1" outlineLevel="1" x14ac:dyDescent="0.2">
      <c r="B327" s="20" t="s">
        <v>357</v>
      </c>
      <c r="C327" s="20" t="s">
        <v>662</v>
      </c>
      <c r="D327" s="20" t="s">
        <v>284</v>
      </c>
      <c r="E327" s="20">
        <v>115</v>
      </c>
      <c r="F327" s="113">
        <v>37655.747973470898</v>
      </c>
    </row>
    <row r="328" spans="2:6" hidden="1" outlineLevel="1" x14ac:dyDescent="0.2">
      <c r="B328" s="20" t="s">
        <v>337</v>
      </c>
      <c r="C328" s="20" t="s">
        <v>662</v>
      </c>
      <c r="D328" s="20" t="s">
        <v>344</v>
      </c>
      <c r="E328" s="20">
        <v>48</v>
      </c>
      <c r="F328" s="113">
        <v>40447.598870056499</v>
      </c>
    </row>
    <row r="329" spans="2:6" hidden="1" outlineLevel="1" x14ac:dyDescent="0.2">
      <c r="B329" s="20" t="s">
        <v>596</v>
      </c>
      <c r="C329" s="20" t="s">
        <v>662</v>
      </c>
      <c r="D329" s="20" t="s">
        <v>302</v>
      </c>
      <c r="E329" s="20">
        <v>200</v>
      </c>
      <c r="F329" s="113">
        <v>33774.576271186394</v>
      </c>
    </row>
    <row r="330" spans="2:6" hidden="1" outlineLevel="1" x14ac:dyDescent="0.2">
      <c r="B330" s="57" t="s">
        <v>315</v>
      </c>
      <c r="C330" s="57" t="s">
        <v>662</v>
      </c>
      <c r="D330" s="57" t="s">
        <v>316</v>
      </c>
      <c r="E330" s="57">
        <v>156</v>
      </c>
      <c r="F330" s="157">
        <v>29730.790960451988</v>
      </c>
    </row>
    <row r="331" spans="2:6" hidden="1" outlineLevel="1" x14ac:dyDescent="0.2">
      <c r="B331" s="20" t="s">
        <v>206</v>
      </c>
      <c r="C331" s="20" t="s">
        <v>662</v>
      </c>
      <c r="D331" s="20" t="s">
        <v>22</v>
      </c>
      <c r="E331" s="20">
        <v>27</v>
      </c>
      <c r="F331" s="113">
        <v>34493.816698053939</v>
      </c>
    </row>
    <row r="332" spans="2:6" hidden="1" outlineLevel="1" x14ac:dyDescent="0.2">
      <c r="B332" s="20" t="s">
        <v>282</v>
      </c>
      <c r="C332" s="20" t="s">
        <v>662</v>
      </c>
      <c r="D332" s="20" t="s">
        <v>283</v>
      </c>
      <c r="E332" s="20">
        <v>181</v>
      </c>
      <c r="F332" s="113">
        <v>41721.223897368691</v>
      </c>
    </row>
    <row r="333" spans="2:6" hidden="1" outlineLevel="1" x14ac:dyDescent="0.2">
      <c r="B333" s="57" t="s">
        <v>57</v>
      </c>
      <c r="C333" s="57" t="s">
        <v>662</v>
      </c>
      <c r="D333" s="57" t="s">
        <v>58</v>
      </c>
      <c r="E333" s="57">
        <v>86</v>
      </c>
      <c r="F333" s="157">
        <v>31453.626330311377</v>
      </c>
    </row>
    <row r="334" spans="2:6" hidden="1" outlineLevel="1" x14ac:dyDescent="0.2">
      <c r="B334" s="20" t="s">
        <v>304</v>
      </c>
      <c r="C334" s="20" t="s">
        <v>658</v>
      </c>
      <c r="D334" s="20" t="s">
        <v>306</v>
      </c>
      <c r="E334" s="20">
        <v>88</v>
      </c>
      <c r="F334" s="113">
        <v>42169.799691833548</v>
      </c>
    </row>
    <row r="335" spans="2:6" hidden="1" outlineLevel="1" x14ac:dyDescent="0.2">
      <c r="B335" s="20" t="s">
        <v>659</v>
      </c>
      <c r="C335" s="20" t="s">
        <v>658</v>
      </c>
      <c r="D335" s="20" t="s">
        <v>660</v>
      </c>
      <c r="E335" s="20">
        <v>97</v>
      </c>
      <c r="F335" s="113">
        <v>40222.811462519625</v>
      </c>
    </row>
    <row r="336" spans="2:6" hidden="1" outlineLevel="1" x14ac:dyDescent="0.2">
      <c r="B336" s="20" t="s">
        <v>117</v>
      </c>
      <c r="C336" s="20" t="s">
        <v>658</v>
      </c>
      <c r="D336" s="20" t="s">
        <v>196</v>
      </c>
      <c r="E336" s="20">
        <v>118</v>
      </c>
      <c r="F336" s="113">
        <v>43470.856075840224</v>
      </c>
    </row>
    <row r="337" spans="2:6" hidden="1" outlineLevel="1" x14ac:dyDescent="0.2">
      <c r="B337" s="20" t="s">
        <v>703</v>
      </c>
      <c r="C337" s="20" t="s">
        <v>658</v>
      </c>
      <c r="D337" s="20" t="s">
        <v>704</v>
      </c>
      <c r="E337" s="20">
        <v>49</v>
      </c>
      <c r="F337" s="113">
        <v>45398.668280871643</v>
      </c>
    </row>
    <row r="338" spans="2:6" hidden="1" outlineLevel="1" x14ac:dyDescent="0.2">
      <c r="B338" s="20" t="s">
        <v>41</v>
      </c>
      <c r="C338" s="20" t="s">
        <v>658</v>
      </c>
      <c r="D338" s="20" t="s">
        <v>42</v>
      </c>
      <c r="E338" s="20">
        <v>63</v>
      </c>
      <c r="F338" s="113">
        <v>39883.467850416964</v>
      </c>
    </row>
    <row r="339" spans="2:6" hidden="1" outlineLevel="1" x14ac:dyDescent="0.2">
      <c r="B339" s="20" t="s">
        <v>240</v>
      </c>
      <c r="C339" s="20" t="s">
        <v>654</v>
      </c>
      <c r="D339" s="20" t="s">
        <v>241</v>
      </c>
      <c r="E339" s="20">
        <v>68</v>
      </c>
      <c r="F339" s="113">
        <v>39567.946161515407</v>
      </c>
    </row>
    <row r="340" spans="2:6" hidden="1" outlineLevel="1" x14ac:dyDescent="0.2">
      <c r="B340" s="20" t="s">
        <v>595</v>
      </c>
      <c r="C340" s="20" t="s">
        <v>654</v>
      </c>
      <c r="D340" s="20" t="s">
        <v>220</v>
      </c>
      <c r="E340" s="20">
        <v>89</v>
      </c>
      <c r="F340" s="113">
        <v>36715.968386973858</v>
      </c>
    </row>
    <row r="341" spans="2:6" hidden="1" outlineLevel="1" x14ac:dyDescent="0.2">
      <c r="B341" s="20" t="s">
        <v>655</v>
      </c>
      <c r="C341" s="20" t="s">
        <v>654</v>
      </c>
      <c r="D341" s="20" t="s">
        <v>656</v>
      </c>
      <c r="E341" s="20">
        <v>13</v>
      </c>
      <c r="F341" s="113">
        <v>46544.132985658362</v>
      </c>
    </row>
    <row r="342" spans="2:6" hidden="1" outlineLevel="1" x14ac:dyDescent="0.2">
      <c r="B342" s="20" t="s">
        <v>319</v>
      </c>
      <c r="C342" s="20" t="s">
        <v>654</v>
      </c>
      <c r="D342" s="20" t="s">
        <v>320</v>
      </c>
      <c r="E342" s="20">
        <v>110</v>
      </c>
      <c r="F342" s="113">
        <v>36655.546995377459</v>
      </c>
    </row>
    <row r="343" spans="2:6" hidden="1" outlineLevel="1" x14ac:dyDescent="0.2">
      <c r="B343" s="20" t="s">
        <v>288</v>
      </c>
      <c r="C343" s="20" t="s">
        <v>654</v>
      </c>
      <c r="D343" s="20" t="s">
        <v>289</v>
      </c>
      <c r="E343" s="20">
        <v>73</v>
      </c>
      <c r="F343" s="113">
        <v>34559.17111678658</v>
      </c>
    </row>
    <row r="344" spans="2:6" hidden="1" outlineLevel="1" x14ac:dyDescent="0.2">
      <c r="B344" s="20" t="s">
        <v>72</v>
      </c>
      <c r="C344" s="20" t="s">
        <v>654</v>
      </c>
      <c r="D344" s="20" t="s">
        <v>43</v>
      </c>
      <c r="E344" s="20">
        <v>87</v>
      </c>
      <c r="F344" s="113">
        <v>35913.822326125031</v>
      </c>
    </row>
    <row r="345" spans="2:6" hidden="1" outlineLevel="1" x14ac:dyDescent="0.2">
      <c r="B345" s="20" t="s">
        <v>46</v>
      </c>
      <c r="C345" s="20" t="s">
        <v>651</v>
      </c>
      <c r="D345" s="20" t="s">
        <v>47</v>
      </c>
      <c r="E345" s="20">
        <v>79</v>
      </c>
      <c r="F345" s="113">
        <v>41149.120360437635</v>
      </c>
    </row>
    <row r="346" spans="2:6" hidden="1" outlineLevel="1" x14ac:dyDescent="0.2">
      <c r="B346" s="20" t="s">
        <v>701</v>
      </c>
      <c r="C346" s="20" t="s">
        <v>651</v>
      </c>
      <c r="D346" s="20" t="s">
        <v>702</v>
      </c>
      <c r="E346" s="20">
        <v>29</v>
      </c>
      <c r="F346" s="113">
        <v>36059.935710111</v>
      </c>
    </row>
    <row r="347" spans="2:6" hidden="1" outlineLevel="1" x14ac:dyDescent="0.2">
      <c r="B347" s="20" t="s">
        <v>207</v>
      </c>
      <c r="C347" s="20" t="s">
        <v>651</v>
      </c>
      <c r="D347" s="20" t="s">
        <v>201</v>
      </c>
      <c r="E347" s="20">
        <v>68</v>
      </c>
      <c r="F347" s="113">
        <v>42496.660019940144</v>
      </c>
    </row>
    <row r="348" spans="2:6" hidden="1" outlineLevel="1" x14ac:dyDescent="0.2">
      <c r="B348" s="20" t="s">
        <v>118</v>
      </c>
      <c r="C348" s="20" t="s">
        <v>651</v>
      </c>
      <c r="D348" s="20" t="s">
        <v>200</v>
      </c>
      <c r="E348" s="20">
        <v>66</v>
      </c>
      <c r="F348" s="113">
        <v>33319.645608628613</v>
      </c>
    </row>
    <row r="349" spans="2:6" hidden="1" outlineLevel="1" x14ac:dyDescent="0.2">
      <c r="B349" s="20" t="s">
        <v>299</v>
      </c>
      <c r="C349" s="20" t="s">
        <v>651</v>
      </c>
      <c r="D349" s="20" t="s">
        <v>290</v>
      </c>
      <c r="E349" s="20">
        <v>74</v>
      </c>
      <c r="F349" s="113">
        <v>37882.798900595466</v>
      </c>
    </row>
    <row r="350" spans="2:6" hidden="1" outlineLevel="1" x14ac:dyDescent="0.2">
      <c r="B350" s="20" t="s">
        <v>19</v>
      </c>
      <c r="C350" s="20" t="s">
        <v>651</v>
      </c>
      <c r="D350" s="20" t="s">
        <v>205</v>
      </c>
      <c r="E350" s="20">
        <v>43</v>
      </c>
      <c r="F350" s="113">
        <v>35750.039416633772</v>
      </c>
    </row>
    <row r="351" spans="2:6" hidden="1" outlineLevel="1" x14ac:dyDescent="0.2">
      <c r="B351" s="20" t="s">
        <v>221</v>
      </c>
      <c r="C351" s="20" t="s">
        <v>651</v>
      </c>
      <c r="D351" s="20" t="s">
        <v>45</v>
      </c>
      <c r="E351" s="20">
        <v>56</v>
      </c>
      <c r="F351" s="113">
        <v>35138.377723970894</v>
      </c>
    </row>
    <row r="352" spans="2:6" hidden="1" outlineLevel="1" x14ac:dyDescent="0.2">
      <c r="B352" s="20" t="s">
        <v>194</v>
      </c>
      <c r="C352" s="20" t="s">
        <v>648</v>
      </c>
      <c r="D352" s="20" t="s">
        <v>199</v>
      </c>
      <c r="E352" s="20">
        <v>128</v>
      </c>
      <c r="F352" s="113">
        <v>34069.597457627075</v>
      </c>
    </row>
    <row r="353" spans="2:6" hidden="1" outlineLevel="1" x14ac:dyDescent="0.2">
      <c r="B353" s="57" t="s">
        <v>695</v>
      </c>
      <c r="C353" s="57" t="s">
        <v>648</v>
      </c>
      <c r="D353" s="57" t="s">
        <v>696</v>
      </c>
      <c r="E353" s="57">
        <v>76</v>
      </c>
      <c r="F353" s="157">
        <v>30830.999107939289</v>
      </c>
    </row>
    <row r="354" spans="2:6" hidden="1" outlineLevel="1" x14ac:dyDescent="0.2">
      <c r="B354" s="57" t="s">
        <v>322</v>
      </c>
      <c r="C354" s="57" t="s">
        <v>648</v>
      </c>
      <c r="D354" s="57" t="s">
        <v>324</v>
      </c>
      <c r="E354" s="57">
        <v>100</v>
      </c>
      <c r="F354" s="157">
        <v>31041.525423728774</v>
      </c>
    </row>
    <row r="355" spans="2:6" hidden="1" outlineLevel="1" x14ac:dyDescent="0.2">
      <c r="B355" s="20" t="s">
        <v>697</v>
      </c>
      <c r="C355" s="20" t="s">
        <v>648</v>
      </c>
      <c r="D355" s="20" t="s">
        <v>698</v>
      </c>
      <c r="E355" s="20">
        <v>8</v>
      </c>
      <c r="F355" s="113">
        <v>45126.271186440645</v>
      </c>
    </row>
    <row r="356" spans="2:6" hidden="1" outlineLevel="1" x14ac:dyDescent="0.2">
      <c r="B356" s="57" t="s">
        <v>313</v>
      </c>
      <c r="C356" s="57" t="s">
        <v>648</v>
      </c>
      <c r="D356" s="57" t="s">
        <v>314</v>
      </c>
      <c r="E356" s="57">
        <v>139</v>
      </c>
      <c r="F356" s="157">
        <v>31507.505182294797</v>
      </c>
    </row>
    <row r="357" spans="2:6" hidden="1" outlineLevel="1" x14ac:dyDescent="0.2">
      <c r="B357" s="57" t="s">
        <v>23</v>
      </c>
      <c r="C357" s="57" t="s">
        <v>648</v>
      </c>
      <c r="D357" s="57" t="s">
        <v>24</v>
      </c>
      <c r="E357" s="57">
        <v>160</v>
      </c>
      <c r="F357" s="157">
        <v>32393.220338983007</v>
      </c>
    </row>
    <row r="358" spans="2:6" hidden="1" outlineLevel="1" x14ac:dyDescent="0.2">
      <c r="B358" s="57" t="s">
        <v>249</v>
      </c>
      <c r="C358" s="57" t="s">
        <v>648</v>
      </c>
      <c r="D358" s="57" t="s">
        <v>250</v>
      </c>
      <c r="E358" s="57">
        <v>229</v>
      </c>
      <c r="F358" s="157">
        <v>30448.416105395554</v>
      </c>
    </row>
    <row r="359" spans="2:6" hidden="1" outlineLevel="1" x14ac:dyDescent="0.2">
      <c r="B359" s="20" t="s">
        <v>36</v>
      </c>
      <c r="C359" s="20" t="s">
        <v>661</v>
      </c>
      <c r="D359" s="20" t="s">
        <v>37</v>
      </c>
      <c r="E359" s="20">
        <v>65</v>
      </c>
      <c r="F359" s="113">
        <v>36726.662320730065</v>
      </c>
    </row>
    <row r="360" spans="2:6" hidden="1" outlineLevel="1" x14ac:dyDescent="0.2">
      <c r="B360" s="20" t="s">
        <v>227</v>
      </c>
      <c r="C360" s="20" t="s">
        <v>661</v>
      </c>
      <c r="D360" s="20" t="s">
        <v>242</v>
      </c>
      <c r="E360" s="20">
        <v>50</v>
      </c>
      <c r="F360" s="113">
        <v>38049.999999999949</v>
      </c>
    </row>
    <row r="361" spans="2:6" hidden="1" outlineLevel="1" x14ac:dyDescent="0.2">
      <c r="B361" s="20" t="s">
        <v>38</v>
      </c>
      <c r="C361" s="20" t="s">
        <v>661</v>
      </c>
      <c r="D361" s="20" t="s">
        <v>39</v>
      </c>
      <c r="E361" s="20">
        <v>56</v>
      </c>
      <c r="F361" s="113">
        <v>35198.910411622237</v>
      </c>
    </row>
    <row r="362" spans="2:6" hidden="1" outlineLevel="1" x14ac:dyDescent="0.2">
      <c r="B362" s="20" t="s">
        <v>309</v>
      </c>
      <c r="C362" s="20" t="s">
        <v>661</v>
      </c>
      <c r="D362" s="20" t="s">
        <v>310</v>
      </c>
      <c r="E362" s="20">
        <v>80</v>
      </c>
      <c r="F362" s="113">
        <v>35179.237288135555</v>
      </c>
    </row>
    <row r="363" spans="2:6" hidden="1" outlineLevel="1" x14ac:dyDescent="0.2">
      <c r="B363" s="20" t="s">
        <v>597</v>
      </c>
      <c r="C363" s="20" t="s">
        <v>661</v>
      </c>
      <c r="D363" s="20" t="s">
        <v>40</v>
      </c>
      <c r="E363" s="20">
        <v>73</v>
      </c>
      <c r="F363" s="113">
        <v>33456.315300673275</v>
      </c>
    </row>
    <row r="364" spans="2:6" collapsed="1" x14ac:dyDescent="0.2"/>
    <row r="365" spans="2:6" x14ac:dyDescent="0.2">
      <c r="B365" s="101">
        <v>45536</v>
      </c>
      <c r="E365" s="171"/>
    </row>
    <row r="366" spans="2:6" x14ac:dyDescent="0.2">
      <c r="B366" s="2" t="s">
        <v>252</v>
      </c>
    </row>
    <row r="367" spans="2:6" x14ac:dyDescent="0.2">
      <c r="B367" s="57"/>
      <c r="C367" s="2" t="s">
        <v>253</v>
      </c>
    </row>
    <row r="368" spans="2:6" x14ac:dyDescent="0.2">
      <c r="B368" s="58"/>
      <c r="C368" s="2" t="s">
        <v>254</v>
      </c>
    </row>
    <row r="370" spans="2:6" x14ac:dyDescent="0.2">
      <c r="B370" s="99" t="s">
        <v>73</v>
      </c>
      <c r="C370" s="99" t="s">
        <v>3</v>
      </c>
      <c r="D370" s="99" t="s">
        <v>16</v>
      </c>
      <c r="E370" s="99" t="s">
        <v>257</v>
      </c>
      <c r="F370" s="99" t="s">
        <v>107</v>
      </c>
    </row>
    <row r="371" spans="2:6" x14ac:dyDescent="0.2">
      <c r="B371" s="20" t="s">
        <v>191</v>
      </c>
      <c r="C371" s="20" t="s">
        <v>639</v>
      </c>
      <c r="D371" s="20" t="s">
        <v>195</v>
      </c>
      <c r="E371" s="20">
        <v>59</v>
      </c>
      <c r="F371" s="113">
        <v>41337.848319491517</v>
      </c>
    </row>
    <row r="372" spans="2:6" x14ac:dyDescent="0.2">
      <c r="B372" s="20" t="s">
        <v>31</v>
      </c>
      <c r="C372" s="20" t="s">
        <v>639</v>
      </c>
      <c r="D372" s="20" t="s">
        <v>32</v>
      </c>
      <c r="E372" s="20">
        <v>82</v>
      </c>
      <c r="F372" s="113">
        <v>44097.953700487808</v>
      </c>
    </row>
    <row r="373" spans="2:6" x14ac:dyDescent="0.2">
      <c r="B373" s="20" t="s">
        <v>218</v>
      </c>
      <c r="C373" s="20" t="s">
        <v>639</v>
      </c>
      <c r="D373" s="20" t="s">
        <v>219</v>
      </c>
      <c r="E373" s="20">
        <v>86</v>
      </c>
      <c r="F373" s="113">
        <v>40775.660228790708</v>
      </c>
    </row>
    <row r="374" spans="2:6" x14ac:dyDescent="0.2">
      <c r="B374" s="20" t="s">
        <v>685</v>
      </c>
      <c r="C374" s="20" t="s">
        <v>639</v>
      </c>
      <c r="D374" s="20" t="s">
        <v>686</v>
      </c>
      <c r="E374" s="20">
        <v>26</v>
      </c>
      <c r="F374" s="113">
        <v>44653.650586923082</v>
      </c>
    </row>
    <row r="375" spans="2:6" x14ac:dyDescent="0.2">
      <c r="B375" s="20" t="s">
        <v>599</v>
      </c>
      <c r="C375" s="20" t="s">
        <v>639</v>
      </c>
      <c r="D375" s="20" t="s">
        <v>251</v>
      </c>
      <c r="E375" s="20">
        <v>76</v>
      </c>
      <c r="F375" s="113">
        <v>38435.816235815815</v>
      </c>
    </row>
    <row r="376" spans="2:6" x14ac:dyDescent="0.2">
      <c r="B376" s="20" t="s">
        <v>689</v>
      </c>
      <c r="C376" s="20" t="s">
        <v>645</v>
      </c>
      <c r="D376" s="20" t="s">
        <v>690</v>
      </c>
      <c r="E376" s="20">
        <v>32</v>
      </c>
      <c r="F376" s="113">
        <v>38028.813559062502</v>
      </c>
    </row>
    <row r="377" spans="2:6" x14ac:dyDescent="0.2">
      <c r="B377" s="20" t="s">
        <v>225</v>
      </c>
      <c r="C377" s="20" t="s">
        <v>645</v>
      </c>
      <c r="D377" s="20" t="s">
        <v>27</v>
      </c>
      <c r="E377" s="20">
        <v>27</v>
      </c>
      <c r="F377" s="113">
        <v>42403.421218148156</v>
      </c>
    </row>
    <row r="378" spans="2:6" x14ac:dyDescent="0.2">
      <c r="B378" s="20" t="s">
        <v>224</v>
      </c>
      <c r="C378" s="20" t="s">
        <v>645</v>
      </c>
      <c r="D378" s="20" t="s">
        <v>33</v>
      </c>
      <c r="E378" s="20">
        <v>71</v>
      </c>
      <c r="F378" s="113">
        <v>41357.471950084495</v>
      </c>
    </row>
    <row r="379" spans="2:6" x14ac:dyDescent="0.2">
      <c r="B379" s="20" t="s">
        <v>29</v>
      </c>
      <c r="C379" s="20" t="s">
        <v>645</v>
      </c>
      <c r="D379" s="20" t="s">
        <v>30</v>
      </c>
      <c r="E379" s="20">
        <v>67</v>
      </c>
      <c r="F379" s="113">
        <v>44712.028839701481</v>
      </c>
    </row>
    <row r="380" spans="2:6" x14ac:dyDescent="0.2">
      <c r="B380" s="20" t="s">
        <v>244</v>
      </c>
      <c r="C380" s="20" t="s">
        <v>645</v>
      </c>
      <c r="D380" s="20" t="s">
        <v>245</v>
      </c>
      <c r="E380" s="20">
        <v>66</v>
      </c>
      <c r="F380" s="113">
        <v>42461.915768484854</v>
      </c>
    </row>
    <row r="381" spans="2:6" x14ac:dyDescent="0.2">
      <c r="B381" s="20" t="s">
        <v>353</v>
      </c>
      <c r="C381" s="20" t="s">
        <v>645</v>
      </c>
      <c r="D381" s="20" t="s">
        <v>594</v>
      </c>
      <c r="E381" s="20">
        <v>33</v>
      </c>
      <c r="F381" s="113">
        <v>47533.821263333324</v>
      </c>
    </row>
    <row r="382" spans="2:6" x14ac:dyDescent="0.2">
      <c r="B382" s="20" t="s">
        <v>61</v>
      </c>
      <c r="C382" s="20" t="s">
        <v>645</v>
      </c>
      <c r="D382" s="20" t="s">
        <v>62</v>
      </c>
      <c r="E382" s="20">
        <v>30</v>
      </c>
      <c r="F382" s="113">
        <v>41185.593220666669</v>
      </c>
    </row>
    <row r="383" spans="2:6" x14ac:dyDescent="0.2">
      <c r="B383" s="20" t="s">
        <v>691</v>
      </c>
      <c r="C383" s="20" t="s">
        <v>645</v>
      </c>
      <c r="D383" s="20" t="s">
        <v>692</v>
      </c>
      <c r="E383" s="20">
        <v>29</v>
      </c>
      <c r="F383" s="113">
        <v>45498.860315517246</v>
      </c>
    </row>
    <row r="384" spans="2:6" x14ac:dyDescent="0.2">
      <c r="B384" s="20" t="s">
        <v>25</v>
      </c>
      <c r="C384" s="20" t="s">
        <v>647</v>
      </c>
      <c r="D384" s="20" t="s">
        <v>26</v>
      </c>
      <c r="E384" s="20">
        <v>73</v>
      </c>
      <c r="F384" s="113">
        <v>43707.069886027391</v>
      </c>
    </row>
    <row r="385" spans="2:6" x14ac:dyDescent="0.2">
      <c r="B385" s="20" t="s">
        <v>298</v>
      </c>
      <c r="C385" s="20" t="s">
        <v>647</v>
      </c>
      <c r="D385" s="20" t="s">
        <v>49</v>
      </c>
      <c r="E385" s="20">
        <v>42</v>
      </c>
      <c r="F385" s="113">
        <v>49757.021791666644</v>
      </c>
    </row>
    <row r="386" spans="2:6" x14ac:dyDescent="0.2">
      <c r="B386" s="20" t="s">
        <v>687</v>
      </c>
      <c r="C386" s="20" t="s">
        <v>647</v>
      </c>
      <c r="D386" s="20" t="s">
        <v>688</v>
      </c>
      <c r="E386" s="20">
        <v>29</v>
      </c>
      <c r="F386" s="113">
        <v>40647.895967241384</v>
      </c>
    </row>
    <row r="387" spans="2:6" x14ac:dyDescent="0.2">
      <c r="B387" s="20" t="s">
        <v>51</v>
      </c>
      <c r="C387" s="20" t="s">
        <v>647</v>
      </c>
      <c r="D387" s="20" t="s">
        <v>52</v>
      </c>
      <c r="E387" s="20">
        <v>107</v>
      </c>
      <c r="F387" s="113">
        <v>48335.917946822403</v>
      </c>
    </row>
    <row r="388" spans="2:6" x14ac:dyDescent="0.2">
      <c r="B388" s="20" t="s">
        <v>303</v>
      </c>
      <c r="C388" s="20" t="s">
        <v>647</v>
      </c>
      <c r="D388" s="20" t="s">
        <v>305</v>
      </c>
      <c r="E388" s="20">
        <v>105</v>
      </c>
      <c r="F388" s="113">
        <v>48005.609362285672</v>
      </c>
    </row>
    <row r="389" spans="2:6" x14ac:dyDescent="0.2">
      <c r="B389" s="20" t="s">
        <v>53</v>
      </c>
      <c r="C389" s="20" t="s">
        <v>647</v>
      </c>
      <c r="D389" s="20" t="s">
        <v>54</v>
      </c>
      <c r="E389" s="20">
        <v>60</v>
      </c>
      <c r="F389" s="113">
        <v>48727.966101666636</v>
      </c>
    </row>
    <row r="390" spans="2:6" x14ac:dyDescent="0.2">
      <c r="B390" s="20" t="s">
        <v>693</v>
      </c>
      <c r="C390" s="20" t="s">
        <v>647</v>
      </c>
      <c r="D390" s="20" t="s">
        <v>694</v>
      </c>
      <c r="E390" s="20">
        <v>22</v>
      </c>
      <c r="F390" s="113">
        <v>43797.303544090915</v>
      </c>
    </row>
    <row r="391" spans="2:6" x14ac:dyDescent="0.2">
      <c r="B391" s="20" t="s">
        <v>334</v>
      </c>
      <c r="C391" s="20" t="s">
        <v>647</v>
      </c>
      <c r="D391" s="20" t="s">
        <v>341</v>
      </c>
      <c r="E391" s="20">
        <v>86</v>
      </c>
      <c r="F391" s="113">
        <v>45791.426882325555</v>
      </c>
    </row>
    <row r="392" spans="2:6" x14ac:dyDescent="0.2">
      <c r="B392" s="20" t="s">
        <v>246</v>
      </c>
      <c r="C392" s="20" t="s">
        <v>647</v>
      </c>
      <c r="D392" s="20" t="s">
        <v>247</v>
      </c>
      <c r="E392" s="20">
        <v>75</v>
      </c>
      <c r="F392" s="113">
        <v>43185.593220159994</v>
      </c>
    </row>
    <row r="393" spans="2:6" x14ac:dyDescent="0.2">
      <c r="B393" s="57" t="s">
        <v>194</v>
      </c>
      <c r="C393" s="57" t="s">
        <v>648</v>
      </c>
      <c r="D393" s="57" t="s">
        <v>199</v>
      </c>
      <c r="E393" s="57">
        <v>105</v>
      </c>
      <c r="F393" s="157">
        <v>26173.486683142884</v>
      </c>
    </row>
    <row r="394" spans="2:6" x14ac:dyDescent="0.2">
      <c r="B394" s="20" t="s">
        <v>695</v>
      </c>
      <c r="C394" s="20" t="s">
        <v>648</v>
      </c>
      <c r="D394" s="20" t="s">
        <v>696</v>
      </c>
      <c r="E394" s="20">
        <v>51</v>
      </c>
      <c r="F394" s="113">
        <v>40344.782320980383</v>
      </c>
    </row>
    <row r="395" spans="2:6" x14ac:dyDescent="0.2">
      <c r="B395" s="20" t="s">
        <v>322</v>
      </c>
      <c r="C395" s="20" t="s">
        <v>648</v>
      </c>
      <c r="D395" s="20" t="s">
        <v>324</v>
      </c>
      <c r="E395" s="20">
        <v>55</v>
      </c>
      <c r="F395" s="113">
        <v>39906.702620727265</v>
      </c>
    </row>
    <row r="396" spans="2:6" x14ac:dyDescent="0.2">
      <c r="B396" s="57" t="s">
        <v>313</v>
      </c>
      <c r="C396" s="57" t="s">
        <v>648</v>
      </c>
      <c r="D396" s="57" t="s">
        <v>314</v>
      </c>
      <c r="E396" s="57">
        <v>147</v>
      </c>
      <c r="F396" s="157">
        <v>30588.337369006837</v>
      </c>
    </row>
    <row r="397" spans="2:6" x14ac:dyDescent="0.2">
      <c r="B397" s="20" t="s">
        <v>23</v>
      </c>
      <c r="C397" s="20" t="s">
        <v>648</v>
      </c>
      <c r="D397" s="20" t="s">
        <v>24</v>
      </c>
      <c r="E397" s="20">
        <v>73</v>
      </c>
      <c r="F397" s="113">
        <v>35952.252147945219</v>
      </c>
    </row>
    <row r="398" spans="2:6" x14ac:dyDescent="0.2">
      <c r="B398" s="57" t="s">
        <v>249</v>
      </c>
      <c r="C398" s="57" t="s">
        <v>648</v>
      </c>
      <c r="D398" s="57" t="s">
        <v>250</v>
      </c>
      <c r="E398" s="57">
        <v>158</v>
      </c>
      <c r="F398" s="157">
        <v>28705.43874737978</v>
      </c>
    </row>
    <row r="399" spans="2:6" x14ac:dyDescent="0.2">
      <c r="B399" s="20" t="s">
        <v>20</v>
      </c>
      <c r="C399" s="20" t="s">
        <v>650</v>
      </c>
      <c r="D399" s="20" t="s">
        <v>21</v>
      </c>
      <c r="E399" s="20">
        <v>64</v>
      </c>
      <c r="F399" s="113">
        <v>38743.855932374994</v>
      </c>
    </row>
    <row r="400" spans="2:6" x14ac:dyDescent="0.2">
      <c r="B400" s="20" t="s">
        <v>333</v>
      </c>
      <c r="C400" s="20" t="s">
        <v>650</v>
      </c>
      <c r="D400" s="20" t="s">
        <v>340</v>
      </c>
      <c r="E400" s="20">
        <v>20</v>
      </c>
      <c r="F400" s="113">
        <v>41778.813559500013</v>
      </c>
    </row>
    <row r="401" spans="2:6" x14ac:dyDescent="0.2">
      <c r="B401" s="20" t="s">
        <v>699</v>
      </c>
      <c r="C401" s="20" t="s">
        <v>650</v>
      </c>
      <c r="D401" s="20" t="s">
        <v>700</v>
      </c>
      <c r="E401" s="20">
        <v>34</v>
      </c>
      <c r="F401" s="113">
        <v>41200.548354176477</v>
      </c>
    </row>
    <row r="402" spans="2:6" x14ac:dyDescent="0.2">
      <c r="B402" s="20" t="s">
        <v>216</v>
      </c>
      <c r="C402" s="20" t="s">
        <v>650</v>
      </c>
      <c r="D402" s="20" t="s">
        <v>18</v>
      </c>
      <c r="E402" s="20">
        <v>72</v>
      </c>
      <c r="F402" s="113">
        <v>40641.807909583353</v>
      </c>
    </row>
    <row r="403" spans="2:6" x14ac:dyDescent="0.2">
      <c r="B403" s="20" t="s">
        <v>222</v>
      </c>
      <c r="C403" s="20" t="s">
        <v>650</v>
      </c>
      <c r="D403" s="20" t="s">
        <v>223</v>
      </c>
      <c r="E403" s="20">
        <v>59</v>
      </c>
      <c r="F403" s="113">
        <v>44698.951450610155</v>
      </c>
    </row>
    <row r="404" spans="2:6" x14ac:dyDescent="0.2">
      <c r="B404" s="20" t="s">
        <v>46</v>
      </c>
      <c r="C404" s="20" t="s">
        <v>651</v>
      </c>
      <c r="D404" s="20" t="s">
        <v>47</v>
      </c>
      <c r="E404" s="20">
        <v>36</v>
      </c>
      <c r="F404" s="113">
        <v>45173.352167222227</v>
      </c>
    </row>
    <row r="405" spans="2:6" x14ac:dyDescent="0.2">
      <c r="B405" s="20" t="s">
        <v>701</v>
      </c>
      <c r="C405" s="20" t="s">
        <v>651</v>
      </c>
      <c r="D405" s="20" t="s">
        <v>702</v>
      </c>
      <c r="E405" s="20">
        <v>25</v>
      </c>
      <c r="F405" s="113">
        <v>42202.5423744</v>
      </c>
    </row>
    <row r="406" spans="2:6" x14ac:dyDescent="0.2">
      <c r="B406" s="20" t="s">
        <v>207</v>
      </c>
      <c r="C406" s="20" t="s">
        <v>651</v>
      </c>
      <c r="D406" s="20" t="s">
        <v>201</v>
      </c>
      <c r="E406" s="20">
        <v>40</v>
      </c>
      <c r="F406" s="113">
        <v>39278.813559499991</v>
      </c>
    </row>
    <row r="407" spans="2:6" x14ac:dyDescent="0.2">
      <c r="B407" s="20" t="s">
        <v>118</v>
      </c>
      <c r="C407" s="20" t="s">
        <v>651</v>
      </c>
      <c r="D407" s="20" t="s">
        <v>200</v>
      </c>
      <c r="E407" s="20">
        <v>46</v>
      </c>
      <c r="F407" s="113">
        <v>42077.266029565209</v>
      </c>
    </row>
    <row r="408" spans="2:6" x14ac:dyDescent="0.2">
      <c r="B408" s="20" t="s">
        <v>299</v>
      </c>
      <c r="C408" s="20" t="s">
        <v>651</v>
      </c>
      <c r="D408" s="20" t="s">
        <v>290</v>
      </c>
      <c r="E408" s="20">
        <v>41</v>
      </c>
      <c r="F408" s="113">
        <v>43653.555189268285</v>
      </c>
    </row>
    <row r="409" spans="2:6" x14ac:dyDescent="0.2">
      <c r="B409" s="20" t="s">
        <v>19</v>
      </c>
      <c r="C409" s="20" t="s">
        <v>651</v>
      </c>
      <c r="D409" s="20" t="s">
        <v>205</v>
      </c>
      <c r="E409" s="20">
        <v>43</v>
      </c>
      <c r="F409" s="113">
        <v>42273.492316046504</v>
      </c>
    </row>
    <row r="410" spans="2:6" x14ac:dyDescent="0.2">
      <c r="B410" s="20" t="s">
        <v>221</v>
      </c>
      <c r="C410" s="20" t="s">
        <v>651</v>
      </c>
      <c r="D410" s="20" t="s">
        <v>45</v>
      </c>
      <c r="E410" s="20">
        <v>34</v>
      </c>
      <c r="F410" s="113">
        <v>46160.667997647048</v>
      </c>
    </row>
    <row r="411" spans="2:6" x14ac:dyDescent="0.2">
      <c r="B411" s="20" t="s">
        <v>724</v>
      </c>
      <c r="C411" s="20" t="s">
        <v>653</v>
      </c>
      <c r="D411" s="20" t="s">
        <v>725</v>
      </c>
      <c r="E411" s="20">
        <v>44</v>
      </c>
      <c r="F411" s="113">
        <v>46532.280432045438</v>
      </c>
    </row>
    <row r="412" spans="2:6" x14ac:dyDescent="0.2">
      <c r="B412" s="20" t="s">
        <v>335</v>
      </c>
      <c r="C412" s="20" t="s">
        <v>653</v>
      </c>
      <c r="D412" s="20" t="s">
        <v>342</v>
      </c>
      <c r="E412" s="20">
        <v>114</v>
      </c>
      <c r="F412" s="113">
        <v>42543.012191403534</v>
      </c>
    </row>
    <row r="413" spans="2:6" x14ac:dyDescent="0.2">
      <c r="B413" s="20" t="s">
        <v>230</v>
      </c>
      <c r="C413" s="20" t="s">
        <v>653</v>
      </c>
      <c r="D413" s="20" t="s">
        <v>35</v>
      </c>
      <c r="E413" s="20">
        <v>55</v>
      </c>
      <c r="F413" s="113">
        <v>47148.613251272727</v>
      </c>
    </row>
    <row r="414" spans="2:6" x14ac:dyDescent="0.2">
      <c r="B414" s="20" t="s">
        <v>63</v>
      </c>
      <c r="C414" s="20" t="s">
        <v>653</v>
      </c>
      <c r="D414" s="20" t="s">
        <v>64</v>
      </c>
      <c r="E414" s="20">
        <v>91</v>
      </c>
      <c r="F414" s="113">
        <v>47922.415719670302</v>
      </c>
    </row>
    <row r="415" spans="2:6" x14ac:dyDescent="0.2">
      <c r="B415" s="20" t="s">
        <v>311</v>
      </c>
      <c r="C415" s="20" t="s">
        <v>653</v>
      </c>
      <c r="D415" s="20" t="s">
        <v>308</v>
      </c>
      <c r="E415" s="20">
        <v>72</v>
      </c>
      <c r="F415" s="113">
        <v>44019.868173138857</v>
      </c>
    </row>
    <row r="416" spans="2:6" x14ac:dyDescent="0.2">
      <c r="B416" s="20" t="s">
        <v>598</v>
      </c>
      <c r="C416" s="20" t="s">
        <v>653</v>
      </c>
      <c r="D416" s="20" t="s">
        <v>312</v>
      </c>
      <c r="E416" s="20">
        <v>48</v>
      </c>
      <c r="F416" s="113">
        <v>43325.423729791655</v>
      </c>
    </row>
    <row r="417" spans="2:6" x14ac:dyDescent="0.2">
      <c r="B417" s="20" t="s">
        <v>192</v>
      </c>
      <c r="C417" s="20" t="s">
        <v>653</v>
      </c>
      <c r="D417" s="20" t="s">
        <v>197</v>
      </c>
      <c r="E417" s="20">
        <v>89</v>
      </c>
      <c r="F417" s="113">
        <v>49932.498571348282</v>
      </c>
    </row>
    <row r="418" spans="2:6" x14ac:dyDescent="0.2">
      <c r="B418" s="20" t="s">
        <v>240</v>
      </c>
      <c r="C418" s="20" t="s">
        <v>654</v>
      </c>
      <c r="D418" s="20" t="s">
        <v>241</v>
      </c>
      <c r="E418" s="20">
        <v>40</v>
      </c>
      <c r="F418" s="113">
        <v>42859.32203499999</v>
      </c>
    </row>
    <row r="419" spans="2:6" x14ac:dyDescent="0.2">
      <c r="B419" s="20" t="s">
        <v>595</v>
      </c>
      <c r="C419" s="20" t="s">
        <v>654</v>
      </c>
      <c r="D419" s="20" t="s">
        <v>220</v>
      </c>
      <c r="E419" s="20">
        <v>70</v>
      </c>
      <c r="F419" s="113">
        <v>44091.162228285692</v>
      </c>
    </row>
    <row r="420" spans="2:6" x14ac:dyDescent="0.2">
      <c r="B420" s="20" t="s">
        <v>319</v>
      </c>
      <c r="C420" s="20" t="s">
        <v>654</v>
      </c>
      <c r="D420" s="20" t="s">
        <v>320</v>
      </c>
      <c r="E420" s="20">
        <v>69</v>
      </c>
      <c r="F420" s="113">
        <v>46228.580202028978</v>
      </c>
    </row>
    <row r="421" spans="2:6" x14ac:dyDescent="0.2">
      <c r="B421" s="20" t="s">
        <v>288</v>
      </c>
      <c r="C421" s="20" t="s">
        <v>654</v>
      </c>
      <c r="D421" s="20" t="s">
        <v>289</v>
      </c>
      <c r="E421" s="20">
        <v>49</v>
      </c>
      <c r="F421" s="113">
        <v>43582.687652244887</v>
      </c>
    </row>
    <row r="422" spans="2:6" x14ac:dyDescent="0.2">
      <c r="B422" s="20" t="s">
        <v>72</v>
      </c>
      <c r="C422" s="20" t="s">
        <v>654</v>
      </c>
      <c r="D422" s="20" t="s">
        <v>43</v>
      </c>
      <c r="E422" s="20">
        <v>72</v>
      </c>
      <c r="F422" s="113">
        <v>46809.416196666665</v>
      </c>
    </row>
    <row r="423" spans="2:6" x14ac:dyDescent="0.2">
      <c r="B423" s="20" t="s">
        <v>304</v>
      </c>
      <c r="C423" s="20" t="s">
        <v>658</v>
      </c>
      <c r="D423" s="20" t="s">
        <v>306</v>
      </c>
      <c r="E423" s="20">
        <v>62</v>
      </c>
      <c r="F423" s="113">
        <v>46007.900492580651</v>
      </c>
    </row>
    <row r="424" spans="2:6" x14ac:dyDescent="0.2">
      <c r="B424" s="20" t="s">
        <v>659</v>
      </c>
      <c r="C424" s="20" t="s">
        <v>658</v>
      </c>
      <c r="D424" s="20" t="s">
        <v>660</v>
      </c>
      <c r="E424" s="20">
        <v>67</v>
      </c>
      <c r="F424" s="113">
        <v>46280.457880895527</v>
      </c>
    </row>
    <row r="425" spans="2:6" x14ac:dyDescent="0.2">
      <c r="B425" s="20" t="s">
        <v>117</v>
      </c>
      <c r="C425" s="20" t="s">
        <v>658</v>
      </c>
      <c r="D425" s="20" t="s">
        <v>196</v>
      </c>
      <c r="E425" s="20">
        <v>100</v>
      </c>
      <c r="F425" s="113">
        <v>45863.559322500027</v>
      </c>
    </row>
    <row r="426" spans="2:6" x14ac:dyDescent="0.2">
      <c r="B426" s="20" t="s">
        <v>703</v>
      </c>
      <c r="C426" s="20" t="s">
        <v>658</v>
      </c>
      <c r="D426" s="20" t="s">
        <v>704</v>
      </c>
      <c r="E426" s="20">
        <v>49</v>
      </c>
      <c r="F426" s="113">
        <v>48650.138360816301</v>
      </c>
    </row>
    <row r="427" spans="2:6" x14ac:dyDescent="0.2">
      <c r="B427" s="20" t="s">
        <v>41</v>
      </c>
      <c r="C427" s="20" t="s">
        <v>658</v>
      </c>
      <c r="D427" s="20" t="s">
        <v>42</v>
      </c>
      <c r="E427" s="20">
        <v>97</v>
      </c>
      <c r="F427" s="113">
        <v>47028.682508969068</v>
      </c>
    </row>
    <row r="428" spans="2:6" x14ac:dyDescent="0.2">
      <c r="B428" s="20" t="s">
        <v>36</v>
      </c>
      <c r="C428" s="20" t="s">
        <v>661</v>
      </c>
      <c r="D428" s="20" t="s">
        <v>37</v>
      </c>
      <c r="E428" s="20">
        <v>82</v>
      </c>
      <c r="F428" s="113">
        <v>44077.284002073175</v>
      </c>
    </row>
    <row r="429" spans="2:6" x14ac:dyDescent="0.2">
      <c r="B429" s="20" t="s">
        <v>726</v>
      </c>
      <c r="C429" s="20" t="s">
        <v>661</v>
      </c>
      <c r="D429" s="20" t="s">
        <v>727</v>
      </c>
      <c r="E429" s="20">
        <v>54</v>
      </c>
      <c r="F429" s="113">
        <v>40975.29818048147</v>
      </c>
    </row>
    <row r="430" spans="2:6" x14ac:dyDescent="0.2">
      <c r="B430" s="20" t="s">
        <v>38</v>
      </c>
      <c r="C430" s="20" t="s">
        <v>661</v>
      </c>
      <c r="D430" s="20" t="s">
        <v>39</v>
      </c>
      <c r="E430" s="20">
        <v>54</v>
      </c>
      <c r="F430" s="113">
        <v>46185.593220555551</v>
      </c>
    </row>
    <row r="431" spans="2:6" x14ac:dyDescent="0.2">
      <c r="B431" s="20" t="s">
        <v>309</v>
      </c>
      <c r="C431" s="20" t="s">
        <v>661</v>
      </c>
      <c r="D431" s="20" t="s">
        <v>310</v>
      </c>
      <c r="E431" s="20">
        <v>43</v>
      </c>
      <c r="F431" s="113">
        <v>41169.826567906974</v>
      </c>
    </row>
    <row r="432" spans="2:6" x14ac:dyDescent="0.2">
      <c r="B432" s="20" t="s">
        <v>597</v>
      </c>
      <c r="C432" s="20" t="s">
        <v>661</v>
      </c>
      <c r="D432" s="20" t="s">
        <v>40</v>
      </c>
      <c r="E432" s="20">
        <v>61</v>
      </c>
      <c r="F432" s="113">
        <v>41107.793832295072</v>
      </c>
    </row>
    <row r="433" spans="2:6" x14ac:dyDescent="0.2">
      <c r="B433" s="20" t="s">
        <v>728</v>
      </c>
      <c r="C433" s="20" t="s">
        <v>662</v>
      </c>
      <c r="D433" s="20" t="s">
        <v>729</v>
      </c>
      <c r="E433" s="20">
        <v>31</v>
      </c>
      <c r="F433" s="113">
        <v>37779.360303870963</v>
      </c>
    </row>
    <row r="434" spans="2:6" x14ac:dyDescent="0.2">
      <c r="B434" s="20" t="s">
        <v>357</v>
      </c>
      <c r="C434" s="20" t="s">
        <v>662</v>
      </c>
      <c r="D434" s="20" t="s">
        <v>284</v>
      </c>
      <c r="E434" s="20">
        <v>62</v>
      </c>
      <c r="F434" s="113">
        <v>34430.535809225803</v>
      </c>
    </row>
    <row r="435" spans="2:6" x14ac:dyDescent="0.2">
      <c r="B435" s="20" t="s">
        <v>337</v>
      </c>
      <c r="C435" s="20" t="s">
        <v>662</v>
      </c>
      <c r="D435" s="20" t="s">
        <v>344</v>
      </c>
      <c r="E435" s="20">
        <v>63</v>
      </c>
      <c r="F435" s="113">
        <v>38928.396554031737</v>
      </c>
    </row>
    <row r="436" spans="2:6" x14ac:dyDescent="0.2">
      <c r="B436" s="20" t="s">
        <v>596</v>
      </c>
      <c r="C436" s="20" t="s">
        <v>662</v>
      </c>
      <c r="D436" s="20" t="s">
        <v>302</v>
      </c>
      <c r="E436" s="20">
        <v>133</v>
      </c>
      <c r="F436" s="113">
        <v>48011.13164257141</v>
      </c>
    </row>
    <row r="437" spans="2:6" x14ac:dyDescent="0.2">
      <c r="B437" s="57" t="s">
        <v>315</v>
      </c>
      <c r="C437" s="57" t="s">
        <v>662</v>
      </c>
      <c r="D437" s="57" t="s">
        <v>316</v>
      </c>
      <c r="E437" s="57">
        <v>137</v>
      </c>
      <c r="F437" s="157">
        <v>29746.770997153213</v>
      </c>
    </row>
    <row r="438" spans="2:6" x14ac:dyDescent="0.2">
      <c r="B438" s="57" t="s">
        <v>206</v>
      </c>
      <c r="C438" s="57" t="s">
        <v>662</v>
      </c>
      <c r="D438" s="57" t="s">
        <v>22</v>
      </c>
      <c r="E438" s="57">
        <v>107</v>
      </c>
      <c r="F438" s="157">
        <v>31450.12671983174</v>
      </c>
    </row>
    <row r="439" spans="2:6" x14ac:dyDescent="0.2">
      <c r="B439" s="20" t="s">
        <v>282</v>
      </c>
      <c r="C439" s="20" t="s">
        <v>662</v>
      </c>
      <c r="D439" s="20" t="s">
        <v>283</v>
      </c>
      <c r="E439" s="20">
        <v>81</v>
      </c>
      <c r="F439" s="113">
        <v>39976.135172370363</v>
      </c>
    </row>
    <row r="440" spans="2:6" x14ac:dyDescent="0.2">
      <c r="B440" s="20" t="s">
        <v>57</v>
      </c>
      <c r="C440" s="20" t="s">
        <v>662</v>
      </c>
      <c r="D440" s="20" t="s">
        <v>58</v>
      </c>
      <c r="E440" s="20">
        <v>40</v>
      </c>
      <c r="F440" s="113">
        <v>36312.711861500007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Checklists</vt:lpstr>
      <vt:lpstr>Index</vt:lpstr>
      <vt:lpstr>Header Index</vt:lpstr>
      <vt:lpstr>Policy</vt:lpstr>
      <vt:lpstr>Incentive Summary Output</vt:lpstr>
      <vt:lpstr>Target Achieved- Input</vt:lpstr>
      <vt:lpstr>Incentive Report- Output</vt:lpstr>
      <vt:lpstr>RM Calculation Pro Rata</vt:lpstr>
      <vt:lpstr>Perquisites</vt:lpstr>
      <vt:lpstr>ZM Calculation</vt:lpstr>
      <vt:lpstr>ARPU</vt:lpstr>
      <vt:lpstr>ZM Calculation (1)</vt:lpstr>
      <vt:lpstr>ZM Incentive Calculation</vt:lpstr>
      <vt:lpstr>Coupon Analysis</vt:lpstr>
      <vt:lpstr>Individual BDE's ARPU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Adhikesavan  R</cp:lastModifiedBy>
  <cp:lastPrinted>2022-04-12T10:57:12Z</cp:lastPrinted>
  <dcterms:created xsi:type="dcterms:W3CDTF">2022-04-17T10:14:36Z</dcterms:created>
  <dcterms:modified xsi:type="dcterms:W3CDTF">2026-09-11T13:37:38Z</dcterms:modified>
</cp:coreProperties>
</file>